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PRODUTOS\"/>
    </mc:Choice>
  </mc:AlternateContent>
  <xr:revisionPtr revIDLastSave="0" documentId="13_ncr:1_{F7DBF3C2-79A6-43A2-AB3B-C25BAB91FBDE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K814" i="1"/>
  <c r="I814" i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K782" i="1"/>
  <c r="I782" i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K686" i="1"/>
  <c r="I686" i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K654" i="1"/>
  <c r="I654" i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K526" i="1"/>
  <c r="I526" i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K460" i="1"/>
  <c r="I460" i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K398" i="1"/>
  <c r="I398" i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K364" i="1"/>
  <c r="I364" i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K270" i="1"/>
  <c r="I270" i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K220" i="1"/>
  <c r="I220" i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K182" i="1"/>
  <c r="I182" i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K150" i="1"/>
  <c r="I150" i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<sst xmlns="http://schemas.openxmlformats.org/spreadsheetml/2006/main" count="3194" uniqueCount="629">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</sst>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Planilha2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0</v>
          </cell>
          <cell r="E10">
            <v>0</v>
          </cell>
          <cell r="F10">
            <v>0</v>
          </cell>
          <cell r="H10">
            <v>0</v>
          </cell>
          <cell r="O10">
            <v>389916</v>
          </cell>
          <cell r="P10" t="str">
            <v>2024/241-0010-01</v>
          </cell>
          <cell r="Q10" t="str">
            <v>EST MODULO BRACO DIR ADANA (PES MTX MARROM) TC B2220</v>
          </cell>
          <cell r="R10">
            <v>3.3</v>
          </cell>
          <cell r="S10">
            <v>3.1</v>
          </cell>
          <cell r="T10">
            <v>2.4</v>
          </cell>
          <cell r="U10">
            <v>0.97</v>
          </cell>
          <cell r="V10">
            <v>0.92</v>
          </cell>
          <cell r="W10">
            <v>0</v>
          </cell>
          <cell r="X10" t="str">
            <v>EST MODULO BRACO DIR ADANA (PES MTX MARROM) TC B2220 - 2,4x0,97x0,92H</v>
          </cell>
          <cell r="Y10">
            <v>59567.069999999992</v>
          </cell>
          <cell r="Z10">
            <v>0.35</v>
          </cell>
          <cell r="AA10">
            <v>38718.595499999996</v>
          </cell>
          <cell r="AB10" t="str">
            <v>AA</v>
          </cell>
        </row>
        <row r="11">
          <cell r="C11">
            <v>1</v>
          </cell>
          <cell r="D11">
            <v>0</v>
          </cell>
          <cell r="E11">
            <v>0</v>
          </cell>
          <cell r="F11">
            <v>0</v>
          </cell>
          <cell r="H11">
            <v>0</v>
          </cell>
          <cell r="O11">
            <v>389917</v>
          </cell>
          <cell r="P11" t="str">
            <v>2024/241-0011-01</v>
          </cell>
          <cell r="Q11" t="str">
            <v>EST MODULO S/BRACO C/PUFF ADANA (PES MTX MARROM) TC B2220</v>
          </cell>
          <cell r="R11">
            <v>3.3</v>
          </cell>
          <cell r="S11">
            <v>3.1</v>
          </cell>
          <cell r="T11">
            <v>2.2000000000000002</v>
          </cell>
          <cell r="U11">
            <v>0.97</v>
          </cell>
          <cell r="V11">
            <v>0.92</v>
          </cell>
          <cell r="W11">
            <v>0</v>
          </cell>
          <cell r="X11" t="str">
            <v>EST MODULO S/BRACO C/PUFF ADANA (PES MTX MARROM) TC B2220 - 2,2x0,97x0,92H</v>
          </cell>
          <cell r="Y11">
            <v>59567.069999999992</v>
          </cell>
          <cell r="Z11">
            <v>0.35</v>
          </cell>
          <cell r="AA11">
            <v>38718.595499999996</v>
          </cell>
          <cell r="AB11" t="str">
            <v>AA</v>
          </cell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389918</v>
          </cell>
          <cell r="P12" t="str">
            <v>2024/241-0012-01</v>
          </cell>
          <cell r="Q12" t="str">
            <v>EST MODULO PUFF CANTO ADANA (PES MTX MARROM) TC B2220</v>
          </cell>
          <cell r="R12">
            <v>3.3</v>
          </cell>
          <cell r="S12">
            <v>3.1</v>
          </cell>
          <cell r="T12">
            <v>0.9</v>
          </cell>
          <cell r="U12">
            <v>0.9</v>
          </cell>
          <cell r="V12">
            <v>0.46</v>
          </cell>
          <cell r="W12">
            <v>0</v>
          </cell>
          <cell r="X12" t="str">
            <v>EST MODULO PUFF CANTO ADANA (PES MTX MARROM) TC B2220 - 0,9x0,9x0,46H</v>
          </cell>
          <cell r="Y12">
            <v>59567.069999999992</v>
          </cell>
          <cell r="Z12">
            <v>0.35</v>
          </cell>
          <cell r="AA12">
            <v>38718.595499999996</v>
          </cell>
          <cell r="AB12" t="str">
            <v>AA</v>
          </cell>
        </row>
        <row r="13">
          <cell r="C13">
            <v>0</v>
          </cell>
          <cell r="D13">
            <v>1</v>
          </cell>
          <cell r="E13">
            <v>0</v>
          </cell>
          <cell r="F13">
            <v>0</v>
          </cell>
          <cell r="H13">
            <v>0</v>
          </cell>
          <cell r="O13">
            <v>390201</v>
          </cell>
          <cell r="P13" t="str">
            <v>2024/261-0044-01</v>
          </cell>
          <cell r="Q13" t="str">
            <v>EST MODULO BRACO DIR PRESLEY TC B2206 (VRNZ NOZES)</v>
          </cell>
          <cell r="R13">
            <v>2.8</v>
          </cell>
          <cell r="S13">
            <v>0.95</v>
          </cell>
          <cell r="T13">
            <v>1.4</v>
          </cell>
          <cell r="U13">
            <v>0.95</v>
          </cell>
          <cell r="V13">
            <v>0.9</v>
          </cell>
          <cell r="W13">
            <v>0</v>
          </cell>
          <cell r="X13" t="str">
            <v>EST MODULO BRACO DIR PRESLEY TC B2206 (VRNZ NOZES) - 1,4x0,95x0,9H</v>
          </cell>
          <cell r="Y13">
            <v>42532.32</v>
          </cell>
          <cell r="Z13">
            <v>0.35</v>
          </cell>
          <cell r="AA13">
            <v>27646.008000000002</v>
          </cell>
          <cell r="AB13" t="str">
            <v>AB</v>
          </cell>
        </row>
        <row r="14">
          <cell r="C14">
            <v>0</v>
          </cell>
          <cell r="D14">
            <v>1</v>
          </cell>
          <cell r="E14">
            <v>0</v>
          </cell>
          <cell r="F14">
            <v>0</v>
          </cell>
          <cell r="H14">
            <v>0</v>
          </cell>
          <cell r="O14">
            <v>390202</v>
          </cell>
          <cell r="P14" t="str">
            <v>2024/261-0045-01</v>
          </cell>
          <cell r="Q14" t="str">
            <v>EST MODULO BRACO ESQ PRESLEY TC B2206 (VRNZ NOZES)</v>
          </cell>
          <cell r="R14">
            <v>2.8</v>
          </cell>
          <cell r="S14">
            <v>0.95</v>
          </cell>
          <cell r="T14">
            <v>1.4</v>
          </cell>
          <cell r="U14">
            <v>0.95</v>
          </cell>
          <cell r="V14">
            <v>0.9</v>
          </cell>
          <cell r="W14">
            <v>0</v>
          </cell>
          <cell r="X14" t="str">
            <v>EST MODULO BRACO ESQ PRESLEY TC B2206 (VRNZ NOZES) - 1,4x0,95x0,9H</v>
          </cell>
          <cell r="Y14">
            <v>42532.32</v>
          </cell>
          <cell r="Z14">
            <v>0.35</v>
          </cell>
          <cell r="AA14">
            <v>27646.008000000002</v>
          </cell>
          <cell r="AB14" t="str">
            <v>AB</v>
          </cell>
        </row>
        <row r="15">
          <cell r="C15">
            <v>1</v>
          </cell>
          <cell r="D15">
            <v>0</v>
          </cell>
          <cell r="E15">
            <v>0</v>
          </cell>
          <cell r="F15">
            <v>0</v>
          </cell>
          <cell r="H15">
            <v>0</v>
          </cell>
          <cell r="O15">
            <v>400737</v>
          </cell>
          <cell r="P15" t="str">
            <v>2025/064-0018-01</v>
          </cell>
          <cell r="Q15" t="str">
            <v>EST MODULO CHAISE BRACO ESQ JOPLIN FX B2221</v>
          </cell>
          <cell r="R15">
            <v>2.2000000000000002</v>
          </cell>
          <cell r="S15">
            <v>1.6</v>
          </cell>
          <cell r="T15">
            <v>1.1000000000000001</v>
          </cell>
          <cell r="U15">
            <v>1.6</v>
          </cell>
          <cell r="V15">
            <v>0.84</v>
          </cell>
          <cell r="W15">
            <v>0</v>
          </cell>
          <cell r="X15" t="str">
            <v>EST MODULO CHAISE BRACO ESQ JOPLIN FX B2221 - 1,1x1,6x0,84H</v>
          </cell>
          <cell r="Y15">
            <v>42532.32</v>
          </cell>
          <cell r="Z15">
            <v>0.35</v>
          </cell>
          <cell r="AA15">
            <v>27646.008000000002</v>
          </cell>
          <cell r="AB15" t="str">
            <v>AB</v>
          </cell>
        </row>
        <row r="16">
          <cell r="C16">
            <v>1</v>
          </cell>
          <cell r="D16">
            <v>0</v>
          </cell>
          <cell r="E16">
            <v>0</v>
          </cell>
          <cell r="F16">
            <v>0</v>
          </cell>
          <cell r="H16">
            <v>0</v>
          </cell>
          <cell r="O16">
            <v>400738</v>
          </cell>
          <cell r="P16" t="str">
            <v>2025/064-0019-01</v>
          </cell>
          <cell r="Q16" t="str">
            <v>EST MODULO CHAISE BRACO DIR JOPLIN FX B2221</v>
          </cell>
          <cell r="R16">
            <v>2.2000000000000002</v>
          </cell>
          <cell r="S16">
            <v>1.6</v>
          </cell>
          <cell r="T16">
            <v>1.1000000000000001</v>
          </cell>
          <cell r="U16">
            <v>1.6</v>
          </cell>
          <cell r="V16">
            <v>0.84</v>
          </cell>
          <cell r="W16">
            <v>0</v>
          </cell>
          <cell r="X16" t="str">
            <v>EST MODULO CHAISE BRACO DIR JOPLIN FX B2221 - 1,1x1,6x0,84H</v>
          </cell>
          <cell r="Y16">
            <v>42532.32</v>
          </cell>
          <cell r="Z16">
            <v>0.35</v>
          </cell>
          <cell r="AA16">
            <v>27646.008000000002</v>
          </cell>
          <cell r="AB16" t="str">
            <v>AB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H17">
            <v>1</v>
          </cell>
          <cell r="O17">
            <v>381905</v>
          </cell>
          <cell r="P17" t="str">
            <v>2024/117-0001-01</v>
          </cell>
          <cell r="Q17" t="str">
            <v>EST MODULO PUFF HIMALAYA (CON) COURO FIRENZE 12</v>
          </cell>
          <cell r="R17">
            <v>4.78</v>
          </cell>
          <cell r="S17">
            <v>1.9</v>
          </cell>
          <cell r="T17">
            <v>1.05</v>
          </cell>
          <cell r="U17">
            <v>1.05</v>
          </cell>
          <cell r="V17">
            <v>0.42</v>
          </cell>
          <cell r="W17">
            <v>0</v>
          </cell>
          <cell r="X17" t="str">
            <v>EST MODULO PUFF HIMALAYA (CON) COURO FIRENZE 12 - 1,05x1,05x0,42H</v>
          </cell>
          <cell r="Y17">
            <v>94963.58</v>
          </cell>
          <cell r="Z17">
            <v>0.5</v>
          </cell>
          <cell r="AA17">
            <v>47481.79</v>
          </cell>
          <cell r="AB17" t="str">
            <v>AC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H18">
            <v>1</v>
          </cell>
          <cell r="O18">
            <v>381907</v>
          </cell>
          <cell r="P18" t="str">
            <v>2024/117-0002-01</v>
          </cell>
          <cell r="Q18" t="str">
            <v>EST MODULO ANGULAR ESQ S/B HIMALAYA (CON) COURO FIRENZE12</v>
          </cell>
          <cell r="R18">
            <v>4.78</v>
          </cell>
          <cell r="S18">
            <v>1.9</v>
          </cell>
          <cell r="T18">
            <v>2</v>
          </cell>
          <cell r="U18">
            <v>1.05</v>
          </cell>
          <cell r="V18">
            <v>0.74</v>
          </cell>
          <cell r="W18">
            <v>0</v>
          </cell>
          <cell r="X18" t="str">
            <v>EST MODULO ANGULAR ESQ S/B HIMALAYA (CON) COURO FIRENZE12 - 2x1,05x0,74H</v>
          </cell>
          <cell r="Y18">
            <v>94963.58</v>
          </cell>
          <cell r="Z18">
            <v>0.5</v>
          </cell>
          <cell r="AA18">
            <v>47481.79</v>
          </cell>
          <cell r="AB18" t="str">
            <v>AC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H19">
            <v>1</v>
          </cell>
          <cell r="O19">
            <v>381908</v>
          </cell>
          <cell r="P19" t="str">
            <v>2024/117-0003-01</v>
          </cell>
          <cell r="Q19" t="str">
            <v>EST MODULO ANGULAR DIR S/B HIMALAYA (CON) COURO FIRENZE 12</v>
          </cell>
          <cell r="R19">
            <v>4.78</v>
          </cell>
          <cell r="S19">
            <v>1.9</v>
          </cell>
          <cell r="T19">
            <v>2</v>
          </cell>
          <cell r="U19">
            <v>1.05</v>
          </cell>
          <cell r="V19">
            <v>0.74</v>
          </cell>
          <cell r="W19">
            <v>0</v>
          </cell>
          <cell r="X19" t="str">
            <v>EST MODULO ANGULAR DIR S/B HIMALAYA (CON) COURO FIRENZE 12 - 2x1,05x0,74H</v>
          </cell>
          <cell r="Y19">
            <v>94963.58</v>
          </cell>
          <cell r="Z19">
            <v>0.5</v>
          </cell>
          <cell r="AA19">
            <v>47481.79</v>
          </cell>
          <cell r="AB19" t="str">
            <v>AC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H20">
            <v>1</v>
          </cell>
          <cell r="O20">
            <v>277830</v>
          </cell>
          <cell r="P20" t="str">
            <v>2021/182-0078-01</v>
          </cell>
          <cell r="Q20" t="str">
            <v>EST MODULO BRACO ESQUERDO AURORA FX6587/MTZ PRATA</v>
          </cell>
          <cell r="R20">
            <v>3.79</v>
          </cell>
          <cell r="S20">
            <v>0.87</v>
          </cell>
          <cell r="T20">
            <v>1.92</v>
          </cell>
          <cell r="U20">
            <v>0.87</v>
          </cell>
          <cell r="V20">
            <v>0.7</v>
          </cell>
          <cell r="W20">
            <v>0</v>
          </cell>
          <cell r="X20" t="str">
            <v>EST MODULO BRACO ESQUERDO AURORA FX6587/MTZ PRATA - 1,92x0,87x0,7H</v>
          </cell>
          <cell r="Y20">
            <v>49695.479999999996</v>
          </cell>
          <cell r="Z20">
            <v>0.5</v>
          </cell>
          <cell r="AA20">
            <v>24847.739999999998</v>
          </cell>
          <cell r="AB20" t="str">
            <v>AD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H21">
            <v>1</v>
          </cell>
          <cell r="O21">
            <v>277833</v>
          </cell>
          <cell r="P21" t="str">
            <v>2021/182-0079-01</v>
          </cell>
          <cell r="Q21" t="str">
            <v>EST MODULO BRACO DIREITO C/PUFF AURORA FX6587/MTZ PRATA</v>
          </cell>
          <cell r="R21">
            <v>3.79</v>
          </cell>
          <cell r="S21">
            <v>0.87</v>
          </cell>
          <cell r="T21">
            <v>1.87</v>
          </cell>
          <cell r="U21">
            <v>0.87</v>
          </cell>
          <cell r="V21">
            <v>0.7</v>
          </cell>
          <cell r="W21">
            <v>0</v>
          </cell>
          <cell r="X21" t="str">
            <v>EST MODULO BRACO DIREITO C/PUFF AURORA FX6587/MTZ PRATA - 1,87x0,87x0,7H</v>
          </cell>
          <cell r="Y21">
            <v>49695.479999999996</v>
          </cell>
          <cell r="Z21">
            <v>0.5</v>
          </cell>
          <cell r="AA21">
            <v>24847.739999999998</v>
          </cell>
          <cell r="AB21" t="str">
            <v>AD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H22">
            <v>1</v>
          </cell>
          <cell r="O22">
            <v>178910</v>
          </cell>
          <cell r="P22" t="str">
            <v>2015/316-0014-01</v>
          </cell>
          <cell r="Q22" t="str">
            <v>EST MODULO BRACO ESQ CLICK (B25) TC B2034 C/KIT MOTOR TOUCH</v>
          </cell>
          <cell r="R22">
            <v>2.9</v>
          </cell>
          <cell r="S22">
            <v>1.3</v>
          </cell>
          <cell r="T22">
            <v>1.45</v>
          </cell>
          <cell r="U22">
            <v>1.3</v>
          </cell>
          <cell r="V22">
            <v>0.66</v>
          </cell>
          <cell r="W22">
            <v>0</v>
          </cell>
          <cell r="X22" t="str">
            <v>EST MODULO BRACO ESQ CLICK (B25) TC B2034 C/KIT MOTOR TOUCH - 1,45x1,3x0,66H</v>
          </cell>
          <cell r="Y22">
            <v>32166.400000000001</v>
          </cell>
          <cell r="Z22">
            <v>0.5</v>
          </cell>
          <cell r="AA22">
            <v>16083.2</v>
          </cell>
          <cell r="AB22" t="str">
            <v>AE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H23">
            <v>1</v>
          </cell>
          <cell r="O23">
            <v>178912</v>
          </cell>
          <cell r="P23" t="str">
            <v>2015/316-0015-01</v>
          </cell>
          <cell r="Q23" t="str">
            <v>EST MODULO BRACO DIR CLICK (B25) TC B2034 C/KIT MOTOR TOUCH</v>
          </cell>
          <cell r="R23">
            <v>2.9</v>
          </cell>
          <cell r="S23">
            <v>1.3</v>
          </cell>
          <cell r="T23">
            <v>1.45</v>
          </cell>
          <cell r="U23">
            <v>1.3</v>
          </cell>
          <cell r="V23">
            <v>0.66</v>
          </cell>
          <cell r="W23">
            <v>0</v>
          </cell>
          <cell r="X23" t="str">
            <v>EST MODULO BRACO DIR CLICK (B25) TC B2034 C/KIT MOTOR TOUCH - 1,45x1,3x0,66H</v>
          </cell>
          <cell r="Y23">
            <v>32166.400000000001</v>
          </cell>
          <cell r="Z23">
            <v>0.5</v>
          </cell>
          <cell r="AA23">
            <v>16083.2</v>
          </cell>
          <cell r="AB23" t="str">
            <v>AE</v>
          </cell>
        </row>
        <row r="24">
          <cell r="C24">
            <v>0</v>
          </cell>
          <cell r="D24">
            <v>0</v>
          </cell>
          <cell r="E24">
            <v>1</v>
          </cell>
          <cell r="F24">
            <v>0</v>
          </cell>
          <cell r="H24">
            <v>0</v>
          </cell>
          <cell r="O24">
            <v>276355</v>
          </cell>
          <cell r="P24" t="str">
            <v>2021/117-0011-01</v>
          </cell>
          <cell r="Q24" t="str">
            <v>EST MODULO S/BRACO CLEAN (1AS) FX 2290</v>
          </cell>
          <cell r="R24">
            <v>3.12</v>
          </cell>
          <cell r="S24">
            <v>1.1499999999999999</v>
          </cell>
          <cell r="T24">
            <v>1</v>
          </cell>
          <cell r="U24">
            <v>1.1499999999999999</v>
          </cell>
          <cell r="V24">
            <v>0.8</v>
          </cell>
          <cell r="W24">
            <v>0</v>
          </cell>
          <cell r="X24" t="str">
            <v>EST MODULO S/BRACO CLEAN (1AS) FX 2290 - 1x1,15x0,8H</v>
          </cell>
          <cell r="Y24">
            <v>36829.360000000001</v>
          </cell>
          <cell r="Z24">
            <v>0.35</v>
          </cell>
          <cell r="AA24">
            <v>23939.084000000003</v>
          </cell>
          <cell r="AB24" t="str">
            <v>AF</v>
          </cell>
        </row>
        <row r="25">
          <cell r="C25">
            <v>0</v>
          </cell>
          <cell r="D25">
            <v>0</v>
          </cell>
          <cell r="E25">
            <v>1</v>
          </cell>
          <cell r="F25">
            <v>0</v>
          </cell>
          <cell r="H25">
            <v>0</v>
          </cell>
          <cell r="O25">
            <v>276360</v>
          </cell>
          <cell r="P25" t="str">
            <v>2024/022-0016-01</v>
          </cell>
          <cell r="Q25" t="str">
            <v>EST MODULO BRACO DIREITO CLEAN (B06) (1AS) FX 2290</v>
          </cell>
          <cell r="R25">
            <v>3.12</v>
          </cell>
          <cell r="S25">
            <v>1.1499999999999999</v>
          </cell>
          <cell r="T25">
            <v>1.06</v>
          </cell>
          <cell r="U25">
            <v>1.1499999999999999</v>
          </cell>
          <cell r="V25">
            <v>0.8</v>
          </cell>
          <cell r="W25">
            <v>0</v>
          </cell>
          <cell r="X25" t="str">
            <v>EST MODULO BRACO DIREITO CLEAN (B06) (1AS) FX 2290 - 1,06x1,15x0,8H</v>
          </cell>
          <cell r="Y25">
            <v>36829.360000000001</v>
          </cell>
          <cell r="Z25">
            <v>0.35</v>
          </cell>
          <cell r="AA25">
            <v>23939.084000000003</v>
          </cell>
          <cell r="AB25" t="str">
            <v>AF</v>
          </cell>
        </row>
        <row r="26">
          <cell r="C26">
            <v>0</v>
          </cell>
          <cell r="D26">
            <v>0</v>
          </cell>
          <cell r="E26">
            <v>1</v>
          </cell>
          <cell r="F26">
            <v>0</v>
          </cell>
          <cell r="H26">
            <v>0</v>
          </cell>
          <cell r="O26">
            <v>276361</v>
          </cell>
          <cell r="P26" t="str">
            <v>2024/022-0017-01</v>
          </cell>
          <cell r="Q26" t="str">
            <v>EST MODULO BRACO ESQUERDO CLEAN (B06) (1AS) FX 2290</v>
          </cell>
          <cell r="R26">
            <v>3.12</v>
          </cell>
          <cell r="S26">
            <v>1.1499999999999999</v>
          </cell>
          <cell r="T26">
            <v>1.06</v>
          </cell>
          <cell r="U26">
            <v>1.1499999999999999</v>
          </cell>
          <cell r="V26">
            <v>0.8</v>
          </cell>
          <cell r="W26">
            <v>0</v>
          </cell>
          <cell r="X26" t="str">
            <v>EST MODULO BRACO ESQUERDO CLEAN (B06) (1AS) FX 2290 - 1,06x1,15x0,8H</v>
          </cell>
          <cell r="Y26">
            <v>36829.360000000001</v>
          </cell>
          <cell r="Z26">
            <v>0.35</v>
          </cell>
          <cell r="AA26">
            <v>23939.084000000003</v>
          </cell>
          <cell r="AB26" t="str">
            <v>AF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H27">
            <v>1</v>
          </cell>
          <cell r="O27">
            <v>233162</v>
          </cell>
          <cell r="P27" t="str">
            <v>2019/092-0025-01</v>
          </cell>
          <cell r="Q27" t="str">
            <v>EST MODULO BRACO ESQUERDO NEW PADOVA FX B2177</v>
          </cell>
          <cell r="R27">
            <v>3</v>
          </cell>
          <cell r="S27">
            <v>1.02</v>
          </cell>
          <cell r="T27">
            <v>1.4</v>
          </cell>
          <cell r="U27">
            <v>1.02</v>
          </cell>
          <cell r="V27">
            <v>0.82</v>
          </cell>
          <cell r="W27">
            <v>0</v>
          </cell>
          <cell r="X27" t="str">
            <v>EST MODULO BRACO ESQUERDO NEW PADOVA FX B2177 - 1,4x1,02x0,82H</v>
          </cell>
          <cell r="Y27">
            <v>38272.639999999999</v>
          </cell>
          <cell r="Z27">
            <v>0.5</v>
          </cell>
          <cell r="AA27">
            <v>19136.32</v>
          </cell>
          <cell r="AB27" t="str">
            <v>AG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H28">
            <v>1</v>
          </cell>
          <cell r="O28">
            <v>233163</v>
          </cell>
          <cell r="P28" t="str">
            <v>2022/230-0105-01</v>
          </cell>
          <cell r="Q28" t="str">
            <v>EST MODULO S/BRACO C/APARADOR NEW PADOVA FX B2177/MARM NERO</v>
          </cell>
          <cell r="R28">
            <v>3</v>
          </cell>
          <cell r="S28">
            <v>1.02</v>
          </cell>
          <cell r="T28">
            <v>1.6</v>
          </cell>
          <cell r="U28">
            <v>1.02</v>
          </cell>
          <cell r="V28">
            <v>0.82</v>
          </cell>
          <cell r="W28">
            <v>0</v>
          </cell>
          <cell r="X28" t="str">
            <v>EST MODULO S/BRACO C/APARADOR NEW PADOVA FX B2177/MARM NERO - 1,6x1,02x0,82H</v>
          </cell>
          <cell r="Y28">
            <v>38272.639999999999</v>
          </cell>
          <cell r="Z28">
            <v>0.5</v>
          </cell>
          <cell r="AA28">
            <v>19136.32</v>
          </cell>
          <cell r="AB28" t="str">
            <v>AG</v>
          </cell>
        </row>
        <row r="29">
          <cell r="C29">
            <v>0</v>
          </cell>
          <cell r="D29">
            <v>0</v>
          </cell>
          <cell r="E29">
            <v>1</v>
          </cell>
          <cell r="F29">
            <v>0</v>
          </cell>
          <cell r="H29">
            <v>0</v>
          </cell>
          <cell r="O29">
            <v>394883</v>
          </cell>
          <cell r="P29" t="str">
            <v>2024/331-0034-01</v>
          </cell>
          <cell r="Q29" t="str">
            <v>EST MODULO BRACO ESQ AGREABLE (FX C3184)</v>
          </cell>
          <cell r="R29">
            <v>3.7</v>
          </cell>
          <cell r="S29">
            <v>1</v>
          </cell>
          <cell r="T29">
            <v>1.3</v>
          </cell>
          <cell r="U29">
            <v>1</v>
          </cell>
          <cell r="V29">
            <v>0.77</v>
          </cell>
          <cell r="W29">
            <v>0</v>
          </cell>
          <cell r="X29" t="str">
            <v>EST MODULO BRACO ESQ AGREABLE (FX C3184) - 1,3x1x0,77H</v>
          </cell>
          <cell r="Y29">
            <v>43828.740000000005</v>
          </cell>
          <cell r="Z29">
            <v>0.35</v>
          </cell>
          <cell r="AA29">
            <v>28488.681000000004</v>
          </cell>
          <cell r="AB29" t="str">
            <v>AH</v>
          </cell>
        </row>
        <row r="30">
          <cell r="C30">
            <v>0</v>
          </cell>
          <cell r="D30">
            <v>0</v>
          </cell>
          <cell r="E30">
            <v>1</v>
          </cell>
          <cell r="F30">
            <v>0</v>
          </cell>
          <cell r="H30">
            <v>0</v>
          </cell>
          <cell r="O30">
            <v>394884</v>
          </cell>
          <cell r="P30" t="str">
            <v>2024/331-0035-01</v>
          </cell>
          <cell r="Q30" t="str">
            <v>EST MODULO S/BRACO AGREABLE (FX C3184)</v>
          </cell>
          <cell r="R30">
            <v>3.7</v>
          </cell>
          <cell r="S30">
            <v>1</v>
          </cell>
          <cell r="T30">
            <v>1.1000000000000001</v>
          </cell>
          <cell r="U30">
            <v>1</v>
          </cell>
          <cell r="V30">
            <v>0.77</v>
          </cell>
          <cell r="W30">
            <v>0</v>
          </cell>
          <cell r="X30" t="str">
            <v>EST MODULO S/BRACO AGREABLE (FX C3184) - 1,1x1x0,77H</v>
          </cell>
          <cell r="Y30">
            <v>43828.740000000005</v>
          </cell>
          <cell r="Z30">
            <v>0.35</v>
          </cell>
          <cell r="AA30">
            <v>28488.681000000004</v>
          </cell>
          <cell r="AB30" t="str">
            <v>AH</v>
          </cell>
        </row>
        <row r="31">
          <cell r="C31">
            <v>0</v>
          </cell>
          <cell r="D31">
            <v>0</v>
          </cell>
          <cell r="E31">
            <v>1</v>
          </cell>
          <cell r="F31">
            <v>0</v>
          </cell>
          <cell r="H31">
            <v>0</v>
          </cell>
          <cell r="O31">
            <v>394891</v>
          </cell>
          <cell r="P31" t="str">
            <v>2024/331-0036-01</v>
          </cell>
          <cell r="Q31" t="str">
            <v>EST MODULO BRACO DIR AGREABLE (FX C3184)</v>
          </cell>
          <cell r="R31">
            <v>3.7</v>
          </cell>
          <cell r="S31">
            <v>1</v>
          </cell>
          <cell r="T31">
            <v>1.3</v>
          </cell>
          <cell r="U31">
            <v>1</v>
          </cell>
          <cell r="V31">
            <v>0.77</v>
          </cell>
          <cell r="W31">
            <v>0</v>
          </cell>
          <cell r="X31" t="str">
            <v>EST MODULO BRACO DIR AGREABLE (FX C3184) - 1,3x1x0,77H</v>
          </cell>
          <cell r="Y31">
            <v>43828.740000000005</v>
          </cell>
          <cell r="Z31">
            <v>0.35</v>
          </cell>
          <cell r="AA31">
            <v>28488.681000000004</v>
          </cell>
          <cell r="AB31" t="str">
            <v>AH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H32">
            <v>1</v>
          </cell>
          <cell r="O32">
            <v>270718</v>
          </cell>
          <cell r="P32" t="str">
            <v>2020/303-0245-01</v>
          </cell>
          <cell r="Q32" t="str">
            <v>EST MODULO ILHA BRACO C/CHAISE BRAC DIR BELO HORIZONTE D4193</v>
          </cell>
          <cell r="R32">
            <v>4</v>
          </cell>
          <cell r="S32">
            <v>2.4</v>
          </cell>
          <cell r="T32">
            <v>1.3</v>
          </cell>
          <cell r="U32">
            <v>2.4</v>
          </cell>
          <cell r="V32">
            <v>0.9</v>
          </cell>
          <cell r="W32">
            <v>0</v>
          </cell>
          <cell r="X32" t="str">
            <v>EST MODULO ILHA BRACO C/CHAISE BRAC DIR BELO HORIZONTE D4193 - 1,3x2,4x0,9H</v>
          </cell>
          <cell r="Y32">
            <v>91827.63</v>
          </cell>
          <cell r="Z32">
            <v>0.5</v>
          </cell>
          <cell r="AA32">
            <v>45913.815000000002</v>
          </cell>
          <cell r="AB32" t="str">
            <v>AI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H33">
            <v>1</v>
          </cell>
          <cell r="O33">
            <v>270719</v>
          </cell>
          <cell r="P33" t="str">
            <v>2020/303-0246-01</v>
          </cell>
          <cell r="Q33" t="str">
            <v>EST MODULO ILHA S/BRACO BELO HORIZONTE FX D4193</v>
          </cell>
          <cell r="R33">
            <v>4</v>
          </cell>
          <cell r="S33">
            <v>2.4</v>
          </cell>
          <cell r="T33">
            <v>1.1000000000000001</v>
          </cell>
          <cell r="U33">
            <v>1.8</v>
          </cell>
          <cell r="V33">
            <v>0.9</v>
          </cell>
          <cell r="W33">
            <v>0</v>
          </cell>
          <cell r="X33" t="str">
            <v>EST MODULO ILHA S/BRACO BELO HORIZONTE FX D4193 - 1,1x1,8x0,9H</v>
          </cell>
          <cell r="Y33">
            <v>91827.63</v>
          </cell>
          <cell r="Z33">
            <v>0.5</v>
          </cell>
          <cell r="AA33">
            <v>45913.815000000002</v>
          </cell>
          <cell r="AB33" t="str">
            <v>AI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H34">
            <v>1</v>
          </cell>
          <cell r="O34">
            <v>270720</v>
          </cell>
          <cell r="P34" t="str">
            <v>2020/303-0247-01</v>
          </cell>
          <cell r="Q34" t="str">
            <v>EST MODULO ILHA RECAMIER BELO HORIZONTE FX D4193</v>
          </cell>
          <cell r="R34">
            <v>4</v>
          </cell>
          <cell r="S34">
            <v>2.4</v>
          </cell>
          <cell r="T34">
            <v>1.6</v>
          </cell>
          <cell r="U34">
            <v>1.8</v>
          </cell>
          <cell r="V34">
            <v>0.9</v>
          </cell>
          <cell r="W34">
            <v>0</v>
          </cell>
          <cell r="X34" t="str">
            <v>EST MODULO ILHA RECAMIER BELO HORIZONTE FX D4193 - 1,6x1,8x0,9H</v>
          </cell>
          <cell r="Y34">
            <v>91827.63</v>
          </cell>
          <cell r="Z34">
            <v>0.5</v>
          </cell>
          <cell r="AA34">
            <v>45913.815000000002</v>
          </cell>
          <cell r="AB34" t="str">
            <v>AI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1</v>
          </cell>
          <cell r="H35">
            <v>0</v>
          </cell>
          <cell r="O35">
            <v>394897</v>
          </cell>
          <cell r="P35" t="str">
            <v>2024/311-0016-01</v>
          </cell>
          <cell r="Q35" t="str">
            <v>EST MODULO BRACO ESQ AGREABLE (FX G7138)</v>
          </cell>
          <cell r="R35">
            <v>3.4</v>
          </cell>
          <cell r="S35">
            <v>1</v>
          </cell>
          <cell r="T35">
            <v>1.2</v>
          </cell>
          <cell r="U35">
            <v>1</v>
          </cell>
          <cell r="V35">
            <v>0.77</v>
          </cell>
          <cell r="W35">
            <v>0</v>
          </cell>
          <cell r="X35" t="str">
            <v>EST MODULO BRACO ESQ AGREABLE (FX G7138) - 1,2x1x0,77H</v>
          </cell>
          <cell r="Y35">
            <v>49561.71</v>
          </cell>
          <cell r="Z35">
            <v>0.35</v>
          </cell>
          <cell r="AA35">
            <v>32215.111499999999</v>
          </cell>
          <cell r="AB35" t="str">
            <v>AJ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1</v>
          </cell>
          <cell r="H36">
            <v>0</v>
          </cell>
          <cell r="O36">
            <v>394898</v>
          </cell>
          <cell r="P36" t="str">
            <v>2024/311-0017-01</v>
          </cell>
          <cell r="Q36" t="str">
            <v>EST MODULO S/BRACO AGREABLE (FX G7138)</v>
          </cell>
          <cell r="R36">
            <v>3.4</v>
          </cell>
          <cell r="S36">
            <v>1</v>
          </cell>
          <cell r="T36">
            <v>1</v>
          </cell>
          <cell r="U36">
            <v>1</v>
          </cell>
          <cell r="V36">
            <v>0.77</v>
          </cell>
          <cell r="W36">
            <v>0</v>
          </cell>
          <cell r="X36" t="str">
            <v>EST MODULO S/BRACO AGREABLE (FX G7138) - 1x1x0,77H</v>
          </cell>
          <cell r="Y36">
            <v>49561.71</v>
          </cell>
          <cell r="Z36">
            <v>0.35</v>
          </cell>
          <cell r="AA36">
            <v>32215.111499999999</v>
          </cell>
          <cell r="AB36" t="str">
            <v>AJ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1</v>
          </cell>
          <cell r="H37">
            <v>0</v>
          </cell>
          <cell r="O37">
            <v>394899</v>
          </cell>
          <cell r="P37" t="str">
            <v>2024/311-0018-01</v>
          </cell>
          <cell r="Q37" t="str">
            <v>EST MODULO BRACO DIR AGREABLE (FX G7138)</v>
          </cell>
          <cell r="R37">
            <v>3.4</v>
          </cell>
          <cell r="S37">
            <v>1</v>
          </cell>
          <cell r="T37">
            <v>1.2</v>
          </cell>
          <cell r="U37">
            <v>1</v>
          </cell>
          <cell r="V37">
            <v>0.77</v>
          </cell>
          <cell r="W37">
            <v>0</v>
          </cell>
          <cell r="X37" t="str">
            <v>EST MODULO BRACO DIR AGREABLE (FX G7138) - 1,2x1x0,77H</v>
          </cell>
          <cell r="Y37">
            <v>49561.71</v>
          </cell>
          <cell r="Z37">
            <v>0.35</v>
          </cell>
          <cell r="AA37">
            <v>32215.111499999999</v>
          </cell>
          <cell r="AB37" t="str">
            <v>AJ</v>
          </cell>
        </row>
        <row r="38">
          <cell r="C38">
            <v>1</v>
          </cell>
          <cell r="D38">
            <v>0</v>
          </cell>
          <cell r="E38">
            <v>0</v>
          </cell>
          <cell r="F38">
            <v>0</v>
          </cell>
          <cell r="H38">
            <v>0</v>
          </cell>
          <cell r="O38">
            <v>387818</v>
          </cell>
          <cell r="P38" t="str">
            <v>2024/309-0002-01</v>
          </cell>
          <cell r="Q38" t="str">
            <v>EST MODULO CHAISE BC ESQ C/AV BS DALOA TC SENNA 190 FREIJO</v>
          </cell>
          <cell r="R38">
            <v>2.78</v>
          </cell>
          <cell r="S38">
            <v>1.55</v>
          </cell>
          <cell r="T38">
            <v>1.45</v>
          </cell>
          <cell r="U38">
            <v>1.55</v>
          </cell>
          <cell r="V38">
            <v>0.85</v>
          </cell>
          <cell r="W38">
            <v>0</v>
          </cell>
          <cell r="X38" t="str">
            <v>EST MODULO CHAISE BC ESQ C/AV BS DALOA TC SENNA 190 FREIJO - 1,45x1,55x0,85H</v>
          </cell>
          <cell r="Y38">
            <v>52118.759999999995</v>
          </cell>
          <cell r="Z38">
            <v>0.5</v>
          </cell>
          <cell r="AA38">
            <v>26059.379999999997</v>
          </cell>
          <cell r="AB38" t="str">
            <v>AK</v>
          </cell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398998</v>
          </cell>
          <cell r="P39" t="str">
            <v>2024/309-0001-01</v>
          </cell>
          <cell r="Q39" t="str">
            <v>EST MODULO BRACO DIR DALOA TC SENNA 190 FREIJO</v>
          </cell>
          <cell r="R39">
            <v>2.78</v>
          </cell>
          <cell r="S39">
            <v>1.55</v>
          </cell>
          <cell r="T39">
            <v>1.33</v>
          </cell>
          <cell r="U39">
            <v>1</v>
          </cell>
          <cell r="V39">
            <v>0.85</v>
          </cell>
          <cell r="W39">
            <v>0</v>
          </cell>
          <cell r="X39" t="str">
            <v>EST MODULO BRACO DIR DALOA TC SENNA 190 FREIJO - 1,33x1x0,85H</v>
          </cell>
          <cell r="Y39">
            <v>52118.759999999995</v>
          </cell>
          <cell r="Z39">
            <v>0.5</v>
          </cell>
          <cell r="AA39">
            <v>26059.379999999997</v>
          </cell>
          <cell r="AB39" t="str">
            <v>AK</v>
          </cell>
        </row>
        <row r="40">
          <cell r="C40">
            <v>0</v>
          </cell>
          <cell r="D40">
            <v>1</v>
          </cell>
          <cell r="E40">
            <v>0</v>
          </cell>
          <cell r="F40">
            <v>0</v>
          </cell>
          <cell r="H40">
            <v>0</v>
          </cell>
          <cell r="O40">
            <v>399502</v>
          </cell>
          <cell r="P40" t="str">
            <v>2025/037-0005-01</v>
          </cell>
          <cell r="Q40" t="str">
            <v>EST MODULO B/ESQ HIMALAYA (CLA) (NOG) (DB3001) TC TARENTO 12</v>
          </cell>
          <cell r="R40">
            <v>3.5</v>
          </cell>
          <cell r="S40">
            <v>1.05</v>
          </cell>
          <cell r="T40">
            <v>1.75</v>
          </cell>
          <cell r="U40">
            <v>1.05</v>
          </cell>
          <cell r="V40">
            <v>0.74</v>
          </cell>
          <cell r="W40">
            <v>0</v>
          </cell>
          <cell r="X40" t="str">
            <v>EST MODULO B/ESQ HIMALAYA (CLA) (NOG) (DB3001) TC TARENTO 12 - 1,75x1,05x0,74H</v>
          </cell>
          <cell r="Y40">
            <v>58751.646999999997</v>
          </cell>
          <cell r="Z40">
            <v>0.35</v>
          </cell>
          <cell r="AA40">
            <v>38188.570550000004</v>
          </cell>
          <cell r="AB40" t="str">
            <v>AL</v>
          </cell>
        </row>
        <row r="41">
          <cell r="C41">
            <v>0</v>
          </cell>
          <cell r="D41">
            <v>1</v>
          </cell>
          <cell r="E41">
            <v>0</v>
          </cell>
          <cell r="F41">
            <v>0</v>
          </cell>
          <cell r="H41">
            <v>0</v>
          </cell>
          <cell r="O41">
            <v>399503</v>
          </cell>
          <cell r="P41" t="str">
            <v>2025/037-0006-01</v>
          </cell>
          <cell r="Q41" t="str">
            <v>EST MODULO B/DIR HIMALAYA (CLA) (NOG) (DB3001) TC TARENTO 12</v>
          </cell>
          <cell r="R41">
            <v>3.5</v>
          </cell>
          <cell r="S41">
            <v>1.05</v>
          </cell>
          <cell r="T41">
            <v>1.75</v>
          </cell>
          <cell r="U41">
            <v>1.05</v>
          </cell>
          <cell r="V41">
            <v>0.74</v>
          </cell>
          <cell r="W41">
            <v>0</v>
          </cell>
          <cell r="X41" t="str">
            <v>EST MODULO B/DIR HIMALAYA (CLA) (NOG) (DB3001) TC TARENTO 12 - 1,75x1,05x0,74H</v>
          </cell>
          <cell r="Y41">
            <v>58751.646999999997</v>
          </cell>
          <cell r="Z41">
            <v>0.35</v>
          </cell>
          <cell r="AA41">
            <v>38188.570550000004</v>
          </cell>
          <cell r="AB41" t="str">
            <v>AL</v>
          </cell>
        </row>
        <row r="42">
          <cell r="C42">
            <v>1</v>
          </cell>
          <cell r="D42">
            <v>0</v>
          </cell>
          <cell r="E42">
            <v>0</v>
          </cell>
          <cell r="F42">
            <v>0</v>
          </cell>
          <cell r="H42">
            <v>0</v>
          </cell>
          <cell r="O42">
            <v>399499</v>
          </cell>
          <cell r="P42" t="str">
            <v>2025/017-0014-01</v>
          </cell>
          <cell r="Q42" t="str">
            <v>EST MODULO BRACO DIR DIXON (FX E5001) (PES 2584)</v>
          </cell>
          <cell r="R42">
            <v>3</v>
          </cell>
          <cell r="S42">
            <v>1.02</v>
          </cell>
          <cell r="T42">
            <v>1.5</v>
          </cell>
          <cell r="U42">
            <v>1.02</v>
          </cell>
          <cell r="V42">
            <v>0.8</v>
          </cell>
          <cell r="W42">
            <v>0</v>
          </cell>
          <cell r="X42" t="str">
            <v>EST MODULO BRACO DIR DIXON (FX E5001) (PES 2584) - 1,5x1,02x0,8H</v>
          </cell>
          <cell r="Y42">
            <v>32823.08</v>
          </cell>
          <cell r="Z42">
            <v>0.35</v>
          </cell>
          <cell r="AA42">
            <v>21335.002</v>
          </cell>
          <cell r="AB42" t="str">
            <v>AO</v>
          </cell>
        </row>
        <row r="43">
          <cell r="C43">
            <v>1</v>
          </cell>
          <cell r="D43">
            <v>0</v>
          </cell>
          <cell r="E43">
            <v>0</v>
          </cell>
          <cell r="F43">
            <v>0</v>
          </cell>
          <cell r="H43">
            <v>0</v>
          </cell>
          <cell r="O43">
            <v>399501</v>
          </cell>
          <cell r="P43" t="str">
            <v>2025/017-0015-01</v>
          </cell>
          <cell r="Q43" t="str">
            <v>EST MODULO BRACO ESQ DIXON (FX E5001) (PES 2584)</v>
          </cell>
          <cell r="R43">
            <v>3</v>
          </cell>
          <cell r="S43">
            <v>1.02</v>
          </cell>
          <cell r="T43">
            <v>1.5</v>
          </cell>
          <cell r="U43">
            <v>1.02</v>
          </cell>
          <cell r="V43">
            <v>0.8</v>
          </cell>
          <cell r="W43">
            <v>0</v>
          </cell>
          <cell r="X43" t="str">
            <v>EST MODULO BRACO ESQ DIXON (FX E5001) (PES 2584) - 1,5x1,02x0,8H</v>
          </cell>
          <cell r="Y43">
            <v>32823.08</v>
          </cell>
          <cell r="Z43">
            <v>0.35</v>
          </cell>
          <cell r="AA43">
            <v>21335.002</v>
          </cell>
          <cell r="AB43" t="str">
            <v>AO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H44">
            <v>1</v>
          </cell>
          <cell r="O44">
            <v>402423</v>
          </cell>
          <cell r="P44" t="str">
            <v>2025/048-0002-01</v>
          </cell>
          <cell r="Q44" t="str">
            <v>EST MODULO B/ESQ HIMALAYA (CLA) (NOG) FX 50070</v>
          </cell>
          <cell r="R44">
            <v>3.5</v>
          </cell>
          <cell r="S44">
            <v>1.05</v>
          </cell>
          <cell r="T44">
            <v>1.75</v>
          </cell>
          <cell r="U44">
            <v>1.05</v>
          </cell>
          <cell r="V44">
            <v>0.74</v>
          </cell>
          <cell r="W44">
            <v>0</v>
          </cell>
          <cell r="X44" t="str">
            <v>EST MODULO B/ESQ HIMALAYA (CLA) (NOG) FX 50070 - 1,75x1,05x0,74H</v>
          </cell>
          <cell r="Y44">
            <v>47216.7</v>
          </cell>
          <cell r="Z44">
            <v>0.35</v>
          </cell>
          <cell r="AA44">
            <v>30690.855</v>
          </cell>
          <cell r="AB44" t="str">
            <v>AP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H45">
            <v>1</v>
          </cell>
          <cell r="O45">
            <v>402424</v>
          </cell>
          <cell r="P45" t="str">
            <v>2025/048-0001-01</v>
          </cell>
          <cell r="Q45" t="str">
            <v>EST MODULO B/DIR HIMALAYA (CLA) (NOG) FX 50070</v>
          </cell>
          <cell r="R45">
            <v>3.5</v>
          </cell>
          <cell r="S45">
            <v>1.05</v>
          </cell>
          <cell r="T45">
            <v>1.75</v>
          </cell>
          <cell r="U45">
            <v>1.05</v>
          </cell>
          <cell r="V45">
            <v>0.74</v>
          </cell>
          <cell r="W45">
            <v>0</v>
          </cell>
          <cell r="X45" t="str">
            <v>EST MODULO B/DIR HIMALAYA (CLA) (NOG) FX 50070 - 1,75x1,05x0,74H</v>
          </cell>
          <cell r="Y45">
            <v>47216.7</v>
          </cell>
          <cell r="Z45">
            <v>0.35</v>
          </cell>
          <cell r="AA45">
            <v>30690.855</v>
          </cell>
          <cell r="AB45" t="str">
            <v>AP</v>
          </cell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391644</v>
          </cell>
          <cell r="P46" t="str">
            <v>2024/297-0117-01</v>
          </cell>
          <cell r="Q46" t="str">
            <v>EST MODULO BRACO DIR NEW LIVORNO (BC07) (FX B2221)</v>
          </cell>
          <cell r="R46">
            <v>3.14</v>
          </cell>
          <cell r="S46">
            <v>1.1499999999999999</v>
          </cell>
          <cell r="T46">
            <v>1.07</v>
          </cell>
          <cell r="U46">
            <v>1.1499999999999999</v>
          </cell>
          <cell r="V46">
            <v>0.9</v>
          </cell>
          <cell r="W46">
            <v>0</v>
          </cell>
          <cell r="X46" t="str">
            <v>EST MODULO BRACO DIR NEW LIVORNO (BC07) (FX B2221) - 1,07x1,15x0,9H</v>
          </cell>
          <cell r="Y46">
            <v>40066.26</v>
          </cell>
          <cell r="Z46">
            <v>0.35</v>
          </cell>
          <cell r="AA46">
            <v>26043.069000000003</v>
          </cell>
          <cell r="AB46" t="str">
            <v>AQ</v>
          </cell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391645</v>
          </cell>
          <cell r="P47" t="str">
            <v>2024/297-0118-01</v>
          </cell>
          <cell r="Q47" t="str">
            <v>EST MODULO BRACO ESQ NEW LIVORNO (BC07) (FX B2221)</v>
          </cell>
          <cell r="R47">
            <v>3.14</v>
          </cell>
          <cell r="S47">
            <v>1.1499999999999999</v>
          </cell>
          <cell r="T47">
            <v>1.07</v>
          </cell>
          <cell r="U47">
            <v>1.1499999999999999</v>
          </cell>
          <cell r="V47">
            <v>0.9</v>
          </cell>
          <cell r="W47">
            <v>0</v>
          </cell>
          <cell r="X47" t="str">
            <v>EST MODULO BRACO ESQ NEW LIVORNO (BC07) (FX B2221) - 1,07x1,15x0,9H</v>
          </cell>
          <cell r="Y47">
            <v>40066.26</v>
          </cell>
          <cell r="Z47">
            <v>0.35</v>
          </cell>
          <cell r="AA47">
            <v>26043.069000000003</v>
          </cell>
          <cell r="AB47" t="str">
            <v>AQ</v>
          </cell>
        </row>
        <row r="48">
          <cell r="C48">
            <v>1</v>
          </cell>
          <cell r="D48">
            <v>0</v>
          </cell>
          <cell r="E48">
            <v>0</v>
          </cell>
          <cell r="F48">
            <v>0</v>
          </cell>
          <cell r="H48">
            <v>0</v>
          </cell>
          <cell r="O48">
            <v>391646</v>
          </cell>
          <cell r="P48" t="str">
            <v>2024/297-0119-01</v>
          </cell>
          <cell r="Q48" t="str">
            <v>EST MODULO S/BRACO NEW LIVORNO (FX B2221)</v>
          </cell>
          <cell r="R48">
            <v>3.14</v>
          </cell>
          <cell r="S48">
            <v>1.1499999999999999</v>
          </cell>
          <cell r="T48">
            <v>1</v>
          </cell>
          <cell r="U48">
            <v>1.1499999999999999</v>
          </cell>
          <cell r="V48">
            <v>0.9</v>
          </cell>
          <cell r="W48">
            <v>0</v>
          </cell>
          <cell r="X48" t="str">
            <v>EST MODULO S/BRACO NEW LIVORNO (FX B2221) - 1x1,15x0,9H</v>
          </cell>
          <cell r="Y48">
            <v>40066.26</v>
          </cell>
          <cell r="Z48">
            <v>0.35</v>
          </cell>
          <cell r="AA48">
            <v>26043.069000000003</v>
          </cell>
          <cell r="AB48" t="str">
            <v>AQ</v>
          </cell>
        </row>
        <row r="49">
          <cell r="C49">
            <v>1</v>
          </cell>
          <cell r="D49">
            <v>0</v>
          </cell>
          <cell r="E49">
            <v>0</v>
          </cell>
          <cell r="F49">
            <v>0</v>
          </cell>
          <cell r="H49">
            <v>0</v>
          </cell>
          <cell r="O49">
            <v>400739</v>
          </cell>
          <cell r="P49" t="str">
            <v>2025/064-0020-01</v>
          </cell>
          <cell r="Q49" t="str">
            <v>EST MODULO BRACO DIR JOPLIN FX B2221</v>
          </cell>
          <cell r="R49">
            <v>3.8</v>
          </cell>
          <cell r="S49">
            <v>0.9</v>
          </cell>
          <cell r="T49">
            <v>1.3</v>
          </cell>
          <cell r="U49">
            <v>0.9</v>
          </cell>
          <cell r="V49">
            <v>0.84</v>
          </cell>
          <cell r="W49">
            <v>0</v>
          </cell>
          <cell r="X49" t="str">
            <v>EST MODULO BRACO DIR JOPLIN FX B2221 - 1,3x0,9x0,84H</v>
          </cell>
          <cell r="Y49">
            <v>26183.050000000003</v>
          </cell>
          <cell r="Z49">
            <v>0.35</v>
          </cell>
          <cell r="AA49">
            <v>17018.982500000002</v>
          </cell>
          <cell r="AB49" t="str">
            <v>AR</v>
          </cell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400740</v>
          </cell>
          <cell r="P50" t="str">
            <v>2025/064-0021-01</v>
          </cell>
          <cell r="Q50" t="str">
            <v>EST MODULO BRACO ESQ JOPLIN FX B2221</v>
          </cell>
          <cell r="R50">
            <v>3.8</v>
          </cell>
          <cell r="S50">
            <v>0.9</v>
          </cell>
          <cell r="T50">
            <v>1.3</v>
          </cell>
          <cell r="U50">
            <v>0.9</v>
          </cell>
          <cell r="V50">
            <v>0.84</v>
          </cell>
          <cell r="W50">
            <v>0</v>
          </cell>
          <cell r="X50" t="str">
            <v>EST MODULO BRACO ESQ JOPLIN FX B2221 - 1,3x0,9x0,84H</v>
          </cell>
          <cell r="Y50">
            <v>26183.050000000003</v>
          </cell>
          <cell r="Z50">
            <v>0.35</v>
          </cell>
          <cell r="AA50">
            <v>17018.982500000002</v>
          </cell>
          <cell r="AB50" t="str">
            <v>AR</v>
          </cell>
        </row>
        <row r="51">
          <cell r="C51">
            <v>1</v>
          </cell>
          <cell r="D51">
            <v>0</v>
          </cell>
          <cell r="E51">
            <v>0</v>
          </cell>
          <cell r="F51">
            <v>0</v>
          </cell>
          <cell r="H51">
            <v>0</v>
          </cell>
          <cell r="O51">
            <v>400742</v>
          </cell>
          <cell r="P51" t="str">
            <v>2025/064-0022-01</v>
          </cell>
          <cell r="Q51" t="str">
            <v>EST MODULO S/BRACO JOPLIN FX B2221</v>
          </cell>
          <cell r="R51">
            <v>3.8</v>
          </cell>
          <cell r="S51">
            <v>0.9</v>
          </cell>
          <cell r="T51">
            <v>1.2</v>
          </cell>
          <cell r="U51">
            <v>0.9</v>
          </cell>
          <cell r="V51">
            <v>0.84</v>
          </cell>
          <cell r="W51">
            <v>0</v>
          </cell>
          <cell r="X51" t="str">
            <v>EST MODULO S/BRACO JOPLIN FX B2221 - 1,2x0,9x0,84H</v>
          </cell>
          <cell r="Y51">
            <v>26183.050000000003</v>
          </cell>
          <cell r="Z51">
            <v>0.35</v>
          </cell>
          <cell r="AA51">
            <v>17018.982500000002</v>
          </cell>
          <cell r="AB51" t="str">
            <v>AR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1</v>
          </cell>
          <cell r="H52">
            <v>0</v>
          </cell>
          <cell r="O52">
            <v>394837</v>
          </cell>
          <cell r="P52" t="str">
            <v>2024/345-0049-01</v>
          </cell>
          <cell r="Q52" t="str">
            <v>EST MODULO CHAISE ENC VIR (AP 70 DIR) REFUGE (NERO) FX C3186</v>
          </cell>
          <cell r="R52">
            <v>4.55</v>
          </cell>
          <cell r="S52">
            <v>3</v>
          </cell>
          <cell r="T52">
            <v>1.1000000000000001</v>
          </cell>
          <cell r="U52">
            <v>3</v>
          </cell>
          <cell r="V52">
            <v>0.95</v>
          </cell>
          <cell r="W52">
            <v>0</v>
          </cell>
          <cell r="X52" t="str">
            <v>EST MODULO CHAISE ENC VIR (AP 70 DIR) REFUGE (NERO) FX C3186 - 1,1x3x0,95H</v>
          </cell>
          <cell r="Y52">
            <v>85905.03</v>
          </cell>
          <cell r="Z52">
            <v>0.35</v>
          </cell>
          <cell r="AA52">
            <v>55838.269500000002</v>
          </cell>
          <cell r="AB52" t="str">
            <v>AS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1</v>
          </cell>
          <cell r="H53">
            <v>0</v>
          </cell>
          <cell r="O53">
            <v>394838</v>
          </cell>
          <cell r="P53" t="str">
            <v>2024/345-0050-01</v>
          </cell>
          <cell r="Q53" t="str">
            <v>EST MODULO S/B REFUGE (FX C3186)</v>
          </cell>
          <cell r="R53">
            <v>4.55</v>
          </cell>
          <cell r="S53">
            <v>3</v>
          </cell>
          <cell r="T53">
            <v>2.2000000000000002</v>
          </cell>
          <cell r="U53">
            <v>1.1000000000000001</v>
          </cell>
          <cell r="V53">
            <v>0.95</v>
          </cell>
          <cell r="W53">
            <v>0</v>
          </cell>
          <cell r="X53" t="str">
            <v>EST MODULO S/B REFUGE (FX C3186) - 2,2x1,1x0,95H</v>
          </cell>
          <cell r="Y53">
            <v>85905.03</v>
          </cell>
          <cell r="Z53">
            <v>0.35</v>
          </cell>
          <cell r="AA53">
            <v>55838.269500000002</v>
          </cell>
          <cell r="AB53" t="str">
            <v>AS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1</v>
          </cell>
          <cell r="H54">
            <v>0</v>
          </cell>
          <cell r="O54">
            <v>394839</v>
          </cell>
          <cell r="P54" t="str">
            <v>2024/345-0051-01</v>
          </cell>
          <cell r="Q54" t="str">
            <v>EST MODULO CHAISE BRACO DIR REFUGE (FX C3186)</v>
          </cell>
          <cell r="R54">
            <v>4.55</v>
          </cell>
          <cell r="S54">
            <v>3</v>
          </cell>
          <cell r="T54">
            <v>1.25</v>
          </cell>
          <cell r="U54">
            <v>1.6</v>
          </cell>
          <cell r="V54">
            <v>0.95</v>
          </cell>
          <cell r="W54">
            <v>0</v>
          </cell>
          <cell r="X54" t="str">
            <v>EST MODULO CHAISE BRACO DIR REFUGE (FX C3186) - 1,25x1,6x0,95H</v>
          </cell>
          <cell r="Y54">
            <v>85905.03</v>
          </cell>
          <cell r="Z54">
            <v>0.35</v>
          </cell>
          <cell r="AA54">
            <v>55838.269500000002</v>
          </cell>
          <cell r="AB54" t="str">
            <v>AS</v>
          </cell>
        </row>
        <row r="55">
          <cell r="C55">
            <v>0</v>
          </cell>
          <cell r="D55">
            <v>0</v>
          </cell>
          <cell r="E55">
            <v>1</v>
          </cell>
          <cell r="F55">
            <v>0</v>
          </cell>
          <cell r="H55">
            <v>0</v>
          </cell>
          <cell r="O55">
            <v>394835</v>
          </cell>
          <cell r="P55" t="str">
            <v>2025/022-0028-01</v>
          </cell>
          <cell r="Q55" t="str">
            <v>EST MODULO BRACO ESQ C/MODULO S/BRACO REFUGE (FX G7125)</v>
          </cell>
          <cell r="R55">
            <v>4.25</v>
          </cell>
          <cell r="S55">
            <v>1.1000000000000001</v>
          </cell>
          <cell r="T55">
            <v>2.4500000000000002</v>
          </cell>
          <cell r="U55">
            <v>1.1000000000000001</v>
          </cell>
          <cell r="V55">
            <v>0.95</v>
          </cell>
          <cell r="W55">
            <v>0</v>
          </cell>
          <cell r="X55" t="str">
            <v>EST MODULO BRACO ESQ C/MODULO S/BRACO REFUGE (FX G7125) - 2,45x1,1x0,95H</v>
          </cell>
          <cell r="Y55">
            <v>63854.47</v>
          </cell>
          <cell r="Z55">
            <v>0.35</v>
          </cell>
          <cell r="AA55">
            <v>41505.405500000001</v>
          </cell>
          <cell r="AB55" t="str">
            <v>AT</v>
          </cell>
        </row>
        <row r="56">
          <cell r="C56">
            <v>0</v>
          </cell>
          <cell r="D56">
            <v>0</v>
          </cell>
          <cell r="E56">
            <v>1</v>
          </cell>
          <cell r="F56">
            <v>0</v>
          </cell>
          <cell r="H56">
            <v>0</v>
          </cell>
          <cell r="O56">
            <v>394836</v>
          </cell>
          <cell r="P56" t="str">
            <v>2025/022-0029-01</v>
          </cell>
          <cell r="Q56" t="str">
            <v>EST MODULO S/B (AP 70 DIR) REFUGE (MTZ MOCCA) (FX G7125)</v>
          </cell>
          <cell r="R56">
            <v>4.25</v>
          </cell>
          <cell r="S56">
            <v>1.1000000000000001</v>
          </cell>
          <cell r="T56">
            <v>1.8</v>
          </cell>
          <cell r="U56">
            <v>1.1000000000000001</v>
          </cell>
          <cell r="V56">
            <v>0.95</v>
          </cell>
          <cell r="W56">
            <v>0</v>
          </cell>
          <cell r="X56" t="str">
            <v>EST MODULO S/B (AP 70 DIR) REFUGE (MTZ MOCCA) (FX G7125) - 1,8x1,1x0,95H</v>
          </cell>
          <cell r="Y56">
            <v>63854.47</v>
          </cell>
          <cell r="Z56">
            <v>0.35</v>
          </cell>
          <cell r="AA56">
            <v>41505.405500000001</v>
          </cell>
          <cell r="AB56" t="str">
            <v>AT</v>
          </cell>
        </row>
        <row r="57">
          <cell r="C57">
            <v>0</v>
          </cell>
          <cell r="D57">
            <v>1</v>
          </cell>
          <cell r="E57">
            <v>0</v>
          </cell>
          <cell r="F57">
            <v>0</v>
          </cell>
          <cell r="H57">
            <v>0</v>
          </cell>
          <cell r="O57">
            <v>394867</v>
          </cell>
          <cell r="P57" t="str">
            <v>2024/352-0071-01</v>
          </cell>
          <cell r="Q57" t="str">
            <v>EST MODULO S/B C/AVANCO ESQ REFUGE (FX D4237)</v>
          </cell>
          <cell r="R57">
            <v>3.6</v>
          </cell>
          <cell r="S57">
            <v>3.1</v>
          </cell>
          <cell r="T57">
            <v>1.5</v>
          </cell>
          <cell r="U57">
            <v>1.1000000000000001</v>
          </cell>
          <cell r="V57">
            <v>0.95</v>
          </cell>
          <cell r="W57">
            <v>0</v>
          </cell>
          <cell r="X57" t="str">
            <v>EST MODULO S/B C/AVANCO ESQ REFUGE (FX D4237) - 1,5x1,1x0,95H</v>
          </cell>
          <cell r="Y57">
            <v>74151.930000000008</v>
          </cell>
          <cell r="Z57">
            <v>0.35</v>
          </cell>
          <cell r="AA57">
            <v>48198.75450000001</v>
          </cell>
          <cell r="AB57" t="str">
            <v>AU</v>
          </cell>
        </row>
        <row r="58">
          <cell r="C58">
            <v>0</v>
          </cell>
          <cell r="D58">
            <v>1</v>
          </cell>
          <cell r="E58">
            <v>0</v>
          </cell>
          <cell r="F58">
            <v>0</v>
          </cell>
          <cell r="H58">
            <v>0</v>
          </cell>
          <cell r="O58">
            <v>394872</v>
          </cell>
          <cell r="P58" t="str">
            <v>2024/352-0072-01</v>
          </cell>
          <cell r="Q58" t="str">
            <v>EST MODULO CHAISE ENC VIRADO ESQ REFUGE (FX D4237)</v>
          </cell>
          <cell r="R58">
            <v>3.6</v>
          </cell>
          <cell r="S58">
            <v>3.1</v>
          </cell>
          <cell r="T58">
            <v>1.1000000000000001</v>
          </cell>
          <cell r="U58">
            <v>2.1</v>
          </cell>
          <cell r="V58">
            <v>0.95</v>
          </cell>
          <cell r="W58">
            <v>0</v>
          </cell>
          <cell r="X58" t="str">
            <v>EST MODULO CHAISE ENC VIRADO ESQ REFUGE (FX D4237) - 1,1x2,1x0,95H</v>
          </cell>
          <cell r="Y58">
            <v>74151.930000000008</v>
          </cell>
          <cell r="Z58">
            <v>0.35</v>
          </cell>
          <cell r="AA58">
            <v>48198.75450000001</v>
          </cell>
          <cell r="AB58" t="str">
            <v>AU</v>
          </cell>
        </row>
        <row r="59">
          <cell r="C59">
            <v>0</v>
          </cell>
          <cell r="D59">
            <v>1</v>
          </cell>
          <cell r="E59">
            <v>0</v>
          </cell>
          <cell r="F59">
            <v>0</v>
          </cell>
          <cell r="H59">
            <v>0</v>
          </cell>
          <cell r="O59">
            <v>394874</v>
          </cell>
          <cell r="P59" t="str">
            <v>2024/352-0073-01</v>
          </cell>
          <cell r="Q59" t="str">
            <v>EST MODULO S/B C/PUFF LATERAL DIR REFUGE (FX D4237)</v>
          </cell>
          <cell r="R59">
            <v>3.6</v>
          </cell>
          <cell r="S59">
            <v>3.1</v>
          </cell>
          <cell r="T59">
            <v>2</v>
          </cell>
          <cell r="U59">
            <v>1.1000000000000001</v>
          </cell>
          <cell r="V59">
            <v>0.95</v>
          </cell>
          <cell r="W59">
            <v>0</v>
          </cell>
          <cell r="X59" t="str">
            <v>EST MODULO S/B C/PUFF LATERAL DIR REFUGE (FX D4237) - 2x1,1x0,95H</v>
          </cell>
          <cell r="Y59">
            <v>74151.930000000008</v>
          </cell>
          <cell r="Z59">
            <v>0.35</v>
          </cell>
          <cell r="AA59">
            <v>48198.75450000001</v>
          </cell>
          <cell r="AB59" t="str">
            <v>AU</v>
          </cell>
        </row>
        <row r="60">
          <cell r="C60">
            <v>1</v>
          </cell>
          <cell r="D60">
            <v>0</v>
          </cell>
          <cell r="E60">
            <v>0</v>
          </cell>
          <cell r="F60">
            <v>0</v>
          </cell>
          <cell r="H60">
            <v>0</v>
          </cell>
          <cell r="O60">
            <v>394876</v>
          </cell>
          <cell r="P60" t="str">
            <v>2024/347-0032-01</v>
          </cell>
          <cell r="Q60" t="str">
            <v>EST MODULO BRACO ESQ REFUGE (FX D4139)</v>
          </cell>
          <cell r="R60">
            <v>5</v>
          </cell>
          <cell r="S60">
            <v>2.4</v>
          </cell>
          <cell r="T60">
            <v>2.25</v>
          </cell>
          <cell r="U60">
            <v>1.1000000000000001</v>
          </cell>
          <cell r="V60">
            <v>0.95</v>
          </cell>
          <cell r="W60">
            <v>0</v>
          </cell>
          <cell r="X60" t="str">
            <v>EST MODULO BRACO ESQ REFUGE (FX D4139) - 2,25x1,1x0,95H</v>
          </cell>
          <cell r="Y60">
            <v>65790.28</v>
          </cell>
          <cell r="Z60">
            <v>0.35</v>
          </cell>
          <cell r="AA60">
            <v>42763.682000000001</v>
          </cell>
          <cell r="AB60" t="str">
            <v>AV</v>
          </cell>
        </row>
        <row r="61">
          <cell r="C61">
            <v>1</v>
          </cell>
          <cell r="D61">
            <v>0</v>
          </cell>
          <cell r="E61">
            <v>0</v>
          </cell>
          <cell r="F61">
            <v>0</v>
          </cell>
          <cell r="H61">
            <v>0</v>
          </cell>
          <cell r="O61">
            <v>394881</v>
          </cell>
          <cell r="P61" t="str">
            <v>2024/347-0033-01</v>
          </cell>
          <cell r="Q61" t="str">
            <v>EST MODULO S/B CURVO (AP 100 DIR) REFUGE (GRIGIO) (FX D4139)</v>
          </cell>
          <cell r="R61">
            <v>5</v>
          </cell>
          <cell r="S61">
            <v>2.4</v>
          </cell>
          <cell r="T61">
            <v>3.1</v>
          </cell>
          <cell r="U61">
            <v>1.55</v>
          </cell>
          <cell r="V61">
            <v>0.95</v>
          </cell>
          <cell r="W61">
            <v>0</v>
          </cell>
          <cell r="X61" t="str">
            <v>EST MODULO S/B CURVO (AP 100 DIR) REFUGE (GRIGIO) (FX D4139) - 3,1x1,55x0,95H</v>
          </cell>
          <cell r="Y61">
            <v>65790.28</v>
          </cell>
          <cell r="Z61">
            <v>0.35</v>
          </cell>
          <cell r="AA61">
            <v>42763.682000000001</v>
          </cell>
          <cell r="AB61" t="str">
            <v>AV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H62">
            <v>0</v>
          </cell>
          <cell r="O62">
            <v>402453</v>
          </cell>
          <cell r="P62" t="str">
            <v>2025/107-0035-01</v>
          </cell>
          <cell r="Q62" t="str">
            <v>EST BASE JANTAR BELIZE ORGANICA (P/TP 3,00X1,40) (NOG)</v>
          </cell>
          <cell r="R62">
            <v>3</v>
          </cell>
          <cell r="S62">
            <v>1.4</v>
          </cell>
          <cell r="T62">
            <v>2.8</v>
          </cell>
          <cell r="U62">
            <v>1.2</v>
          </cell>
          <cell r="V62">
            <v>0.74</v>
          </cell>
          <cell r="W62">
            <v>0</v>
          </cell>
          <cell r="X62" t="str">
            <v>EST BASE JANTAR BELIZE ORGANICA (P/TP 3,00X1,40) (NOG) - 2,8x1,2x0,74H</v>
          </cell>
          <cell r="Y62">
            <v>85018.134000000005</v>
          </cell>
          <cell r="Z62">
            <v>0.35</v>
          </cell>
          <cell r="AA62">
            <v>55261.787100000001</v>
          </cell>
          <cell r="AB62" t="str">
            <v>AX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H63">
            <v>0</v>
          </cell>
          <cell r="O63">
            <v>402755</v>
          </cell>
          <cell r="P63" t="str">
            <v>2025/146-0003-01</v>
          </cell>
          <cell r="Q63" t="str">
            <v>EST TAMPO MARMORE (F12038) (GRUPO 5 TAJ MAHAL) (ORGANICO)</v>
          </cell>
          <cell r="R63">
            <v>3</v>
          </cell>
          <cell r="S63">
            <v>1.4</v>
          </cell>
          <cell r="T63">
            <v>3</v>
          </cell>
          <cell r="U63">
            <v>1.4</v>
          </cell>
          <cell r="V63">
            <v>0.02</v>
          </cell>
          <cell r="W63">
            <v>0</v>
          </cell>
          <cell r="X63" t="str">
            <v>EST TAMPO MARMORE (F12038) (GRUPO 5 TAJ MAHAL) (ORGANICO) - 3x1,4x0,02H</v>
          </cell>
          <cell r="Y63">
            <v>85018.134000000005</v>
          </cell>
          <cell r="Z63">
            <v>0.35</v>
          </cell>
          <cell r="AA63">
            <v>55261.787100000001</v>
          </cell>
          <cell r="AB63" t="str">
            <v>AX</v>
          </cell>
        </row>
        <row r="64">
          <cell r="C64">
            <v>1</v>
          </cell>
          <cell r="D64">
            <v>0</v>
          </cell>
          <cell r="E64">
            <v>0</v>
          </cell>
          <cell r="F64">
            <v>0</v>
          </cell>
          <cell r="H64">
            <v>0</v>
          </cell>
          <cell r="O64">
            <v>394903</v>
          </cell>
          <cell r="P64" t="str">
            <v>2024/341-0004-01</v>
          </cell>
          <cell r="Q64" t="str">
            <v>EST MODULO BRACO DIR AGREABLE (FX C3164)</v>
          </cell>
          <cell r="R64">
            <v>4.8499999999999996</v>
          </cell>
          <cell r="S64">
            <v>3.75</v>
          </cell>
          <cell r="T64">
            <v>1.3</v>
          </cell>
          <cell r="U64">
            <v>1</v>
          </cell>
          <cell r="V64">
            <v>0.77</v>
          </cell>
          <cell r="W64">
            <v>0</v>
          </cell>
          <cell r="X64" t="str">
            <v>EST MODULO BRACO DIR AGREABLE (FX C3164) - 1,3x1x0,77H</v>
          </cell>
          <cell r="Y64">
            <v>98509.42</v>
          </cell>
          <cell r="Z64">
            <v>0.35</v>
          </cell>
          <cell r="AA64">
            <v>64031.123</v>
          </cell>
          <cell r="AB64" t="str">
            <v>AY</v>
          </cell>
        </row>
        <row r="65">
          <cell r="C65">
            <v>2</v>
          </cell>
          <cell r="D65">
            <v>0</v>
          </cell>
          <cell r="E65">
            <v>0</v>
          </cell>
          <cell r="F65">
            <v>0</v>
          </cell>
          <cell r="H65">
            <v>0</v>
          </cell>
          <cell r="O65">
            <v>394904</v>
          </cell>
          <cell r="P65" t="str">
            <v>2024/341-0005-01</v>
          </cell>
          <cell r="Q65" t="str">
            <v>EST MODULO S/BRACO AGREABLE (FX C3164)</v>
          </cell>
          <cell r="R65">
            <v>4.8499999999999996</v>
          </cell>
          <cell r="S65">
            <v>3.75</v>
          </cell>
          <cell r="T65">
            <v>1.1000000000000001</v>
          </cell>
          <cell r="U65">
            <v>1</v>
          </cell>
          <cell r="V65">
            <v>0.77</v>
          </cell>
          <cell r="W65">
            <v>0</v>
          </cell>
          <cell r="X65" t="str">
            <v>EST MODULO S/BRACO AGREABLE (FX C3164) - 1,1x1x0,77H</v>
          </cell>
          <cell r="Y65">
            <v>98509.42</v>
          </cell>
          <cell r="Z65">
            <v>0.35</v>
          </cell>
          <cell r="AA65">
            <v>64031.123</v>
          </cell>
          <cell r="AB65" t="str">
            <v>AY</v>
          </cell>
        </row>
        <row r="66">
          <cell r="C66">
            <v>2</v>
          </cell>
          <cell r="D66">
            <v>0</v>
          </cell>
          <cell r="E66">
            <v>0</v>
          </cell>
          <cell r="F66">
            <v>0</v>
          </cell>
          <cell r="H66">
            <v>0</v>
          </cell>
          <cell r="O66">
            <v>394904</v>
          </cell>
          <cell r="P66" t="str">
            <v>2024/341-0006-01</v>
          </cell>
          <cell r="Q66" t="str">
            <v>EST MODULO S/BRACO AGREABLE (FX C3164)</v>
          </cell>
          <cell r="R66">
            <v>4.8499999999999996</v>
          </cell>
          <cell r="S66">
            <v>3.75</v>
          </cell>
          <cell r="T66">
            <v>1.1000000000000001</v>
          </cell>
          <cell r="U66">
            <v>1</v>
          </cell>
          <cell r="V66">
            <v>0.77</v>
          </cell>
          <cell r="W66">
            <v>0</v>
          </cell>
          <cell r="X66" t="str">
            <v>EST MODULO S/BRACO AGREABLE (FX C3164) - 1,1x1x0,77H</v>
          </cell>
          <cell r="Y66">
            <v>98509.42</v>
          </cell>
          <cell r="Z66">
            <v>0.35</v>
          </cell>
          <cell r="AA66">
            <v>64031.123</v>
          </cell>
          <cell r="AB66" t="str">
            <v>AY</v>
          </cell>
        </row>
        <row r="67">
          <cell r="C67">
            <v>1</v>
          </cell>
          <cell r="D67">
            <v>0</v>
          </cell>
          <cell r="E67">
            <v>0</v>
          </cell>
          <cell r="F67">
            <v>0</v>
          </cell>
          <cell r="H67">
            <v>0</v>
          </cell>
          <cell r="O67">
            <v>394905</v>
          </cell>
          <cell r="P67" t="str">
            <v>2024/341-0007-01</v>
          </cell>
          <cell r="Q67" t="str">
            <v>EST MODULO CANTO CHAISE AGREABLE (FX C3164)</v>
          </cell>
          <cell r="R67">
            <v>4.8499999999999996</v>
          </cell>
          <cell r="S67">
            <v>3.75</v>
          </cell>
          <cell r="T67">
            <v>1.35</v>
          </cell>
          <cell r="U67">
            <v>1.35</v>
          </cell>
          <cell r="V67">
            <v>0.77</v>
          </cell>
          <cell r="W67">
            <v>0</v>
          </cell>
          <cell r="X67" t="str">
            <v>EST MODULO CANTO CHAISE AGREABLE (FX C3164) - 1,35x1,35x0,77H</v>
          </cell>
          <cell r="Y67">
            <v>98509.42</v>
          </cell>
          <cell r="Z67">
            <v>0.35</v>
          </cell>
          <cell r="AA67">
            <v>64031.123</v>
          </cell>
          <cell r="AB67" t="str">
            <v>AY</v>
          </cell>
        </row>
        <row r="68">
          <cell r="C68">
            <v>1</v>
          </cell>
          <cell r="D68">
            <v>0</v>
          </cell>
          <cell r="E68">
            <v>0</v>
          </cell>
          <cell r="F68">
            <v>0</v>
          </cell>
          <cell r="H68">
            <v>0</v>
          </cell>
          <cell r="O68">
            <v>394906</v>
          </cell>
          <cell r="P68" t="str">
            <v>2024/341-0008-01</v>
          </cell>
          <cell r="Q68" t="str">
            <v>EST MODULO PUFF CENTRAL AGREABLE (FX C3164)</v>
          </cell>
          <cell r="R68">
            <v>4.8499999999999996</v>
          </cell>
          <cell r="S68">
            <v>3.75</v>
          </cell>
          <cell r="T68">
            <v>1.1000000000000001</v>
          </cell>
          <cell r="U68">
            <v>1</v>
          </cell>
          <cell r="V68">
            <v>0.77</v>
          </cell>
          <cell r="W68">
            <v>0</v>
          </cell>
          <cell r="X68" t="str">
            <v>EST MODULO PUFF CENTRAL AGREABLE (FX C3164) - 1,1x1x0,77H</v>
          </cell>
          <cell r="Y68">
            <v>98509.42</v>
          </cell>
          <cell r="Z68">
            <v>0.35</v>
          </cell>
          <cell r="AA68">
            <v>64031.123</v>
          </cell>
          <cell r="AB68" t="str">
            <v>AY</v>
          </cell>
        </row>
        <row r="69">
          <cell r="C69">
            <v>1</v>
          </cell>
          <cell r="D69">
            <v>0</v>
          </cell>
          <cell r="E69">
            <v>0</v>
          </cell>
          <cell r="F69">
            <v>0</v>
          </cell>
          <cell r="H69">
            <v>0</v>
          </cell>
          <cell r="O69">
            <v>394907</v>
          </cell>
          <cell r="P69" t="str">
            <v>2024/341-0009-01</v>
          </cell>
          <cell r="Q69" t="str">
            <v>EST MODULO BRACO ESQ AGREABLE (FX C3164)</v>
          </cell>
          <cell r="R69">
            <v>4.8499999999999996</v>
          </cell>
          <cell r="S69">
            <v>3.75</v>
          </cell>
          <cell r="T69">
            <v>1.3</v>
          </cell>
          <cell r="U69">
            <v>1</v>
          </cell>
          <cell r="V69">
            <v>0.77</v>
          </cell>
          <cell r="W69">
            <v>0</v>
          </cell>
          <cell r="X69" t="str">
            <v>EST MODULO BRACO ESQ AGREABLE (FX C3164) - 1,3x1x0,77H</v>
          </cell>
          <cell r="Y69">
            <v>98509.42</v>
          </cell>
          <cell r="Z69">
            <v>0.35</v>
          </cell>
          <cell r="AA69">
            <v>64031.123</v>
          </cell>
          <cell r="AB69" t="str">
            <v>AY</v>
          </cell>
        </row>
        <row r="70">
          <cell r="C70">
            <v>1</v>
          </cell>
          <cell r="D70">
            <v>0</v>
          </cell>
          <cell r="E70">
            <v>0</v>
          </cell>
          <cell r="F70">
            <v>0</v>
          </cell>
          <cell r="H70">
            <v>0</v>
          </cell>
          <cell r="O70">
            <v>394908</v>
          </cell>
          <cell r="P70" t="str">
            <v>2024/341-0010-01</v>
          </cell>
          <cell r="Q70" t="str">
            <v>EST MODULO PUFF AGREABLE (FX C3164)</v>
          </cell>
          <cell r="R70">
            <v>4.8499999999999996</v>
          </cell>
          <cell r="S70">
            <v>3.75</v>
          </cell>
          <cell r="T70">
            <v>1</v>
          </cell>
          <cell r="U70">
            <v>1</v>
          </cell>
          <cell r="V70">
            <v>0.45</v>
          </cell>
          <cell r="W70">
            <v>0</v>
          </cell>
          <cell r="X70" t="str">
            <v>EST MODULO PUFF AGREABLE (FX C3164) - 1x1x0,45H</v>
          </cell>
          <cell r="Y70">
            <v>98509.42</v>
          </cell>
          <cell r="Z70">
            <v>0.35</v>
          </cell>
          <cell r="AA70">
            <v>64031.123</v>
          </cell>
          <cell r="AB70" t="str">
            <v>AY</v>
          </cell>
        </row>
        <row r="71">
          <cell r="C71">
            <v>0</v>
          </cell>
          <cell r="D71">
            <v>1</v>
          </cell>
          <cell r="E71">
            <v>0</v>
          </cell>
          <cell r="F71">
            <v>0</v>
          </cell>
          <cell r="H71">
            <v>0</v>
          </cell>
          <cell r="O71">
            <v>394900</v>
          </cell>
          <cell r="P71" t="str">
            <v>2024/352-0069-01</v>
          </cell>
          <cell r="Q71" t="str">
            <v>EST MODULO CHAISE BRACO ESQ AGREABLE (FX D4178)</v>
          </cell>
          <cell r="R71">
            <v>4</v>
          </cell>
          <cell r="S71">
            <v>1.7</v>
          </cell>
          <cell r="T71">
            <v>1.4</v>
          </cell>
          <cell r="U71">
            <v>1.7</v>
          </cell>
          <cell r="V71">
            <v>0.77</v>
          </cell>
          <cell r="W71">
            <v>0</v>
          </cell>
          <cell r="X71" t="str">
            <v>EST MODULO CHAISE BRACO ESQ AGREABLE (FX D4178) - 1,4x1,7x0,77H</v>
          </cell>
          <cell r="Y71">
            <v>59908.75</v>
          </cell>
          <cell r="Z71">
            <v>0.35</v>
          </cell>
          <cell r="AA71">
            <v>38940.6875</v>
          </cell>
          <cell r="AB71" t="str">
            <v>AZ</v>
          </cell>
        </row>
        <row r="72">
          <cell r="C72">
            <v>0</v>
          </cell>
          <cell r="D72">
            <v>1</v>
          </cell>
          <cell r="E72">
            <v>0</v>
          </cell>
          <cell r="F72">
            <v>0</v>
          </cell>
          <cell r="H72">
            <v>0</v>
          </cell>
          <cell r="O72">
            <v>394901</v>
          </cell>
          <cell r="P72" t="str">
            <v>2024/352-0074-01</v>
          </cell>
          <cell r="Q72" t="str">
            <v>EST MODULO S/BRACO AGREABLE (FX D4178)</v>
          </cell>
          <cell r="R72">
            <v>4</v>
          </cell>
          <cell r="S72">
            <v>1.7</v>
          </cell>
          <cell r="T72">
            <v>1.2</v>
          </cell>
          <cell r="U72">
            <v>1</v>
          </cell>
          <cell r="V72">
            <v>0.77</v>
          </cell>
          <cell r="W72">
            <v>0</v>
          </cell>
          <cell r="X72" t="str">
            <v>EST MODULO S/BRACO AGREABLE (FX D4178) - 1,2x1x0,77H</v>
          </cell>
          <cell r="Y72">
            <v>59908.75</v>
          </cell>
          <cell r="Z72">
            <v>0.35</v>
          </cell>
          <cell r="AA72">
            <v>38940.6875</v>
          </cell>
          <cell r="AB72" t="str">
            <v>AZ</v>
          </cell>
        </row>
        <row r="73">
          <cell r="C73">
            <v>0</v>
          </cell>
          <cell r="D73">
            <v>1</v>
          </cell>
          <cell r="E73">
            <v>0</v>
          </cell>
          <cell r="F73">
            <v>0</v>
          </cell>
          <cell r="H73">
            <v>0</v>
          </cell>
          <cell r="O73">
            <v>394902</v>
          </cell>
          <cell r="P73" t="str">
            <v>2024/352-0070-01</v>
          </cell>
          <cell r="Q73" t="str">
            <v>EST MODULO BRACO DIR AGREABLE (FX D4178)</v>
          </cell>
          <cell r="R73">
            <v>4</v>
          </cell>
          <cell r="S73">
            <v>1.7</v>
          </cell>
          <cell r="T73">
            <v>1.4</v>
          </cell>
          <cell r="U73">
            <v>1</v>
          </cell>
          <cell r="V73">
            <v>0.77</v>
          </cell>
          <cell r="W73">
            <v>0</v>
          </cell>
          <cell r="X73" t="str">
            <v>EST MODULO BRACO DIR AGREABLE (FX D4178) - 1,4x1x0,77H</v>
          </cell>
          <cell r="Y73">
            <v>59908.75</v>
          </cell>
          <cell r="Z73">
            <v>0.35</v>
          </cell>
          <cell r="AA73">
            <v>38940.6875</v>
          </cell>
          <cell r="AB73" t="str">
            <v>AZ</v>
          </cell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373842</v>
          </cell>
          <cell r="P74" t="str">
            <v>2023/307-0021-01</v>
          </cell>
          <cell r="Q74" t="str">
            <v>EST MODULO PUFF LENCOIS M (RVST BG4) TC CANVAS FOREST</v>
          </cell>
          <cell r="R74">
            <v>3.4</v>
          </cell>
          <cell r="S74">
            <v>2.4</v>
          </cell>
          <cell r="T74">
            <v>2.4</v>
          </cell>
          <cell r="U74">
            <v>1</v>
          </cell>
          <cell r="V74">
            <v>0.38</v>
          </cell>
          <cell r="W74">
            <v>0</v>
          </cell>
          <cell r="X74" t="str">
            <v>EST MODULO PUFF LENCOIS M (RVST BG4) TC CANVAS FOREST - 2,4x1x0,38H</v>
          </cell>
          <cell r="Y74">
            <v>87961.68257200002</v>
          </cell>
          <cell r="Z74">
            <v>0.35</v>
          </cell>
          <cell r="AA74">
            <v>57175.093671800016</v>
          </cell>
          <cell r="AB74" t="str">
            <v>BB</v>
          </cell>
        </row>
        <row r="75">
          <cell r="C75">
            <v>0</v>
          </cell>
          <cell r="D75">
            <v>0</v>
          </cell>
          <cell r="E75">
            <v>1</v>
          </cell>
          <cell r="F75">
            <v>0</v>
          </cell>
          <cell r="H75">
            <v>0</v>
          </cell>
          <cell r="O75">
            <v>373843</v>
          </cell>
          <cell r="P75" t="str">
            <v>2023/307-0022-01</v>
          </cell>
          <cell r="Q75" t="str">
            <v>EST MODULO PUFF CHAISE LENCOIS M (RVST BG4) TC CANVAS FOREST</v>
          </cell>
          <cell r="R75">
            <v>3.4</v>
          </cell>
          <cell r="S75">
            <v>2.4</v>
          </cell>
          <cell r="T75">
            <v>2.4</v>
          </cell>
          <cell r="U75">
            <v>1.55</v>
          </cell>
          <cell r="V75">
            <v>0.38</v>
          </cell>
          <cell r="W75">
            <v>0</v>
          </cell>
          <cell r="X75" t="str">
            <v>EST MODULO PUFF CHAISE LENCOIS M (RVST BG4) TC CANVAS FOREST - 2,4x1,55x0,38H</v>
          </cell>
          <cell r="Y75">
            <v>87961.68257200002</v>
          </cell>
          <cell r="Z75">
            <v>0.35</v>
          </cell>
          <cell r="AA75">
            <v>57175.093671800016</v>
          </cell>
          <cell r="AB75" t="str">
            <v>BB</v>
          </cell>
        </row>
        <row r="76">
          <cell r="C76">
            <v>0</v>
          </cell>
          <cell r="D76">
            <v>0</v>
          </cell>
          <cell r="E76">
            <v>1</v>
          </cell>
          <cell r="F76">
            <v>0</v>
          </cell>
          <cell r="H76">
            <v>0</v>
          </cell>
          <cell r="O76">
            <v>373846</v>
          </cell>
          <cell r="P76" t="str">
            <v>2023/307-0023-01</v>
          </cell>
          <cell r="Q76" t="str">
            <v>EST MODULO ENCOSTO RETO LENCOIS M (DET BG4) TC CANVAS FOREST</v>
          </cell>
          <cell r="R76">
            <v>3.4</v>
          </cell>
          <cell r="S76">
            <v>2.4</v>
          </cell>
          <cell r="T76">
            <v>0.7</v>
          </cell>
          <cell r="U76">
            <v>0.26</v>
          </cell>
          <cell r="V76">
            <v>0.26</v>
          </cell>
          <cell r="W76">
            <v>0</v>
          </cell>
          <cell r="X76" t="str">
            <v>EST MODULO ENCOSTO RETO LENCOIS M (DET BG4) TC CANVAS FOREST - 0,7x0,26x0,26H</v>
          </cell>
          <cell r="Y76">
            <v>87961.68257200002</v>
          </cell>
          <cell r="Z76">
            <v>0.35</v>
          </cell>
          <cell r="AA76">
            <v>57175.093671800016</v>
          </cell>
          <cell r="AB76" t="str">
            <v>BB</v>
          </cell>
        </row>
        <row r="77">
          <cell r="C77">
            <v>0</v>
          </cell>
          <cell r="D77">
            <v>0</v>
          </cell>
          <cell r="E77">
            <v>2</v>
          </cell>
          <cell r="F77">
            <v>0</v>
          </cell>
          <cell r="H77">
            <v>0</v>
          </cell>
          <cell r="O77">
            <v>373848</v>
          </cell>
          <cell r="P77" t="str">
            <v>2023/307-0024-01</v>
          </cell>
          <cell r="Q77" t="str">
            <v>EST MODULO ENCOSTO RETO LENCOIS M (DET BG4) TC CANVAS FOREST</v>
          </cell>
          <cell r="R77">
            <v>3.4</v>
          </cell>
          <cell r="S77">
            <v>2.4</v>
          </cell>
          <cell r="T77">
            <v>1.1000000000000001</v>
          </cell>
          <cell r="U77">
            <v>0.26</v>
          </cell>
          <cell r="V77">
            <v>0.26</v>
          </cell>
          <cell r="W77">
            <v>0</v>
          </cell>
          <cell r="X77" t="str">
            <v>EST MODULO ENCOSTO RETO LENCOIS M (DET BG4) TC CANVAS FOREST - 1,1x0,26x0,26H</v>
          </cell>
          <cell r="Y77">
            <v>87961.68257200002</v>
          </cell>
          <cell r="Z77">
            <v>0.35</v>
          </cell>
          <cell r="AA77">
            <v>57175.093671800016</v>
          </cell>
          <cell r="AB77" t="str">
            <v>BB</v>
          </cell>
        </row>
        <row r="78">
          <cell r="C78">
            <v>0</v>
          </cell>
          <cell r="D78">
            <v>0</v>
          </cell>
          <cell r="E78">
            <v>2</v>
          </cell>
          <cell r="F78">
            <v>0</v>
          </cell>
          <cell r="H78">
            <v>0</v>
          </cell>
          <cell r="O78">
            <v>373848</v>
          </cell>
          <cell r="P78" t="str">
            <v>2023/307-0025-01</v>
          </cell>
          <cell r="Q78" t="str">
            <v>EST MODULO ENCOSTO RETO LENCOIS M (DET BG4) TC CANVAS FOREST</v>
          </cell>
          <cell r="R78">
            <v>3.4</v>
          </cell>
          <cell r="S78">
            <v>2.4</v>
          </cell>
          <cell r="T78">
            <v>1.1000000000000001</v>
          </cell>
          <cell r="U78">
            <v>0.26</v>
          </cell>
          <cell r="V78">
            <v>0.26</v>
          </cell>
          <cell r="W78">
            <v>0</v>
          </cell>
          <cell r="X78" t="str">
            <v>EST MODULO ENCOSTO RETO LENCOIS M (DET BG4) TC CANVAS FOREST - 1,1x0,26x0,26H</v>
          </cell>
          <cell r="Y78">
            <v>87961.68257200002</v>
          </cell>
          <cell r="Z78">
            <v>0.35</v>
          </cell>
          <cell r="AA78">
            <v>57175.093671800016</v>
          </cell>
          <cell r="AB78" t="str">
            <v>BB</v>
          </cell>
        </row>
        <row r="79">
          <cell r="C79">
            <v>0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373852</v>
          </cell>
          <cell r="P79" t="str">
            <v>2023/307-0026-01</v>
          </cell>
          <cell r="Q79" t="str">
            <v>EST MODULO ENCOSTO (L) ESQ LENCOIS M (DET BG4) TC CANVAS FOR</v>
          </cell>
          <cell r="R79">
            <v>3.4</v>
          </cell>
          <cell r="S79">
            <v>2.4</v>
          </cell>
          <cell r="T79">
            <v>1.2</v>
          </cell>
          <cell r="U79">
            <v>0.8</v>
          </cell>
          <cell r="V79">
            <v>0.26</v>
          </cell>
          <cell r="W79">
            <v>0</v>
          </cell>
          <cell r="X79" t="str">
            <v>EST MODULO ENCOSTO (L) ESQ LENCOIS M (DET BG4) TC CANVAS FOR - 1,2x0,8x0,26H</v>
          </cell>
          <cell r="Y79">
            <v>87961.68257200002</v>
          </cell>
          <cell r="Z79">
            <v>0.35</v>
          </cell>
          <cell r="AA79">
            <v>57175.093671800016</v>
          </cell>
          <cell r="AB79" t="str">
            <v>BB</v>
          </cell>
        </row>
        <row r="80">
          <cell r="C80">
            <v>0</v>
          </cell>
          <cell r="D80">
            <v>0</v>
          </cell>
          <cell r="E80">
            <v>1</v>
          </cell>
          <cell r="F80">
            <v>0</v>
          </cell>
          <cell r="H80">
            <v>0</v>
          </cell>
          <cell r="O80">
            <v>373884</v>
          </cell>
          <cell r="P80" t="str">
            <v>2023/307-0027-01</v>
          </cell>
          <cell r="Q80" t="str">
            <v>EST MODULO PUFF CANTO 90 LENCOIS M (LISO) TC ROCKYROAD MOSS</v>
          </cell>
          <cell r="R80">
            <v>3.4</v>
          </cell>
          <cell r="S80">
            <v>2.4</v>
          </cell>
          <cell r="T80">
            <v>1</v>
          </cell>
          <cell r="U80">
            <v>1</v>
          </cell>
          <cell r="V80">
            <v>0.38</v>
          </cell>
          <cell r="W80">
            <v>0</v>
          </cell>
          <cell r="X80" t="str">
            <v>EST MODULO PUFF CANTO 90 LENCOIS M (LISO) TC ROCKYROAD MOSS - 1x1x0,38H</v>
          </cell>
          <cell r="Y80">
            <v>87961.68257200002</v>
          </cell>
          <cell r="Z80">
            <v>0.35</v>
          </cell>
          <cell r="AA80">
            <v>57175.093671800016</v>
          </cell>
          <cell r="AB80" t="str">
            <v>BB</v>
          </cell>
        </row>
        <row r="81">
          <cell r="C81">
            <v>0</v>
          </cell>
          <cell r="D81">
            <v>0</v>
          </cell>
          <cell r="E81">
            <v>1</v>
          </cell>
          <cell r="F81">
            <v>0</v>
          </cell>
          <cell r="H81">
            <v>0</v>
          </cell>
          <cell r="O81">
            <v>373885</v>
          </cell>
          <cell r="P81" t="str">
            <v>2023/307-0028-01</v>
          </cell>
          <cell r="Q81" t="str">
            <v>EST MODULO ENCOSTO RETO LENCOIS M (LISO) TC ROCKYROAD MOSS</v>
          </cell>
          <cell r="R81">
            <v>3.4</v>
          </cell>
          <cell r="S81">
            <v>2.4</v>
          </cell>
          <cell r="T81">
            <v>0.7</v>
          </cell>
          <cell r="U81">
            <v>0.26</v>
          </cell>
          <cell r="V81">
            <v>0.26</v>
          </cell>
          <cell r="W81">
            <v>0</v>
          </cell>
          <cell r="X81" t="str">
            <v>EST MODULO ENCOSTO RETO LENCOIS M (LISO) TC ROCKYROAD MOSS - 0,7x0,26x0,26H</v>
          </cell>
          <cell r="Y81">
            <v>87961.68257200002</v>
          </cell>
          <cell r="Z81">
            <v>0.35</v>
          </cell>
          <cell r="AA81">
            <v>57175.093671800016</v>
          </cell>
          <cell r="AB81" t="str">
            <v>BB</v>
          </cell>
        </row>
        <row r="82">
          <cell r="C82">
            <v>0</v>
          </cell>
          <cell r="D82">
            <v>0</v>
          </cell>
          <cell r="E82">
            <v>3</v>
          </cell>
          <cell r="F82">
            <v>0</v>
          </cell>
          <cell r="H82">
            <v>0</v>
          </cell>
          <cell r="O82">
            <v>373886</v>
          </cell>
          <cell r="P82" t="str">
            <v>2023/307-0029-01</v>
          </cell>
          <cell r="Q82" t="str">
            <v>EST ALMOFADA DECORATIVA LENCOIS M (LISO) TC ROCKYROAD MOSS</v>
          </cell>
          <cell r="R82">
            <v>3.4</v>
          </cell>
          <cell r="S82">
            <v>2.4</v>
          </cell>
          <cell r="T82">
            <v>0.5</v>
          </cell>
          <cell r="U82">
            <v>0.5</v>
          </cell>
          <cell r="V82">
            <v>0</v>
          </cell>
          <cell r="W82">
            <v>0</v>
          </cell>
          <cell r="X82" t="str">
            <v>EST ALMOFADA DECORATIVA LENCOIS M (LISO) TC ROCKYROAD MOSS - 0,5x0,5x0H</v>
          </cell>
          <cell r="Y82">
            <v>87961.68257200002</v>
          </cell>
          <cell r="Z82">
            <v>0.35</v>
          </cell>
          <cell r="AA82">
            <v>57175.093671800016</v>
          </cell>
          <cell r="AB82" t="str">
            <v>BB</v>
          </cell>
        </row>
        <row r="83">
          <cell r="C83">
            <v>0</v>
          </cell>
          <cell r="D83">
            <v>0</v>
          </cell>
          <cell r="E83">
            <v>3</v>
          </cell>
          <cell r="F83">
            <v>0</v>
          </cell>
          <cell r="H83">
            <v>0</v>
          </cell>
          <cell r="O83">
            <v>373886</v>
          </cell>
          <cell r="P83" t="str">
            <v>2023/307-0030-01</v>
          </cell>
          <cell r="Q83" t="str">
            <v>EST ALMOFADA DECORATIVA LENCOIS M (LISO) TC ROCKYROAD MOSS</v>
          </cell>
          <cell r="R83">
            <v>3.4</v>
          </cell>
          <cell r="S83">
            <v>2.4</v>
          </cell>
          <cell r="T83">
            <v>0.5</v>
          </cell>
          <cell r="U83">
            <v>0.5</v>
          </cell>
          <cell r="V83">
            <v>0</v>
          </cell>
          <cell r="W83">
            <v>0</v>
          </cell>
          <cell r="X83" t="str">
            <v>EST ALMOFADA DECORATIVA LENCOIS M (LISO) TC ROCKYROAD MOSS - 0,5x0,5x0H</v>
          </cell>
          <cell r="Y83">
            <v>87961.68257200002</v>
          </cell>
          <cell r="Z83">
            <v>0.35</v>
          </cell>
          <cell r="AA83">
            <v>57175.093671800016</v>
          </cell>
          <cell r="AB83" t="str">
            <v>BB</v>
          </cell>
        </row>
        <row r="84">
          <cell r="C84">
            <v>0</v>
          </cell>
          <cell r="D84">
            <v>0</v>
          </cell>
          <cell r="E84">
            <v>3</v>
          </cell>
          <cell r="F84">
            <v>0</v>
          </cell>
          <cell r="H84">
            <v>0</v>
          </cell>
          <cell r="O84">
            <v>373886</v>
          </cell>
          <cell r="P84" t="str">
            <v>2023/307-0031-01</v>
          </cell>
          <cell r="Q84" t="str">
            <v>EST ALMOFADA DECORATIVA LENCOIS M (LISO) TC ROCKYROAD MOSS</v>
          </cell>
          <cell r="R84">
            <v>3.4</v>
          </cell>
          <cell r="S84">
            <v>2.4</v>
          </cell>
          <cell r="T84">
            <v>0.5</v>
          </cell>
          <cell r="U84">
            <v>0.5</v>
          </cell>
          <cell r="V84">
            <v>0</v>
          </cell>
          <cell r="W84">
            <v>0</v>
          </cell>
          <cell r="X84" t="str">
            <v>EST ALMOFADA DECORATIVA LENCOIS M (LISO) TC ROCKYROAD MOSS - 0,5x0,5x0H</v>
          </cell>
          <cell r="Y84">
            <v>87961.68257200002</v>
          </cell>
          <cell r="Z84">
            <v>0.35</v>
          </cell>
          <cell r="AA84">
            <v>57175.093671800016</v>
          </cell>
          <cell r="AB84" t="str">
            <v>BB</v>
          </cell>
        </row>
        <row r="85">
          <cell r="C85">
            <v>0</v>
          </cell>
          <cell r="D85">
            <v>0</v>
          </cell>
          <cell r="E85">
            <v>3</v>
          </cell>
          <cell r="F85">
            <v>0</v>
          </cell>
          <cell r="H85">
            <v>0</v>
          </cell>
          <cell r="O85">
            <v>373887</v>
          </cell>
          <cell r="P85" t="str">
            <v>2023/307-0032-01</v>
          </cell>
          <cell r="Q85" t="str">
            <v>EST ALMOFADA DECORATIVA LENCOIS M (DET BG4) TC CANVAS FOREST</v>
          </cell>
          <cell r="R85">
            <v>3.4</v>
          </cell>
          <cell r="S85">
            <v>2.4</v>
          </cell>
          <cell r="T85">
            <v>0.6</v>
          </cell>
          <cell r="U85">
            <v>0.6</v>
          </cell>
          <cell r="V85">
            <v>0</v>
          </cell>
          <cell r="W85">
            <v>0</v>
          </cell>
          <cell r="X85" t="str">
            <v>EST ALMOFADA DECORATIVA LENCOIS M (DET BG4) TC CANVAS FOREST - 0,6x0,6x0H</v>
          </cell>
          <cell r="Y85">
            <v>87961.68257200002</v>
          </cell>
          <cell r="Z85">
            <v>0.35</v>
          </cell>
          <cell r="AA85">
            <v>57175.093671800016</v>
          </cell>
          <cell r="AB85" t="str">
            <v>BB</v>
          </cell>
        </row>
        <row r="86">
          <cell r="C86">
            <v>0</v>
          </cell>
          <cell r="D86">
            <v>0</v>
          </cell>
          <cell r="E86">
            <v>3</v>
          </cell>
          <cell r="F86">
            <v>0</v>
          </cell>
          <cell r="H86">
            <v>0</v>
          </cell>
          <cell r="O86">
            <v>373887</v>
          </cell>
          <cell r="P86" t="str">
            <v>2023/307-0033-01</v>
          </cell>
          <cell r="Q86" t="str">
            <v>EST ALMOFADA DECORATIVA LENCOIS M (DET BG4) TC CANVAS FOREST</v>
          </cell>
          <cell r="R86">
            <v>3.4</v>
          </cell>
          <cell r="S86">
            <v>2.4</v>
          </cell>
          <cell r="T86">
            <v>0.6</v>
          </cell>
          <cell r="U86">
            <v>0.6</v>
          </cell>
          <cell r="V86">
            <v>0</v>
          </cell>
          <cell r="W86">
            <v>0</v>
          </cell>
          <cell r="X86" t="str">
            <v>EST ALMOFADA DECORATIVA LENCOIS M (DET BG4) TC CANVAS FOREST - 0,6x0,6x0H</v>
          </cell>
          <cell r="Y86">
            <v>87961.68257200002</v>
          </cell>
          <cell r="Z86">
            <v>0.35</v>
          </cell>
          <cell r="AA86">
            <v>57175.093671800016</v>
          </cell>
          <cell r="AB86" t="str">
            <v>BB</v>
          </cell>
        </row>
        <row r="87">
          <cell r="C87">
            <v>0</v>
          </cell>
          <cell r="D87">
            <v>0</v>
          </cell>
          <cell r="E87">
            <v>3</v>
          </cell>
          <cell r="F87">
            <v>0</v>
          </cell>
          <cell r="H87">
            <v>0</v>
          </cell>
          <cell r="O87">
            <v>373887</v>
          </cell>
          <cell r="P87" t="str">
            <v>2023/307-0034-01</v>
          </cell>
          <cell r="Q87" t="str">
            <v>EST ALMOFADA DECORATIVA LENCOIS M (DET BG4) TC CANVAS FOREST</v>
          </cell>
          <cell r="R87">
            <v>3.4</v>
          </cell>
          <cell r="S87">
            <v>2.4</v>
          </cell>
          <cell r="T87">
            <v>0.6</v>
          </cell>
          <cell r="U87">
            <v>0.6</v>
          </cell>
          <cell r="V87">
            <v>0</v>
          </cell>
          <cell r="W87">
            <v>0</v>
          </cell>
          <cell r="X87" t="str">
            <v>EST ALMOFADA DECORATIVA LENCOIS M (DET BG4) TC CANVAS FOREST - 0,6x0,6x0H</v>
          </cell>
          <cell r="Y87">
            <v>87961.68257200002</v>
          </cell>
          <cell r="Z87">
            <v>0.35</v>
          </cell>
          <cell r="AA87">
            <v>57175.093671800016</v>
          </cell>
          <cell r="AB87" t="str">
            <v>BB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1</v>
          </cell>
          <cell r="H88">
            <v>0</v>
          </cell>
          <cell r="O88">
            <v>405869</v>
          </cell>
          <cell r="P88" t="str">
            <v>2025/184-0004-01</v>
          </cell>
          <cell r="Q88" t="str">
            <v>EST MODULO CHAISE BRACO ESQ ELLIE (MTX MARROM) TC D4237</v>
          </cell>
          <cell r="R88">
            <v>3.1</v>
          </cell>
          <cell r="S88">
            <v>1.55</v>
          </cell>
          <cell r="T88">
            <v>1.1000000000000001</v>
          </cell>
          <cell r="U88">
            <v>1.55</v>
          </cell>
          <cell r="V88">
            <v>0.87</v>
          </cell>
          <cell r="W88">
            <v>0</v>
          </cell>
          <cell r="X88" t="str">
            <v>EST MODULO CHAISE BRACO ESQ ELLIE (MTX MARROM) TC D4237 - 1,1x1,55x0,87H</v>
          </cell>
          <cell r="Y88">
            <v>51487.54</v>
          </cell>
          <cell r="Z88">
            <v>0.35</v>
          </cell>
          <cell r="AA88">
            <v>33466.900999999998</v>
          </cell>
          <cell r="AB88" t="str">
            <v>BC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1</v>
          </cell>
          <cell r="H89">
            <v>0</v>
          </cell>
          <cell r="O89">
            <v>405870</v>
          </cell>
          <cell r="P89" t="str">
            <v>2025/184-0005-01</v>
          </cell>
          <cell r="Q89" t="str">
            <v>EST MODULO S/BRACO ELLIE (MTX MARROM) TC D4237</v>
          </cell>
          <cell r="R89">
            <v>3.1</v>
          </cell>
          <cell r="S89">
            <v>1.55</v>
          </cell>
          <cell r="T89">
            <v>0.9</v>
          </cell>
          <cell r="U89">
            <v>1.05</v>
          </cell>
          <cell r="V89">
            <v>0.87</v>
          </cell>
          <cell r="W89">
            <v>0</v>
          </cell>
          <cell r="X89" t="str">
            <v>EST MODULO S/BRACO ELLIE (MTX MARROM) TC D4237 - 0,9x1,05x0,87H</v>
          </cell>
          <cell r="Y89">
            <v>51487.54</v>
          </cell>
          <cell r="Z89">
            <v>0.35</v>
          </cell>
          <cell r="AA89">
            <v>33466.900999999998</v>
          </cell>
          <cell r="AB89" t="str">
            <v>BC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1</v>
          </cell>
          <cell r="H90">
            <v>0</v>
          </cell>
          <cell r="O90">
            <v>405871</v>
          </cell>
          <cell r="P90" t="str">
            <v>2025/184-0006-01</v>
          </cell>
          <cell r="Q90" t="str">
            <v>EST MODULO BRACO DIR ELLIE (MTX MARROM) TC D4237</v>
          </cell>
          <cell r="R90">
            <v>3.1</v>
          </cell>
          <cell r="S90">
            <v>1.55</v>
          </cell>
          <cell r="T90">
            <v>1.1000000000000001</v>
          </cell>
          <cell r="U90">
            <v>1.05</v>
          </cell>
          <cell r="V90">
            <v>0.87</v>
          </cell>
          <cell r="W90">
            <v>0</v>
          </cell>
          <cell r="X90" t="str">
            <v>EST MODULO BRACO DIR ELLIE (MTX MARROM) TC D4237 - 1,1x1,05x0,87H</v>
          </cell>
          <cell r="Y90">
            <v>51487.54</v>
          </cell>
          <cell r="Z90">
            <v>0.35</v>
          </cell>
          <cell r="AA90">
            <v>33466.900999999998</v>
          </cell>
          <cell r="AB90" t="str">
            <v>BC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1</v>
          </cell>
          <cell r="H91">
            <v>0</v>
          </cell>
          <cell r="O91">
            <v>405872</v>
          </cell>
          <cell r="P91" t="str">
            <v>2025/184-0007-01</v>
          </cell>
          <cell r="Q91" t="str">
            <v>EST KIT MOTORIZADO TOUCH (ABERTURA 35) (2 ASSENTOS)</v>
          </cell>
          <cell r="R91">
            <v>3.1</v>
          </cell>
          <cell r="S91">
            <v>1.55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 t="str">
            <v>EST KIT MOTORIZADO TOUCH (ABERTURA 35) (2 ASSENTOS) - Ø0x0H</v>
          </cell>
          <cell r="Y91">
            <v>51487.54</v>
          </cell>
          <cell r="Z91">
            <v>0.35</v>
          </cell>
          <cell r="AA91">
            <v>33466.900999999998</v>
          </cell>
          <cell r="AB91" t="str">
            <v>BC</v>
          </cell>
        </row>
        <row r="92">
          <cell r="C92">
            <v>0</v>
          </cell>
          <cell r="D92">
            <v>0</v>
          </cell>
          <cell r="E92">
            <v>1</v>
          </cell>
          <cell r="F92">
            <v>0</v>
          </cell>
          <cell r="H92">
            <v>0</v>
          </cell>
          <cell r="O92">
            <v>405876</v>
          </cell>
          <cell r="P92" t="str">
            <v>2025/184-0008-01</v>
          </cell>
          <cell r="Q92" t="str">
            <v>EST MODULO CHAISE BRACO DIR ELLIE (MTZ CAPPUCCINO) TC D4235</v>
          </cell>
          <cell r="R92">
            <v>3.1</v>
          </cell>
          <cell r="S92">
            <v>1.55</v>
          </cell>
          <cell r="T92">
            <v>1.1000000000000001</v>
          </cell>
          <cell r="U92">
            <v>1.55</v>
          </cell>
          <cell r="V92">
            <v>0.87</v>
          </cell>
          <cell r="W92">
            <v>0</v>
          </cell>
          <cell r="X92" t="str">
            <v>EST MODULO CHAISE BRACO DIR ELLIE (MTZ CAPPUCCINO) TC D4235 - 1,1x1,55x0,87H</v>
          </cell>
          <cell r="Y92">
            <v>53759.91</v>
          </cell>
          <cell r="Z92">
            <v>0.35</v>
          </cell>
          <cell r="AA92">
            <v>34943.941500000001</v>
          </cell>
          <cell r="AB92" t="str">
            <v>BD</v>
          </cell>
        </row>
        <row r="93">
          <cell r="C93">
            <v>0</v>
          </cell>
          <cell r="D93">
            <v>0</v>
          </cell>
          <cell r="E93">
            <v>1</v>
          </cell>
          <cell r="F93">
            <v>0</v>
          </cell>
          <cell r="H93">
            <v>0</v>
          </cell>
          <cell r="O93">
            <v>405877</v>
          </cell>
          <cell r="P93" t="str">
            <v>2025/184-0009-01</v>
          </cell>
          <cell r="Q93" t="str">
            <v>EST MODULO S/BRACO ELLIE (MTZ CAPPUCCINO) TC D4235</v>
          </cell>
          <cell r="R93">
            <v>3.1</v>
          </cell>
          <cell r="S93">
            <v>1.55</v>
          </cell>
          <cell r="T93">
            <v>0.9</v>
          </cell>
          <cell r="U93">
            <v>1.05</v>
          </cell>
          <cell r="V93">
            <v>0.87</v>
          </cell>
          <cell r="W93">
            <v>0</v>
          </cell>
          <cell r="X93" t="str">
            <v>EST MODULO S/BRACO ELLIE (MTZ CAPPUCCINO) TC D4235 - 0,9x1,05x0,87H</v>
          </cell>
          <cell r="Y93">
            <v>53759.91</v>
          </cell>
          <cell r="Z93">
            <v>0.35</v>
          </cell>
          <cell r="AA93">
            <v>34943.941500000001</v>
          </cell>
          <cell r="AB93" t="str">
            <v>BD</v>
          </cell>
        </row>
        <row r="94">
          <cell r="C94">
            <v>0</v>
          </cell>
          <cell r="D94">
            <v>0</v>
          </cell>
          <cell r="E94">
            <v>1</v>
          </cell>
          <cell r="F94">
            <v>0</v>
          </cell>
          <cell r="H94">
            <v>0</v>
          </cell>
          <cell r="O94">
            <v>405879</v>
          </cell>
          <cell r="P94" t="str">
            <v>2025/184-0010-01</v>
          </cell>
          <cell r="Q94" t="str">
            <v>EST MODULO BRACO ESQ ELLIE (MTZ CAPPUCCINO) TC D4235</v>
          </cell>
          <cell r="R94">
            <v>3.1</v>
          </cell>
          <cell r="S94">
            <v>1.55</v>
          </cell>
          <cell r="T94">
            <v>1.1000000000000001</v>
          </cell>
          <cell r="U94">
            <v>1.05</v>
          </cell>
          <cell r="V94">
            <v>0.87</v>
          </cell>
          <cell r="W94">
            <v>0</v>
          </cell>
          <cell r="X94" t="str">
            <v>EST MODULO BRACO ESQ ELLIE (MTZ CAPPUCCINO) TC D4235 - 1,1x1,05x0,87H</v>
          </cell>
          <cell r="Y94">
            <v>53759.91</v>
          </cell>
          <cell r="Z94">
            <v>0.35</v>
          </cell>
          <cell r="AA94">
            <v>34943.941500000001</v>
          </cell>
          <cell r="AB94" t="str">
            <v>BD</v>
          </cell>
        </row>
        <row r="95">
          <cell r="C95">
            <v>0</v>
          </cell>
          <cell r="D95">
            <v>0</v>
          </cell>
          <cell r="E95">
            <v>1</v>
          </cell>
          <cell r="F95">
            <v>0</v>
          </cell>
          <cell r="H95">
            <v>0</v>
          </cell>
          <cell r="O95">
            <v>405891</v>
          </cell>
          <cell r="P95" t="str">
            <v>2025/184-0011-01</v>
          </cell>
          <cell r="Q95" t="str">
            <v>EST KIT MOTORIZADO TOUCH (ABERTURA 35) (2 ASSENTOS)</v>
          </cell>
          <cell r="R95">
            <v>3.1</v>
          </cell>
          <cell r="S95">
            <v>1.55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 t="str">
            <v>EST KIT MOTORIZADO TOUCH (ABERTURA 35) (2 ASSENTOS) - Ø0x0H</v>
          </cell>
          <cell r="Y95">
            <v>53759.91</v>
          </cell>
          <cell r="Z95">
            <v>0.35</v>
          </cell>
          <cell r="AA95">
            <v>34943.941500000001</v>
          </cell>
          <cell r="AB95" t="str">
            <v>BD</v>
          </cell>
        </row>
        <row r="96">
          <cell r="C96">
            <v>1</v>
          </cell>
          <cell r="D96">
            <v>0</v>
          </cell>
          <cell r="E96">
            <v>0</v>
          </cell>
          <cell r="F96">
            <v>0</v>
          </cell>
          <cell r="H96">
            <v>0</v>
          </cell>
          <cell r="O96">
            <v>405873</v>
          </cell>
          <cell r="P96" t="str">
            <v>2025/182-0076-01</v>
          </cell>
          <cell r="Q96" t="str">
            <v>EST MODULO BRACO DIR ELLIE (MTZ CONHAQUE) TC D4119</v>
          </cell>
          <cell r="R96">
            <v>3.7</v>
          </cell>
          <cell r="S96">
            <v>1.05</v>
          </cell>
          <cell r="T96">
            <v>1.3</v>
          </cell>
          <cell r="U96">
            <v>1.05</v>
          </cell>
          <cell r="V96">
            <v>0.87</v>
          </cell>
          <cell r="W96">
            <v>0</v>
          </cell>
          <cell r="X96" t="str">
            <v>EST MODULO BRACO DIR ELLIE (MTZ CONHAQUE) TC D4119 - 1,3x1,05x0,87H</v>
          </cell>
          <cell r="Y96">
            <v>59097.510000000009</v>
          </cell>
          <cell r="Z96">
            <v>0.35</v>
          </cell>
          <cell r="AA96">
            <v>38413.381500000003</v>
          </cell>
          <cell r="AB96" t="str">
            <v>BE</v>
          </cell>
        </row>
        <row r="97">
          <cell r="C97">
            <v>1</v>
          </cell>
          <cell r="D97">
            <v>0</v>
          </cell>
          <cell r="E97">
            <v>0</v>
          </cell>
          <cell r="F97">
            <v>0</v>
          </cell>
          <cell r="H97">
            <v>0</v>
          </cell>
          <cell r="O97">
            <v>405874</v>
          </cell>
          <cell r="P97" t="str">
            <v>2025/182-0077-01</v>
          </cell>
          <cell r="Q97" t="str">
            <v>EST MODULO S/BRACO DIR ELLIE (MTZ CONHAQUE) TC D4119</v>
          </cell>
          <cell r="R97">
            <v>3.7</v>
          </cell>
          <cell r="S97">
            <v>1.05</v>
          </cell>
          <cell r="T97">
            <v>1.1000000000000001</v>
          </cell>
          <cell r="U97">
            <v>1.05</v>
          </cell>
          <cell r="V97">
            <v>0.87</v>
          </cell>
          <cell r="W97">
            <v>0</v>
          </cell>
          <cell r="X97" t="str">
            <v>EST MODULO S/BRACO DIR ELLIE (MTZ CONHAQUE) TC D4119 - 1,1x1,05x0,87H</v>
          </cell>
          <cell r="Y97">
            <v>59097.510000000009</v>
          </cell>
          <cell r="Z97">
            <v>0.35</v>
          </cell>
          <cell r="AA97">
            <v>38413.381500000003</v>
          </cell>
          <cell r="AB97" t="str">
            <v>BE</v>
          </cell>
        </row>
        <row r="98">
          <cell r="C98">
            <v>1</v>
          </cell>
          <cell r="D98">
            <v>0</v>
          </cell>
          <cell r="E98">
            <v>0</v>
          </cell>
          <cell r="F98">
            <v>0</v>
          </cell>
          <cell r="H98">
            <v>0</v>
          </cell>
          <cell r="O98">
            <v>405875</v>
          </cell>
          <cell r="P98" t="str">
            <v>2025/182-0078-01</v>
          </cell>
          <cell r="Q98" t="str">
            <v>EST MODULO BRACO ESQ ELLIE (MTZ CONHAQUE) TC D4119</v>
          </cell>
          <cell r="R98">
            <v>3.7</v>
          </cell>
          <cell r="S98">
            <v>1.05</v>
          </cell>
          <cell r="T98">
            <v>1.3</v>
          </cell>
          <cell r="U98">
            <v>1.05</v>
          </cell>
          <cell r="V98">
            <v>0.87</v>
          </cell>
          <cell r="W98">
            <v>0</v>
          </cell>
          <cell r="X98" t="str">
            <v>EST MODULO BRACO ESQ ELLIE (MTZ CONHAQUE) TC D4119 - 1,3x1,05x0,87H</v>
          </cell>
          <cell r="Y98">
            <v>59097.510000000009</v>
          </cell>
          <cell r="Z98">
            <v>0.35</v>
          </cell>
          <cell r="AA98">
            <v>38413.381500000003</v>
          </cell>
          <cell r="AB98" t="str">
            <v>BE</v>
          </cell>
        </row>
        <row r="99">
          <cell r="C99">
            <v>1</v>
          </cell>
          <cell r="D99">
            <v>0</v>
          </cell>
          <cell r="E99">
            <v>0</v>
          </cell>
          <cell r="F99">
            <v>0</v>
          </cell>
          <cell r="H99">
            <v>0</v>
          </cell>
          <cell r="O99">
            <v>405890</v>
          </cell>
          <cell r="P99" t="str">
            <v>2025/182-0079-01</v>
          </cell>
          <cell r="Q99" t="str">
            <v>EST KIT MOTORIZADO TOUCH (ABERTURA 35) (3 ASSENTOS)</v>
          </cell>
          <cell r="R99">
            <v>3.7</v>
          </cell>
          <cell r="S99">
            <v>1.05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 t="str">
            <v>EST KIT MOTORIZADO TOUCH (ABERTURA 35) (3 ASSENTOS) - Ø0x0H</v>
          </cell>
          <cell r="Y99">
            <v>59097.510000000009</v>
          </cell>
          <cell r="Z99">
            <v>0.35</v>
          </cell>
          <cell r="AA99">
            <v>38413.381500000003</v>
          </cell>
          <cell r="AB99" t="str">
            <v>BE</v>
          </cell>
        </row>
        <row r="100">
          <cell r="C100">
            <v>1</v>
          </cell>
          <cell r="D100">
            <v>0</v>
          </cell>
          <cell r="E100">
            <v>0</v>
          </cell>
          <cell r="F100">
            <v>0</v>
          </cell>
          <cell r="H100">
            <v>0</v>
          </cell>
          <cell r="O100">
            <v>409780</v>
          </cell>
          <cell r="P100" t="str">
            <v>2025/237-0018-01</v>
          </cell>
          <cell r="Q100" t="str">
            <v>EST MODULO B/ESQ C/AVANCO BASE ESQ DALOA (FREIJO) FX J0500</v>
          </cell>
          <cell r="R100">
            <v>4.1500000000000004</v>
          </cell>
          <cell r="S100">
            <v>3.02</v>
          </cell>
          <cell r="T100">
            <v>3.15</v>
          </cell>
          <cell r="U100">
            <v>1</v>
          </cell>
          <cell r="V100">
            <v>0.85</v>
          </cell>
          <cell r="W100">
            <v>0</v>
          </cell>
          <cell r="X100" t="str">
            <v>EST MODULO B/ESQ C/AVANCO BASE ESQ DALOA (FREIJO) FX J0500 - 3,15x1x0,85H</v>
          </cell>
          <cell r="Y100">
            <v>75098.649999999994</v>
          </cell>
          <cell r="Z100">
            <v>0.35</v>
          </cell>
          <cell r="AA100">
            <v>48814.122499999998</v>
          </cell>
          <cell r="AB100" t="str">
            <v>BF</v>
          </cell>
        </row>
        <row r="101">
          <cell r="C101">
            <v>1</v>
          </cell>
          <cell r="D101">
            <v>0</v>
          </cell>
          <cell r="E101">
            <v>0</v>
          </cell>
          <cell r="F101">
            <v>0</v>
          </cell>
          <cell r="H101">
            <v>0</v>
          </cell>
          <cell r="O101">
            <v>409781</v>
          </cell>
          <cell r="P101" t="str">
            <v>2025/237-0019-01</v>
          </cell>
          <cell r="Q101" t="str">
            <v>EST MODULO CH ENC V F DIR C/AV BASE DALOA (FREIJO) FX J0500</v>
          </cell>
          <cell r="R101">
            <v>4.1500000000000004</v>
          </cell>
          <cell r="S101">
            <v>3.02</v>
          </cell>
          <cell r="T101">
            <v>3.02</v>
          </cell>
          <cell r="U101">
            <v>1</v>
          </cell>
          <cell r="V101">
            <v>0.85</v>
          </cell>
          <cell r="W101">
            <v>0</v>
          </cell>
          <cell r="X101" t="str">
            <v>EST MODULO CH ENC V F DIR C/AV BASE DALOA (FREIJO) FX J0500 - 3,02x1x0,85H</v>
          </cell>
          <cell r="Y101">
            <v>75098.649999999994</v>
          </cell>
          <cell r="Z101">
            <v>0.35</v>
          </cell>
          <cell r="AA101">
            <v>48814.122499999998</v>
          </cell>
          <cell r="AB101" t="str">
            <v>BF</v>
          </cell>
        </row>
        <row r="102">
          <cell r="C102">
            <v>1</v>
          </cell>
          <cell r="D102">
            <v>0</v>
          </cell>
          <cell r="E102">
            <v>0</v>
          </cell>
          <cell r="F102">
            <v>0</v>
          </cell>
          <cell r="H102">
            <v>0</v>
          </cell>
          <cell r="O102">
            <v>404111</v>
          </cell>
          <cell r="P102" t="str">
            <v>2025/246-0033-01</v>
          </cell>
          <cell r="Q102" t="str">
            <v>EST OMBRELLONE BELLAGIO (ALU C29 | CORD V01)</v>
          </cell>
          <cell r="R102">
            <v>2.5</v>
          </cell>
          <cell r="S102">
            <v>0</v>
          </cell>
          <cell r="T102">
            <v>2.5</v>
          </cell>
          <cell r="U102">
            <v>0</v>
          </cell>
          <cell r="V102">
            <v>2.2000000000000002</v>
          </cell>
          <cell r="W102">
            <v>2.5</v>
          </cell>
          <cell r="X102" t="str">
            <v>EST OMBRELLONE BELLAGIO (ALU C29 | CORD V01) - Ø2,5x2,2H</v>
          </cell>
          <cell r="Y102">
            <v>45566.89</v>
          </cell>
          <cell r="Z102">
            <v>0.35</v>
          </cell>
          <cell r="AA102">
            <v>29618.478500000001</v>
          </cell>
          <cell r="AB102" t="str">
            <v>BG</v>
          </cell>
        </row>
        <row r="103">
          <cell r="C103">
            <v>1</v>
          </cell>
          <cell r="D103">
            <v>0</v>
          </cell>
          <cell r="E103">
            <v>0</v>
          </cell>
          <cell r="F103">
            <v>0</v>
          </cell>
          <cell r="H103">
            <v>0</v>
          </cell>
          <cell r="O103">
            <v>409905</v>
          </cell>
          <cell r="P103" t="str">
            <v>2025/246-0036-01</v>
          </cell>
          <cell r="Q103" t="str">
            <v>EST COMPONENTE BASE OMBRELONE BELLAGIO (ALU C29)</v>
          </cell>
          <cell r="R103">
            <v>2.5</v>
          </cell>
          <cell r="S103">
            <v>0</v>
          </cell>
          <cell r="T103">
            <v>0.5</v>
          </cell>
          <cell r="U103">
            <v>0</v>
          </cell>
          <cell r="V103">
            <v>0.35</v>
          </cell>
          <cell r="W103">
            <v>0.5</v>
          </cell>
          <cell r="X103" t="str">
            <v>EST COMPONENTE BASE OMBRELONE BELLAGIO (ALU C29) - Ø0,5x0,35H</v>
          </cell>
          <cell r="Y103">
            <v>45566.89</v>
          </cell>
          <cell r="Z103">
            <v>0.35</v>
          </cell>
          <cell r="AA103">
            <v>29618.478500000001</v>
          </cell>
          <cell r="AB103" t="str">
            <v>BG</v>
          </cell>
        </row>
        <row r="104">
          <cell r="C104">
            <v>1</v>
          </cell>
          <cell r="D104">
            <v>0</v>
          </cell>
          <cell r="E104">
            <v>0</v>
          </cell>
          <cell r="F104">
            <v>0</v>
          </cell>
          <cell r="H104">
            <v>0</v>
          </cell>
          <cell r="O104">
            <v>409782</v>
          </cell>
          <cell r="P104" t="str">
            <v>2025/253-0012-01</v>
          </cell>
          <cell r="Q104" t="str">
            <v>EST MODULO CHAISE BRACO ESQ LAGO FX D4238</v>
          </cell>
          <cell r="R104">
            <v>3.6</v>
          </cell>
          <cell r="S104">
            <v>1.6</v>
          </cell>
          <cell r="T104">
            <v>1.3</v>
          </cell>
          <cell r="U104">
            <v>1.6</v>
          </cell>
          <cell r="V104">
            <v>0.84</v>
          </cell>
          <cell r="W104">
            <v>0</v>
          </cell>
          <cell r="X104" t="str">
            <v>EST MODULO CHAISE BRACO ESQ LAGO FX D4238 - 1,3x1,6x0,84H</v>
          </cell>
          <cell r="Y104">
            <v>51573.24</v>
          </cell>
          <cell r="Z104">
            <v>0.35</v>
          </cell>
          <cell r="AA104">
            <v>33522.606</v>
          </cell>
          <cell r="AB104" t="str">
            <v>BH</v>
          </cell>
        </row>
        <row r="105">
          <cell r="C105">
            <v>1</v>
          </cell>
          <cell r="D105">
            <v>0</v>
          </cell>
          <cell r="E105">
            <v>0</v>
          </cell>
          <cell r="F105">
            <v>0</v>
          </cell>
          <cell r="H105">
            <v>0</v>
          </cell>
          <cell r="O105">
            <v>409783</v>
          </cell>
          <cell r="P105" t="str">
            <v>2025/253-0013-01</v>
          </cell>
          <cell r="Q105" t="str">
            <v>EST MODULO S/BRACO LAGO FX D4238</v>
          </cell>
          <cell r="R105">
            <v>3.6</v>
          </cell>
          <cell r="S105">
            <v>1.6</v>
          </cell>
          <cell r="T105">
            <v>1</v>
          </cell>
          <cell r="U105">
            <v>1.2</v>
          </cell>
          <cell r="V105">
            <v>0.84</v>
          </cell>
          <cell r="W105">
            <v>0</v>
          </cell>
          <cell r="X105" t="str">
            <v>EST MODULO S/BRACO LAGO FX D4238 - 1x1,2x0,84H</v>
          </cell>
          <cell r="Y105">
            <v>51573.24</v>
          </cell>
          <cell r="Z105">
            <v>0.35</v>
          </cell>
          <cell r="AA105">
            <v>33522.606</v>
          </cell>
          <cell r="AB105" t="str">
            <v>BH</v>
          </cell>
        </row>
        <row r="106">
          <cell r="C106">
            <v>1</v>
          </cell>
          <cell r="D106">
            <v>0</v>
          </cell>
          <cell r="E106">
            <v>0</v>
          </cell>
          <cell r="F106">
            <v>0</v>
          </cell>
          <cell r="H106">
            <v>0</v>
          </cell>
          <cell r="O106">
            <v>409784</v>
          </cell>
          <cell r="P106" t="str">
            <v>2025/253-0014-01</v>
          </cell>
          <cell r="Q106" t="str">
            <v>EST MODULO BRACO DIR LAGO FX D4238</v>
          </cell>
          <cell r="R106">
            <v>3.6</v>
          </cell>
          <cell r="S106">
            <v>1.6</v>
          </cell>
          <cell r="T106">
            <v>1.3</v>
          </cell>
          <cell r="U106">
            <v>1.2</v>
          </cell>
          <cell r="V106">
            <v>0.84</v>
          </cell>
          <cell r="W106">
            <v>0</v>
          </cell>
          <cell r="X106" t="str">
            <v>EST MODULO BRACO DIR LAGO FX D4238 - 1,3x1,2x0,84H</v>
          </cell>
          <cell r="Y106">
            <v>51573.24</v>
          </cell>
          <cell r="Z106">
            <v>0.35</v>
          </cell>
          <cell r="AA106">
            <v>33522.606</v>
          </cell>
          <cell r="AB106" t="str">
            <v>BH</v>
          </cell>
        </row>
        <row r="107">
          <cell r="C107">
            <v>1</v>
          </cell>
          <cell r="D107">
            <v>0</v>
          </cell>
          <cell r="E107">
            <v>0</v>
          </cell>
          <cell r="F107">
            <v>0</v>
          </cell>
          <cell r="H107">
            <v>0</v>
          </cell>
          <cell r="O107">
            <v>409785</v>
          </cell>
          <cell r="P107" t="str">
            <v>2025/253-0015-01</v>
          </cell>
          <cell r="Q107" t="str">
            <v>EST KIT MOTORIZADO TOUCH (ABERTURA 40) (1 ASSENTO)</v>
          </cell>
          <cell r="R107">
            <v>3.6</v>
          </cell>
          <cell r="S107">
            <v>1.6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 t="str">
            <v>EST KIT MOTORIZADO TOUCH (ABERTURA 40) (1 ASSENTO) - Ø0x0H</v>
          </cell>
          <cell r="Y107">
            <v>51573.24</v>
          </cell>
          <cell r="Z107">
            <v>0.35</v>
          </cell>
          <cell r="AA107">
            <v>33522.606</v>
          </cell>
          <cell r="AB107" t="str">
            <v>BH</v>
          </cell>
        </row>
        <row r="108">
          <cell r="C108">
            <v>1</v>
          </cell>
          <cell r="D108">
            <v>0</v>
          </cell>
          <cell r="E108">
            <v>0</v>
          </cell>
          <cell r="F108">
            <v>0</v>
          </cell>
          <cell r="H108">
            <v>0</v>
          </cell>
          <cell r="O108">
            <v>379873</v>
          </cell>
          <cell r="P108" t="str">
            <v>2024/068-0047-01</v>
          </cell>
          <cell r="Q108" t="str">
            <v>EST BASE APARADOR MONDRIAN (BAIXO) (C/PORTA) (LAM NOG)</v>
          </cell>
          <cell r="R108">
            <v>1.8</v>
          </cell>
          <cell r="S108">
            <v>0.45</v>
          </cell>
          <cell r="T108">
            <v>1.8</v>
          </cell>
          <cell r="U108">
            <v>0.45</v>
          </cell>
          <cell r="V108">
            <v>0.45</v>
          </cell>
          <cell r="W108">
            <v>0</v>
          </cell>
          <cell r="X108" t="str">
            <v>EST BASE APARADOR MONDRIAN (BAIXO) (C/PORTA) (LAM NOG) - 1,8x0,45x0,45H</v>
          </cell>
          <cell r="Y108">
            <v>42894.3</v>
          </cell>
          <cell r="Z108">
            <v>0.5</v>
          </cell>
          <cell r="AA108">
            <v>21447.15</v>
          </cell>
          <cell r="AB108" t="str">
            <v>BI</v>
          </cell>
        </row>
        <row r="109">
          <cell r="C109">
            <v>1</v>
          </cell>
          <cell r="D109">
            <v>0</v>
          </cell>
          <cell r="E109">
            <v>0</v>
          </cell>
          <cell r="F109">
            <v>1</v>
          </cell>
          <cell r="H109">
            <v>0</v>
          </cell>
          <cell r="O109">
            <v>379880</v>
          </cell>
          <cell r="P109" t="str">
            <v>2024/068-0049-01</v>
          </cell>
          <cell r="Q109" t="str">
            <v>EST TAMPO MONDRIAN (PEDRA 2) (QUARTZITO BRONZITE)</v>
          </cell>
          <cell r="R109">
            <v>1.8</v>
          </cell>
          <cell r="S109">
            <v>0.45</v>
          </cell>
          <cell r="T109">
            <v>1.2</v>
          </cell>
          <cell r="U109">
            <v>0.42</v>
          </cell>
          <cell r="V109">
            <v>0.02</v>
          </cell>
          <cell r="W109">
            <v>0</v>
          </cell>
          <cell r="X109" t="str">
            <v>EST TAMPO MONDRIAN (PEDRA 2) (QUARTZITO BRONZITE) - 1,2x0,42x0,02H</v>
          </cell>
          <cell r="Y109">
            <v>42894.3</v>
          </cell>
          <cell r="Z109">
            <v>0.35</v>
          </cell>
          <cell r="AA109">
            <v>27881.295000000006</v>
          </cell>
          <cell r="AB109" t="str">
            <v>BI</v>
          </cell>
        </row>
        <row r="110">
          <cell r="C110">
            <v>0</v>
          </cell>
          <cell r="D110">
            <v>1</v>
          </cell>
          <cell r="E110">
            <v>0</v>
          </cell>
          <cell r="F110">
            <v>0</v>
          </cell>
          <cell r="H110">
            <v>0</v>
          </cell>
          <cell r="O110">
            <v>410919</v>
          </cell>
          <cell r="P110" t="str">
            <v>2025/272-0043-01</v>
          </cell>
          <cell r="Q110" t="str">
            <v>EST MODULO BRACO DIR IZADORA (CAPA/PENA) (2ASS) (TC DEVA 08)</v>
          </cell>
          <cell r="R110">
            <v>3.48</v>
          </cell>
          <cell r="S110">
            <v>1.04</v>
          </cell>
          <cell r="T110">
            <v>1.74</v>
          </cell>
          <cell r="U110">
            <v>1.04</v>
          </cell>
          <cell r="V110">
            <v>0.89</v>
          </cell>
          <cell r="W110">
            <v>0</v>
          </cell>
          <cell r="X110" t="str">
            <v>EST MODULO BRACO DIR IZADORA (CAPA/PENA) (2ASS) (TC DEVA 08) - 1,74x1,04x0,89H</v>
          </cell>
          <cell r="Y110">
            <v>39452.480000000003</v>
          </cell>
          <cell r="Z110">
            <v>0.35</v>
          </cell>
          <cell r="AA110">
            <v>25644.112000000001</v>
          </cell>
          <cell r="AB110" t="str">
            <v>BJ</v>
          </cell>
        </row>
        <row r="111">
          <cell r="C111">
            <v>0</v>
          </cell>
          <cell r="D111">
            <v>1</v>
          </cell>
          <cell r="E111">
            <v>0</v>
          </cell>
          <cell r="F111">
            <v>0</v>
          </cell>
          <cell r="H111">
            <v>0</v>
          </cell>
          <cell r="O111">
            <v>410920</v>
          </cell>
          <cell r="P111" t="str">
            <v>2025/272-0042-01</v>
          </cell>
          <cell r="Q111" t="str">
            <v>EST MODULO BRACO ESQ IZADORA (CAPA/PENA) (2ASS) (TC DEVA 08)</v>
          </cell>
          <cell r="R111">
            <v>3.48</v>
          </cell>
          <cell r="S111">
            <v>1.04</v>
          </cell>
          <cell r="T111">
            <v>1.74</v>
          </cell>
          <cell r="U111">
            <v>1.04</v>
          </cell>
          <cell r="V111">
            <v>0.89</v>
          </cell>
          <cell r="W111">
            <v>0</v>
          </cell>
          <cell r="X111" t="str">
            <v>EST MODULO BRACO ESQ IZADORA (CAPA/PENA) (2ASS) (TC DEVA 08) - 1,74x1,04x0,89H</v>
          </cell>
          <cell r="Y111">
            <v>39452.480000000003</v>
          </cell>
          <cell r="Z111">
            <v>0.35</v>
          </cell>
          <cell r="AA111">
            <v>25644.112000000001</v>
          </cell>
          <cell r="AB111" t="str">
            <v>BJ</v>
          </cell>
        </row>
        <row r="112">
          <cell r="C112">
            <v>0</v>
          </cell>
          <cell r="D112">
            <v>1</v>
          </cell>
          <cell r="E112">
            <v>0</v>
          </cell>
          <cell r="F112">
            <v>0</v>
          </cell>
          <cell r="H112">
            <v>0</v>
          </cell>
          <cell r="O112">
            <v>274728</v>
          </cell>
          <cell r="P112" t="str">
            <v>2021/120-0107-01</v>
          </cell>
          <cell r="Q112" t="str">
            <v>EST MODULO BRACO ESQ ARAGON (1AS) (BC10) (MTX PRETO) D4107</v>
          </cell>
          <cell r="R112">
            <v>4.2</v>
          </cell>
          <cell r="S112">
            <v>2.6</v>
          </cell>
          <cell r="T112">
            <v>1.1000000000000001</v>
          </cell>
          <cell r="U112">
            <v>1</v>
          </cell>
          <cell r="V112">
            <v>0.92</v>
          </cell>
          <cell r="W112">
            <v>0</v>
          </cell>
          <cell r="X112" t="str">
            <v>EST MODULO BRACO ESQ ARAGON (1AS) (BC10) (MTX PRETO) D4107 - 1,1x1x0,92H</v>
          </cell>
          <cell r="Y112">
            <v>70347.42</v>
          </cell>
          <cell r="Z112">
            <v>0.5</v>
          </cell>
          <cell r="AA112">
            <v>35173.71</v>
          </cell>
          <cell r="AB112" t="str">
            <v>BQ</v>
          </cell>
        </row>
        <row r="113">
          <cell r="C113">
            <v>0</v>
          </cell>
          <cell r="D113">
            <v>1</v>
          </cell>
          <cell r="E113">
            <v>0</v>
          </cell>
          <cell r="F113">
            <v>0</v>
          </cell>
          <cell r="H113">
            <v>0</v>
          </cell>
          <cell r="O113">
            <v>274730</v>
          </cell>
          <cell r="P113" t="str">
            <v>2021/120-0108-01</v>
          </cell>
          <cell r="Q113" t="str">
            <v>EST MODULO CURVO ARAGON (MTX PRETO) D4107</v>
          </cell>
          <cell r="R113">
            <v>4.2</v>
          </cell>
          <cell r="S113">
            <v>2.6</v>
          </cell>
          <cell r="T113">
            <v>2.1</v>
          </cell>
          <cell r="U113">
            <v>1.4</v>
          </cell>
          <cell r="V113">
            <v>0.92</v>
          </cell>
          <cell r="W113">
            <v>0</v>
          </cell>
          <cell r="X113" t="str">
            <v>EST MODULO CURVO ARAGON (MTX PRETO) D4107 - 2,1x1,4x0,92H</v>
          </cell>
          <cell r="Y113">
            <v>70347.42</v>
          </cell>
          <cell r="Z113">
            <v>0.5</v>
          </cell>
          <cell r="AA113">
            <v>35173.71</v>
          </cell>
          <cell r="AB113" t="str">
            <v>BQ</v>
          </cell>
        </row>
        <row r="114">
          <cell r="C114">
            <v>0</v>
          </cell>
          <cell r="D114">
            <v>1</v>
          </cell>
          <cell r="E114">
            <v>0</v>
          </cell>
          <cell r="F114">
            <v>0</v>
          </cell>
          <cell r="H114">
            <v>0</v>
          </cell>
          <cell r="O114">
            <v>274733</v>
          </cell>
          <cell r="P114" t="str">
            <v>2021/120-0109-01</v>
          </cell>
          <cell r="Q114" t="str">
            <v>EST MODULO CHAISE BRACO DIR ARAGON (BC30) (MTX PRETO) D4107</v>
          </cell>
          <cell r="R114">
            <v>4.2</v>
          </cell>
          <cell r="S114">
            <v>2.6</v>
          </cell>
          <cell r="T114">
            <v>1.2</v>
          </cell>
          <cell r="U114">
            <v>1.6</v>
          </cell>
          <cell r="V114">
            <v>0.92</v>
          </cell>
          <cell r="W114">
            <v>0</v>
          </cell>
          <cell r="X114" t="str">
            <v>EST MODULO CHAISE BRACO DIR ARAGON (BC30) (MTX PRETO) D4107 - 1,2x1,6x0,92H</v>
          </cell>
          <cell r="Y114">
            <v>70347.42</v>
          </cell>
          <cell r="Z114">
            <v>0.5</v>
          </cell>
          <cell r="AA114">
            <v>35173.71</v>
          </cell>
          <cell r="AB114" t="str">
            <v>BQ</v>
          </cell>
        </row>
        <row r="115">
          <cell r="C115">
            <v>0</v>
          </cell>
          <cell r="D115">
            <v>1</v>
          </cell>
          <cell r="E115">
            <v>1</v>
          </cell>
          <cell r="F115">
            <v>0</v>
          </cell>
          <cell r="H115">
            <v>0</v>
          </cell>
          <cell r="O115">
            <v>300771</v>
          </cell>
          <cell r="P115" t="str">
            <v>2021/341-0088-01</v>
          </cell>
          <cell r="Q115" t="str">
            <v>EST MODULO BRACO ESQ C/AVANCO DALOA FX E5007 FREIJO</v>
          </cell>
          <cell r="R115">
            <v>4.0999999999999996</v>
          </cell>
          <cell r="S115">
            <v>1.55</v>
          </cell>
          <cell r="T115">
            <v>2.5499999999999998</v>
          </cell>
          <cell r="U115">
            <v>1</v>
          </cell>
          <cell r="V115">
            <v>0.85</v>
          </cell>
          <cell r="W115">
            <v>0</v>
          </cell>
          <cell r="X115" t="str">
            <v>EST MODULO BRACO ESQ C/AVANCO DALOA FX E5007 FREIJO - 2,55x1x0,85H</v>
          </cell>
          <cell r="Y115">
            <v>56161.229999999996</v>
          </cell>
          <cell r="Z115">
            <v>0.35</v>
          </cell>
          <cell r="AA115">
            <v>36504.799499999994</v>
          </cell>
          <cell r="AB115" t="str">
            <v>BY</v>
          </cell>
        </row>
        <row r="116">
          <cell r="C116">
            <v>0</v>
          </cell>
          <cell r="D116">
            <v>1</v>
          </cell>
          <cell r="E116">
            <v>1</v>
          </cell>
          <cell r="F116">
            <v>0</v>
          </cell>
          <cell r="H116">
            <v>0</v>
          </cell>
          <cell r="O116">
            <v>300772</v>
          </cell>
          <cell r="P116" t="str">
            <v>2021/341-0092-01</v>
          </cell>
          <cell r="Q116" t="str">
            <v>EST MODULO CHAISE BRACO DIR C/AVANCO DALOA FX E5007 FREIJO</v>
          </cell>
          <cell r="R116">
            <v>4.0999999999999996</v>
          </cell>
          <cell r="S116">
            <v>1.55</v>
          </cell>
          <cell r="T116">
            <v>1.55</v>
          </cell>
          <cell r="U116">
            <v>1.55</v>
          </cell>
          <cell r="V116">
            <v>0.85</v>
          </cell>
          <cell r="W116">
            <v>0</v>
          </cell>
          <cell r="X116" t="str">
            <v>EST MODULO CHAISE BRACO DIR C/AVANCO DALOA FX E5007 FREIJO - 1,55x1,55x0,85H</v>
          </cell>
          <cell r="Y116">
            <v>56161.229999999996</v>
          </cell>
          <cell r="Z116">
            <v>0.35</v>
          </cell>
          <cell r="AA116">
            <v>36504.799499999994</v>
          </cell>
          <cell r="AB116" t="str">
            <v>BY</v>
          </cell>
        </row>
        <row r="117">
          <cell r="C117">
            <v>1</v>
          </cell>
          <cell r="D117">
            <v>0</v>
          </cell>
          <cell r="E117">
            <v>0</v>
          </cell>
          <cell r="F117">
            <v>1</v>
          </cell>
          <cell r="H117">
            <v>0</v>
          </cell>
          <cell r="O117">
            <v>404604</v>
          </cell>
          <cell r="P117" t="str">
            <v>2025/246-0037-01</v>
          </cell>
          <cell r="Q117" t="str">
            <v>EST BASE CENTRO BELLAGIO (ALU C29)</v>
          </cell>
          <cell r="R117">
            <v>1.25</v>
          </cell>
          <cell r="S117">
            <v>0</v>
          </cell>
          <cell r="T117">
            <v>1.2</v>
          </cell>
          <cell r="U117">
            <v>0</v>
          </cell>
          <cell r="V117">
            <v>0.35</v>
          </cell>
          <cell r="W117">
            <v>1.2</v>
          </cell>
          <cell r="X117" t="str">
            <v>EST BASE CENTRO BELLAGIO (ALU C29) - Ø1,2x0,35H</v>
          </cell>
          <cell r="Y117">
            <v>27488.497599999999</v>
          </cell>
          <cell r="Z117">
            <v>0.35</v>
          </cell>
          <cell r="AA117">
            <v>17867.523439999997</v>
          </cell>
          <cell r="AB117" t="str">
            <v>BZ</v>
          </cell>
        </row>
        <row r="118">
          <cell r="C118">
            <v>1</v>
          </cell>
          <cell r="D118">
            <v>0</v>
          </cell>
          <cell r="E118">
            <v>0</v>
          </cell>
          <cell r="F118">
            <v>1</v>
          </cell>
          <cell r="H118">
            <v>0</v>
          </cell>
          <cell r="O118">
            <v>409056</v>
          </cell>
          <cell r="P118" t="str">
            <v>2025/232-0049-01</v>
          </cell>
          <cell r="Q118" t="str">
            <v>EST TAMPO MARMORE (F10916) (SILVER FOSCO)</v>
          </cell>
          <cell r="R118">
            <v>1.25</v>
          </cell>
          <cell r="S118">
            <v>0</v>
          </cell>
          <cell r="T118">
            <v>1.25</v>
          </cell>
          <cell r="U118">
            <v>0</v>
          </cell>
          <cell r="V118">
            <v>0.02</v>
          </cell>
          <cell r="W118">
            <v>1.25</v>
          </cell>
          <cell r="X118" t="str">
            <v>EST TAMPO MARMORE (F10916) (SILVER FOSCO) - Ø1,25x0,02H</v>
          </cell>
          <cell r="Y118">
            <v>27488.497599999999</v>
          </cell>
          <cell r="Z118">
            <v>0.35</v>
          </cell>
          <cell r="AA118">
            <v>17867.523439999997</v>
          </cell>
          <cell r="AB118" t="str">
            <v>BZ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H119">
            <v>1</v>
          </cell>
          <cell r="O119">
            <v>307836</v>
          </cell>
          <cell r="P119" t="str">
            <v>2022/012-0001-01</v>
          </cell>
          <cell r="Q119" t="str">
            <v>EST BASE JANTAR PREMIUM (BASE PINTURA PRETO FOSCO)</v>
          </cell>
          <cell r="R119">
            <v>3</v>
          </cell>
          <cell r="S119">
            <v>1.2</v>
          </cell>
          <cell r="T119">
            <v>2.9</v>
          </cell>
          <cell r="U119">
            <v>1.1000000000000001</v>
          </cell>
          <cell r="V119">
            <v>0.76</v>
          </cell>
          <cell r="W119">
            <v>0</v>
          </cell>
          <cell r="X119" t="str">
            <v>EST BASE JANTAR PREMIUM (BASE PINTURA PRETO FOSCO) - 2,9x1,1x0,76H</v>
          </cell>
          <cell r="Y119">
            <v>97654.11599999998</v>
          </cell>
          <cell r="Z119">
            <v>0.35</v>
          </cell>
          <cell r="AA119">
            <v>63475.175399999986</v>
          </cell>
          <cell r="AB119" t="str">
            <v>C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H120">
            <v>1</v>
          </cell>
          <cell r="O120">
            <v>307837</v>
          </cell>
          <cell r="P120" t="str">
            <v>2022/025-0160-01</v>
          </cell>
          <cell r="Q120" t="str">
            <v>EST TAMPO MARMORE (F9025) (RETO/CHANF) (G3 VITORIA R LEVIG)</v>
          </cell>
          <cell r="R120">
            <v>3</v>
          </cell>
          <cell r="S120">
            <v>1.2</v>
          </cell>
          <cell r="T120">
            <v>3</v>
          </cell>
          <cell r="U120">
            <v>1.2</v>
          </cell>
          <cell r="V120">
            <v>0.02</v>
          </cell>
          <cell r="W120">
            <v>0</v>
          </cell>
          <cell r="X120" t="str">
            <v>EST TAMPO MARMORE (F9025) (RETO/CHANF) (G3 VITORIA R LEVIG) - 3x1,2x0,02H</v>
          </cell>
          <cell r="Y120">
            <v>97654.11599999998</v>
          </cell>
          <cell r="Z120">
            <v>0.35</v>
          </cell>
          <cell r="AA120">
            <v>63475.175399999986</v>
          </cell>
          <cell r="AB120" t="str">
            <v>C</v>
          </cell>
        </row>
        <row r="121">
          <cell r="C121">
            <v>0</v>
          </cell>
          <cell r="D121">
            <v>1</v>
          </cell>
          <cell r="E121">
            <v>0</v>
          </cell>
          <cell r="F121">
            <v>0</v>
          </cell>
          <cell r="H121">
            <v>0</v>
          </cell>
          <cell r="O121">
            <v>270734</v>
          </cell>
          <cell r="P121" t="str">
            <v>2020/338-0071-01</v>
          </cell>
          <cell r="Q121" t="str">
            <v>EST MODULO BRACO DIREITO JOPLIN FX B2109</v>
          </cell>
          <cell r="R121">
            <v>3.7</v>
          </cell>
          <cell r="S121">
            <v>2.8</v>
          </cell>
          <cell r="T121">
            <v>1</v>
          </cell>
          <cell r="U121">
            <v>0.9</v>
          </cell>
          <cell r="V121">
            <v>0.84</v>
          </cell>
          <cell r="W121">
            <v>0</v>
          </cell>
          <cell r="X121" t="str">
            <v>EST MODULO BRACO DIREITO JOPLIN FX B2109 - 1x0,9x0,84H</v>
          </cell>
          <cell r="Y121">
            <v>40556.590000000004</v>
          </cell>
          <cell r="Z121">
            <v>0.35</v>
          </cell>
          <cell r="AA121">
            <v>26361.783500000005</v>
          </cell>
          <cell r="AB121" t="str">
            <v>CA</v>
          </cell>
        </row>
        <row r="122">
          <cell r="C122">
            <v>0</v>
          </cell>
          <cell r="D122">
            <v>1</v>
          </cell>
          <cell r="E122">
            <v>0</v>
          </cell>
          <cell r="F122">
            <v>0</v>
          </cell>
          <cell r="H122">
            <v>0</v>
          </cell>
          <cell r="O122">
            <v>270735</v>
          </cell>
          <cell r="P122" t="str">
            <v>2020/338-0072-01</v>
          </cell>
          <cell r="Q122" t="str">
            <v>EST MODULO BRACO ESQUERDO JOPLIN FX B2109</v>
          </cell>
          <cell r="R122">
            <v>3.7</v>
          </cell>
          <cell r="S122">
            <v>2.8</v>
          </cell>
          <cell r="T122">
            <v>1</v>
          </cell>
          <cell r="U122">
            <v>0.9</v>
          </cell>
          <cell r="V122">
            <v>0.84</v>
          </cell>
          <cell r="W122">
            <v>0</v>
          </cell>
          <cell r="X122" t="str">
            <v>EST MODULO BRACO ESQUERDO JOPLIN FX B2109 - 1x0,9x0,84H</v>
          </cell>
          <cell r="Y122">
            <v>40556.590000000004</v>
          </cell>
          <cell r="Z122">
            <v>0.35</v>
          </cell>
          <cell r="AA122">
            <v>26361.783500000005</v>
          </cell>
          <cell r="AB122" t="str">
            <v>CA</v>
          </cell>
        </row>
        <row r="123">
          <cell r="C123">
            <v>0</v>
          </cell>
          <cell r="D123">
            <v>3</v>
          </cell>
          <cell r="E123">
            <v>0</v>
          </cell>
          <cell r="F123">
            <v>0</v>
          </cell>
          <cell r="H123">
            <v>0</v>
          </cell>
          <cell r="O123">
            <v>270736</v>
          </cell>
          <cell r="P123" t="str">
            <v>2020/338-0073-01</v>
          </cell>
          <cell r="Q123" t="str">
            <v>EST MODULO S/BRACO JOPLIN FX B2109</v>
          </cell>
          <cell r="R123">
            <v>3.7</v>
          </cell>
          <cell r="S123">
            <v>2.8</v>
          </cell>
          <cell r="T123">
            <v>0.9</v>
          </cell>
          <cell r="U123">
            <v>0.9</v>
          </cell>
          <cell r="V123">
            <v>0.84</v>
          </cell>
          <cell r="W123">
            <v>0</v>
          </cell>
          <cell r="X123" t="str">
            <v>EST MODULO S/BRACO JOPLIN FX B2109 - 0,9x0,9x0,84H</v>
          </cell>
          <cell r="Y123">
            <v>40556.590000000004</v>
          </cell>
          <cell r="Z123">
            <v>0.35</v>
          </cell>
          <cell r="AA123">
            <v>26361.783500000005</v>
          </cell>
          <cell r="AB123" t="str">
            <v>CA</v>
          </cell>
        </row>
        <row r="124">
          <cell r="C124">
            <v>0</v>
          </cell>
          <cell r="D124">
            <v>3</v>
          </cell>
          <cell r="E124">
            <v>0</v>
          </cell>
          <cell r="F124">
            <v>0</v>
          </cell>
          <cell r="H124">
            <v>0</v>
          </cell>
          <cell r="O124">
            <v>270736</v>
          </cell>
          <cell r="P124" t="str">
            <v>2020/338-0074-01</v>
          </cell>
          <cell r="Q124" t="str">
            <v>EST MODULO S/BRACO JOPLIN FX B2109</v>
          </cell>
          <cell r="R124">
            <v>3.7</v>
          </cell>
          <cell r="S124">
            <v>2.8</v>
          </cell>
          <cell r="T124">
            <v>0.9</v>
          </cell>
          <cell r="U124">
            <v>0.9</v>
          </cell>
          <cell r="V124">
            <v>0.84</v>
          </cell>
          <cell r="W124">
            <v>0</v>
          </cell>
          <cell r="X124" t="str">
            <v>EST MODULO S/BRACO JOPLIN FX B2109 - 0,9x0,9x0,84H</v>
          </cell>
          <cell r="Y124">
            <v>40556.590000000004</v>
          </cell>
          <cell r="Z124">
            <v>0.35</v>
          </cell>
          <cell r="AA124">
            <v>26361.783500000005</v>
          </cell>
          <cell r="AB124" t="str">
            <v>CA</v>
          </cell>
        </row>
        <row r="125">
          <cell r="C125">
            <v>0</v>
          </cell>
          <cell r="D125">
            <v>3</v>
          </cell>
          <cell r="E125">
            <v>0</v>
          </cell>
          <cell r="F125">
            <v>0</v>
          </cell>
          <cell r="H125">
            <v>0</v>
          </cell>
          <cell r="O125">
            <v>270736</v>
          </cell>
          <cell r="P125" t="str">
            <v>2020/338-0075-01</v>
          </cell>
          <cell r="Q125" t="str">
            <v>EST MODULO S/BRACO JOPLIN FX B2109</v>
          </cell>
          <cell r="R125">
            <v>3.7</v>
          </cell>
          <cell r="S125">
            <v>2.8</v>
          </cell>
          <cell r="T125">
            <v>0.9</v>
          </cell>
          <cell r="U125">
            <v>0.9</v>
          </cell>
          <cell r="V125">
            <v>0.84</v>
          </cell>
          <cell r="W125">
            <v>0</v>
          </cell>
          <cell r="X125" t="str">
            <v>EST MODULO S/BRACO JOPLIN FX B2109 - 0,9x0,9x0,84H</v>
          </cell>
          <cell r="Y125">
            <v>40556.590000000004</v>
          </cell>
          <cell r="Z125">
            <v>0.35</v>
          </cell>
          <cell r="AA125">
            <v>26361.783500000005</v>
          </cell>
          <cell r="AB125" t="str">
            <v>CA</v>
          </cell>
        </row>
        <row r="126">
          <cell r="C126">
            <v>0</v>
          </cell>
          <cell r="D126">
            <v>1</v>
          </cell>
          <cell r="E126">
            <v>0</v>
          </cell>
          <cell r="F126">
            <v>0</v>
          </cell>
          <cell r="H126">
            <v>0</v>
          </cell>
          <cell r="O126">
            <v>270737</v>
          </cell>
          <cell r="P126" t="str">
            <v>2020/338-0076-01</v>
          </cell>
          <cell r="Q126" t="str">
            <v>EST MODULO CANTO JOPLIN FX B2109</v>
          </cell>
          <cell r="R126">
            <v>3.7</v>
          </cell>
          <cell r="S126">
            <v>2.8</v>
          </cell>
          <cell r="T126">
            <v>0.9</v>
          </cell>
          <cell r="U126">
            <v>0.9</v>
          </cell>
          <cell r="V126">
            <v>0.84</v>
          </cell>
          <cell r="W126">
            <v>0</v>
          </cell>
          <cell r="X126" t="str">
            <v>EST MODULO CANTO JOPLIN FX B2109 - 0,9x0,9x0,84H</v>
          </cell>
          <cell r="Y126">
            <v>40556.590000000004</v>
          </cell>
          <cell r="Z126">
            <v>0.35</v>
          </cell>
          <cell r="AA126">
            <v>26361.783500000005</v>
          </cell>
          <cell r="AB126" t="str">
            <v>CA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H127">
            <v>1</v>
          </cell>
          <cell r="O127">
            <v>244137</v>
          </cell>
          <cell r="P127" t="str">
            <v>2019/205-0006-01</v>
          </cell>
          <cell r="Q127" t="str">
            <v>EST MODULO PUFF CANTO 90 LENCOIS M (RVST MR5) (FX7623)</v>
          </cell>
          <cell r="R127">
            <v>1</v>
          </cell>
          <cell r="S127">
            <v>1</v>
          </cell>
          <cell r="T127">
            <v>1</v>
          </cell>
          <cell r="U127">
            <v>1</v>
          </cell>
          <cell r="V127">
            <v>0.38</v>
          </cell>
          <cell r="W127">
            <v>0</v>
          </cell>
          <cell r="X127" t="str">
            <v>EST MODULO PUFF CANTO 90 LENCOIS M (RVST MR5) (FX7623) - 1x1x0,38H</v>
          </cell>
          <cell r="Y127">
            <v>29964.71</v>
          </cell>
          <cell r="Z127">
            <v>0.5</v>
          </cell>
          <cell r="AA127">
            <v>14982.355</v>
          </cell>
          <cell r="AB127" t="str">
            <v>CB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H128">
            <v>1</v>
          </cell>
          <cell r="O128">
            <v>251463</v>
          </cell>
          <cell r="P128" t="str">
            <v>2019/245-0005-01</v>
          </cell>
          <cell r="Q128" t="str">
            <v>EST MODULO ENCOSTO RETO LENCOIS M (DET MR5) (FX7623)</v>
          </cell>
          <cell r="R128">
            <v>1.2</v>
          </cell>
          <cell r="S128">
            <v>0.26</v>
          </cell>
          <cell r="T128">
            <v>1.2</v>
          </cell>
          <cell r="U128">
            <v>0.26</v>
          </cell>
          <cell r="V128">
            <v>0.26</v>
          </cell>
          <cell r="W128">
            <v>0</v>
          </cell>
          <cell r="X128" t="str">
            <v>EST MODULO ENCOSTO RETO LENCOIS M (DET MR5) (FX7623) - 1,2x0,26x0,26H</v>
          </cell>
          <cell r="Y128">
            <v>29964.71</v>
          </cell>
          <cell r="Z128">
            <v>0.5</v>
          </cell>
          <cell r="AA128">
            <v>14982.355</v>
          </cell>
          <cell r="AB128" t="str">
            <v>CB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H129">
            <v>1</v>
          </cell>
          <cell r="O129">
            <v>251463</v>
          </cell>
          <cell r="P129" t="str">
            <v>2019/245-0006-01</v>
          </cell>
          <cell r="Q129" t="str">
            <v>EST MODULO ENCOSTO RETO LENCOIS M (DET MR5) (FX7623)</v>
          </cell>
          <cell r="R129">
            <v>1.2</v>
          </cell>
          <cell r="S129">
            <v>0.26</v>
          </cell>
          <cell r="T129">
            <v>1.2</v>
          </cell>
          <cell r="U129">
            <v>0.26</v>
          </cell>
          <cell r="V129">
            <v>0.26</v>
          </cell>
          <cell r="W129">
            <v>0</v>
          </cell>
          <cell r="X129" t="str">
            <v>EST MODULO ENCOSTO RETO LENCOIS M (DET MR5) (FX7623) - 1,2x0,26x0,26H</v>
          </cell>
          <cell r="Y129">
            <v>29964.71</v>
          </cell>
          <cell r="Z129">
            <v>0.5</v>
          </cell>
          <cell r="AA129">
            <v>14982.355</v>
          </cell>
          <cell r="AB129" t="str">
            <v>CB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H130">
            <v>5</v>
          </cell>
          <cell r="O130">
            <v>251464</v>
          </cell>
          <cell r="P130" t="str">
            <v>2019/245-0007-01</v>
          </cell>
          <cell r="Q130" t="str">
            <v>EST MODULO ENCOSTO RETO LENCOIS M (DET MR5) (FX7623)</v>
          </cell>
          <cell r="R130">
            <v>0.7</v>
          </cell>
          <cell r="S130">
            <v>0.26</v>
          </cell>
          <cell r="T130">
            <v>0.7</v>
          </cell>
          <cell r="U130">
            <v>0.26</v>
          </cell>
          <cell r="V130">
            <v>0.26</v>
          </cell>
          <cell r="W130">
            <v>0</v>
          </cell>
          <cell r="X130" t="str">
            <v>EST MODULO ENCOSTO RETO LENCOIS M (DET MR5) (FX7623) - 0,7x0,26x0,26H</v>
          </cell>
          <cell r="Y130">
            <v>29964.71</v>
          </cell>
          <cell r="Z130">
            <v>0.35</v>
          </cell>
          <cell r="AA130">
            <v>19477.0615</v>
          </cell>
          <cell r="AB130" t="str">
            <v>CB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H131">
            <v>5</v>
          </cell>
          <cell r="O131">
            <v>251464</v>
          </cell>
          <cell r="P131" t="str">
            <v>2019/245-0008-01</v>
          </cell>
          <cell r="Q131" t="str">
            <v>EST MODULO ENCOSTO RETO LENCOIS M (DET MR5) (FX7623)</v>
          </cell>
          <cell r="R131">
            <v>0.7</v>
          </cell>
          <cell r="S131">
            <v>0.26</v>
          </cell>
          <cell r="T131">
            <v>0.7</v>
          </cell>
          <cell r="U131">
            <v>0.26</v>
          </cell>
          <cell r="V131">
            <v>0.26</v>
          </cell>
          <cell r="W131">
            <v>0</v>
          </cell>
          <cell r="X131" t="str">
            <v>EST MODULO ENCOSTO RETO LENCOIS M (DET MR5) (FX7623) - 0,7x0,26x0,26H</v>
          </cell>
          <cell r="Y131">
            <v>29964.71</v>
          </cell>
          <cell r="Z131">
            <v>0.35</v>
          </cell>
          <cell r="AA131">
            <v>19477.0615</v>
          </cell>
          <cell r="AB131" t="str">
            <v>CB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H132">
            <v>5</v>
          </cell>
          <cell r="O132">
            <v>251464</v>
          </cell>
          <cell r="P132" t="str">
            <v>2019/245-0009-01</v>
          </cell>
          <cell r="Q132" t="str">
            <v>EST MODULO ENCOSTO RETO LENCOIS M (DET MR5) (FX7623)</v>
          </cell>
          <cell r="R132">
            <v>0.7</v>
          </cell>
          <cell r="S132">
            <v>0.26</v>
          </cell>
          <cell r="T132">
            <v>0.7</v>
          </cell>
          <cell r="U132">
            <v>0.26</v>
          </cell>
          <cell r="V132">
            <v>0.26</v>
          </cell>
          <cell r="W132">
            <v>0</v>
          </cell>
          <cell r="X132" t="str">
            <v>EST MODULO ENCOSTO RETO LENCOIS M (DET MR5) (FX7623) - 0,7x0,26x0,26H</v>
          </cell>
          <cell r="Y132">
            <v>29964.71</v>
          </cell>
          <cell r="Z132">
            <v>0.35</v>
          </cell>
          <cell r="AA132">
            <v>19477.0615</v>
          </cell>
          <cell r="AB132" t="str">
            <v>CB</v>
          </cell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404604</v>
          </cell>
          <cell r="P133" t="str">
            <v>2025/246-0038-01</v>
          </cell>
          <cell r="Q133" t="str">
            <v>EST BASE CENTRO BELLAGIO (ALU C29)</v>
          </cell>
          <cell r="R133">
            <v>1.25</v>
          </cell>
          <cell r="S133">
            <v>0</v>
          </cell>
          <cell r="T133">
            <v>1.2</v>
          </cell>
          <cell r="U133">
            <v>0</v>
          </cell>
          <cell r="V133">
            <v>0.35</v>
          </cell>
          <cell r="W133">
            <v>1.2</v>
          </cell>
          <cell r="X133" t="str">
            <v>EST BASE CENTRO BELLAGIO (ALU C29) - Ø1,2x0,35H</v>
          </cell>
          <cell r="Y133">
            <v>27488.497599999999</v>
          </cell>
          <cell r="Z133">
            <v>0.35</v>
          </cell>
          <cell r="AA133">
            <v>17867.523439999997</v>
          </cell>
          <cell r="AB133" t="str">
            <v>CC</v>
          </cell>
        </row>
        <row r="134">
          <cell r="C134">
            <v>1</v>
          </cell>
          <cell r="D134">
            <v>0</v>
          </cell>
          <cell r="E134">
            <v>0</v>
          </cell>
          <cell r="F134">
            <v>1</v>
          </cell>
          <cell r="H134">
            <v>0</v>
          </cell>
          <cell r="O134">
            <v>409056</v>
          </cell>
          <cell r="P134" t="str">
            <v>2025/232-0050-01</v>
          </cell>
          <cell r="Q134" t="str">
            <v>EST TAMPO MARMORE (F10916) (SILVER FOSCO)</v>
          </cell>
          <cell r="R134">
            <v>1.25</v>
          </cell>
          <cell r="S134">
            <v>0</v>
          </cell>
          <cell r="T134">
            <v>1.25</v>
          </cell>
          <cell r="U134">
            <v>0</v>
          </cell>
          <cell r="V134">
            <v>0.02</v>
          </cell>
          <cell r="W134">
            <v>1.25</v>
          </cell>
          <cell r="X134" t="str">
            <v>EST TAMPO MARMORE (F10916) (SILVER FOSCO) - Ø1,25x0,02H</v>
          </cell>
          <cell r="Y134">
            <v>27488.497599999999</v>
          </cell>
          <cell r="Z134">
            <v>0.35</v>
          </cell>
          <cell r="AA134">
            <v>17867.523439999997</v>
          </cell>
          <cell r="AB134" t="str">
            <v>CC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1</v>
          </cell>
          <cell r="H135">
            <v>0</v>
          </cell>
          <cell r="O135">
            <v>404616</v>
          </cell>
          <cell r="P135" t="str">
            <v>2025/154-0024-01</v>
          </cell>
          <cell r="Q135" t="str">
            <v>EST BASE APARADOR BELLAGIO (ALU C29)</v>
          </cell>
          <cell r="R135">
            <v>1.65</v>
          </cell>
          <cell r="S135">
            <v>0.5</v>
          </cell>
          <cell r="T135">
            <v>1.6</v>
          </cell>
          <cell r="U135">
            <v>0.45</v>
          </cell>
          <cell r="V135">
            <v>0.75</v>
          </cell>
          <cell r="W135">
            <v>0</v>
          </cell>
          <cell r="X135" t="str">
            <v>EST BASE APARADOR BELLAGIO (ALU C29) - 1,6x0,45x0,75H</v>
          </cell>
          <cell r="Y135">
            <v>23825.3943</v>
          </cell>
          <cell r="Z135">
            <v>0.35</v>
          </cell>
          <cell r="AA135">
            <v>15486.506295000001</v>
          </cell>
          <cell r="AB135" t="str">
            <v>CD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1</v>
          </cell>
          <cell r="H136">
            <v>0</v>
          </cell>
          <cell r="O136">
            <v>409058</v>
          </cell>
          <cell r="P136" t="str">
            <v>2025/232-0052-01</v>
          </cell>
          <cell r="Q136" t="str">
            <v>EST TAMPO MARMORE (F10916) (SILVER FOSCO)</v>
          </cell>
          <cell r="R136">
            <v>1.65</v>
          </cell>
          <cell r="S136">
            <v>0.5</v>
          </cell>
          <cell r="T136">
            <v>1.65</v>
          </cell>
          <cell r="U136">
            <v>0.5</v>
          </cell>
          <cell r="V136">
            <v>0.02</v>
          </cell>
          <cell r="W136">
            <v>0</v>
          </cell>
          <cell r="X136" t="str">
            <v>EST TAMPO MARMORE (F10916) (SILVER FOSCO) - 1,65x0,5x0,02H</v>
          </cell>
          <cell r="Y136">
            <v>23825.3943</v>
          </cell>
          <cell r="Z136">
            <v>0.35</v>
          </cell>
          <cell r="AA136">
            <v>15486.506295000001</v>
          </cell>
          <cell r="AB136" t="str">
            <v>CD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404617</v>
          </cell>
          <cell r="P137" t="str">
            <v>2025/160-0012-01</v>
          </cell>
          <cell r="Q137" t="str">
            <v>EST OMBRELONE BELLAGIO (ALU C24 | CORD V01)</v>
          </cell>
          <cell r="R137">
            <v>2</v>
          </cell>
          <cell r="S137">
            <v>0</v>
          </cell>
          <cell r="T137">
            <v>2</v>
          </cell>
          <cell r="U137">
            <v>0</v>
          </cell>
          <cell r="V137">
            <v>2.52</v>
          </cell>
          <cell r="W137">
            <v>2</v>
          </cell>
          <cell r="X137" t="str">
            <v>EST OMBRELONE BELLAGIO (ALU C24 | CORD V01) - Ø2x2,52H</v>
          </cell>
          <cell r="Y137">
            <v>38325.189999999995</v>
          </cell>
          <cell r="Z137">
            <v>0.35</v>
          </cell>
          <cell r="AA137">
            <v>24911.373499999998</v>
          </cell>
          <cell r="AB137" t="str">
            <v>CE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404619</v>
          </cell>
          <cell r="P138" t="str">
            <v>2025/154-0069-01</v>
          </cell>
          <cell r="Q138" t="str">
            <v>EST COMPONENTE BASE OMBRELONE BELLAGIO (ALU C24)</v>
          </cell>
          <cell r="R138">
            <v>2</v>
          </cell>
          <cell r="S138">
            <v>0</v>
          </cell>
          <cell r="T138">
            <v>0.5</v>
          </cell>
          <cell r="U138">
            <v>0</v>
          </cell>
          <cell r="V138">
            <v>0.35</v>
          </cell>
          <cell r="W138">
            <v>0.5</v>
          </cell>
          <cell r="X138" t="str">
            <v>EST COMPONENTE BASE OMBRELONE BELLAGIO (ALU C24) - Ø0,5x0,35H</v>
          </cell>
          <cell r="Y138">
            <v>38325.189999999995</v>
          </cell>
          <cell r="Z138">
            <v>0.35</v>
          </cell>
          <cell r="AA138">
            <v>24911.373499999998</v>
          </cell>
          <cell r="AB138" t="str">
            <v>CE</v>
          </cell>
        </row>
        <row r="139">
          <cell r="C139">
            <v>1</v>
          </cell>
          <cell r="D139">
            <v>1</v>
          </cell>
          <cell r="E139">
            <v>0</v>
          </cell>
          <cell r="F139">
            <v>0</v>
          </cell>
          <cell r="H139">
            <v>0</v>
          </cell>
          <cell r="O139">
            <v>219092</v>
          </cell>
          <cell r="P139" t="str">
            <v>2025/042-0008-01</v>
          </cell>
          <cell r="Q139" t="str">
            <v>EST TAMPO CRISTAL LAPIDADO (10MM) INCOLOR CANTO RETO</v>
          </cell>
          <cell r="R139">
            <v>1.42</v>
          </cell>
          <cell r="S139">
            <v>1.42</v>
          </cell>
          <cell r="T139">
            <v>1.4</v>
          </cell>
          <cell r="U139">
            <v>1.4</v>
          </cell>
          <cell r="V139">
            <v>0.01</v>
          </cell>
          <cell r="W139">
            <v>0</v>
          </cell>
          <cell r="X139" t="str">
            <v>EST TAMPO CRISTAL LAPIDADO (10MM) INCOLOR CANTO RETO - 1,4x1,4x0,01H</v>
          </cell>
          <cell r="Y139">
            <v>29014.904399999999</v>
          </cell>
          <cell r="Z139">
            <v>0.35</v>
          </cell>
          <cell r="AA139">
            <v>18859.687859999998</v>
          </cell>
          <cell r="AB139" t="str">
            <v>CF</v>
          </cell>
        </row>
        <row r="140">
          <cell r="C140">
            <v>0</v>
          </cell>
          <cell r="D140">
            <v>1</v>
          </cell>
          <cell r="E140">
            <v>0</v>
          </cell>
          <cell r="F140">
            <v>0</v>
          </cell>
          <cell r="H140">
            <v>0</v>
          </cell>
          <cell r="O140">
            <v>223593</v>
          </cell>
          <cell r="P140" t="str">
            <v>2018/184-0055-01</v>
          </cell>
          <cell r="Q140" t="str">
            <v>EST MESA CENTRO COB (S/VIDRO) (MAD B LOURO ESPECIAL)</v>
          </cell>
          <cell r="R140">
            <v>1.42</v>
          </cell>
          <cell r="S140">
            <v>1.42</v>
          </cell>
          <cell r="T140">
            <v>1.42</v>
          </cell>
          <cell r="U140">
            <v>1.42</v>
          </cell>
          <cell r="V140">
            <v>0.25</v>
          </cell>
          <cell r="W140">
            <v>0</v>
          </cell>
          <cell r="X140" t="str">
            <v>EST MESA CENTRO COB (S/VIDRO) (MAD B LOURO ESPECIAL) - 1,42x1,42x0,25H</v>
          </cell>
          <cell r="Y140">
            <v>29014.904399999999</v>
          </cell>
          <cell r="Z140">
            <v>0.35</v>
          </cell>
          <cell r="AA140">
            <v>18859.687859999998</v>
          </cell>
          <cell r="AB140" t="str">
            <v>CF</v>
          </cell>
        </row>
        <row r="141">
          <cell r="C141">
            <v>1</v>
          </cell>
          <cell r="D141">
            <v>0</v>
          </cell>
          <cell r="E141">
            <v>0</v>
          </cell>
          <cell r="F141">
            <v>0</v>
          </cell>
          <cell r="H141">
            <v>1</v>
          </cell>
          <cell r="O141">
            <v>274727</v>
          </cell>
          <cell r="P141" t="str">
            <v>2021/120-0103-01</v>
          </cell>
          <cell r="Q141" t="str">
            <v>EST MODULO BRACO ESQ ARAGON (1AS) (BC10) (MTX PRETO) E5123</v>
          </cell>
          <cell r="R141">
            <v>4.2</v>
          </cell>
          <cell r="S141">
            <v>2.6</v>
          </cell>
          <cell r="T141">
            <v>1.1000000000000001</v>
          </cell>
          <cell r="U141">
            <v>1</v>
          </cell>
          <cell r="V141">
            <v>0.92</v>
          </cell>
          <cell r="W141">
            <v>0</v>
          </cell>
          <cell r="X141" t="str">
            <v>EST MODULO BRACO ESQ ARAGON (1AS) (BC10) (MTX PRETO) E5123 - 1,1x1x0,92H</v>
          </cell>
          <cell r="Y141">
            <v>72252.28</v>
          </cell>
          <cell r="Z141">
            <v>0.35</v>
          </cell>
          <cell r="AA141">
            <v>46963.982000000004</v>
          </cell>
          <cell r="AB141" t="str">
            <v>CG</v>
          </cell>
        </row>
        <row r="142">
          <cell r="C142">
            <v>1</v>
          </cell>
          <cell r="D142">
            <v>0</v>
          </cell>
          <cell r="E142">
            <v>0</v>
          </cell>
          <cell r="F142">
            <v>0</v>
          </cell>
          <cell r="H142">
            <v>1</v>
          </cell>
          <cell r="O142">
            <v>274729</v>
          </cell>
          <cell r="P142" t="str">
            <v>2021/120-0104-01</v>
          </cell>
          <cell r="Q142" t="str">
            <v>EST MODULO CURVO ARAGON (MTX PRETO) E5123</v>
          </cell>
          <cell r="R142">
            <v>4.2</v>
          </cell>
          <cell r="S142">
            <v>2.6</v>
          </cell>
          <cell r="T142">
            <v>2.1</v>
          </cell>
          <cell r="U142">
            <v>1.4</v>
          </cell>
          <cell r="V142">
            <v>0.92</v>
          </cell>
          <cell r="W142">
            <v>0</v>
          </cell>
          <cell r="X142" t="str">
            <v>EST MODULO CURVO ARAGON (MTX PRETO) E5123 - 2,1x1,4x0,92H</v>
          </cell>
          <cell r="Y142">
            <v>72252.28</v>
          </cell>
          <cell r="Z142">
            <v>0.35</v>
          </cell>
          <cell r="AA142">
            <v>46963.982000000004</v>
          </cell>
          <cell r="AB142" t="str">
            <v>CG</v>
          </cell>
        </row>
        <row r="143">
          <cell r="C143">
            <v>1</v>
          </cell>
          <cell r="D143">
            <v>0</v>
          </cell>
          <cell r="E143">
            <v>0</v>
          </cell>
          <cell r="F143">
            <v>0</v>
          </cell>
          <cell r="H143">
            <v>1</v>
          </cell>
          <cell r="O143">
            <v>274732</v>
          </cell>
          <cell r="P143" t="str">
            <v>2021/120-0105-01</v>
          </cell>
          <cell r="Q143" t="str">
            <v>EST MODULO CHAISE BRACO DIR ARAGON (BC30) (MTX PRETO) E5123</v>
          </cell>
          <cell r="R143">
            <v>4.2</v>
          </cell>
          <cell r="S143">
            <v>2.6</v>
          </cell>
          <cell r="T143">
            <v>1.2</v>
          </cell>
          <cell r="U143">
            <v>1.6</v>
          </cell>
          <cell r="V143">
            <v>0.92</v>
          </cell>
          <cell r="W143">
            <v>0</v>
          </cell>
          <cell r="X143" t="str">
            <v>EST MODULO CHAISE BRACO DIR ARAGON (BC30) (MTX PRETO) E5123 - 1,2x1,6x0,92H</v>
          </cell>
          <cell r="Y143">
            <v>72252.28</v>
          </cell>
          <cell r="Z143">
            <v>0.35</v>
          </cell>
          <cell r="AA143">
            <v>46963.982000000004</v>
          </cell>
          <cell r="AB143" t="str">
            <v>CG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H144">
            <v>1</v>
          </cell>
          <cell r="O144">
            <v>78082</v>
          </cell>
          <cell r="P144" t="str">
            <v>2016/054-0026-01</v>
          </cell>
          <cell r="Q144" t="str">
            <v>EST TAMPO CRISTAL LAPIDADO (15MM) INCOLOR CANTO RETO</v>
          </cell>
          <cell r="R144">
            <v>2</v>
          </cell>
          <cell r="S144">
            <v>0.55000000000000004</v>
          </cell>
          <cell r="T144">
            <v>2</v>
          </cell>
          <cell r="U144">
            <v>0.55000000000000004</v>
          </cell>
          <cell r="V144">
            <v>0.01</v>
          </cell>
          <cell r="W144">
            <v>0</v>
          </cell>
          <cell r="X144" t="str">
            <v>EST TAMPO CRISTAL LAPIDADO (15MM) INCOLOR CANTO RETO - 2x0,55x0,01H</v>
          </cell>
          <cell r="Y144">
            <v>21114.501</v>
          </cell>
          <cell r="Z144">
            <v>0.5</v>
          </cell>
          <cell r="AA144">
            <v>10557.2505</v>
          </cell>
          <cell r="AB144" t="str">
            <v>CJ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H145">
            <v>2</v>
          </cell>
          <cell r="O145">
            <v>151718</v>
          </cell>
          <cell r="P145" t="str">
            <v>2014/199-0109-01</v>
          </cell>
          <cell r="Q145" t="str">
            <v>EST APARADOR MAZAS PES/TP LACA H155 BRILHO</v>
          </cell>
          <cell r="R145">
            <v>2</v>
          </cell>
          <cell r="S145">
            <v>0.5</v>
          </cell>
          <cell r="T145">
            <v>2</v>
          </cell>
          <cell r="U145">
            <v>0.5</v>
          </cell>
          <cell r="V145">
            <v>0.76</v>
          </cell>
          <cell r="W145">
            <v>0</v>
          </cell>
          <cell r="X145" t="str">
            <v>EST APARADOR MAZAS PES/TP LACA H155 BRILHO - 2x0,5x0,76H</v>
          </cell>
          <cell r="Y145">
            <v>21114.501</v>
          </cell>
          <cell r="Z145">
            <v>0.5</v>
          </cell>
          <cell r="AA145">
            <v>10557.2505</v>
          </cell>
          <cell r="AB145" t="str">
            <v>CJ</v>
          </cell>
        </row>
        <row r="146">
          <cell r="C146">
            <v>1</v>
          </cell>
          <cell r="D146">
            <v>0</v>
          </cell>
          <cell r="E146">
            <v>0</v>
          </cell>
          <cell r="F146">
            <v>0</v>
          </cell>
          <cell r="H146">
            <v>1</v>
          </cell>
          <cell r="O146">
            <v>274727</v>
          </cell>
          <cell r="P146" t="str">
            <v>2021/120-0110-01</v>
          </cell>
          <cell r="Q146" t="str">
            <v>EST MODULO BRACO ESQ ARAGON (1AS) (BC10) (MTX PRETO) E5123</v>
          </cell>
          <cell r="R146">
            <v>4.2</v>
          </cell>
          <cell r="S146">
            <v>2.6</v>
          </cell>
          <cell r="T146">
            <v>1.1000000000000001</v>
          </cell>
          <cell r="U146">
            <v>1</v>
          </cell>
          <cell r="V146">
            <v>0.92</v>
          </cell>
          <cell r="W146">
            <v>0</v>
          </cell>
          <cell r="X146" t="str">
            <v>EST MODULO BRACO ESQ ARAGON (1AS) (BC10) (MTX PRETO) E5123 - 1,1x1x0,92H</v>
          </cell>
          <cell r="Y146">
            <v>72252.28</v>
          </cell>
          <cell r="Z146">
            <v>0.35</v>
          </cell>
          <cell r="AA146">
            <v>46963.982000000004</v>
          </cell>
          <cell r="AB146" t="str">
            <v>CQ</v>
          </cell>
        </row>
        <row r="147">
          <cell r="C147">
            <v>1</v>
          </cell>
          <cell r="D147">
            <v>0</v>
          </cell>
          <cell r="E147">
            <v>0</v>
          </cell>
          <cell r="F147">
            <v>0</v>
          </cell>
          <cell r="H147">
            <v>1</v>
          </cell>
          <cell r="O147">
            <v>274729</v>
          </cell>
          <cell r="P147" t="str">
            <v>2021/120-0111-01</v>
          </cell>
          <cell r="Q147" t="str">
            <v>EST MODULO CURVO ARAGON (MTX PRETO) E5123</v>
          </cell>
          <cell r="R147">
            <v>4.2</v>
          </cell>
          <cell r="S147">
            <v>2.6</v>
          </cell>
          <cell r="T147">
            <v>2.1</v>
          </cell>
          <cell r="U147">
            <v>1.4</v>
          </cell>
          <cell r="V147">
            <v>0.92</v>
          </cell>
          <cell r="W147">
            <v>0</v>
          </cell>
          <cell r="X147" t="str">
            <v>EST MODULO CURVO ARAGON (MTX PRETO) E5123 - 2,1x1,4x0,92H</v>
          </cell>
          <cell r="Y147">
            <v>72252.28</v>
          </cell>
          <cell r="Z147">
            <v>0.35</v>
          </cell>
          <cell r="AA147">
            <v>46963.982000000004</v>
          </cell>
          <cell r="AB147" t="str">
            <v>CQ</v>
          </cell>
        </row>
        <row r="148">
          <cell r="C148">
            <v>1</v>
          </cell>
          <cell r="D148">
            <v>0</v>
          </cell>
          <cell r="E148">
            <v>0</v>
          </cell>
          <cell r="F148">
            <v>0</v>
          </cell>
          <cell r="H148">
            <v>1</v>
          </cell>
          <cell r="O148">
            <v>274732</v>
          </cell>
          <cell r="P148" t="str">
            <v>2021/120-0112-01</v>
          </cell>
          <cell r="Q148" t="str">
            <v>EST MODULO CHAISE BRACO DIR ARAGON (BC30) (MTX PRETO) E5123</v>
          </cell>
          <cell r="R148">
            <v>4.2</v>
          </cell>
          <cell r="S148">
            <v>2.6</v>
          </cell>
          <cell r="T148">
            <v>1.2</v>
          </cell>
          <cell r="U148">
            <v>1.6</v>
          </cell>
          <cell r="V148">
            <v>0.92</v>
          </cell>
          <cell r="W148">
            <v>0</v>
          </cell>
          <cell r="X148" t="str">
            <v>EST MODULO CHAISE BRACO DIR ARAGON (BC30) (MTX PRETO) E5123 - 1,2x1,6x0,92H</v>
          </cell>
          <cell r="Y148">
            <v>72252.28</v>
          </cell>
          <cell r="Z148">
            <v>0.35</v>
          </cell>
          <cell r="AA148">
            <v>46963.982000000004</v>
          </cell>
          <cell r="AB148" t="str">
            <v>CQ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H149">
            <v>1</v>
          </cell>
          <cell r="O149">
            <v>206603</v>
          </cell>
          <cell r="P149" t="str">
            <v>2019/137-0110-01</v>
          </cell>
          <cell r="Q149" t="str">
            <v>EST ACESSORIO MESA DIXON (METAL/COURO CAMEL)</v>
          </cell>
          <cell r="R149">
            <v>3.77</v>
          </cell>
          <cell r="S149">
            <v>2.67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 t="str">
            <v>EST ACESSORIO MESA DIXON (METAL/COURO CAMEL) - Ø0x0H</v>
          </cell>
          <cell r="Y149">
            <v>58146.82</v>
          </cell>
          <cell r="Z149">
            <v>0.5</v>
          </cell>
          <cell r="AA149">
            <v>29073.41</v>
          </cell>
          <cell r="AB149" t="str">
            <v>CS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H150">
            <v>1</v>
          </cell>
          <cell r="O150">
            <v>273691</v>
          </cell>
          <cell r="P150" t="str">
            <v>2021/091-0064-01</v>
          </cell>
          <cell r="Q150" t="str">
            <v>EST MODULO BRACO ESQUERDO DIXON FX C3016/PES PRETO</v>
          </cell>
          <cell r="R150">
            <v>3.77</v>
          </cell>
          <cell r="S150">
            <v>2.67</v>
          </cell>
          <cell r="T150">
            <v>2.75</v>
          </cell>
          <cell r="U150">
            <v>1.02</v>
          </cell>
          <cell r="V150">
            <v>0.8</v>
          </cell>
          <cell r="W150">
            <v>0</v>
          </cell>
          <cell r="X150" t="str">
            <v>EST MODULO BRACO ESQUERDO DIXON FX C3016/PES PRETO - 2,75x1,02x0,8H</v>
          </cell>
          <cell r="Y150">
            <v>58146.82</v>
          </cell>
          <cell r="Z150">
            <v>0.5</v>
          </cell>
          <cell r="AA150">
            <v>29073.41</v>
          </cell>
          <cell r="AB150" t="str">
            <v>CS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H151">
            <v>1</v>
          </cell>
          <cell r="O151">
            <v>273692</v>
          </cell>
          <cell r="P151" t="str">
            <v>2021/091-0065-01</v>
          </cell>
          <cell r="Q151" t="str">
            <v>EST MODULO S/BRACO C/AVANCO DIREITO DIXON FX C3016/PES PRETO</v>
          </cell>
          <cell r="R151">
            <v>3.77</v>
          </cell>
          <cell r="S151">
            <v>2.67</v>
          </cell>
          <cell r="T151">
            <v>1.65</v>
          </cell>
          <cell r="U151">
            <v>1.02</v>
          </cell>
          <cell r="V151">
            <v>0.8</v>
          </cell>
          <cell r="W151">
            <v>0</v>
          </cell>
          <cell r="X151" t="str">
            <v>EST MODULO S/BRACO C/AVANCO DIREITO DIXON FX C3016/PES PRETO - 1,65x1,02x0,8H</v>
          </cell>
          <cell r="Y151">
            <v>58146.82</v>
          </cell>
          <cell r="Z151">
            <v>0.5</v>
          </cell>
          <cell r="AA151">
            <v>29073.41</v>
          </cell>
          <cell r="AB151" t="str">
            <v>CS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H152">
            <v>1</v>
          </cell>
          <cell r="O152">
            <v>273693</v>
          </cell>
          <cell r="P152" t="str">
            <v>2021/091-0066-01</v>
          </cell>
          <cell r="Q152" t="str">
            <v>EST MODULO PUFF DIXON FX C3016/PES PRETO</v>
          </cell>
          <cell r="R152">
            <v>3.77</v>
          </cell>
          <cell r="S152">
            <v>2.67</v>
          </cell>
          <cell r="T152">
            <v>1.01</v>
          </cell>
          <cell r="U152">
            <v>1.01</v>
          </cell>
          <cell r="V152">
            <v>0.44</v>
          </cell>
          <cell r="W152">
            <v>0</v>
          </cell>
          <cell r="X152" t="str">
            <v>EST MODULO PUFF DIXON FX C3016/PES PRETO - 1,01x1,01x0,44H</v>
          </cell>
          <cell r="Y152">
            <v>58146.82</v>
          </cell>
          <cell r="Z152">
            <v>0.5</v>
          </cell>
          <cell r="AA152">
            <v>29073.41</v>
          </cell>
          <cell r="AB152" t="str">
            <v>CS</v>
          </cell>
        </row>
        <row r="153">
          <cell r="C153">
            <v>0</v>
          </cell>
          <cell r="D153">
            <v>0</v>
          </cell>
          <cell r="E153">
            <v>1</v>
          </cell>
          <cell r="F153">
            <v>0</v>
          </cell>
          <cell r="H153">
            <v>0</v>
          </cell>
          <cell r="O153">
            <v>223626</v>
          </cell>
          <cell r="P153" t="str">
            <v>2020/317-0024-01</v>
          </cell>
          <cell r="Q153" t="str">
            <v>EST TAMPO CRISTAL LAPIDADO (10MM) INCOLOR CANTO RETO</v>
          </cell>
          <cell r="R153">
            <v>1.1399999999999999</v>
          </cell>
          <cell r="S153">
            <v>1.7</v>
          </cell>
          <cell r="T153">
            <v>1.1399999999999999</v>
          </cell>
          <cell r="U153">
            <v>1.7</v>
          </cell>
          <cell r="V153">
            <v>0.01</v>
          </cell>
          <cell r="W153">
            <v>0</v>
          </cell>
          <cell r="X153" t="str">
            <v>EST TAMPO CRISTAL LAPIDADO (10MM) INCOLOR CANTO RETO - 1,14x1,7x0,01H</v>
          </cell>
          <cell r="Y153">
            <v>28952.5016</v>
          </cell>
          <cell r="Z153">
            <v>0.35</v>
          </cell>
          <cell r="AA153">
            <v>18819.126040000003</v>
          </cell>
          <cell r="AB153" t="str">
            <v>CT</v>
          </cell>
        </row>
        <row r="154">
          <cell r="C154">
            <v>0</v>
          </cell>
          <cell r="D154">
            <v>0</v>
          </cell>
          <cell r="E154">
            <v>1</v>
          </cell>
          <cell r="F154">
            <v>0</v>
          </cell>
          <cell r="H154">
            <v>0</v>
          </cell>
          <cell r="O154">
            <v>223578</v>
          </cell>
          <cell r="P154" t="str">
            <v>2021/020-0003-01</v>
          </cell>
          <cell r="Q154" t="str">
            <v>EST MESA CENTRO COB (S/VIDRO) (MAD B LOURO ESPECIAL)</v>
          </cell>
          <cell r="R154">
            <v>1.1399999999999999</v>
          </cell>
          <cell r="S154">
            <v>1.7</v>
          </cell>
          <cell r="T154">
            <v>1.1399999999999999</v>
          </cell>
          <cell r="U154">
            <v>1.7</v>
          </cell>
          <cell r="V154">
            <v>0.25</v>
          </cell>
          <cell r="W154">
            <v>0</v>
          </cell>
          <cell r="X154" t="str">
            <v>EST MESA CENTRO COB (S/VIDRO) (MAD B LOURO ESPECIAL) - 1,14x1,7x0,25H</v>
          </cell>
          <cell r="Y154">
            <v>28952.5016</v>
          </cell>
          <cell r="Z154">
            <v>0.35</v>
          </cell>
          <cell r="AA154">
            <v>18819.126040000003</v>
          </cell>
          <cell r="AB154" t="str">
            <v>CT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H155">
            <v>0</v>
          </cell>
          <cell r="O155">
            <v>242318</v>
          </cell>
          <cell r="P155"/>
          <cell r="Q155" t="str">
            <v>EST MODULO S/BRACO C/AVANCO ASSENTO DIREITO MORETTI FX F6004</v>
          </cell>
          <cell r="R155">
            <v>3.8499999999999996</v>
          </cell>
          <cell r="S155">
            <v>1.25</v>
          </cell>
          <cell r="T155">
            <v>1.2</v>
          </cell>
          <cell r="U155">
            <v>1.25</v>
          </cell>
          <cell r="V155">
            <v>0.88</v>
          </cell>
          <cell r="W155">
            <v>0</v>
          </cell>
          <cell r="X155" t="str">
            <v>EST MODULO S/BRACO C/AVANCO ASSENTO DIREITO MORETTI FX F6004 - 1,2x1,25x0,88H</v>
          </cell>
          <cell r="Y155">
            <v>56004.17</v>
          </cell>
          <cell r="Z155">
            <v>0.35</v>
          </cell>
          <cell r="AA155">
            <v>36402.710500000001</v>
          </cell>
          <cell r="AB155" t="str">
            <v>CV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H156">
            <v>0</v>
          </cell>
          <cell r="O156">
            <v>242368</v>
          </cell>
          <cell r="P156"/>
          <cell r="Q156" t="str">
            <v>EST MODULO BRACO ESQUERDO MORETTI FX F6004</v>
          </cell>
          <cell r="R156">
            <v>3.8499999999999996</v>
          </cell>
          <cell r="S156">
            <v>1.25</v>
          </cell>
          <cell r="T156">
            <v>1.45</v>
          </cell>
          <cell r="U156">
            <v>1.25</v>
          </cell>
          <cell r="V156">
            <v>0.88</v>
          </cell>
          <cell r="W156">
            <v>0</v>
          </cell>
          <cell r="X156" t="str">
            <v>EST MODULO BRACO ESQUERDO MORETTI FX F6004 - 1,45x1,25x0,88H</v>
          </cell>
          <cell r="Y156">
            <v>56004.17</v>
          </cell>
          <cell r="Z156">
            <v>0.35</v>
          </cell>
          <cell r="AA156">
            <v>36402.710500000001</v>
          </cell>
          <cell r="AB156" t="str">
            <v>CV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H157">
            <v>0</v>
          </cell>
          <cell r="O157">
            <v>242369</v>
          </cell>
          <cell r="P157"/>
          <cell r="Q157" t="str">
            <v>EST MODULO S/BRACO MORETTI FX F6004</v>
          </cell>
          <cell r="R157">
            <v>3.8499999999999996</v>
          </cell>
          <cell r="S157">
            <v>1.25</v>
          </cell>
          <cell r="T157">
            <v>1.2</v>
          </cell>
          <cell r="U157">
            <v>1.25</v>
          </cell>
          <cell r="V157">
            <v>0.88</v>
          </cell>
          <cell r="W157">
            <v>0</v>
          </cell>
          <cell r="X157" t="str">
            <v>EST MODULO S/BRACO MORETTI FX F6004 - 1,2x1,25x0,88H</v>
          </cell>
          <cell r="Y157">
            <v>56004.17</v>
          </cell>
          <cell r="Z157">
            <v>0.35</v>
          </cell>
          <cell r="AA157">
            <v>36402.710500000001</v>
          </cell>
          <cell r="AB157" t="str">
            <v>CV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H158">
            <v>1</v>
          </cell>
          <cell r="O158">
            <v>206600</v>
          </cell>
          <cell r="P158" t="str">
            <v>2017/055-0062-01</v>
          </cell>
          <cell r="Q158" t="str">
            <v>EST MODULO BRACO ESQUERDO DIXON FX C3001/PES PRETO</v>
          </cell>
          <cell r="R158">
            <v>3.77</v>
          </cell>
          <cell r="S158">
            <v>2.67</v>
          </cell>
          <cell r="T158">
            <v>2.75</v>
          </cell>
          <cell r="U158">
            <v>1.02</v>
          </cell>
          <cell r="V158">
            <v>0.8</v>
          </cell>
          <cell r="W158">
            <v>0</v>
          </cell>
          <cell r="X158" t="str">
            <v>EST MODULO BRACO ESQUERDO DIXON FX C3001/PES PRETO - 2,75x1,02x0,8H</v>
          </cell>
          <cell r="Y158">
            <v>58146.820000000007</v>
          </cell>
          <cell r="Z158">
            <v>0.5</v>
          </cell>
          <cell r="AA158">
            <v>29073.410000000003</v>
          </cell>
          <cell r="AB158" t="str">
            <v>CY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H159">
            <v>1</v>
          </cell>
          <cell r="O159">
            <v>206601</v>
          </cell>
          <cell r="P159" t="str">
            <v>2017/055-0063-01</v>
          </cell>
          <cell r="Q159" t="str">
            <v>EST MODULO S/BRACO C/AVANCO DIREITO DIXON FX C3001/PES PRETO</v>
          </cell>
          <cell r="R159">
            <v>3.77</v>
          </cell>
          <cell r="S159">
            <v>2.67</v>
          </cell>
          <cell r="T159">
            <v>1.65</v>
          </cell>
          <cell r="U159">
            <v>1.02</v>
          </cell>
          <cell r="V159">
            <v>0.8</v>
          </cell>
          <cell r="W159">
            <v>0</v>
          </cell>
          <cell r="X159" t="str">
            <v>EST MODULO S/BRACO C/AVANCO DIREITO DIXON FX C3001/PES PRETO - 1,65x1,02x0,8H</v>
          </cell>
          <cell r="Y159">
            <v>58146.820000000007</v>
          </cell>
          <cell r="Z159">
            <v>0.5</v>
          </cell>
          <cell r="AA159">
            <v>29073.410000000003</v>
          </cell>
          <cell r="AB159" t="str">
            <v>CY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H160">
            <v>1</v>
          </cell>
          <cell r="O160">
            <v>206602</v>
          </cell>
          <cell r="P160" t="str">
            <v>2017/055-0064-01</v>
          </cell>
          <cell r="Q160" t="str">
            <v>EST MODULO PUFF DIXON FX C3001/PES PRETO</v>
          </cell>
          <cell r="R160">
            <v>3.77</v>
          </cell>
          <cell r="S160">
            <v>2.67</v>
          </cell>
          <cell r="T160">
            <v>1.01</v>
          </cell>
          <cell r="U160">
            <v>1.01</v>
          </cell>
          <cell r="V160">
            <v>0.44</v>
          </cell>
          <cell r="W160">
            <v>0</v>
          </cell>
          <cell r="X160" t="str">
            <v>EST MODULO PUFF DIXON FX C3001/PES PRETO - 1,01x1,01x0,44H</v>
          </cell>
          <cell r="Y160">
            <v>58146.820000000007</v>
          </cell>
          <cell r="Z160">
            <v>0.5</v>
          </cell>
          <cell r="AA160">
            <v>29073.410000000003</v>
          </cell>
          <cell r="AB160" t="str">
            <v>CY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H161">
            <v>1</v>
          </cell>
          <cell r="O161">
            <v>322235</v>
          </cell>
          <cell r="P161" t="str">
            <v>2022/049-0030-01</v>
          </cell>
          <cell r="Q161" t="str">
            <v>EST ACESSORIO MESA DIXON (METAL/COURO CAMEL)</v>
          </cell>
          <cell r="R161">
            <v>3.77</v>
          </cell>
          <cell r="S161">
            <v>2.67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 t="str">
            <v>EST ACESSORIO MESA DIXON (METAL/COURO CAMEL) - Ø0x0H</v>
          </cell>
          <cell r="Y161">
            <v>58146.820000000007</v>
          </cell>
          <cell r="Z161">
            <v>0.5</v>
          </cell>
          <cell r="AA161">
            <v>29073.410000000003</v>
          </cell>
          <cell r="AB161" t="str">
            <v>CY</v>
          </cell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254663</v>
          </cell>
          <cell r="P162" t="str">
            <v>2019/309-0029-01</v>
          </cell>
          <cell r="Q162" t="str">
            <v>EST KIT MOTORIZADO SOFT TOUCH (ABERTURA 50) (1 ASSENTO)</v>
          </cell>
          <cell r="R162">
            <v>3.14</v>
          </cell>
          <cell r="S162">
            <v>1.1499999999999999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 t="str">
            <v>EST KIT MOTORIZADO SOFT TOUCH (ABERTURA 50) (1 ASSENTO) - Ø0x0H</v>
          </cell>
          <cell r="Y162">
            <v>54425.68</v>
          </cell>
          <cell r="Z162">
            <v>0.5</v>
          </cell>
          <cell r="AA162">
            <v>27212.84</v>
          </cell>
          <cell r="AB162" t="str">
            <v>CZ</v>
          </cell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254664</v>
          </cell>
          <cell r="P163" t="str">
            <v>2019/309-0030-01</v>
          </cell>
          <cell r="Q163" t="str">
            <v>EST MODULO BRACO ESQ NEW LIVORNO (BC07) (FX D4120)</v>
          </cell>
          <cell r="R163">
            <v>3.14</v>
          </cell>
          <cell r="S163">
            <v>1.1499999999999999</v>
          </cell>
          <cell r="T163">
            <v>1.07</v>
          </cell>
          <cell r="U163">
            <v>1.1499999999999999</v>
          </cell>
          <cell r="V163">
            <v>0.9</v>
          </cell>
          <cell r="W163">
            <v>0</v>
          </cell>
          <cell r="X163" t="str">
            <v>EST MODULO BRACO ESQ NEW LIVORNO (BC07) (FX D4120) - 1,07x1,15x0,9H</v>
          </cell>
          <cell r="Y163">
            <v>54425.68</v>
          </cell>
          <cell r="Z163">
            <v>0.5</v>
          </cell>
          <cell r="AA163">
            <v>27212.84</v>
          </cell>
          <cell r="AB163" t="str">
            <v>CZ</v>
          </cell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254665</v>
          </cell>
          <cell r="P164" t="str">
            <v>2019/309-0031-01</v>
          </cell>
          <cell r="Q164" t="str">
            <v>EST MODULO BRACO DIREITO NEW LIVORNO (BC07) FX D4120</v>
          </cell>
          <cell r="R164">
            <v>3.14</v>
          </cell>
          <cell r="S164">
            <v>1.1499999999999999</v>
          </cell>
          <cell r="T164">
            <v>1.07</v>
          </cell>
          <cell r="U164">
            <v>1.1499999999999999</v>
          </cell>
          <cell r="V164">
            <v>0.9</v>
          </cell>
          <cell r="W164">
            <v>0</v>
          </cell>
          <cell r="X164" t="str">
            <v>EST MODULO BRACO DIREITO NEW LIVORNO (BC07) FX D4120 - 1,07x1,15x0,9H</v>
          </cell>
          <cell r="Y164">
            <v>54425.68</v>
          </cell>
          <cell r="Z164">
            <v>0.5</v>
          </cell>
          <cell r="AA164">
            <v>27212.84</v>
          </cell>
          <cell r="AB164" t="str">
            <v>CZ</v>
          </cell>
        </row>
        <row r="165">
          <cell r="C165">
            <v>0</v>
          </cell>
          <cell r="D165">
            <v>1</v>
          </cell>
          <cell r="E165">
            <v>0</v>
          </cell>
          <cell r="F165">
            <v>0</v>
          </cell>
          <cell r="H165">
            <v>0</v>
          </cell>
          <cell r="O165">
            <v>254666</v>
          </cell>
          <cell r="P165" t="str">
            <v>2019/309-0038-01</v>
          </cell>
          <cell r="Q165" t="str">
            <v>EST MODULO S/BRACO NEW LIVORNO (FX D4120)</v>
          </cell>
          <cell r="R165">
            <v>3.14</v>
          </cell>
          <cell r="S165">
            <v>1.1499999999999999</v>
          </cell>
          <cell r="T165">
            <v>1</v>
          </cell>
          <cell r="U165">
            <v>1.1499999999999999</v>
          </cell>
          <cell r="V165">
            <v>0.9</v>
          </cell>
          <cell r="W165">
            <v>0</v>
          </cell>
          <cell r="X165" t="str">
            <v>EST MODULO S/BRACO NEW LIVORNO (FX D4120) - 1x1,15x0,9H</v>
          </cell>
          <cell r="Y165">
            <v>54425.68</v>
          </cell>
          <cell r="Z165">
            <v>0.5</v>
          </cell>
          <cell r="AA165">
            <v>27212.84</v>
          </cell>
          <cell r="AB165" t="str">
            <v>CZ</v>
          </cell>
        </row>
        <row r="166">
          <cell r="C166">
            <v>1</v>
          </cell>
          <cell r="D166">
            <v>0</v>
          </cell>
          <cell r="E166">
            <v>0</v>
          </cell>
          <cell r="F166">
            <v>0</v>
          </cell>
          <cell r="H166">
            <v>0</v>
          </cell>
          <cell r="O166">
            <v>128969</v>
          </cell>
          <cell r="P166" t="str">
            <v>2013/149-0003-01</v>
          </cell>
          <cell r="Q166" t="str">
            <v>EST TAMPO CRISTAL LAPIDADO (15MM) INCOLOR CANTO MOEDA</v>
          </cell>
          <cell r="R166">
            <v>2.7</v>
          </cell>
          <cell r="S166">
            <v>1.2</v>
          </cell>
          <cell r="T166">
            <v>2.7</v>
          </cell>
          <cell r="U166">
            <v>1.2</v>
          </cell>
          <cell r="V166">
            <v>0.01</v>
          </cell>
          <cell r="W166">
            <v>0</v>
          </cell>
          <cell r="X166" t="str">
            <v>EST TAMPO CRISTAL LAPIDADO (15MM) INCOLOR CANTO MOEDA - 2,7x1,2x0,01H</v>
          </cell>
          <cell r="Y166">
            <v>62590.906399999993</v>
          </cell>
          <cell r="Z166">
            <v>0.5</v>
          </cell>
          <cell r="AA166">
            <v>31295.453199999996</v>
          </cell>
          <cell r="AB166" t="str">
            <v>DA</v>
          </cell>
        </row>
        <row r="167">
          <cell r="C167">
            <v>1</v>
          </cell>
          <cell r="D167">
            <v>0</v>
          </cell>
          <cell r="E167">
            <v>0</v>
          </cell>
          <cell r="F167">
            <v>0</v>
          </cell>
          <cell r="H167">
            <v>2</v>
          </cell>
          <cell r="O167">
            <v>238164</v>
          </cell>
          <cell r="P167" t="str">
            <v>2025/041-0011-01</v>
          </cell>
          <cell r="Q167" t="str">
            <v>EST BASE JANTAR GRAZ (MAD B LOURO ESPECIAL) (INOX ENV)</v>
          </cell>
          <cell r="R167">
            <v>2.7</v>
          </cell>
          <cell r="S167">
            <v>1.2</v>
          </cell>
          <cell r="T167">
            <v>2.5499999999999998</v>
          </cell>
          <cell r="U167">
            <v>1</v>
          </cell>
          <cell r="V167">
            <v>0.74</v>
          </cell>
          <cell r="W167">
            <v>0</v>
          </cell>
          <cell r="X167" t="str">
            <v>EST BASE JANTAR GRAZ (MAD B LOURO ESPECIAL) (INOX ENV) - 2,55x1x0,74H</v>
          </cell>
          <cell r="Y167">
            <v>62590.906399999993</v>
          </cell>
          <cell r="Z167">
            <v>0.5</v>
          </cell>
          <cell r="AA167">
            <v>31295.453199999996</v>
          </cell>
          <cell r="AB167" t="str">
            <v>DA</v>
          </cell>
        </row>
        <row r="168">
          <cell r="C168">
            <v>1</v>
          </cell>
          <cell r="D168">
            <v>1</v>
          </cell>
          <cell r="E168">
            <v>0</v>
          </cell>
          <cell r="F168">
            <v>0</v>
          </cell>
          <cell r="H168">
            <v>0</v>
          </cell>
          <cell r="O168">
            <v>219092</v>
          </cell>
          <cell r="P168" t="str">
            <v>2025/041-0010-01</v>
          </cell>
          <cell r="Q168" t="str">
            <v>EST TAMPO CRISTAL LAPIDADO (10MM) INCOLOR CANTO RETO</v>
          </cell>
          <cell r="R168">
            <v>1.42</v>
          </cell>
          <cell r="S168">
            <v>1.42</v>
          </cell>
          <cell r="T168">
            <v>1.4</v>
          </cell>
          <cell r="U168">
            <v>1.4</v>
          </cell>
          <cell r="V168">
            <v>0.01</v>
          </cell>
          <cell r="W168">
            <v>0</v>
          </cell>
          <cell r="X168" t="str">
            <v>EST TAMPO CRISTAL LAPIDADO (10MM) INCOLOR CANTO RETO - 1,4x1,4x0,01H</v>
          </cell>
          <cell r="Y168">
            <v>32449.818899999998</v>
          </cell>
          <cell r="Z168">
            <v>0.35</v>
          </cell>
          <cell r="AA168">
            <v>21092.382285</v>
          </cell>
          <cell r="AB168" t="str">
            <v>DB</v>
          </cell>
        </row>
        <row r="169">
          <cell r="C169">
            <v>1</v>
          </cell>
          <cell r="D169">
            <v>0</v>
          </cell>
          <cell r="E169">
            <v>0</v>
          </cell>
          <cell r="F169">
            <v>0</v>
          </cell>
          <cell r="H169">
            <v>0</v>
          </cell>
          <cell r="O169">
            <v>217200</v>
          </cell>
          <cell r="P169" t="str">
            <v>2018/219-0118-01</v>
          </cell>
          <cell r="Q169" t="str">
            <v>EST MESA CENTRO COB S/VIDRO (MAD B FREIJO NATURAL)</v>
          </cell>
          <cell r="R169">
            <v>1.42</v>
          </cell>
          <cell r="S169">
            <v>1.42</v>
          </cell>
          <cell r="T169">
            <v>1.42</v>
          </cell>
          <cell r="U169">
            <v>1.42</v>
          </cell>
          <cell r="V169">
            <v>0.25</v>
          </cell>
          <cell r="W169">
            <v>0</v>
          </cell>
          <cell r="X169" t="str">
            <v>EST MESA CENTRO COB S/VIDRO (MAD B FREIJO NATURAL) - 1,42x1,42x0,25H</v>
          </cell>
          <cell r="Y169">
            <v>32449.818899999998</v>
          </cell>
          <cell r="Z169">
            <v>0.35</v>
          </cell>
          <cell r="AA169">
            <v>21092.382285</v>
          </cell>
          <cell r="AB169" t="str">
            <v>DB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H170">
            <v>1</v>
          </cell>
          <cell r="O170">
            <v>270794</v>
          </cell>
          <cell r="P170" t="str">
            <v>2020/338-0061-01</v>
          </cell>
          <cell r="Q170" t="str">
            <v>EST MODULO BRACO ESQ NEW CHATEAU (2AS) (MTX PT) E5123</v>
          </cell>
          <cell r="R170">
            <v>3.47</v>
          </cell>
          <cell r="S170">
            <v>2.4500000000000002</v>
          </cell>
          <cell r="T170">
            <v>2.31</v>
          </cell>
          <cell r="U170">
            <v>0.96</v>
          </cell>
          <cell r="V170">
            <v>0.8</v>
          </cell>
          <cell r="W170">
            <v>0</v>
          </cell>
          <cell r="X170" t="str">
            <v>EST MODULO BRACO ESQ NEW CHATEAU (2AS) (MTX PT) E5123 - 2,31x0,96x0,8H</v>
          </cell>
          <cell r="Y170">
            <v>56919.16</v>
          </cell>
          <cell r="Z170">
            <v>0.35</v>
          </cell>
          <cell r="AA170">
            <v>36997.454000000005</v>
          </cell>
          <cell r="AB170" t="str">
            <v>DC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H171">
            <v>1</v>
          </cell>
          <cell r="O171">
            <v>270800</v>
          </cell>
          <cell r="P171" t="str">
            <v>2020/338-0062-01</v>
          </cell>
          <cell r="Q171" t="str">
            <v>EST MODULO CHAISE ENC VIRADO NEW CHATEAU (MTX PT) E5123</v>
          </cell>
          <cell r="R171">
            <v>3.47</v>
          </cell>
          <cell r="S171">
            <v>2.4500000000000002</v>
          </cell>
          <cell r="T171">
            <v>1.26</v>
          </cell>
          <cell r="U171">
            <v>2.4500000000000002</v>
          </cell>
          <cell r="V171">
            <v>0.8</v>
          </cell>
          <cell r="W171">
            <v>0</v>
          </cell>
          <cell r="X171" t="str">
            <v>EST MODULO CHAISE ENC VIRADO NEW CHATEAU (MTX PT) E5123 - 1,26x2,45x0,8H</v>
          </cell>
          <cell r="Y171">
            <v>56919.16</v>
          </cell>
          <cell r="Z171">
            <v>0.35</v>
          </cell>
          <cell r="AA171">
            <v>36997.454000000005</v>
          </cell>
          <cell r="AB171" t="str">
            <v>DC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H172">
            <v>0</v>
          </cell>
          <cell r="O172">
            <v>270597</v>
          </cell>
          <cell r="P172" t="str">
            <v>2021/118-0069-01</v>
          </cell>
          <cell r="Q172" t="str">
            <v>EST MODULO BRACO DIREITO MISTI FX6594/PES PRETO FSC</v>
          </cell>
          <cell r="R172">
            <v>3.6</v>
          </cell>
          <cell r="S172">
            <v>2.8</v>
          </cell>
          <cell r="T172">
            <v>1.4</v>
          </cell>
          <cell r="U172">
            <v>1</v>
          </cell>
          <cell r="V172">
            <v>0.67</v>
          </cell>
          <cell r="W172">
            <v>0</v>
          </cell>
          <cell r="X172" t="str">
            <v>EST MODULO BRACO DIREITO MISTI FX6594/PES PRETO FSC - 1,4x1x0,67H</v>
          </cell>
          <cell r="Y172">
            <v>62109.15</v>
          </cell>
          <cell r="Z172">
            <v>0.35</v>
          </cell>
          <cell r="AA172">
            <v>40370.947500000002</v>
          </cell>
          <cell r="AB172" t="str">
            <v>DI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H173">
            <v>0</v>
          </cell>
          <cell r="O173">
            <v>270598</v>
          </cell>
          <cell r="P173" t="str">
            <v>2021/118-0070-01</v>
          </cell>
          <cell r="Q173" t="str">
            <v>EST MODULO BRACO ESQUERDO MISTI FX6594/PES PRETO FSC</v>
          </cell>
          <cell r="R173">
            <v>3.6</v>
          </cell>
          <cell r="S173">
            <v>2.8</v>
          </cell>
          <cell r="T173">
            <v>1.4</v>
          </cell>
          <cell r="U173">
            <v>1</v>
          </cell>
          <cell r="V173">
            <v>0.67</v>
          </cell>
          <cell r="W173">
            <v>0</v>
          </cell>
          <cell r="X173" t="str">
            <v>EST MODULO BRACO ESQUERDO MISTI FX6594/PES PRETO FSC - 1,4x1x0,67H</v>
          </cell>
          <cell r="Y173">
            <v>62109.15</v>
          </cell>
          <cell r="Z173">
            <v>0.35</v>
          </cell>
          <cell r="AA173">
            <v>40370.947500000002</v>
          </cell>
          <cell r="AB173" t="str">
            <v>DI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H174">
            <v>0</v>
          </cell>
          <cell r="O174">
            <v>270630</v>
          </cell>
          <cell r="P174" t="str">
            <v>2021/118-0061-01</v>
          </cell>
          <cell r="Q174" t="str">
            <v>EST MODULO S/BRACO C/PUFF DIREITO MISTI FX6594/PES PRETO FSC</v>
          </cell>
          <cell r="R174">
            <v>3.6</v>
          </cell>
          <cell r="S174">
            <v>2.8</v>
          </cell>
          <cell r="T174">
            <v>1.8</v>
          </cell>
          <cell r="U174">
            <v>1</v>
          </cell>
          <cell r="V174">
            <v>0.67</v>
          </cell>
          <cell r="W174">
            <v>0</v>
          </cell>
          <cell r="X174" t="str">
            <v>EST MODULO S/BRACO C/PUFF DIREITO MISTI FX6594/PES PRETO FSC - 1,8x1x0,67H</v>
          </cell>
          <cell r="Y174">
            <v>62109.15</v>
          </cell>
          <cell r="Z174">
            <v>0.35</v>
          </cell>
          <cell r="AA174">
            <v>40370.947500000002</v>
          </cell>
          <cell r="AB174" t="str">
            <v>DI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H175">
            <v>0</v>
          </cell>
          <cell r="O175">
            <v>270631</v>
          </cell>
          <cell r="P175" t="str">
            <v>2021/118-0072-01</v>
          </cell>
          <cell r="Q175" t="str">
            <v>EST MODULO S/BRACO S/ENCOSTO MISTI FX6594/PES PRETO FSC</v>
          </cell>
          <cell r="R175">
            <v>3.6</v>
          </cell>
          <cell r="S175">
            <v>2.8</v>
          </cell>
          <cell r="T175">
            <v>1.8</v>
          </cell>
          <cell r="U175">
            <v>0.8</v>
          </cell>
          <cell r="V175">
            <v>0.45</v>
          </cell>
          <cell r="W175">
            <v>0</v>
          </cell>
          <cell r="X175" t="str">
            <v>EST MODULO S/BRACO S/ENCOSTO MISTI FX6594/PES PRETO FSC - 1,8x0,8x0,45H</v>
          </cell>
          <cell r="Y175">
            <v>62109.15</v>
          </cell>
          <cell r="Z175">
            <v>0.35</v>
          </cell>
          <cell r="AA175">
            <v>40370.947500000002</v>
          </cell>
          <cell r="AB175" t="str">
            <v>DI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H176">
            <v>1</v>
          </cell>
          <cell r="O176">
            <v>334182</v>
          </cell>
          <cell r="P176" t="str">
            <v>2022/207-0029-01</v>
          </cell>
          <cell r="Q176" t="str">
            <v>EST MODULO BRACO DIR ARAGON (1AS) (BC10) (MTZ CAPPUC) D4140</v>
          </cell>
          <cell r="R176">
            <v>4.1500000000000004</v>
          </cell>
          <cell r="S176">
            <v>2</v>
          </cell>
          <cell r="T176">
            <v>1.1000000000000001</v>
          </cell>
          <cell r="U176">
            <v>1</v>
          </cell>
          <cell r="V176">
            <v>0.92</v>
          </cell>
          <cell r="W176">
            <v>0</v>
          </cell>
          <cell r="X176" t="str">
            <v>EST MODULO BRACO DIR ARAGON (1AS) (BC10) (MTZ CAPPUC) D4140 - 1,1x1x0,92H</v>
          </cell>
          <cell r="Y176">
            <v>69574.19</v>
          </cell>
          <cell r="Z176">
            <v>0.35</v>
          </cell>
          <cell r="AA176">
            <v>45223.223500000007</v>
          </cell>
          <cell r="AB176" t="str">
            <v>DP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H177">
            <v>1</v>
          </cell>
          <cell r="O177">
            <v>334183</v>
          </cell>
          <cell r="P177" t="str">
            <v>2022/207-0030-01</v>
          </cell>
          <cell r="Q177" t="str">
            <v>EST MODULO BRACO ESQ ARAGON (1AS) (BC10) (MTZ CAPPUC) D4140</v>
          </cell>
          <cell r="R177">
            <v>4.1500000000000004</v>
          </cell>
          <cell r="S177">
            <v>2</v>
          </cell>
          <cell r="T177">
            <v>1.1000000000000001</v>
          </cell>
          <cell r="U177">
            <v>1</v>
          </cell>
          <cell r="V177">
            <v>0.92</v>
          </cell>
          <cell r="W177">
            <v>0</v>
          </cell>
          <cell r="X177" t="str">
            <v>EST MODULO BRACO ESQ ARAGON (1AS) (BC10) (MTZ CAPPUC) D4140 - 1,1x1x0,92H</v>
          </cell>
          <cell r="Y177">
            <v>69574.19</v>
          </cell>
          <cell r="Z177">
            <v>0.5</v>
          </cell>
          <cell r="AA177">
            <v>34787.095000000001</v>
          </cell>
          <cell r="AB177" t="str">
            <v>DP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H178">
            <v>1</v>
          </cell>
          <cell r="O178">
            <v>334184</v>
          </cell>
          <cell r="P178" t="str">
            <v>2022/207-0031-01</v>
          </cell>
          <cell r="Q178" t="str">
            <v>EST MODULO S/BRACO CURVO ARAGON (MTZ CAPUCC) D4140</v>
          </cell>
          <cell r="R178">
            <v>4.1500000000000004</v>
          </cell>
          <cell r="S178">
            <v>2</v>
          </cell>
          <cell r="T178">
            <v>2.1</v>
          </cell>
          <cell r="U178">
            <v>1.4</v>
          </cell>
          <cell r="V178">
            <v>0.92</v>
          </cell>
          <cell r="W178">
            <v>0</v>
          </cell>
          <cell r="X178" t="str">
            <v>EST MODULO S/BRACO CURVO ARAGON (MTZ CAPUCC) D4140 - 2,1x1,4x0,92H</v>
          </cell>
          <cell r="Y178">
            <v>69574.19</v>
          </cell>
          <cell r="Z178">
            <v>0.5</v>
          </cell>
          <cell r="AA178">
            <v>34787.095000000001</v>
          </cell>
          <cell r="AB178" t="str">
            <v>DP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1</v>
          </cell>
          <cell r="H179">
            <v>0</v>
          </cell>
          <cell r="O179">
            <v>334201</v>
          </cell>
          <cell r="P179" t="str">
            <v>2022/193-0064-01</v>
          </cell>
          <cell r="Q179" t="str">
            <v>EST MODULO BRACO DIR NEW CHATEAU (2AS) (MTX GRAFITE) E5142</v>
          </cell>
          <cell r="R179">
            <v>3.49</v>
          </cell>
          <cell r="S179">
            <v>2.0499999999999998</v>
          </cell>
          <cell r="T179">
            <v>2.31</v>
          </cell>
          <cell r="U179">
            <v>0.96</v>
          </cell>
          <cell r="V179">
            <v>0.8</v>
          </cell>
          <cell r="W179">
            <v>0</v>
          </cell>
          <cell r="X179" t="str">
            <v>EST MODULO BRACO DIR NEW CHATEAU (2AS) (MTX GRAFITE) E5142 - 2,31x0,96x0,8H</v>
          </cell>
          <cell r="Y179">
            <v>51067.92</v>
          </cell>
          <cell r="Z179">
            <v>0.35</v>
          </cell>
          <cell r="AA179">
            <v>33194.148000000001</v>
          </cell>
          <cell r="AB179" t="str">
            <v>DQ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1</v>
          </cell>
          <cell r="H180">
            <v>0</v>
          </cell>
          <cell r="O180">
            <v>334202</v>
          </cell>
          <cell r="P180" t="str">
            <v>2022/193-0065-01</v>
          </cell>
          <cell r="Q180" t="str">
            <v>EST MODULO CHAISE BRACO ESQ NEW CHATEAU (MTX GRAFITE) E5142</v>
          </cell>
          <cell r="R180">
            <v>3.49</v>
          </cell>
          <cell r="S180">
            <v>2.0499999999999998</v>
          </cell>
          <cell r="T180">
            <v>1.18</v>
          </cell>
          <cell r="U180">
            <v>2.0499999999999998</v>
          </cell>
          <cell r="V180">
            <v>0.8</v>
          </cell>
          <cell r="W180">
            <v>0</v>
          </cell>
          <cell r="X180" t="str">
            <v>EST MODULO CHAISE BRACO ESQ NEW CHATEAU (MTX GRAFITE) E5142 - 1,18x2,05x0,8H</v>
          </cell>
          <cell r="Y180">
            <v>51067.92</v>
          </cell>
          <cell r="Z180">
            <v>0.35</v>
          </cell>
          <cell r="AA180">
            <v>33194.148000000001</v>
          </cell>
          <cell r="AB180" t="str">
            <v>DQ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H181">
            <v>1</v>
          </cell>
          <cell r="O181">
            <v>334345</v>
          </cell>
          <cell r="P181" t="str">
            <v>2024/193-0007-01</v>
          </cell>
          <cell r="Q181" t="str">
            <v>EST MODULO BRACO DIR ATLAS (BASE LAMIN EBANIZ) FX8168</v>
          </cell>
          <cell r="R181">
            <v>2.7</v>
          </cell>
          <cell r="S181">
            <v>1.1200000000000001</v>
          </cell>
          <cell r="T181">
            <v>1.35</v>
          </cell>
          <cell r="U181">
            <v>1.1200000000000001</v>
          </cell>
          <cell r="V181">
            <v>0.73</v>
          </cell>
          <cell r="W181">
            <v>0</v>
          </cell>
          <cell r="X181" t="str">
            <v>EST MODULO BRACO DIR ATLAS (BASE LAMIN EBANIZ) FX8168 - 1,35x1,12x0,73H</v>
          </cell>
          <cell r="Y181">
            <v>41418.14</v>
          </cell>
          <cell r="Z181">
            <v>0.5</v>
          </cell>
          <cell r="AA181">
            <v>20709.07</v>
          </cell>
          <cell r="AB181" t="str">
            <v>DS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H182">
            <v>1</v>
          </cell>
          <cell r="O182">
            <v>334346</v>
          </cell>
          <cell r="P182" t="str">
            <v>2024/193-0008-01</v>
          </cell>
          <cell r="Q182" t="str">
            <v>EST MODULO BRACO ESQ ATLAS (BASE LAMIN EBANIZ) FX8168</v>
          </cell>
          <cell r="R182">
            <v>2.7</v>
          </cell>
          <cell r="S182">
            <v>1.1200000000000001</v>
          </cell>
          <cell r="T182">
            <v>1.35</v>
          </cell>
          <cell r="U182">
            <v>1.1200000000000001</v>
          </cell>
          <cell r="V182">
            <v>0.73</v>
          </cell>
          <cell r="W182">
            <v>0</v>
          </cell>
          <cell r="X182" t="str">
            <v>EST MODULO BRACO ESQ ATLAS (BASE LAMIN EBANIZ) FX8168 - 1,35x1,12x0,73H</v>
          </cell>
          <cell r="Y182">
            <v>41418.14</v>
          </cell>
          <cell r="Z182">
            <v>0.5</v>
          </cell>
          <cell r="AA182">
            <v>20709.07</v>
          </cell>
          <cell r="AB182" t="str">
            <v>DS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H183">
            <v>1</v>
          </cell>
          <cell r="O183">
            <v>334205</v>
          </cell>
          <cell r="P183" t="str">
            <v>2022/196-0063-01</v>
          </cell>
          <cell r="Q183" t="str">
            <v>EST MODULO BRACO ESQUERDO AURORA FX10009/MTZ PRATA</v>
          </cell>
          <cell r="R183">
            <v>3.8899999999999997</v>
          </cell>
          <cell r="S183">
            <v>0.87</v>
          </cell>
          <cell r="T183">
            <v>1.92</v>
          </cell>
          <cell r="U183">
            <v>0.87</v>
          </cell>
          <cell r="V183">
            <v>0.7</v>
          </cell>
          <cell r="W183">
            <v>0</v>
          </cell>
          <cell r="X183" t="str">
            <v>EST MODULO BRACO ESQUERDO AURORA FX10009/MTZ PRATA - 1,92x0,87x0,7H</v>
          </cell>
          <cell r="Y183">
            <v>64635.600000000006</v>
          </cell>
          <cell r="Z183">
            <v>0.5</v>
          </cell>
          <cell r="AA183">
            <v>32317.800000000003</v>
          </cell>
          <cell r="AB183" t="str">
            <v>DU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H184">
            <v>1</v>
          </cell>
          <cell r="O184">
            <v>334206</v>
          </cell>
          <cell r="P184" t="str">
            <v>2022/196-0064-01</v>
          </cell>
          <cell r="Q184" t="str">
            <v>EST MODULO BRACO DIREITO C/PUFF AURORA FX10009/MTZ PRATA</v>
          </cell>
          <cell r="R184">
            <v>3.8899999999999997</v>
          </cell>
          <cell r="S184">
            <v>0.87</v>
          </cell>
          <cell r="T184">
            <v>1.97</v>
          </cell>
          <cell r="U184">
            <v>0.87</v>
          </cell>
          <cell r="V184">
            <v>0.7</v>
          </cell>
          <cell r="W184">
            <v>0</v>
          </cell>
          <cell r="X184" t="str">
            <v>EST MODULO BRACO DIREITO C/PUFF AURORA FX10009/MTZ PRATA - 1,97x0,87x0,7H</v>
          </cell>
          <cell r="Y184">
            <v>64635.600000000006</v>
          </cell>
          <cell r="Z184">
            <v>0.5</v>
          </cell>
          <cell r="AA184">
            <v>32317.800000000003</v>
          </cell>
          <cell r="AB184" t="str">
            <v>DU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H185">
            <v>2</v>
          </cell>
          <cell r="O185">
            <v>334247</v>
          </cell>
          <cell r="P185" t="str">
            <v>2022/203-0084-01</v>
          </cell>
          <cell r="Q185" t="str">
            <v>EST MODULO CHAISE S/BRACO PARATY (FX 40030) (COFFEE MATT)</v>
          </cell>
          <cell r="R185">
            <v>3.6</v>
          </cell>
          <cell r="S185">
            <v>1.77</v>
          </cell>
          <cell r="T185">
            <v>0.9</v>
          </cell>
          <cell r="U185">
            <v>1.77</v>
          </cell>
          <cell r="V185">
            <v>0.77</v>
          </cell>
          <cell r="W185">
            <v>0</v>
          </cell>
          <cell r="X185" t="str">
            <v>EST MODULO CHAISE S/BRACO PARATY (FX 40030) (COFFEE MATT) - 0,9x1,77x0,77H</v>
          </cell>
          <cell r="Y185">
            <v>45780.5</v>
          </cell>
          <cell r="Z185">
            <v>0.5</v>
          </cell>
          <cell r="AA185">
            <v>22890.25</v>
          </cell>
          <cell r="AB185" t="str">
            <v>DV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H186">
            <v>2</v>
          </cell>
          <cell r="O186">
            <v>334248</v>
          </cell>
          <cell r="P186" t="str">
            <v>2022/203-0085-01</v>
          </cell>
          <cell r="Q186" t="str">
            <v>EST MODULO S/BRACO C/ENCOSTO PARATY (FX 40030) (COFFEE MATT)</v>
          </cell>
          <cell r="R186">
            <v>3.6</v>
          </cell>
          <cell r="S186">
            <v>1.77</v>
          </cell>
          <cell r="T186">
            <v>1.8</v>
          </cell>
          <cell r="U186">
            <v>1</v>
          </cell>
          <cell r="V186">
            <v>0.77</v>
          </cell>
          <cell r="W186">
            <v>0</v>
          </cell>
          <cell r="X186" t="str">
            <v>EST MODULO S/BRACO C/ENCOSTO PARATY (FX 40030) (COFFEE MATT) - 1,8x1x0,77H</v>
          </cell>
          <cell r="Y186">
            <v>45780.5</v>
          </cell>
          <cell r="Z186">
            <v>0.5</v>
          </cell>
          <cell r="AA186">
            <v>22890.25</v>
          </cell>
          <cell r="AB186" t="str">
            <v>DV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H187">
            <v>2</v>
          </cell>
          <cell r="O187">
            <v>334249</v>
          </cell>
          <cell r="P187" t="str">
            <v>2022/203-0087-01</v>
          </cell>
          <cell r="Q187" t="str">
            <v>EST MODULO S/BRACO C/ENCOSTO PARATY (FX 40030) (COFFEE MATT)</v>
          </cell>
          <cell r="R187">
            <v>3.6</v>
          </cell>
          <cell r="S187">
            <v>1.77</v>
          </cell>
          <cell r="T187">
            <v>0.9</v>
          </cell>
          <cell r="U187">
            <v>1</v>
          </cell>
          <cell r="V187">
            <v>0.77</v>
          </cell>
          <cell r="W187">
            <v>0</v>
          </cell>
          <cell r="X187" t="str">
            <v>EST MODULO S/BRACO C/ENCOSTO PARATY (FX 40030) (COFFEE MATT) - 0,9x1x0,77H</v>
          </cell>
          <cell r="Y187">
            <v>45780.5</v>
          </cell>
          <cell r="Z187">
            <v>0.5</v>
          </cell>
          <cell r="AA187">
            <v>22890.25</v>
          </cell>
          <cell r="AB187" t="str">
            <v>DV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H188">
            <v>1</v>
          </cell>
          <cell r="O188">
            <v>334159</v>
          </cell>
          <cell r="P188" t="str">
            <v>2022/180-0033-01</v>
          </cell>
          <cell r="Q188" t="str">
            <v>EST BASE JANTAR HOLG (JEQUITIBA TING DARK WALNUT)</v>
          </cell>
          <cell r="R188">
            <v>1.5</v>
          </cell>
          <cell r="S188">
            <v>1.5</v>
          </cell>
          <cell r="T188">
            <v>1.5</v>
          </cell>
          <cell r="U188">
            <v>1.5</v>
          </cell>
          <cell r="V188">
            <v>0.76</v>
          </cell>
          <cell r="W188">
            <v>0</v>
          </cell>
          <cell r="X188" t="str">
            <v>EST BASE JANTAR HOLG (JEQUITIBA TING DARK WALNUT) - 1,5x1,5x0,76H</v>
          </cell>
          <cell r="Y188">
            <v>70594.675000000003</v>
          </cell>
          <cell r="Z188">
            <v>0.5</v>
          </cell>
          <cell r="AA188">
            <v>35297.337500000001</v>
          </cell>
          <cell r="AB188" t="str">
            <v>DX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H189">
            <v>1</v>
          </cell>
          <cell r="O189">
            <v>334172</v>
          </cell>
          <cell r="P189" t="str">
            <v>2022/214-0017-01</v>
          </cell>
          <cell r="Q189" t="str">
            <v>EST TAMPO MARMORE (F9025) (RETO/CHANF) (G3-VITORIA R LEVIG)</v>
          </cell>
          <cell r="R189">
            <v>1.5</v>
          </cell>
          <cell r="S189">
            <v>1.5</v>
          </cell>
          <cell r="T189">
            <v>1.5</v>
          </cell>
          <cell r="U189">
            <v>1.5</v>
          </cell>
          <cell r="V189">
            <v>0.02</v>
          </cell>
          <cell r="W189">
            <v>0</v>
          </cell>
          <cell r="X189" t="str">
            <v>EST TAMPO MARMORE (F9025) (RETO/CHANF) (G3-VITORIA R LEVIG) - 1,5x1,5x0,02H</v>
          </cell>
          <cell r="Y189">
            <v>70594.675000000003</v>
          </cell>
          <cell r="Z189">
            <v>0.5</v>
          </cell>
          <cell r="AA189">
            <v>35297.337500000001</v>
          </cell>
          <cell r="AB189" t="str">
            <v>DX</v>
          </cell>
        </row>
        <row r="190">
          <cell r="C190">
            <v>0</v>
          </cell>
          <cell r="D190">
            <v>1</v>
          </cell>
          <cell r="E190">
            <v>0</v>
          </cell>
          <cell r="F190">
            <v>0</v>
          </cell>
          <cell r="H190">
            <v>0</v>
          </cell>
          <cell r="O190">
            <v>182373</v>
          </cell>
          <cell r="P190" t="str">
            <v>2016/349-0188-01</v>
          </cell>
          <cell r="Q190" t="str">
            <v>EST TAMPO CRISTAL LAPIDADO (15MM) INCOLOR (CIRCULAR)</v>
          </cell>
          <cell r="R190">
            <v>1.5</v>
          </cell>
          <cell r="S190">
            <v>0</v>
          </cell>
          <cell r="T190">
            <v>1.5</v>
          </cell>
          <cell r="U190">
            <v>0</v>
          </cell>
          <cell r="V190">
            <v>0.01</v>
          </cell>
          <cell r="W190">
            <v>1.5</v>
          </cell>
          <cell r="X190" t="str">
            <v>EST TAMPO CRISTAL LAPIDADO (15MM) INCOLOR (CIRCULAR) - Ø1,5x0,01H</v>
          </cell>
          <cell r="Y190">
            <v>27194.25</v>
          </cell>
          <cell r="Z190">
            <v>0.5</v>
          </cell>
          <cell r="AA190">
            <v>13597.125</v>
          </cell>
          <cell r="AB190" t="str">
            <v>EB</v>
          </cell>
        </row>
        <row r="191">
          <cell r="C191">
            <v>0</v>
          </cell>
          <cell r="D191">
            <v>1</v>
          </cell>
          <cell r="E191">
            <v>0</v>
          </cell>
          <cell r="F191">
            <v>0</v>
          </cell>
          <cell r="H191">
            <v>0</v>
          </cell>
          <cell r="O191">
            <v>223599</v>
          </cell>
          <cell r="P191" t="str">
            <v>2018/191-0057-01</v>
          </cell>
          <cell r="Q191" t="str">
            <v>EST BASE JANTAR CRUZADAS (MAD A MUIRACATIARA POA)</v>
          </cell>
          <cell r="R191">
            <v>1.5</v>
          </cell>
          <cell r="S191">
            <v>0</v>
          </cell>
          <cell r="T191">
            <v>0.84</v>
          </cell>
          <cell r="U191">
            <v>0</v>
          </cell>
          <cell r="V191">
            <v>0.73</v>
          </cell>
          <cell r="W191">
            <v>0.84</v>
          </cell>
          <cell r="X191" t="str">
            <v>EST BASE JANTAR CRUZADAS (MAD A MUIRACATIARA POA) - Ø0,84x0,73H</v>
          </cell>
          <cell r="Y191">
            <v>27194.25</v>
          </cell>
          <cell r="Z191">
            <v>0.5</v>
          </cell>
          <cell r="AA191">
            <v>13597.125</v>
          </cell>
          <cell r="AB191" t="str">
            <v>EB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H192">
            <v>1</v>
          </cell>
          <cell r="O192">
            <v>302830</v>
          </cell>
          <cell r="P192" t="str">
            <v>2021/327-0215-01</v>
          </cell>
          <cell r="Q192" t="str">
            <v>EST MODULO BRACO ESQUERDO LUME (2AS) FX6360/PES NOGUEIRA</v>
          </cell>
          <cell r="R192">
            <v>3.32</v>
          </cell>
          <cell r="S192">
            <v>1.6</v>
          </cell>
          <cell r="T192">
            <v>2.2599999999999998</v>
          </cell>
          <cell r="U192">
            <v>0.93</v>
          </cell>
          <cell r="V192">
            <v>0.67</v>
          </cell>
          <cell r="W192">
            <v>0</v>
          </cell>
          <cell r="X192" t="str">
            <v>EST MODULO BRACO ESQUERDO LUME (2AS) FX6360/PES NOGUEIRA - 2,26x0,93x0,67H</v>
          </cell>
          <cell r="Y192">
            <v>41302.639999999999</v>
          </cell>
          <cell r="Z192">
            <v>0.5</v>
          </cell>
          <cell r="AA192">
            <v>20651.32</v>
          </cell>
          <cell r="AB192" t="str">
            <v>EC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H193">
            <v>1</v>
          </cell>
          <cell r="O193">
            <v>302831</v>
          </cell>
          <cell r="P193" t="str">
            <v>2021/327-0216-01</v>
          </cell>
          <cell r="Q193" t="str">
            <v>EST MODULO CHAISE BRACO DIREITO LUME FX6360/PES NOGUEIRA</v>
          </cell>
          <cell r="R193">
            <v>3.32</v>
          </cell>
          <cell r="S193">
            <v>1.6</v>
          </cell>
          <cell r="T193">
            <v>1.06</v>
          </cell>
          <cell r="U193">
            <v>1.6</v>
          </cell>
          <cell r="V193">
            <v>0.67</v>
          </cell>
          <cell r="W193">
            <v>0</v>
          </cell>
          <cell r="X193" t="str">
            <v>EST MODULO CHAISE BRACO DIREITO LUME FX6360/PES NOGUEIRA - 1,06x1,6x0,67H</v>
          </cell>
          <cell r="Y193">
            <v>41302.639999999999</v>
          </cell>
          <cell r="Z193">
            <v>0.5</v>
          </cell>
          <cell r="AA193">
            <v>20651.32</v>
          </cell>
          <cell r="AB193" t="str">
            <v>EC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H194">
            <v>1</v>
          </cell>
          <cell r="O194">
            <v>339717</v>
          </cell>
          <cell r="P194" t="str">
            <v>2022/174-0001-01</v>
          </cell>
          <cell r="Q194" t="str">
            <v>EST MODULO BRACO DIREITO ICARUS (1AS 1,15M) (BC20) FX B2108</v>
          </cell>
          <cell r="R194">
            <v>2.7</v>
          </cell>
          <cell r="S194">
            <v>1.05</v>
          </cell>
          <cell r="T194">
            <v>1.35</v>
          </cell>
          <cell r="U194">
            <v>1.05</v>
          </cell>
          <cell r="V194">
            <v>0.92</v>
          </cell>
          <cell r="W194">
            <v>0</v>
          </cell>
          <cell r="X194" t="str">
            <v>EST MODULO BRACO DIREITO ICARUS (1AS 1,15M) (BC20) FX B2108 - 1,35x1,05x0,92H</v>
          </cell>
          <cell r="Y194">
            <v>28459.56</v>
          </cell>
          <cell r="Z194">
            <v>0.5</v>
          </cell>
          <cell r="AA194">
            <v>14229.78</v>
          </cell>
          <cell r="AB194" t="str">
            <v>EG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H195">
            <v>1</v>
          </cell>
          <cell r="O195">
            <v>339718</v>
          </cell>
          <cell r="P195" t="str">
            <v>2022/174-0002-01</v>
          </cell>
          <cell r="Q195" t="str">
            <v>EST MODULO BRACO ESQUERDO ICARUS (1AS 1,15M) (BC20) FX B2108</v>
          </cell>
          <cell r="R195">
            <v>2.7</v>
          </cell>
          <cell r="S195">
            <v>1.05</v>
          </cell>
          <cell r="T195">
            <v>1.35</v>
          </cell>
          <cell r="U195">
            <v>1.05</v>
          </cell>
          <cell r="V195">
            <v>0.92</v>
          </cell>
          <cell r="W195">
            <v>0</v>
          </cell>
          <cell r="X195" t="str">
            <v>EST MODULO BRACO ESQUERDO ICARUS (1AS 1,15M) (BC20) FX B2108 - 1,35x1,05x0,92H</v>
          </cell>
          <cell r="Y195">
            <v>28459.56</v>
          </cell>
          <cell r="Z195">
            <v>0.5</v>
          </cell>
          <cell r="AA195">
            <v>14229.78</v>
          </cell>
          <cell r="AB195" t="str">
            <v>EG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H196">
            <v>1</v>
          </cell>
          <cell r="O196">
            <v>328716</v>
          </cell>
          <cell r="P196" t="str">
            <v>2022/193-0069-01</v>
          </cell>
          <cell r="Q196" t="str">
            <v>EST ACESSORIO MESA DIXON (METAL/COURO PINHAO)</v>
          </cell>
          <cell r="R196">
            <v>3.77</v>
          </cell>
          <cell r="S196">
            <v>2.67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 t="str">
            <v>EST ACESSORIO MESA DIXON (METAL/COURO PINHAO) - Ø0x0H</v>
          </cell>
          <cell r="Y196">
            <v>58146.820000000007</v>
          </cell>
          <cell r="Z196">
            <v>0.5</v>
          </cell>
          <cell r="AA196">
            <v>29073.410000000003</v>
          </cell>
          <cell r="AB196" t="str">
            <v>EQ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H197">
            <v>1</v>
          </cell>
          <cell r="O197">
            <v>328725</v>
          </cell>
          <cell r="P197" t="str">
            <v>2022/193-0070-01</v>
          </cell>
          <cell r="Q197" t="str">
            <v>EST MODULO S/BRACO C/AVANCO DIXON FX C3005/PES MARROM ESCURO</v>
          </cell>
          <cell r="R197">
            <v>3.77</v>
          </cell>
          <cell r="S197">
            <v>2.67</v>
          </cell>
          <cell r="T197">
            <v>1.65</v>
          </cell>
          <cell r="U197">
            <v>1.02</v>
          </cell>
          <cell r="V197">
            <v>0.8</v>
          </cell>
          <cell r="W197">
            <v>0</v>
          </cell>
          <cell r="X197" t="str">
            <v>EST MODULO S/BRACO C/AVANCO DIXON FX C3005/PES MARROM ESCURO - 1,65x1,02x0,8H</v>
          </cell>
          <cell r="Y197">
            <v>58146.820000000007</v>
          </cell>
          <cell r="Z197">
            <v>0.5</v>
          </cell>
          <cell r="AA197">
            <v>29073.410000000003</v>
          </cell>
          <cell r="AB197" t="str">
            <v>EQ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H198">
            <v>1</v>
          </cell>
          <cell r="O198">
            <v>328726</v>
          </cell>
          <cell r="P198" t="str">
            <v>2022/193-0071-01</v>
          </cell>
          <cell r="Q198" t="str">
            <v>EST MODULO PUFF DIXON FX C3005/PES MARROMO ESCURO</v>
          </cell>
          <cell r="R198">
            <v>3.77</v>
          </cell>
          <cell r="S198">
            <v>2.67</v>
          </cell>
          <cell r="T198">
            <v>1.01</v>
          </cell>
          <cell r="U198">
            <v>1.01</v>
          </cell>
          <cell r="V198">
            <v>0.44</v>
          </cell>
          <cell r="W198">
            <v>0</v>
          </cell>
          <cell r="X198" t="str">
            <v>EST MODULO PUFF DIXON FX C3005/PES MARROMO ESCURO - 1,01x1,01x0,44H</v>
          </cell>
          <cell r="Y198">
            <v>58146.820000000007</v>
          </cell>
          <cell r="Z198">
            <v>0.5</v>
          </cell>
          <cell r="AA198">
            <v>29073.410000000003</v>
          </cell>
          <cell r="AB198" t="str">
            <v>EQ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H199">
            <v>1</v>
          </cell>
          <cell r="O199">
            <v>328727</v>
          </cell>
          <cell r="P199" t="str">
            <v>2022/193-0072-01</v>
          </cell>
          <cell r="Q199" t="str">
            <v>EST MODULO BRACO ESQUERDO DIXON FX C3005/PES MARROM ESCURO</v>
          </cell>
          <cell r="R199">
            <v>3.77</v>
          </cell>
          <cell r="S199">
            <v>2.67</v>
          </cell>
          <cell r="T199">
            <v>2.75</v>
          </cell>
          <cell r="U199">
            <v>1.02</v>
          </cell>
          <cell r="V199">
            <v>0.8</v>
          </cell>
          <cell r="W199">
            <v>0</v>
          </cell>
          <cell r="X199" t="str">
            <v>EST MODULO BRACO ESQUERDO DIXON FX C3005/PES MARROM ESCURO - 2,75x1,02x0,8H</v>
          </cell>
          <cell r="Y199">
            <v>58146.820000000007</v>
          </cell>
          <cell r="Z199">
            <v>0.5</v>
          </cell>
          <cell r="AA199">
            <v>29073.410000000003</v>
          </cell>
          <cell r="AB199" t="str">
            <v>EQ</v>
          </cell>
        </row>
        <row r="200">
          <cell r="C200">
            <v>1</v>
          </cell>
          <cell r="D200">
            <v>0</v>
          </cell>
          <cell r="E200">
            <v>0</v>
          </cell>
          <cell r="F200">
            <v>0</v>
          </cell>
          <cell r="H200">
            <v>0</v>
          </cell>
          <cell r="O200">
            <v>336615</v>
          </cell>
          <cell r="P200" t="str">
            <v>2022/235-0065-01</v>
          </cell>
          <cell r="Q200" t="str">
            <v>EST BASE JANTAR MAR ADENTRO (PINTURA CS120) (TP FORN)</v>
          </cell>
          <cell r="R200">
            <v>3</v>
          </cell>
          <cell r="S200">
            <v>1.2</v>
          </cell>
          <cell r="T200">
            <v>2.9</v>
          </cell>
          <cell r="U200">
            <v>1.1000000000000001</v>
          </cell>
          <cell r="V200">
            <v>0.75</v>
          </cell>
          <cell r="W200">
            <v>0</v>
          </cell>
          <cell r="X200" t="str">
            <v>EST BASE JANTAR MAR ADENTRO (PINTURA CS120) (TP FORN) - 2,9x1,1x0,75H</v>
          </cell>
          <cell r="Y200">
            <v>97800.377999999997</v>
          </cell>
          <cell r="Z200">
            <v>0.5</v>
          </cell>
          <cell r="AA200">
            <v>48900.188999999998</v>
          </cell>
          <cell r="AB200" t="str">
            <v>ER</v>
          </cell>
        </row>
        <row r="201">
          <cell r="C201">
            <v>1</v>
          </cell>
          <cell r="D201">
            <v>0</v>
          </cell>
          <cell r="E201">
            <v>0</v>
          </cell>
          <cell r="F201">
            <v>0</v>
          </cell>
          <cell r="H201">
            <v>0</v>
          </cell>
          <cell r="O201">
            <v>354324</v>
          </cell>
          <cell r="P201" t="str">
            <v>2022/277-0087-01</v>
          </cell>
          <cell r="Q201" t="str">
            <v>EST TAMPO MARMORE (F9025) (RETO/RETA) (G2-RAFFAELLO LEVIG)</v>
          </cell>
          <cell r="R201">
            <v>3</v>
          </cell>
          <cell r="S201">
            <v>1.2</v>
          </cell>
          <cell r="T201">
            <v>3</v>
          </cell>
          <cell r="U201">
            <v>1.2</v>
          </cell>
          <cell r="V201">
            <v>0.02</v>
          </cell>
          <cell r="W201">
            <v>0</v>
          </cell>
          <cell r="X201" t="str">
            <v>EST TAMPO MARMORE (F9025) (RETO/RETA) (G2-RAFFAELLO LEVIG) - 3x1,2x0,02H</v>
          </cell>
          <cell r="Y201">
            <v>97800.377999999997</v>
          </cell>
          <cell r="Z201">
            <v>0.5</v>
          </cell>
          <cell r="AA201">
            <v>48900.188999999998</v>
          </cell>
          <cell r="AB201" t="str">
            <v>ER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H202">
            <v>3</v>
          </cell>
          <cell r="O202">
            <v>336696</v>
          </cell>
          <cell r="P202" t="str">
            <v>2022/243-0015-01</v>
          </cell>
          <cell r="Q202" t="str">
            <v>EST POLTRONA PACO (MAD A TAUARI ENV) TC G10-11202-343</v>
          </cell>
          <cell r="R202">
            <v>1.05</v>
          </cell>
          <cell r="S202">
            <v>1.04</v>
          </cell>
          <cell r="T202">
            <v>0.88</v>
          </cell>
          <cell r="U202">
            <v>1.04</v>
          </cell>
          <cell r="V202">
            <v>0.81</v>
          </cell>
          <cell r="W202">
            <v>0</v>
          </cell>
          <cell r="X202" t="str">
            <v>EST POLTRONA PACO (MAD A TAUARI ENV) TC G10-11202-343 - 0,88x1,04x0,81H</v>
          </cell>
          <cell r="Y202">
            <v>45257.460000000006</v>
          </cell>
          <cell r="Z202">
            <v>0.5</v>
          </cell>
          <cell r="AA202">
            <v>22628.730000000003</v>
          </cell>
          <cell r="AB202" t="str">
            <v>ET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H203">
            <v>2</v>
          </cell>
          <cell r="O203">
            <v>354547</v>
          </cell>
          <cell r="P203" t="str">
            <v>2022/244-0036-01</v>
          </cell>
          <cell r="Q203" t="str">
            <v>EST MESA LATERAL PACO (TAMPO CERAMICA BEGE) INOX ENV</v>
          </cell>
          <cell r="R203">
            <v>1.05</v>
          </cell>
          <cell r="S203">
            <v>1.04</v>
          </cell>
          <cell r="T203">
            <v>0.25</v>
          </cell>
          <cell r="U203">
            <v>0</v>
          </cell>
          <cell r="V203">
            <v>0.52</v>
          </cell>
          <cell r="W203">
            <v>0.25</v>
          </cell>
          <cell r="X203" t="str">
            <v>EST MESA LATERAL PACO (TAMPO CERAMICA BEGE) INOX ENV - Ø0,25x0,52H</v>
          </cell>
          <cell r="Y203">
            <v>45257.460000000006</v>
          </cell>
          <cell r="Z203">
            <v>0.5</v>
          </cell>
          <cell r="AA203">
            <v>22628.730000000003</v>
          </cell>
          <cell r="AB203" t="str">
            <v>ET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H204">
            <v>1</v>
          </cell>
          <cell r="O204">
            <v>335213</v>
          </cell>
          <cell r="P204" t="str">
            <v>2022/210-0107-01</v>
          </cell>
          <cell r="Q204" t="str">
            <v>EST MODULO S/BRACO C/PUFF ESQUERDO AURORA FX8582 /MTX PRETO</v>
          </cell>
          <cell r="R204">
            <v>2.62</v>
          </cell>
          <cell r="S204">
            <v>2.62</v>
          </cell>
          <cell r="T204">
            <v>1.75</v>
          </cell>
          <cell r="U204">
            <v>0.87</v>
          </cell>
          <cell r="V204">
            <v>0.7</v>
          </cell>
          <cell r="W204">
            <v>0</v>
          </cell>
          <cell r="X204" t="str">
            <v>EST MODULO S/BRACO C/PUFF ESQUERDO AURORA FX8582 /MTX PRETO - 1,75x0,87x0,7H</v>
          </cell>
          <cell r="Y204">
            <v>74409.53</v>
          </cell>
          <cell r="Z204">
            <v>0.5</v>
          </cell>
          <cell r="AA204">
            <v>37204.764999999999</v>
          </cell>
          <cell r="AB204" t="str">
            <v>EU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H205">
            <v>1</v>
          </cell>
          <cell r="O205">
            <v>335214</v>
          </cell>
          <cell r="P205" t="str">
            <v>2022/210-0108-01</v>
          </cell>
          <cell r="Q205" t="str">
            <v>EST MODULO CANTO C/ASSENTO DIREITO AURORA FX8582 /MTX PRETO</v>
          </cell>
          <cell r="R205">
            <v>2.62</v>
          </cell>
          <cell r="S205">
            <v>2.62</v>
          </cell>
          <cell r="T205">
            <v>1.75</v>
          </cell>
          <cell r="U205">
            <v>0.87</v>
          </cell>
          <cell r="V205">
            <v>0.7</v>
          </cell>
          <cell r="W205">
            <v>0</v>
          </cell>
          <cell r="X205" t="str">
            <v>EST MODULO CANTO C/ASSENTO DIREITO AURORA FX8582 /MTX PRETO - 1,75x0,87x0,7H</v>
          </cell>
          <cell r="Y205">
            <v>74409.53</v>
          </cell>
          <cell r="Z205">
            <v>0.5</v>
          </cell>
          <cell r="AA205">
            <v>37204.764999999999</v>
          </cell>
          <cell r="AB205" t="str">
            <v>EU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H206">
            <v>1</v>
          </cell>
          <cell r="O206">
            <v>335215</v>
          </cell>
          <cell r="P206" t="str">
            <v>2022/210-0109-01</v>
          </cell>
          <cell r="Q206" t="str">
            <v>EST MODULO BRACO DIREITO C/PUFF AURORA FX8582 /MTX PRETO</v>
          </cell>
          <cell r="R206">
            <v>2.62</v>
          </cell>
          <cell r="S206">
            <v>2.62</v>
          </cell>
          <cell r="T206">
            <v>1.87</v>
          </cell>
          <cell r="U206">
            <v>0.87</v>
          </cell>
          <cell r="V206">
            <v>0.7</v>
          </cell>
          <cell r="W206">
            <v>0</v>
          </cell>
          <cell r="X206" t="str">
            <v>EST MODULO BRACO DIREITO C/PUFF AURORA FX8582 /MTX PRETO - 1,87x0,87x0,7H</v>
          </cell>
          <cell r="Y206">
            <v>74409.53</v>
          </cell>
          <cell r="Z206">
            <v>0.5</v>
          </cell>
          <cell r="AA206">
            <v>37204.764999999999</v>
          </cell>
          <cell r="AB206" t="str">
            <v>EU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1</v>
          </cell>
          <cell r="H207">
            <v>0</v>
          </cell>
          <cell r="O207">
            <v>335218</v>
          </cell>
          <cell r="P207" t="str">
            <v>2022/182-0010-01</v>
          </cell>
          <cell r="Q207" t="str">
            <v>EST MODULO S/BRACO C/AVANCO ASSENTO DIREITO MORETTI FX E5001</v>
          </cell>
          <cell r="R207">
            <v>3.8499999999999996</v>
          </cell>
          <cell r="S207">
            <v>1.25</v>
          </cell>
          <cell r="T207">
            <v>1.2</v>
          </cell>
          <cell r="U207">
            <v>1.25</v>
          </cell>
          <cell r="V207">
            <v>0.88</v>
          </cell>
          <cell r="W207">
            <v>0</v>
          </cell>
          <cell r="X207" t="str">
            <v>EST MODULO S/BRACO C/AVANCO ASSENTO DIREITO MORETTI FX E5001 - 1,2x1,25x0,88H</v>
          </cell>
          <cell r="Y207">
            <v>54711.25</v>
          </cell>
          <cell r="Z207">
            <v>0.5</v>
          </cell>
          <cell r="AA207">
            <v>27355.625</v>
          </cell>
          <cell r="AB207" t="str">
            <v>EV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1</v>
          </cell>
          <cell r="H208">
            <v>0</v>
          </cell>
          <cell r="O208">
            <v>335219</v>
          </cell>
          <cell r="P208" t="str">
            <v>2022/182-0011-01</v>
          </cell>
          <cell r="Q208" t="str">
            <v>EST MODULO S/BRACO MORETTI FX E5001</v>
          </cell>
          <cell r="R208">
            <v>3.8499999999999996</v>
          </cell>
          <cell r="S208">
            <v>1.25</v>
          </cell>
          <cell r="T208">
            <v>1.2</v>
          </cell>
          <cell r="U208">
            <v>1.25</v>
          </cell>
          <cell r="V208">
            <v>0.88</v>
          </cell>
          <cell r="W208">
            <v>0</v>
          </cell>
          <cell r="X208" t="str">
            <v>EST MODULO S/BRACO MORETTI FX E5001 - 1,2x1,25x0,88H</v>
          </cell>
          <cell r="Y208">
            <v>54711.25</v>
          </cell>
          <cell r="Z208">
            <v>0.5</v>
          </cell>
          <cell r="AA208">
            <v>27355.625</v>
          </cell>
          <cell r="AB208" t="str">
            <v>EV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1</v>
          </cell>
          <cell r="H209">
            <v>0</v>
          </cell>
          <cell r="O209">
            <v>335220</v>
          </cell>
          <cell r="P209" t="str">
            <v>2022/182-0012-01</v>
          </cell>
          <cell r="Q209" t="str">
            <v>EST MODULO BRACO ESQUERDO MORETTI FX E5001</v>
          </cell>
          <cell r="R209">
            <v>3.8499999999999996</v>
          </cell>
          <cell r="S209">
            <v>1.25</v>
          </cell>
          <cell r="T209">
            <v>1.45</v>
          </cell>
          <cell r="U209">
            <v>1.25</v>
          </cell>
          <cell r="V209">
            <v>0.88</v>
          </cell>
          <cell r="W209">
            <v>0</v>
          </cell>
          <cell r="X209" t="str">
            <v>EST MODULO BRACO ESQUERDO MORETTI FX E5001 - 1,45x1,25x0,88H</v>
          </cell>
          <cell r="Y209">
            <v>54711.25</v>
          </cell>
          <cell r="Z209">
            <v>0.5</v>
          </cell>
          <cell r="AA209">
            <v>27355.625</v>
          </cell>
          <cell r="AB209" t="str">
            <v>EV</v>
          </cell>
        </row>
        <row r="210">
          <cell r="C210">
            <v>1</v>
          </cell>
          <cell r="D210">
            <v>0</v>
          </cell>
          <cell r="E210">
            <v>0</v>
          </cell>
          <cell r="F210">
            <v>0</v>
          </cell>
          <cell r="H210">
            <v>0</v>
          </cell>
          <cell r="O210">
            <v>353140</v>
          </cell>
          <cell r="P210" t="str">
            <v>2022/262-0056-01</v>
          </cell>
          <cell r="Q210" t="str">
            <v>EST MODULO BRACO ESQ TARANTO (2AS) TC B2206/VRNZ EBNZ</v>
          </cell>
          <cell r="R210">
            <v>3.2</v>
          </cell>
          <cell r="S210">
            <v>1.6</v>
          </cell>
          <cell r="T210">
            <v>2</v>
          </cell>
          <cell r="U210">
            <v>1</v>
          </cell>
          <cell r="V210">
            <v>0.95</v>
          </cell>
          <cell r="W210">
            <v>0</v>
          </cell>
          <cell r="X210" t="str">
            <v>EST MODULO BRACO ESQ TARANTO (2AS) TC B2206/VRNZ EBNZ - 2x1x0,95H</v>
          </cell>
          <cell r="Y210">
            <v>37506.74</v>
          </cell>
          <cell r="Z210">
            <v>0.35</v>
          </cell>
          <cell r="AA210">
            <v>24379.381000000001</v>
          </cell>
          <cell r="AB210" t="str">
            <v>EW</v>
          </cell>
        </row>
        <row r="211">
          <cell r="C211">
            <v>1</v>
          </cell>
          <cell r="D211">
            <v>0</v>
          </cell>
          <cell r="E211">
            <v>0</v>
          </cell>
          <cell r="F211">
            <v>0</v>
          </cell>
          <cell r="H211">
            <v>0</v>
          </cell>
          <cell r="O211">
            <v>353141</v>
          </cell>
          <cell r="P211" t="str">
            <v>2022/262-0057-01</v>
          </cell>
          <cell r="Q211" t="str">
            <v>EST MODULO CHAISE BRACO DIR TARANTO TC B2206/VRNZ EBNZ</v>
          </cell>
          <cell r="R211">
            <v>3.2</v>
          </cell>
          <cell r="S211">
            <v>1.6</v>
          </cell>
          <cell r="T211">
            <v>1.2</v>
          </cell>
          <cell r="U211">
            <v>1.6</v>
          </cell>
          <cell r="V211">
            <v>0.95</v>
          </cell>
          <cell r="W211">
            <v>0</v>
          </cell>
          <cell r="X211" t="str">
            <v>EST MODULO CHAISE BRACO DIR TARANTO TC B2206/VRNZ EBNZ - 1,2x1,6x0,95H</v>
          </cell>
          <cell r="Y211">
            <v>37506.74</v>
          </cell>
          <cell r="Z211">
            <v>0.35</v>
          </cell>
          <cell r="AA211">
            <v>24379.381000000001</v>
          </cell>
          <cell r="AB211" t="str">
            <v>EW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1</v>
          </cell>
          <cell r="H212">
            <v>0</v>
          </cell>
          <cell r="O212">
            <v>334434</v>
          </cell>
          <cell r="P212" t="str">
            <v>2022/213-0001-01</v>
          </cell>
          <cell r="Q212" t="str">
            <v>EST MODULO BRACO DIR TARANTO TC E5117/VRNZ TABACO</v>
          </cell>
          <cell r="R212">
            <v>3</v>
          </cell>
          <cell r="S212">
            <v>1</v>
          </cell>
          <cell r="T212">
            <v>1.5</v>
          </cell>
          <cell r="U212">
            <v>1</v>
          </cell>
          <cell r="V212">
            <v>0.95</v>
          </cell>
          <cell r="W212">
            <v>0</v>
          </cell>
          <cell r="X212" t="str">
            <v>EST MODULO BRACO DIR TARANTO TC E5117/VRNZ TABACO - 1,5x1x0,95H</v>
          </cell>
          <cell r="Y212">
            <v>40754.300000000003</v>
          </cell>
          <cell r="Z212">
            <v>0.35</v>
          </cell>
          <cell r="AA212">
            <v>26490.295000000002</v>
          </cell>
          <cell r="AB212" t="str">
            <v>EX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1</v>
          </cell>
          <cell r="H213">
            <v>0</v>
          </cell>
          <cell r="O213">
            <v>334435</v>
          </cell>
          <cell r="P213" t="str">
            <v>2022/213-0002-01</v>
          </cell>
          <cell r="Q213" t="str">
            <v>EST MODULO BRACO ESQ TARANTO TC E5117/VRNZ TABACO</v>
          </cell>
          <cell r="R213">
            <v>3</v>
          </cell>
          <cell r="S213">
            <v>1</v>
          </cell>
          <cell r="T213">
            <v>1.5</v>
          </cell>
          <cell r="U213">
            <v>1</v>
          </cell>
          <cell r="V213">
            <v>0.95</v>
          </cell>
          <cell r="W213">
            <v>0</v>
          </cell>
          <cell r="X213" t="str">
            <v>EST MODULO BRACO ESQ TARANTO TC E5117/VRNZ TABACO - 1,5x1x0,95H</v>
          </cell>
          <cell r="Y213">
            <v>40754.300000000003</v>
          </cell>
          <cell r="Z213">
            <v>0.35</v>
          </cell>
          <cell r="AA213">
            <v>26490.295000000002</v>
          </cell>
          <cell r="AB213" t="str">
            <v>EX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H214">
            <v>1</v>
          </cell>
          <cell r="O214">
            <v>336556</v>
          </cell>
          <cell r="P214" t="str">
            <v>2022/259-0032-01</v>
          </cell>
          <cell r="Q214" t="str">
            <v>EST POLTRONA PACO (MAD A TAUARI POA) TC RUST BRUN 5230/231</v>
          </cell>
          <cell r="R214">
            <v>1.05</v>
          </cell>
          <cell r="S214">
            <v>1.04</v>
          </cell>
          <cell r="T214">
            <v>0.88</v>
          </cell>
          <cell r="U214">
            <v>1.04</v>
          </cell>
          <cell r="V214">
            <v>0.81</v>
          </cell>
          <cell r="W214">
            <v>0</v>
          </cell>
          <cell r="X214" t="str">
            <v>EST POLTRONA PACO (MAD A TAUARI POA) TC RUST BRUN 5230/231 - 0,88x1,04x0,81H</v>
          </cell>
          <cell r="Y214">
            <v>38816.559999999998</v>
          </cell>
          <cell r="Z214">
            <v>0.5</v>
          </cell>
          <cell r="AA214">
            <v>19408.28</v>
          </cell>
          <cell r="AB214" t="str">
            <v>EZ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H215">
            <v>1</v>
          </cell>
          <cell r="O215">
            <v>354548</v>
          </cell>
          <cell r="P215" t="str">
            <v>2022/248-0029-01</v>
          </cell>
          <cell r="Q215" t="str">
            <v>EST MESA LATERAL PACO (MAD A TAUARI POA) INOX ENV</v>
          </cell>
          <cell r="R215">
            <v>1.05</v>
          </cell>
          <cell r="S215">
            <v>1.04</v>
          </cell>
          <cell r="T215">
            <v>0.25</v>
          </cell>
          <cell r="U215">
            <v>0</v>
          </cell>
          <cell r="V215">
            <v>0.52</v>
          </cell>
          <cell r="W215">
            <v>0.25</v>
          </cell>
          <cell r="X215" t="str">
            <v>EST MESA LATERAL PACO (MAD A TAUARI POA) INOX ENV - Ø0,25x0,52H</v>
          </cell>
          <cell r="Y215">
            <v>38816.559999999998</v>
          </cell>
          <cell r="Z215">
            <v>0.5</v>
          </cell>
          <cell r="AA215">
            <v>19408.28</v>
          </cell>
          <cell r="AB215" t="str">
            <v>EZ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H216">
            <v>1</v>
          </cell>
          <cell r="O216">
            <v>318591</v>
          </cell>
          <cell r="P216" t="str">
            <v>2022/021-0051-01</v>
          </cell>
          <cell r="Q216" t="str">
            <v>EST MODULO BRACO DIREITO CLEAN (B06) (1AS) FX 5730</v>
          </cell>
          <cell r="R216">
            <v>3.12</v>
          </cell>
          <cell r="S216">
            <v>1.1499999999999999</v>
          </cell>
          <cell r="T216">
            <v>1.06</v>
          </cell>
          <cell r="U216">
            <v>1.1499999999999999</v>
          </cell>
          <cell r="V216">
            <v>0.8</v>
          </cell>
          <cell r="W216">
            <v>0</v>
          </cell>
          <cell r="X216" t="str">
            <v>EST MODULO BRACO DIREITO CLEAN (B06) (1AS) FX 5730 - 1,06x1,15x0,8H</v>
          </cell>
          <cell r="Y216">
            <v>43041.24</v>
          </cell>
          <cell r="Z216">
            <v>0.35</v>
          </cell>
          <cell r="AA216">
            <v>27976.806</v>
          </cell>
          <cell r="AB216" t="str">
            <v>F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H217">
            <v>1</v>
          </cell>
          <cell r="O217">
            <v>318592</v>
          </cell>
          <cell r="P217" t="str">
            <v>2022/021-0052-01</v>
          </cell>
          <cell r="Q217" t="str">
            <v>EST MODULO BRACO ESQUERDO CLEAN (B06) (1AS) FX 5730</v>
          </cell>
          <cell r="R217">
            <v>3.12</v>
          </cell>
          <cell r="S217">
            <v>1.1499999999999999</v>
          </cell>
          <cell r="T217">
            <v>1.06</v>
          </cell>
          <cell r="U217">
            <v>1.1499999999999999</v>
          </cell>
          <cell r="V217">
            <v>0.8</v>
          </cell>
          <cell r="W217">
            <v>0</v>
          </cell>
          <cell r="X217" t="str">
            <v>EST MODULO BRACO ESQUERDO CLEAN (B06) (1AS) FX 5730 - 1,06x1,15x0,8H</v>
          </cell>
          <cell r="Y217">
            <v>43041.24</v>
          </cell>
          <cell r="Z217">
            <v>0.35</v>
          </cell>
          <cell r="AA217">
            <v>27976.806</v>
          </cell>
          <cell r="AB217" t="str">
            <v>F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H218">
            <v>1</v>
          </cell>
          <cell r="O218">
            <v>318595</v>
          </cell>
          <cell r="P218" t="str">
            <v>2022/021-0053-01</v>
          </cell>
          <cell r="Q218" t="str">
            <v>EST MODULO S/BRACO CLEAN (1AS) FX 5730</v>
          </cell>
          <cell r="R218">
            <v>3.12</v>
          </cell>
          <cell r="S218">
            <v>1.1499999999999999</v>
          </cell>
          <cell r="T218">
            <v>1</v>
          </cell>
          <cell r="U218">
            <v>1.1499999999999999</v>
          </cell>
          <cell r="V218">
            <v>0.8</v>
          </cell>
          <cell r="W218">
            <v>0</v>
          </cell>
          <cell r="X218" t="str">
            <v>EST MODULO S/BRACO CLEAN (1AS) FX 5730 - 1x1,15x0,8H</v>
          </cell>
          <cell r="Y218">
            <v>43041.24</v>
          </cell>
          <cell r="Z218">
            <v>0.35</v>
          </cell>
          <cell r="AA218">
            <v>27976.806</v>
          </cell>
          <cell r="AB218" t="str">
            <v>F</v>
          </cell>
        </row>
        <row r="219">
          <cell r="C219">
            <v>1</v>
          </cell>
          <cell r="D219">
            <v>0</v>
          </cell>
          <cell r="E219">
            <v>0</v>
          </cell>
          <cell r="F219">
            <v>0</v>
          </cell>
          <cell r="H219">
            <v>0</v>
          </cell>
          <cell r="O219">
            <v>328730</v>
          </cell>
          <cell r="P219" t="str">
            <v>2022/195-0053-01</v>
          </cell>
          <cell r="Q219" t="str">
            <v>EST MODULO BRACO DIREITO MORETTI FX E5001</v>
          </cell>
          <cell r="R219">
            <v>4.0999999999999996</v>
          </cell>
          <cell r="S219">
            <v>1.25</v>
          </cell>
          <cell r="T219">
            <v>1.45</v>
          </cell>
          <cell r="U219">
            <v>1.25</v>
          </cell>
          <cell r="V219">
            <v>0.88</v>
          </cell>
          <cell r="W219">
            <v>0</v>
          </cell>
          <cell r="X219" t="str">
            <v>EST MODULO BRACO DIREITO MORETTI FX E5001 - 1,45x1,25x0,88H</v>
          </cell>
          <cell r="Y219">
            <v>57791.340000000004</v>
          </cell>
          <cell r="Z219">
            <v>0.35</v>
          </cell>
          <cell r="AA219">
            <v>37564.370999999999</v>
          </cell>
          <cell r="AB219" t="str">
            <v>FB</v>
          </cell>
        </row>
        <row r="220">
          <cell r="C220">
            <v>1</v>
          </cell>
          <cell r="D220">
            <v>0</v>
          </cell>
          <cell r="E220">
            <v>0</v>
          </cell>
          <cell r="F220">
            <v>0</v>
          </cell>
          <cell r="H220">
            <v>0</v>
          </cell>
          <cell r="O220">
            <v>328731</v>
          </cell>
          <cell r="P220" t="str">
            <v>2022/195-0054-01</v>
          </cell>
          <cell r="Q220" t="str">
            <v>EST MODULO S/BRACO MORETTI FX E5001</v>
          </cell>
          <cell r="R220">
            <v>4.0999999999999996</v>
          </cell>
          <cell r="S220">
            <v>1.25</v>
          </cell>
          <cell r="T220">
            <v>1.2</v>
          </cell>
          <cell r="U220">
            <v>1.25</v>
          </cell>
          <cell r="V220">
            <v>0.88</v>
          </cell>
          <cell r="W220">
            <v>0</v>
          </cell>
          <cell r="X220" t="str">
            <v>EST MODULO S/BRACO MORETTI FX E5001 - 1,2x1,25x0,88H</v>
          </cell>
          <cell r="Y220">
            <v>57791.340000000004</v>
          </cell>
          <cell r="Z220">
            <v>0.35</v>
          </cell>
          <cell r="AA220">
            <v>37564.370999999999</v>
          </cell>
          <cell r="AB220" t="str">
            <v>FB</v>
          </cell>
        </row>
        <row r="221">
          <cell r="C221">
            <v>1</v>
          </cell>
          <cell r="D221">
            <v>0</v>
          </cell>
          <cell r="E221">
            <v>0</v>
          </cell>
          <cell r="F221">
            <v>0</v>
          </cell>
          <cell r="H221">
            <v>0</v>
          </cell>
          <cell r="O221">
            <v>328732</v>
          </cell>
          <cell r="P221" t="str">
            <v>2022/195-0055-01</v>
          </cell>
          <cell r="Q221" t="str">
            <v>EST MODULO BRACO ESQUERDO MORETTI FX E5001</v>
          </cell>
          <cell r="R221">
            <v>4.0999999999999996</v>
          </cell>
          <cell r="S221">
            <v>1.25</v>
          </cell>
          <cell r="T221">
            <v>1.45</v>
          </cell>
          <cell r="U221">
            <v>1.25</v>
          </cell>
          <cell r="V221">
            <v>0.8</v>
          </cell>
          <cell r="W221">
            <v>0</v>
          </cell>
          <cell r="X221" t="str">
            <v>EST MODULO BRACO ESQUERDO MORETTI FX E5001 - 1,45x1,25x0,8H</v>
          </cell>
          <cell r="Y221">
            <v>57791.340000000004</v>
          </cell>
          <cell r="Z221">
            <v>0.35</v>
          </cell>
          <cell r="AA221">
            <v>37564.370999999999</v>
          </cell>
          <cell r="AB221" t="str">
            <v>FB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H222">
            <v>1</v>
          </cell>
          <cell r="O222">
            <v>354545</v>
          </cell>
          <cell r="P222" t="str">
            <v>2022/2940-002-01</v>
          </cell>
          <cell r="Q222" t="str">
            <v>EST MESA LATERAL PACO (MAD A TAUARI ENV) INOX ENV</v>
          </cell>
          <cell r="R222">
            <v>1.05</v>
          </cell>
          <cell r="S222">
            <v>1.04</v>
          </cell>
          <cell r="T222">
            <v>0.25</v>
          </cell>
          <cell r="U222">
            <v>0</v>
          </cell>
          <cell r="V222">
            <v>0.52</v>
          </cell>
          <cell r="W222">
            <v>0.25</v>
          </cell>
          <cell r="X222" t="str">
            <v>EST MESA LATERAL PACO (MAD A TAUARI ENV) INOX ENV - Ø0,25x0,52H</v>
          </cell>
          <cell r="Y222">
            <v>40968.5</v>
          </cell>
          <cell r="Z222">
            <v>0.5</v>
          </cell>
          <cell r="AA222">
            <v>20484.25</v>
          </cell>
          <cell r="AB222" t="str">
            <v>FC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H223">
            <v>3</v>
          </cell>
          <cell r="O223">
            <v>336696</v>
          </cell>
          <cell r="P223" t="str">
            <v>2022/2230-033-01</v>
          </cell>
          <cell r="Q223" t="str">
            <v>EST POLTRONA PACO (MAD A TAUARI ENV) TC G10-11202-343</v>
          </cell>
          <cell r="R223">
            <v>1.05</v>
          </cell>
          <cell r="S223">
            <v>1.04</v>
          </cell>
          <cell r="T223">
            <v>0.88</v>
          </cell>
          <cell r="U223">
            <v>1.04</v>
          </cell>
          <cell r="V223">
            <v>0.81</v>
          </cell>
          <cell r="W223">
            <v>0</v>
          </cell>
          <cell r="X223" t="str">
            <v>EST POLTRONA PACO (MAD A TAUARI ENV) TC G10-11202-343 - 0,88x1,04x0,81H</v>
          </cell>
          <cell r="Y223">
            <v>40968.5</v>
          </cell>
          <cell r="Z223">
            <v>0.5</v>
          </cell>
          <cell r="AA223">
            <v>20484.25</v>
          </cell>
          <cell r="AB223" t="str">
            <v>FC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H224">
            <v>1</v>
          </cell>
          <cell r="O224">
            <v>354545</v>
          </cell>
          <cell r="P224" t="str">
            <v>2022/294-0002-01</v>
          </cell>
          <cell r="Q224" t="str">
            <v>sem saldo</v>
          </cell>
          <cell r="R224"/>
          <cell r="S224"/>
          <cell r="T224">
            <v>0.25</v>
          </cell>
          <cell r="U224">
            <v>0</v>
          </cell>
          <cell r="V224">
            <v>0.52</v>
          </cell>
          <cell r="W224">
            <v>0.25</v>
          </cell>
          <cell r="X224" t="str">
            <v>sem saldo - Ø0,25x0,52H</v>
          </cell>
          <cell r="Y224">
            <v>2937</v>
          </cell>
          <cell r="Z224">
            <v>0.5</v>
          </cell>
          <cell r="AA224">
            <v>1468.5</v>
          </cell>
          <cell r="AB224" t="str">
            <v>FD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H225">
            <v>1</v>
          </cell>
          <cell r="O225">
            <v>270495</v>
          </cell>
          <cell r="P225" t="str">
            <v>2020/322-0057-01</v>
          </cell>
          <cell r="Q225" t="str">
            <v>EST SOFA FLY (FREIJO) TC PADRAO C 0700 001</v>
          </cell>
          <cell r="R225">
            <v>3.4</v>
          </cell>
          <cell r="S225">
            <v>0.98</v>
          </cell>
          <cell r="T225">
            <v>3.4</v>
          </cell>
          <cell r="U225">
            <v>0.98</v>
          </cell>
          <cell r="V225">
            <v>0.67</v>
          </cell>
          <cell r="W225">
            <v>0</v>
          </cell>
          <cell r="X225" t="str">
            <v>EST SOFA FLY (FREIJO) TC PADRAO C 0700 001 - 3,4x0,98x0,67H</v>
          </cell>
          <cell r="Y225">
            <v>47625.759999999995</v>
          </cell>
          <cell r="Z225">
            <v>0.5</v>
          </cell>
          <cell r="AA225">
            <v>23812.879999999997</v>
          </cell>
          <cell r="AB225" t="str">
            <v>FG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H226">
            <v>1</v>
          </cell>
          <cell r="O226">
            <v>270499</v>
          </cell>
          <cell r="P226" t="str">
            <v>2020/322-0060-01</v>
          </cell>
          <cell r="Q226" t="str">
            <v>EST MESA LATERAL FLY (QUARTIZITO MONT BLANC POLIDO)</v>
          </cell>
          <cell r="R226">
            <v>3.4</v>
          </cell>
          <cell r="S226">
            <v>0.98</v>
          </cell>
          <cell r="T226">
            <v>0.75</v>
          </cell>
          <cell r="U226">
            <v>0.7</v>
          </cell>
          <cell r="V226">
            <v>0.4</v>
          </cell>
          <cell r="W226">
            <v>0</v>
          </cell>
          <cell r="X226" t="str">
            <v>EST MESA LATERAL FLY (QUARTIZITO MONT BLANC POLIDO) - 0,75x0,7x0,4H</v>
          </cell>
          <cell r="Y226">
            <v>47625.759999999995</v>
          </cell>
          <cell r="Z226">
            <v>0.5</v>
          </cell>
          <cell r="AA226">
            <v>23812.879999999997</v>
          </cell>
          <cell r="AB226" t="str">
            <v>FG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H227">
            <v>1</v>
          </cell>
          <cell r="O227">
            <v>270576</v>
          </cell>
          <cell r="P227" t="str">
            <v>2020/322-0061-01</v>
          </cell>
          <cell r="Q227" t="str">
            <v>EST MESA LATERAL FLY (FREIJO) (ELETROSTATICA MARROM CORTEN)</v>
          </cell>
          <cell r="R227">
            <v>3.4</v>
          </cell>
          <cell r="S227">
            <v>0.98</v>
          </cell>
          <cell r="T227">
            <v>0.6</v>
          </cell>
          <cell r="U227">
            <v>0.35</v>
          </cell>
          <cell r="V227">
            <v>0.4</v>
          </cell>
          <cell r="W227">
            <v>0</v>
          </cell>
          <cell r="X227" t="str">
            <v>EST MESA LATERAL FLY (FREIJO) (ELETROSTATICA MARROM CORTEN) - 0,6x0,35x0,4H</v>
          </cell>
          <cell r="Y227">
            <v>47625.759999999995</v>
          </cell>
          <cell r="Z227">
            <v>0.5</v>
          </cell>
          <cell r="AA227">
            <v>23812.879999999997</v>
          </cell>
          <cell r="AB227" t="str">
            <v>FG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H228">
            <v>1</v>
          </cell>
          <cell r="O228">
            <v>275789</v>
          </cell>
          <cell r="P228" t="str">
            <v>2021/151-0013-01</v>
          </cell>
          <cell r="Q228" t="str">
            <v>EST SOFA FLY (FREIJO) TC PADRAO C 0700</v>
          </cell>
          <cell r="R228">
            <v>2.35</v>
          </cell>
          <cell r="S228">
            <v>0.98</v>
          </cell>
          <cell r="T228">
            <v>2.35</v>
          </cell>
          <cell r="U228">
            <v>0.98</v>
          </cell>
          <cell r="V228">
            <v>0.88</v>
          </cell>
          <cell r="W228">
            <v>0</v>
          </cell>
          <cell r="X228" t="str">
            <v>EST SOFA FLY (FREIJO) TC PADRAO C 0700 - 2,35x0,98x0,88H</v>
          </cell>
          <cell r="Y228">
            <v>58466.239999999998</v>
          </cell>
          <cell r="Z228">
            <v>0.5</v>
          </cell>
          <cell r="AA228">
            <v>29233.119999999999</v>
          </cell>
          <cell r="AB228" t="str">
            <v>FH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H229">
            <v>1</v>
          </cell>
          <cell r="O229">
            <v>275790</v>
          </cell>
          <cell r="P229" t="str">
            <v>2021/151-0014-01</v>
          </cell>
          <cell r="Q229" t="str">
            <v>EST MESA LATERAL FLY (FREIJO) (MTZ CHAMPAGNE)</v>
          </cell>
          <cell r="R229">
            <v>2.35</v>
          </cell>
          <cell r="S229">
            <v>0.98</v>
          </cell>
          <cell r="T229">
            <v>0.35</v>
          </cell>
          <cell r="U229">
            <v>0.6</v>
          </cell>
          <cell r="V229">
            <v>0.4</v>
          </cell>
          <cell r="W229">
            <v>0</v>
          </cell>
          <cell r="X229" t="str">
            <v>EST MESA LATERAL FLY (FREIJO) (MTZ CHAMPAGNE) - 0,35x0,6x0,4H</v>
          </cell>
          <cell r="Y229">
            <v>58466.239999999998</v>
          </cell>
          <cell r="Z229">
            <v>0.5</v>
          </cell>
          <cell r="AA229">
            <v>29233.119999999999</v>
          </cell>
          <cell r="AB229" t="str">
            <v>FH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H230">
            <v>1</v>
          </cell>
          <cell r="O230">
            <v>275791</v>
          </cell>
          <cell r="P230" t="str">
            <v>2021/151-0015-01</v>
          </cell>
          <cell r="Q230" t="str">
            <v>EST MESA LATERAL FLY (MARMORE MONT BLANC)</v>
          </cell>
          <cell r="R230">
            <v>2.35</v>
          </cell>
          <cell r="S230">
            <v>0.98</v>
          </cell>
          <cell r="T230">
            <v>0.75</v>
          </cell>
          <cell r="U230">
            <v>0.75</v>
          </cell>
          <cell r="V230">
            <v>0.4</v>
          </cell>
          <cell r="W230">
            <v>0</v>
          </cell>
          <cell r="X230" t="str">
            <v>EST MESA LATERAL FLY (MARMORE MONT BLANC) - 0,75x0,75x0,4H</v>
          </cell>
          <cell r="Y230">
            <v>58466.239999999998</v>
          </cell>
          <cell r="Z230">
            <v>0.5</v>
          </cell>
          <cell r="AA230">
            <v>29233.119999999999</v>
          </cell>
          <cell r="AB230" t="str">
            <v>FH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H231">
            <v>1</v>
          </cell>
          <cell r="O231">
            <v>277838</v>
          </cell>
          <cell r="P231" t="str">
            <v>2021/182-0076-01</v>
          </cell>
          <cell r="Q231" t="str">
            <v>EST MODULO BRACO DIR LUME FX6363/PES NOG</v>
          </cell>
          <cell r="R231">
            <v>3.33</v>
          </cell>
          <cell r="S231">
            <v>1.4</v>
          </cell>
          <cell r="T231">
            <v>1.86</v>
          </cell>
          <cell r="U231">
            <v>0.93</v>
          </cell>
          <cell r="V231">
            <v>0.67</v>
          </cell>
          <cell r="W231">
            <v>0</v>
          </cell>
          <cell r="X231" t="str">
            <v>EST MODULO BRACO DIR LUME FX6363/PES NOG - 1,86x0,93x0,67H</v>
          </cell>
          <cell r="Y231">
            <v>45572.04</v>
          </cell>
          <cell r="Z231">
            <v>0.5</v>
          </cell>
          <cell r="AA231">
            <v>22786.02</v>
          </cell>
          <cell r="AB231" t="str">
            <v>FI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H232">
            <v>1</v>
          </cell>
          <cell r="O232">
            <v>277841</v>
          </cell>
          <cell r="P232" t="str">
            <v>2021/182-0077-01</v>
          </cell>
          <cell r="Q232" t="str">
            <v>EST MODULO CHIAISE CHANFRADA LUME BRACO ESQ FX6363/PES NOG</v>
          </cell>
          <cell r="R232">
            <v>3.33</v>
          </cell>
          <cell r="S232">
            <v>1.4</v>
          </cell>
          <cell r="T232">
            <v>1.5</v>
          </cell>
          <cell r="U232">
            <v>1.42</v>
          </cell>
          <cell r="V232">
            <v>0.67</v>
          </cell>
          <cell r="W232">
            <v>0</v>
          </cell>
          <cell r="X232" t="str">
            <v>EST MODULO CHIAISE CHANFRADA LUME BRACO ESQ FX6363/PES NOG - 1,5x1,42x0,67H</v>
          </cell>
          <cell r="Y232">
            <v>45572.04</v>
          </cell>
          <cell r="Z232">
            <v>0.5</v>
          </cell>
          <cell r="AA232">
            <v>22786.02</v>
          </cell>
          <cell r="AB232" t="str">
            <v>FI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H233">
            <v>1</v>
          </cell>
          <cell r="O233">
            <v>223413</v>
          </cell>
          <cell r="P233" t="str">
            <v>2018/171-0195-01</v>
          </cell>
          <cell r="Q233" t="str">
            <v>EST MODULO BRACO HARRY TC4307/FUME</v>
          </cell>
          <cell r="R233">
            <v>3.25</v>
          </cell>
          <cell r="S233">
            <v>2.8</v>
          </cell>
          <cell r="T233">
            <v>2.25</v>
          </cell>
          <cell r="U233">
            <v>1</v>
          </cell>
          <cell r="V233">
            <v>0.8</v>
          </cell>
          <cell r="W233">
            <v>0</v>
          </cell>
          <cell r="X233" t="str">
            <v>EST MODULO BRACO HARRY TC4307/FUME - 2,25x1x0,8H</v>
          </cell>
          <cell r="Y233">
            <v>33712.22</v>
          </cell>
          <cell r="Z233">
            <v>0.5</v>
          </cell>
          <cell r="AA233">
            <v>16856.11</v>
          </cell>
          <cell r="AB233" t="str">
            <v>FQ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H234">
            <v>1</v>
          </cell>
          <cell r="O234">
            <v>223414</v>
          </cell>
          <cell r="P234" t="str">
            <v>2018/171-0196-01</v>
          </cell>
          <cell r="Q234" t="str">
            <v>EST MODULO CHAISE BRACO DIR C/BANDEJA HARRY TC4307/FUME</v>
          </cell>
          <cell r="R234">
            <v>3.25</v>
          </cell>
          <cell r="S234">
            <v>2.8</v>
          </cell>
          <cell r="T234">
            <v>2.8</v>
          </cell>
          <cell r="U234">
            <v>1</v>
          </cell>
          <cell r="V234">
            <v>0.8</v>
          </cell>
          <cell r="W234">
            <v>0</v>
          </cell>
          <cell r="X234" t="str">
            <v>EST MODULO CHAISE BRACO DIR C/BANDEJA HARRY TC4307/FUME - 2,8x1x0,8H</v>
          </cell>
          <cell r="Y234">
            <v>33712.22</v>
          </cell>
          <cell r="Z234">
            <v>0.5</v>
          </cell>
          <cell r="AA234">
            <v>16856.11</v>
          </cell>
          <cell r="AB234" t="str">
            <v>FQ</v>
          </cell>
        </row>
        <row r="235">
          <cell r="C235">
            <v>1</v>
          </cell>
          <cell r="D235">
            <v>0</v>
          </cell>
          <cell r="E235">
            <v>0</v>
          </cell>
          <cell r="F235">
            <v>0</v>
          </cell>
          <cell r="H235">
            <v>0</v>
          </cell>
          <cell r="O235">
            <v>334517</v>
          </cell>
          <cell r="P235" t="str">
            <v>2022/207-0007-01</v>
          </cell>
          <cell r="Q235" t="str">
            <v>EST MODULO BRACO ESQUERDO MALONE FX E5001</v>
          </cell>
          <cell r="R235">
            <v>4.4000000000000004</v>
          </cell>
          <cell r="S235">
            <v>3.35</v>
          </cell>
          <cell r="T235">
            <v>1.3</v>
          </cell>
          <cell r="U235">
            <v>1</v>
          </cell>
          <cell r="V235">
            <v>0.85</v>
          </cell>
          <cell r="W235">
            <v>0</v>
          </cell>
          <cell r="X235" t="str">
            <v>EST MODULO BRACO ESQUERDO MALONE FX E5001 - 1,3x1x0,85H</v>
          </cell>
          <cell r="Y235">
            <v>87044.78</v>
          </cell>
          <cell r="Z235">
            <v>0.5</v>
          </cell>
          <cell r="AA235">
            <v>43522.39</v>
          </cell>
          <cell r="AB235" t="str">
            <v>FS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H236">
            <v>3</v>
          </cell>
          <cell r="O236">
            <v>334518</v>
          </cell>
          <cell r="P236" t="str">
            <v>2022/207-0008-01</v>
          </cell>
          <cell r="Q236" t="str">
            <v>EST MODULO S/BRACO MALONE FX E5001</v>
          </cell>
          <cell r="R236">
            <v>4.4000000000000004</v>
          </cell>
          <cell r="S236">
            <v>3.35</v>
          </cell>
          <cell r="T236">
            <v>1.05</v>
          </cell>
          <cell r="U236">
            <v>1</v>
          </cell>
          <cell r="V236">
            <v>0.85</v>
          </cell>
          <cell r="W236">
            <v>0</v>
          </cell>
          <cell r="X236" t="str">
            <v>EST MODULO S/BRACO MALONE FX E5001 - 1,05x1x0,85H</v>
          </cell>
          <cell r="Y236">
            <v>87044.78</v>
          </cell>
          <cell r="Z236">
            <v>0.5</v>
          </cell>
          <cell r="AA236">
            <v>43522.39</v>
          </cell>
          <cell r="AB236" t="str">
            <v>FS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H237">
            <v>3</v>
          </cell>
          <cell r="O237">
            <v>334518</v>
          </cell>
          <cell r="P237" t="str">
            <v>2022/207-0009-01</v>
          </cell>
          <cell r="Q237" t="str">
            <v>EST MODULO S/BRACO MALONE FX E5001</v>
          </cell>
          <cell r="R237">
            <v>4.4000000000000004</v>
          </cell>
          <cell r="S237">
            <v>3.35</v>
          </cell>
          <cell r="T237">
            <v>1.05</v>
          </cell>
          <cell r="U237">
            <v>1</v>
          </cell>
          <cell r="V237">
            <v>0.85</v>
          </cell>
          <cell r="W237">
            <v>0</v>
          </cell>
          <cell r="X237" t="str">
            <v>EST MODULO S/BRACO MALONE FX E5001 - 1,05x1x0,85H</v>
          </cell>
          <cell r="Y237">
            <v>87044.78</v>
          </cell>
          <cell r="Z237">
            <v>0.5</v>
          </cell>
          <cell r="AA237">
            <v>43522.39</v>
          </cell>
          <cell r="AB237" t="str">
            <v>FS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H238">
            <v>3</v>
          </cell>
          <cell r="O238">
            <v>334518</v>
          </cell>
          <cell r="P238" t="str">
            <v>2022/207-0010-01</v>
          </cell>
          <cell r="Q238" t="str">
            <v>EST MODULO S/BRACO MALONE FX E5001</v>
          </cell>
          <cell r="R238">
            <v>4.4000000000000004</v>
          </cell>
          <cell r="S238">
            <v>3.35</v>
          </cell>
          <cell r="T238">
            <v>1.05</v>
          </cell>
          <cell r="U238">
            <v>1</v>
          </cell>
          <cell r="V238">
            <v>0.85</v>
          </cell>
          <cell r="W238">
            <v>0</v>
          </cell>
          <cell r="X238" t="str">
            <v>EST MODULO S/BRACO MALONE FX E5001 - 1,05x1x0,85H</v>
          </cell>
          <cell r="Y238">
            <v>87044.78</v>
          </cell>
          <cell r="Z238">
            <v>0.5</v>
          </cell>
          <cell r="AA238">
            <v>43522.39</v>
          </cell>
          <cell r="AB238" t="str">
            <v>FS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H239">
            <v>1</v>
          </cell>
          <cell r="O239">
            <v>334519</v>
          </cell>
          <cell r="P239" t="str">
            <v>2022/207-0011-01</v>
          </cell>
          <cell r="Q239" t="str">
            <v>EST MODULO CANTO MALONE FX E5001</v>
          </cell>
          <cell r="R239">
            <v>4.4000000000000004</v>
          </cell>
          <cell r="S239">
            <v>3.35</v>
          </cell>
          <cell r="T239">
            <v>1</v>
          </cell>
          <cell r="U239">
            <v>1</v>
          </cell>
          <cell r="V239">
            <v>0.85</v>
          </cell>
          <cell r="W239">
            <v>0</v>
          </cell>
          <cell r="X239" t="str">
            <v>EST MODULO CANTO MALONE FX E5001 - 1x1x0,85H</v>
          </cell>
          <cell r="Y239">
            <v>87044.78</v>
          </cell>
          <cell r="Z239">
            <v>0.5</v>
          </cell>
          <cell r="AA239">
            <v>43522.39</v>
          </cell>
          <cell r="AB239" t="str">
            <v>FS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H240">
            <v>1</v>
          </cell>
          <cell r="O240">
            <v>334520</v>
          </cell>
          <cell r="P240" t="str">
            <v>2022/207-0012-01</v>
          </cell>
          <cell r="Q240" t="str">
            <v>EST MODULO BRACO DIREITO MALONE FX E5001</v>
          </cell>
          <cell r="R240">
            <v>4.4000000000000004</v>
          </cell>
          <cell r="S240">
            <v>3.35</v>
          </cell>
          <cell r="T240">
            <v>1.3</v>
          </cell>
          <cell r="U240">
            <v>1</v>
          </cell>
          <cell r="V240">
            <v>0.85</v>
          </cell>
          <cell r="W240">
            <v>0</v>
          </cell>
          <cell r="X240" t="str">
            <v>EST MODULO BRACO DIREITO MALONE FX E5001 - 1,3x1x0,85H</v>
          </cell>
          <cell r="Y240">
            <v>87044.78</v>
          </cell>
          <cell r="Z240">
            <v>0.5</v>
          </cell>
          <cell r="AA240">
            <v>43522.39</v>
          </cell>
          <cell r="AB240" t="str">
            <v>FS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1</v>
          </cell>
          <cell r="H241">
            <v>0</v>
          </cell>
          <cell r="O241">
            <v>334416</v>
          </cell>
          <cell r="P241" t="str">
            <v>2022/221-0008-01</v>
          </cell>
          <cell r="Q241" t="str">
            <v>EST BASE JANTAR PREMIUM (BASE PINTURA PRETO FOSCO)</v>
          </cell>
          <cell r="R241">
            <v>3</v>
          </cell>
          <cell r="S241">
            <v>1.2</v>
          </cell>
          <cell r="T241">
            <v>2.9</v>
          </cell>
          <cell r="U241">
            <v>1.1000000000000001</v>
          </cell>
          <cell r="V241">
            <v>0.76</v>
          </cell>
          <cell r="W241">
            <v>0</v>
          </cell>
          <cell r="X241" t="str">
            <v>EST BASE JANTAR PREMIUM (BASE PINTURA PRETO FOSCO) - 2,9x1,1x0,76H</v>
          </cell>
          <cell r="Y241">
            <v>110883.9</v>
          </cell>
          <cell r="Z241">
            <v>0.35</v>
          </cell>
          <cell r="AA241">
            <v>72074.535000000003</v>
          </cell>
          <cell r="AB241" t="str">
            <v>FV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1</v>
          </cell>
          <cell r="H242">
            <v>0</v>
          </cell>
          <cell r="O242">
            <v>334417</v>
          </cell>
          <cell r="P242" t="str">
            <v>2022/235-0062-01</v>
          </cell>
          <cell r="Q242" t="str">
            <v>EST TAMPO MARMORE (F9025) (RETO/CHANF) (G4-OAK B LEVIG)</v>
          </cell>
          <cell r="R242">
            <v>3</v>
          </cell>
          <cell r="S242">
            <v>1.2</v>
          </cell>
          <cell r="T242">
            <v>3</v>
          </cell>
          <cell r="U242">
            <v>1.2</v>
          </cell>
          <cell r="V242">
            <v>0.02</v>
          </cell>
          <cell r="W242">
            <v>0</v>
          </cell>
          <cell r="X242" t="str">
            <v>EST TAMPO MARMORE (F9025) (RETO/CHANF) (G4-OAK B LEVIG) - 3x1,2x0,02H</v>
          </cell>
          <cell r="Y242">
            <v>110883.9</v>
          </cell>
          <cell r="Z242">
            <v>0.35</v>
          </cell>
          <cell r="AA242">
            <v>72074.535000000003</v>
          </cell>
          <cell r="AB242" t="str">
            <v>FV</v>
          </cell>
        </row>
        <row r="243">
          <cell r="C243">
            <v>0</v>
          </cell>
          <cell r="D243">
            <v>1</v>
          </cell>
          <cell r="E243">
            <v>0</v>
          </cell>
          <cell r="F243">
            <v>0</v>
          </cell>
          <cell r="H243">
            <v>0</v>
          </cell>
          <cell r="O243">
            <v>277436</v>
          </cell>
          <cell r="P243" t="str">
            <v>2022/115-0046-01</v>
          </cell>
          <cell r="Q243" t="str">
            <v>EST MODULO BRACO ESQUERDO MORETTI FX D4772</v>
          </cell>
          <cell r="R243">
            <v>2.7</v>
          </cell>
          <cell r="S243">
            <v>2.1</v>
          </cell>
          <cell r="T243">
            <v>1.65</v>
          </cell>
          <cell r="U243">
            <v>1.25</v>
          </cell>
          <cell r="V243">
            <v>0.88</v>
          </cell>
          <cell r="W243">
            <v>0</v>
          </cell>
          <cell r="X243" t="str">
            <v>EST MODULO BRACO ESQUERDO MORETTI FX D4772 - 1,65x1,25x0,88H</v>
          </cell>
          <cell r="Y243">
            <v>45521.37</v>
          </cell>
          <cell r="Z243">
            <v>0.35</v>
          </cell>
          <cell r="AA243">
            <v>29588.890500000001</v>
          </cell>
          <cell r="AB243" t="str">
            <v>FW</v>
          </cell>
        </row>
        <row r="244">
          <cell r="C244">
            <v>0</v>
          </cell>
          <cell r="D244">
            <v>1</v>
          </cell>
          <cell r="E244">
            <v>0</v>
          </cell>
          <cell r="F244">
            <v>0</v>
          </cell>
          <cell r="H244">
            <v>0</v>
          </cell>
          <cell r="O244">
            <v>277437</v>
          </cell>
          <cell r="P244" t="str">
            <v>2022/115-0047-01</v>
          </cell>
          <cell r="Q244" t="str">
            <v>EST MODULO CHAISE BRACO DIREITO MORETTI TC D4772</v>
          </cell>
          <cell r="R244">
            <v>2.7</v>
          </cell>
          <cell r="S244">
            <v>2.1</v>
          </cell>
          <cell r="T244">
            <v>1.05</v>
          </cell>
          <cell r="U244">
            <v>2.1</v>
          </cell>
          <cell r="V244">
            <v>0.88</v>
          </cell>
          <cell r="W244">
            <v>0</v>
          </cell>
          <cell r="X244" t="str">
            <v>EST MODULO CHAISE BRACO DIREITO MORETTI TC D4772 - 1,05x2,1x0,88H</v>
          </cell>
          <cell r="Y244">
            <v>45521.37</v>
          </cell>
          <cell r="Z244">
            <v>0.35</v>
          </cell>
          <cell r="AA244">
            <v>29588.890500000001</v>
          </cell>
          <cell r="AB244" t="str">
            <v>FW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H245">
            <v>1</v>
          </cell>
          <cell r="O245">
            <v>302765</v>
          </cell>
          <cell r="P245" t="str">
            <v>2022/028-0016-01</v>
          </cell>
          <cell r="Q245" t="str">
            <v>EST MODULO BRACO DIREITO MALONE FX E5001</v>
          </cell>
          <cell r="R245">
            <v>2.8</v>
          </cell>
          <cell r="S245">
            <v>1</v>
          </cell>
          <cell r="T245">
            <v>1.4</v>
          </cell>
          <cell r="U245">
            <v>1</v>
          </cell>
          <cell r="V245">
            <v>0.85</v>
          </cell>
          <cell r="W245">
            <v>0</v>
          </cell>
          <cell r="X245" t="str">
            <v>EST MODULO BRACO DIREITO MALONE FX E5001 - 1,4x1x0,85H</v>
          </cell>
          <cell r="Y245">
            <v>31770.18</v>
          </cell>
          <cell r="Z245">
            <v>0.5</v>
          </cell>
          <cell r="AA245">
            <v>15885.09</v>
          </cell>
          <cell r="AB245" t="str">
            <v>FX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H246">
            <v>1</v>
          </cell>
          <cell r="O246">
            <v>307904</v>
          </cell>
          <cell r="P246" t="str">
            <v>2022/028-0017-01</v>
          </cell>
          <cell r="Q246" t="str">
            <v>EST MODULO BRACO ESQUERDO MALONE FX E5001</v>
          </cell>
          <cell r="R246">
            <v>2.8</v>
          </cell>
          <cell r="S246">
            <v>1</v>
          </cell>
          <cell r="T246">
            <v>1.4</v>
          </cell>
          <cell r="U246">
            <v>1</v>
          </cell>
          <cell r="V246">
            <v>0.85</v>
          </cell>
          <cell r="W246">
            <v>0</v>
          </cell>
          <cell r="X246" t="str">
            <v>EST MODULO BRACO ESQUERDO MALONE FX E5001 - 1,4x1x0,85H</v>
          </cell>
          <cell r="Y246">
            <v>31770.18</v>
          </cell>
          <cell r="Z246">
            <v>0.5</v>
          </cell>
          <cell r="AA246">
            <v>15885.09</v>
          </cell>
          <cell r="AB246" t="str">
            <v>FX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H247">
            <v>1</v>
          </cell>
          <cell r="O247">
            <v>327346</v>
          </cell>
          <cell r="P247" t="str">
            <v>2022/067-0009-01</v>
          </cell>
          <cell r="Q247" t="str">
            <v>EST MODULO BRACO DIR C/AVANCO BS DALOA FX B2072 FREIJO</v>
          </cell>
          <cell r="R247">
            <v>3.6799999999999997</v>
          </cell>
          <cell r="S247">
            <v>1</v>
          </cell>
          <cell r="T247">
            <v>1.55</v>
          </cell>
          <cell r="U247">
            <v>1</v>
          </cell>
          <cell r="V247">
            <v>0.85</v>
          </cell>
          <cell r="W247">
            <v>0</v>
          </cell>
          <cell r="X247" t="str">
            <v>EST MODULO BRACO DIR C/AVANCO BS DALOA FX B2072 FREIJO - 1,55x1x0,85H</v>
          </cell>
          <cell r="Y247">
            <v>48532.65</v>
          </cell>
          <cell r="Z247">
            <v>0.5</v>
          </cell>
          <cell r="AA247">
            <v>24266.325000000001</v>
          </cell>
          <cell r="AB247" t="str">
            <v>FY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H248">
            <v>1</v>
          </cell>
          <cell r="O248">
            <v>327347</v>
          </cell>
          <cell r="P248" t="str">
            <v>2022/067-0010-01</v>
          </cell>
          <cell r="Q248" t="str">
            <v>EST MODULO BRACO ESQ DALOA FX B2072 FREIJO</v>
          </cell>
          <cell r="R248">
            <v>3.6799999999999997</v>
          </cell>
          <cell r="S248">
            <v>1</v>
          </cell>
          <cell r="T248">
            <v>2.13</v>
          </cell>
          <cell r="U248">
            <v>1</v>
          </cell>
          <cell r="V248">
            <v>0.85</v>
          </cell>
          <cell r="W248">
            <v>0</v>
          </cell>
          <cell r="X248" t="str">
            <v>EST MODULO BRACO ESQ DALOA FX B2072 FREIJO - 2,13x1x0,85H</v>
          </cell>
          <cell r="Y248">
            <v>48532.65</v>
          </cell>
          <cell r="Z248">
            <v>0.5</v>
          </cell>
          <cell r="AA248">
            <v>24266.325000000001</v>
          </cell>
          <cell r="AB248" t="str">
            <v>FY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H249">
            <v>1</v>
          </cell>
          <cell r="O249">
            <v>361742</v>
          </cell>
          <cell r="P249" t="str">
            <v>2022/340-0011-01</v>
          </cell>
          <cell r="Q249" t="str">
            <v>EST MODULO BRACO CLEAN (B15) (1AS) TC ALTAMURA MESCLA PT 974</v>
          </cell>
          <cell r="R249">
            <v>2.4500000000000002</v>
          </cell>
          <cell r="S249">
            <v>1.1499999999999999</v>
          </cell>
          <cell r="T249">
            <v>1.05</v>
          </cell>
          <cell r="U249">
            <v>1.1499999999999999</v>
          </cell>
          <cell r="V249">
            <v>0.8</v>
          </cell>
          <cell r="W249">
            <v>0</v>
          </cell>
          <cell r="X249" t="str">
            <v>EST MODULO BRACO CLEAN (B15) (1AS) TC ALTAMURA MESCLA PT 974 - 1,05x1,15x0,8H</v>
          </cell>
          <cell r="Y249">
            <v>31418.16</v>
          </cell>
          <cell r="Z249">
            <v>0.5</v>
          </cell>
          <cell r="AA249">
            <v>15709.08</v>
          </cell>
          <cell r="AB249" t="str">
            <v>GD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H250">
            <v>1</v>
          </cell>
          <cell r="O250">
            <v>361743</v>
          </cell>
          <cell r="P250" t="str">
            <v>2022/340-0012-01</v>
          </cell>
          <cell r="Q250" t="str">
            <v>EST MODULO S/BRACO C/RECUO CLEAN TC ALTAMURA MESCLA PT 974</v>
          </cell>
          <cell r="R250">
            <v>2.4500000000000002</v>
          </cell>
          <cell r="S250">
            <v>1.1499999999999999</v>
          </cell>
          <cell r="T250">
            <v>1.4</v>
          </cell>
          <cell r="U250">
            <v>1.1499999999999999</v>
          </cell>
          <cell r="V250">
            <v>0.8</v>
          </cell>
          <cell r="W250">
            <v>0</v>
          </cell>
          <cell r="X250" t="str">
            <v>EST MODULO S/BRACO C/RECUO CLEAN TC ALTAMURA MESCLA PT 974 - 1,4x1,15x0,8H</v>
          </cell>
          <cell r="Y250">
            <v>31418.16</v>
          </cell>
          <cell r="Z250">
            <v>0.5</v>
          </cell>
          <cell r="AA250">
            <v>15709.08</v>
          </cell>
          <cell r="AB250" t="str">
            <v>GD</v>
          </cell>
        </row>
        <row r="251">
          <cell r="C251">
            <v>0</v>
          </cell>
          <cell r="D251">
            <v>1</v>
          </cell>
          <cell r="E251">
            <v>1</v>
          </cell>
          <cell r="F251">
            <v>0</v>
          </cell>
          <cell r="H251">
            <v>0</v>
          </cell>
          <cell r="O251">
            <v>300771</v>
          </cell>
          <cell r="P251" t="str">
            <v>2021/341-0089-01</v>
          </cell>
          <cell r="Q251" t="str">
            <v>EST MODULO BRACO ESQ C/AVANCO DALOA FX E5007 FREIJO</v>
          </cell>
          <cell r="R251">
            <v>4.0999999999999996</v>
          </cell>
          <cell r="S251">
            <v>1.55</v>
          </cell>
          <cell r="T251">
            <v>2.5499999999999998</v>
          </cell>
          <cell r="U251">
            <v>1</v>
          </cell>
          <cell r="V251">
            <v>0.85</v>
          </cell>
          <cell r="W251">
            <v>0</v>
          </cell>
          <cell r="X251" t="str">
            <v>EST MODULO BRACO ESQ C/AVANCO DALOA FX E5007 FREIJO - 2,55x1x0,85H</v>
          </cell>
          <cell r="Y251">
            <v>56161.229999999996</v>
          </cell>
          <cell r="Z251">
            <v>0.35</v>
          </cell>
          <cell r="AA251">
            <v>36504.799499999994</v>
          </cell>
          <cell r="AB251" t="str">
            <v>GF</v>
          </cell>
        </row>
        <row r="252">
          <cell r="C252">
            <v>0</v>
          </cell>
          <cell r="D252">
            <v>1</v>
          </cell>
          <cell r="E252">
            <v>1</v>
          </cell>
          <cell r="F252">
            <v>0</v>
          </cell>
          <cell r="H252">
            <v>0</v>
          </cell>
          <cell r="O252">
            <v>300772</v>
          </cell>
          <cell r="P252" t="str">
            <v>2021/341-0091-01</v>
          </cell>
          <cell r="Q252" t="str">
            <v>EST MODULO CHAISE BRACO DIR C/AVANCO DALOA FX E5007 FREIJO</v>
          </cell>
          <cell r="R252">
            <v>4.0999999999999996</v>
          </cell>
          <cell r="S252">
            <v>1.55</v>
          </cell>
          <cell r="T252">
            <v>1.55</v>
          </cell>
          <cell r="U252">
            <v>1.55</v>
          </cell>
          <cell r="V252">
            <v>0.85</v>
          </cell>
          <cell r="W252">
            <v>0</v>
          </cell>
          <cell r="X252" t="str">
            <v>EST MODULO CHAISE BRACO DIR C/AVANCO DALOA FX E5007 FREIJO - 1,55x1,55x0,85H</v>
          </cell>
          <cell r="Y252">
            <v>56161.229999999996</v>
          </cell>
          <cell r="Z252">
            <v>0.35</v>
          </cell>
          <cell r="AA252">
            <v>36504.799499999994</v>
          </cell>
          <cell r="AB252" t="str">
            <v>GF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H253">
            <v>2</v>
          </cell>
          <cell r="O253">
            <v>334247</v>
          </cell>
          <cell r="P253" t="str">
            <v>2022/203-0083-01</v>
          </cell>
          <cell r="Q253" t="str">
            <v>EST MODULO CHAISE S/BRACO PARATY (FX 40030) (COFFEE MATT)</v>
          </cell>
          <cell r="R253">
            <v>3.6</v>
          </cell>
          <cell r="S253">
            <v>1.77</v>
          </cell>
          <cell r="T253">
            <v>0.9</v>
          </cell>
          <cell r="U253">
            <v>1.77</v>
          </cell>
          <cell r="V253">
            <v>0.77</v>
          </cell>
          <cell r="W253">
            <v>0</v>
          </cell>
          <cell r="X253" t="str">
            <v>EST MODULO CHAISE S/BRACO PARATY (FX 40030) (COFFEE MATT) - 0,9x1,77x0,77H</v>
          </cell>
          <cell r="Y253">
            <v>45780.5</v>
          </cell>
          <cell r="Z253">
            <v>0.5</v>
          </cell>
          <cell r="AA253">
            <v>22890.25</v>
          </cell>
          <cell r="AB253" t="str">
            <v>GG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334248</v>
          </cell>
          <cell r="P254" t="str">
            <v>2022/203-0086-01</v>
          </cell>
          <cell r="Q254" t="str">
            <v>EST MODULO S/BRACO C/ENCOSTO PARATY (FX 40030) (COFFEE MATT)</v>
          </cell>
          <cell r="R254">
            <v>3.6</v>
          </cell>
          <cell r="S254">
            <v>1.77</v>
          </cell>
          <cell r="T254">
            <v>1.8</v>
          </cell>
          <cell r="U254">
            <v>1</v>
          </cell>
          <cell r="V254">
            <v>0.77</v>
          </cell>
          <cell r="W254">
            <v>0</v>
          </cell>
          <cell r="X254" t="str">
            <v>EST MODULO S/BRACO C/ENCOSTO PARATY (FX 40030) (COFFEE MATT) - 1,8x1x0,77H</v>
          </cell>
          <cell r="Y254">
            <v>45780.5</v>
          </cell>
          <cell r="Z254">
            <v>0.5</v>
          </cell>
          <cell r="AA254">
            <v>22890.25</v>
          </cell>
          <cell r="AB254" t="str">
            <v>GG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H255">
            <v>2</v>
          </cell>
          <cell r="O255">
            <v>334249</v>
          </cell>
          <cell r="P255" t="str">
            <v>2022/203-0088-01</v>
          </cell>
          <cell r="Q255" t="str">
            <v>EST MODULO S/BRACO C/ENCOSTO PARATY (FX 40030) (COFFEE MATT)</v>
          </cell>
          <cell r="R255">
            <v>3.6</v>
          </cell>
          <cell r="S255">
            <v>1.77</v>
          </cell>
          <cell r="T255">
            <v>0.9</v>
          </cell>
          <cell r="U255">
            <v>1</v>
          </cell>
          <cell r="V255">
            <v>0.77</v>
          </cell>
          <cell r="W255">
            <v>0</v>
          </cell>
          <cell r="X255" t="str">
            <v>EST MODULO S/BRACO C/ENCOSTO PARATY (FX 40030) (COFFEE MATT) - 0,9x1x0,77H</v>
          </cell>
          <cell r="Y255">
            <v>45780.5</v>
          </cell>
          <cell r="Z255">
            <v>0.5</v>
          </cell>
          <cell r="AA255">
            <v>22890.25</v>
          </cell>
          <cell r="AB255" t="str">
            <v>GG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H256">
            <v>1</v>
          </cell>
          <cell r="O256">
            <v>235153</v>
          </cell>
          <cell r="P256"/>
          <cell r="Q256" t="str">
            <v>EST BANQUETA BAR DOTY (ESTRUTURA PRETO EPOXI) (S/ ALMOFADA)</v>
          </cell>
          <cell r="R256">
            <v>0.56000000000000005</v>
          </cell>
          <cell r="S256">
            <v>0.53</v>
          </cell>
          <cell r="T256">
            <v>0.56000000000000005</v>
          </cell>
          <cell r="U256">
            <v>0.53</v>
          </cell>
          <cell r="V256">
            <v>0.94</v>
          </cell>
          <cell r="W256">
            <v>0</v>
          </cell>
          <cell r="X256" t="str">
            <v>EST BANQUETA BAR DOTY (ESTRUTURA PRETO EPOXI) (S/ ALMOFADA) - 0,56x0,53x0,94H</v>
          </cell>
          <cell r="Y256">
            <v>5958.4</v>
          </cell>
          <cell r="Z256">
            <v>0.5</v>
          </cell>
          <cell r="AA256">
            <v>2979.2</v>
          </cell>
          <cell r="AB256" t="str">
            <v>GI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H257">
            <v>1</v>
          </cell>
          <cell r="O257">
            <v>235154</v>
          </cell>
          <cell r="P257" t="str">
            <v>2019/261-0047-01</v>
          </cell>
          <cell r="Q257" t="str">
            <v>EST ALMOFADA BANQUETA BAR DOTY BAR (TC OTOP LINEN DARK GREY)</v>
          </cell>
          <cell r="R257">
            <v>0.56000000000000005</v>
          </cell>
          <cell r="S257">
            <v>0.53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 t="str">
            <v>EST ALMOFADA BANQUETA BAR DOTY BAR (TC OTOP LINEN DARK GREY) - Ø0x0H</v>
          </cell>
          <cell r="Y257">
            <v>5958.4</v>
          </cell>
          <cell r="Z257">
            <v>0.5</v>
          </cell>
          <cell r="AA257">
            <v>2979.2</v>
          </cell>
          <cell r="AB257" t="str">
            <v>GI</v>
          </cell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362570</v>
          </cell>
          <cell r="P258" t="str">
            <v>2023/037-0112-01</v>
          </cell>
          <cell r="Q258" t="str">
            <v>EST BASE APARADOR HOLG (JEQUITIBA TING SMOKE)</v>
          </cell>
          <cell r="R258">
            <v>1.6</v>
          </cell>
          <cell r="S258">
            <v>0.6</v>
          </cell>
          <cell r="T258">
            <v>1.5</v>
          </cell>
          <cell r="U258">
            <v>0.5</v>
          </cell>
          <cell r="V258">
            <v>0.75</v>
          </cell>
          <cell r="W258">
            <v>0</v>
          </cell>
          <cell r="X258" t="str">
            <v>EST BASE APARADOR HOLG (JEQUITIBA TING SMOKE) - 1,5x0,5x0,75H</v>
          </cell>
          <cell r="Y258">
            <v>36143.452000000005</v>
          </cell>
          <cell r="Z258">
            <v>0.5</v>
          </cell>
          <cell r="AA258">
            <v>18071.726000000002</v>
          </cell>
          <cell r="AB258" t="str">
            <v>GJ</v>
          </cell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362571</v>
          </cell>
          <cell r="P259" t="str">
            <v>2023/037-0113-01</v>
          </cell>
          <cell r="Q259" t="str">
            <v>EST TAMPO MARMORE (F9025) (RETO/CHANF) (G4-OAK B LEVIG)</v>
          </cell>
          <cell r="R259">
            <v>1.6</v>
          </cell>
          <cell r="S259">
            <v>0.6</v>
          </cell>
          <cell r="T259">
            <v>1.6</v>
          </cell>
          <cell r="U259">
            <v>0.6</v>
          </cell>
          <cell r="V259">
            <v>0.02</v>
          </cell>
          <cell r="W259">
            <v>0</v>
          </cell>
          <cell r="X259" t="str">
            <v>EST TAMPO MARMORE (F9025) (RETO/CHANF) (G4-OAK B LEVIG) - 1,6x0,6x0,02H</v>
          </cell>
          <cell r="Y259">
            <v>36143.452000000005</v>
          </cell>
          <cell r="Z259">
            <v>0.5</v>
          </cell>
          <cell r="AA259">
            <v>18071.726000000002</v>
          </cell>
          <cell r="AB259" t="str">
            <v>GJ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H260">
            <v>1</v>
          </cell>
          <cell r="O260">
            <v>361213</v>
          </cell>
          <cell r="P260" t="str">
            <v>2023/055-0055-01</v>
          </cell>
          <cell r="Q260" t="str">
            <v>EST MODULO BRACO ESQ ORSAGO (B20) (1ASS) FX 6553</v>
          </cell>
          <cell r="R260">
            <v>3.9999999999999996</v>
          </cell>
          <cell r="S260">
            <v>1.58</v>
          </cell>
          <cell r="T260">
            <v>1.4</v>
          </cell>
          <cell r="U260">
            <v>1</v>
          </cell>
          <cell r="V260">
            <v>0.71</v>
          </cell>
          <cell r="W260">
            <v>0</v>
          </cell>
          <cell r="X260" t="str">
            <v>EST MODULO BRACO ESQ ORSAGO (B20) (1ASS) FX 6553 - 1,4x1x0,71H</v>
          </cell>
          <cell r="Y260">
            <v>45429.67</v>
          </cell>
          <cell r="Z260">
            <v>0.5</v>
          </cell>
          <cell r="AA260">
            <v>22714.834999999999</v>
          </cell>
          <cell r="AB260" t="str">
            <v>GK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H261">
            <v>1</v>
          </cell>
          <cell r="O261">
            <v>361214</v>
          </cell>
          <cell r="P261" t="str">
            <v>2023/055-0056-01</v>
          </cell>
          <cell r="Q261" t="str">
            <v>EST MODULO S/BRACO ORSAGO (1ASS) FX 6553</v>
          </cell>
          <cell r="R261">
            <v>3.9999999999999996</v>
          </cell>
          <cell r="S261">
            <v>1.58</v>
          </cell>
          <cell r="T261">
            <v>1.2</v>
          </cell>
          <cell r="U261">
            <v>1</v>
          </cell>
          <cell r="V261">
            <v>0.71</v>
          </cell>
          <cell r="W261">
            <v>0</v>
          </cell>
          <cell r="X261" t="str">
            <v>EST MODULO S/BRACO ORSAGO (1ASS) FX 6553 - 1,2x1x0,71H</v>
          </cell>
          <cell r="Y261">
            <v>45429.67</v>
          </cell>
          <cell r="Z261">
            <v>0.5</v>
          </cell>
          <cell r="AA261">
            <v>22714.834999999999</v>
          </cell>
          <cell r="AB261" t="str">
            <v>GK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H262">
            <v>1</v>
          </cell>
          <cell r="O262">
            <v>361215</v>
          </cell>
          <cell r="P262" t="str">
            <v>2023/055-0057-01</v>
          </cell>
          <cell r="Q262" t="str">
            <v>EST MODULO CHAISE BRACO DIR ORSAGO (CIRCULAR) FX 6553</v>
          </cell>
          <cell r="R262">
            <v>3.9999999999999996</v>
          </cell>
          <cell r="S262">
            <v>1.58</v>
          </cell>
          <cell r="T262">
            <v>1.4</v>
          </cell>
          <cell r="U262">
            <v>1.58</v>
          </cell>
          <cell r="V262">
            <v>0.71</v>
          </cell>
          <cell r="W262">
            <v>0</v>
          </cell>
          <cell r="X262" t="str">
            <v>EST MODULO CHAISE BRACO DIR ORSAGO (CIRCULAR) FX 6553 - 1,4x1,58x0,71H</v>
          </cell>
          <cell r="Y262">
            <v>45429.67</v>
          </cell>
          <cell r="Z262">
            <v>0.5</v>
          </cell>
          <cell r="AA262">
            <v>22714.834999999999</v>
          </cell>
          <cell r="AB262" t="str">
            <v>GK</v>
          </cell>
        </row>
        <row r="263">
          <cell r="C263">
            <v>0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361210</v>
          </cell>
          <cell r="P263" t="str">
            <v>2023/055-0052-01</v>
          </cell>
          <cell r="Q263" t="str">
            <v>EST MODULO BRACO ESQ DOMO (B25) (1AS) FX 4192</v>
          </cell>
          <cell r="R263">
            <v>3.8000000000000003</v>
          </cell>
          <cell r="S263">
            <v>1.65</v>
          </cell>
          <cell r="T263">
            <v>1.35</v>
          </cell>
          <cell r="U263">
            <v>1.05</v>
          </cell>
          <cell r="V263">
            <v>0.85</v>
          </cell>
          <cell r="W263">
            <v>0</v>
          </cell>
          <cell r="X263" t="str">
            <v>EST MODULO BRACO ESQ DOMO (B25) (1AS) FX 4192 - 1,35x1,05x0,85H</v>
          </cell>
          <cell r="Y263">
            <v>50636.229999999996</v>
          </cell>
          <cell r="Z263">
            <v>0.35</v>
          </cell>
          <cell r="AA263">
            <v>32913.549499999994</v>
          </cell>
          <cell r="AB263" t="str">
            <v>GL</v>
          </cell>
        </row>
        <row r="264">
          <cell r="C264">
            <v>0</v>
          </cell>
          <cell r="D264">
            <v>1</v>
          </cell>
          <cell r="E264">
            <v>0</v>
          </cell>
          <cell r="F264">
            <v>0</v>
          </cell>
          <cell r="H264">
            <v>0</v>
          </cell>
          <cell r="O264">
            <v>361211</v>
          </cell>
          <cell r="P264" t="str">
            <v>2023/055-0053-01</v>
          </cell>
          <cell r="Q264" t="str">
            <v>EST MODULO S/BRACO DOMO (1AS) FX 4192</v>
          </cell>
          <cell r="R264">
            <v>3.8000000000000003</v>
          </cell>
          <cell r="S264">
            <v>1.65</v>
          </cell>
          <cell r="T264">
            <v>1.1000000000000001</v>
          </cell>
          <cell r="U264">
            <v>1.05</v>
          </cell>
          <cell r="V264">
            <v>0.85</v>
          </cell>
          <cell r="W264">
            <v>0</v>
          </cell>
          <cell r="X264" t="str">
            <v>EST MODULO S/BRACO DOMO (1AS) FX 4192 - 1,1x1,05x0,85H</v>
          </cell>
          <cell r="Y264">
            <v>50636.229999999996</v>
          </cell>
          <cell r="Z264">
            <v>0.35</v>
          </cell>
          <cell r="AA264">
            <v>32913.549499999994</v>
          </cell>
          <cell r="AB264" t="str">
            <v>GL</v>
          </cell>
        </row>
        <row r="265">
          <cell r="C265">
            <v>0</v>
          </cell>
          <cell r="D265">
            <v>1</v>
          </cell>
          <cell r="E265">
            <v>0</v>
          </cell>
          <cell r="F265">
            <v>0</v>
          </cell>
          <cell r="H265">
            <v>0</v>
          </cell>
          <cell r="O265">
            <v>361212</v>
          </cell>
          <cell r="P265" t="str">
            <v>2023/055-0054-01</v>
          </cell>
          <cell r="Q265" t="str">
            <v>EST MODULO CHAISE BRACO DIR DOMO (B25) FX 4192</v>
          </cell>
          <cell r="R265">
            <v>3.8000000000000003</v>
          </cell>
          <cell r="S265">
            <v>1.65</v>
          </cell>
          <cell r="T265">
            <v>1.35</v>
          </cell>
          <cell r="U265">
            <v>1.65</v>
          </cell>
          <cell r="V265">
            <v>0.85</v>
          </cell>
          <cell r="W265">
            <v>0</v>
          </cell>
          <cell r="X265" t="str">
            <v>EST MODULO CHAISE BRACO DIR DOMO (B25) FX 4192 - 1,35x1,65x0,85H</v>
          </cell>
          <cell r="Y265">
            <v>50636.229999999996</v>
          </cell>
          <cell r="Z265">
            <v>0.35</v>
          </cell>
          <cell r="AA265">
            <v>32913.549499999994</v>
          </cell>
          <cell r="AB265" t="str">
            <v>GL</v>
          </cell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364641</v>
          </cell>
          <cell r="P266" t="str">
            <v>2023/076-0009-01</v>
          </cell>
          <cell r="Q266" t="str">
            <v>EST MODULO CHAISE BRACO DIR C/AVANCO DALOA FX E5007 FREIJO</v>
          </cell>
          <cell r="R266">
            <v>4.0999999999999996</v>
          </cell>
          <cell r="S266">
            <v>1.55</v>
          </cell>
          <cell r="T266">
            <v>1.55</v>
          </cell>
          <cell r="U266">
            <v>1.55</v>
          </cell>
          <cell r="V266">
            <v>0.85</v>
          </cell>
          <cell r="W266">
            <v>0</v>
          </cell>
          <cell r="X266" t="str">
            <v>EST MODULO CHAISE BRACO DIR C/AVANCO DALOA FX E5007 FREIJO - 1,55x1,55x0,85H</v>
          </cell>
          <cell r="Y266">
            <v>56161.229999999996</v>
          </cell>
          <cell r="Z266">
            <v>0.35</v>
          </cell>
          <cell r="AA266">
            <v>36504.799499999994</v>
          </cell>
          <cell r="AB266" t="str">
            <v>GM</v>
          </cell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364642</v>
          </cell>
          <cell r="P267" t="str">
            <v>2023/076-0010-01</v>
          </cell>
          <cell r="Q267" t="str">
            <v>EST MODULO BRACO ESQ C/AVANCO DALOA FX E5007 FREIJO</v>
          </cell>
          <cell r="R267">
            <v>4.0999999999999996</v>
          </cell>
          <cell r="S267">
            <v>1.55</v>
          </cell>
          <cell r="T267">
            <v>2.5499999999999998</v>
          </cell>
          <cell r="U267">
            <v>1</v>
          </cell>
          <cell r="V267">
            <v>0.85</v>
          </cell>
          <cell r="W267">
            <v>0</v>
          </cell>
          <cell r="X267" t="str">
            <v>EST MODULO BRACO ESQ C/AVANCO DALOA FX E5007 FREIJO - 2,55x1x0,85H</v>
          </cell>
          <cell r="Y267">
            <v>56161.229999999996</v>
          </cell>
          <cell r="Z267">
            <v>0.35</v>
          </cell>
          <cell r="AA267">
            <v>36504.799499999994</v>
          </cell>
          <cell r="AB267" t="str">
            <v>GM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H268">
            <v>1</v>
          </cell>
          <cell r="O268">
            <v>371916</v>
          </cell>
          <cell r="P268" t="str">
            <v>2023/202-0034-01</v>
          </cell>
          <cell r="Q268" t="str">
            <v>EST BASE JANTAR HOLG (JEQUITIBA TING NOGUEIRA)</v>
          </cell>
          <cell r="R268">
            <v>2.7</v>
          </cell>
          <cell r="S268">
            <v>1.2</v>
          </cell>
          <cell r="T268">
            <v>2.62</v>
          </cell>
          <cell r="U268">
            <v>1.1200000000000001</v>
          </cell>
          <cell r="V268">
            <v>0.76</v>
          </cell>
          <cell r="W268">
            <v>0</v>
          </cell>
          <cell r="X268" t="str">
            <v>EST BASE JANTAR HOLG (JEQUITIBA TING NOGUEIRA) - 2,62x1,12x0,76H</v>
          </cell>
          <cell r="Y268">
            <v>108840.838</v>
          </cell>
          <cell r="Z268">
            <v>0.5</v>
          </cell>
          <cell r="AA268">
            <v>54420.419000000002</v>
          </cell>
          <cell r="AB268" t="str">
            <v>GW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H269">
            <v>1</v>
          </cell>
          <cell r="O269">
            <v>371917</v>
          </cell>
          <cell r="P269" t="str">
            <v>2023/202-0035-01</v>
          </cell>
          <cell r="Q269" t="str">
            <v>EST TAMPO MARMORE (F9025) (R40/CHANF) (G4-OAK B LEVIG)</v>
          </cell>
          <cell r="R269">
            <v>2.7</v>
          </cell>
          <cell r="S269">
            <v>1.2</v>
          </cell>
          <cell r="T269">
            <v>2.7</v>
          </cell>
          <cell r="U269">
            <v>1.2</v>
          </cell>
          <cell r="V269">
            <v>0.02</v>
          </cell>
          <cell r="W269">
            <v>0</v>
          </cell>
          <cell r="X269" t="str">
            <v>EST TAMPO MARMORE (F9025) (R40/CHANF) (G4-OAK B LEVIG) - 2,7x1,2x0,02H</v>
          </cell>
          <cell r="Y269">
            <v>108840.838</v>
          </cell>
          <cell r="Z269">
            <v>0.5</v>
          </cell>
          <cell r="AA269">
            <v>54420.419000000002</v>
          </cell>
          <cell r="AB269" t="str">
            <v>GW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H270">
            <v>1</v>
          </cell>
          <cell r="O270">
            <v>224381</v>
          </cell>
          <cell r="P270" t="str">
            <v>2022/292-0047-01</v>
          </cell>
          <cell r="Q270" t="str">
            <v>EST MODULO BRACO DIR CHATEAU (2AS) (PES MTX PRETO) FX C3062</v>
          </cell>
          <cell r="R270">
            <v>3.5999999999999996</v>
          </cell>
          <cell r="S270">
            <v>2.4500000000000002</v>
          </cell>
          <cell r="T270">
            <v>2.2999999999999998</v>
          </cell>
          <cell r="U270">
            <v>0.96</v>
          </cell>
          <cell r="V270">
            <v>0.94</v>
          </cell>
          <cell r="W270">
            <v>0</v>
          </cell>
          <cell r="X270" t="str">
            <v>EST MODULO BRACO DIR CHATEAU (2AS) (PES MTX PRETO) FX C3062 - 2,3x0,96x0,94H</v>
          </cell>
          <cell r="Y270">
            <v>50634.13</v>
          </cell>
          <cell r="Z270">
            <v>0.5</v>
          </cell>
          <cell r="AA270">
            <v>25317.064999999999</v>
          </cell>
          <cell r="AB270" t="str">
            <v>GX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H271">
            <v>1</v>
          </cell>
          <cell r="O271">
            <v>224382</v>
          </cell>
          <cell r="P271" t="str">
            <v>2022/292-0048-01</v>
          </cell>
          <cell r="Q271" t="str">
            <v>EST MODULO CHAISE BRACO ESQ CHATEAU (PES MTX PRETO) FX C3062</v>
          </cell>
          <cell r="R271">
            <v>3.5999999999999996</v>
          </cell>
          <cell r="S271">
            <v>2.4500000000000002</v>
          </cell>
          <cell r="T271">
            <v>1.3</v>
          </cell>
          <cell r="U271">
            <v>2.4500000000000002</v>
          </cell>
          <cell r="V271">
            <v>0.94</v>
          </cell>
          <cell r="W271">
            <v>0</v>
          </cell>
          <cell r="X271" t="str">
            <v>EST MODULO CHAISE BRACO ESQ CHATEAU (PES MTX PRETO) FX C3062 - 1,3x2,45x0,94H</v>
          </cell>
          <cell r="Y271">
            <v>50634.13</v>
          </cell>
          <cell r="Z271">
            <v>0.5</v>
          </cell>
          <cell r="AA271">
            <v>25317.064999999999</v>
          </cell>
          <cell r="AB271" t="str">
            <v>GX</v>
          </cell>
        </row>
        <row r="272">
          <cell r="C272">
            <v>1</v>
          </cell>
          <cell r="D272">
            <v>0</v>
          </cell>
          <cell r="E272">
            <v>0</v>
          </cell>
          <cell r="F272">
            <v>0</v>
          </cell>
          <cell r="H272">
            <v>0</v>
          </cell>
          <cell r="O272">
            <v>410004</v>
          </cell>
          <cell r="P272" t="str">
            <v>2025/266-0050-01</v>
          </cell>
          <cell r="Q272" t="str">
            <v>EST MODULO BRACO ESQ NEW CHATEAU (MTX MARROM) TC E5175</v>
          </cell>
          <cell r="R272">
            <v>3.5700000000000003</v>
          </cell>
          <cell r="S272">
            <v>2.4500000000000002</v>
          </cell>
          <cell r="T272">
            <v>2.31</v>
          </cell>
          <cell r="U272">
            <v>0.96</v>
          </cell>
          <cell r="V272">
            <v>0.8</v>
          </cell>
          <cell r="W272">
            <v>0</v>
          </cell>
          <cell r="X272" t="str">
            <v>EST MODULO BRACO ESQ NEW CHATEAU (MTX MARROM) TC E5175 - 2,31x0,96x0,8H</v>
          </cell>
          <cell r="Y272">
            <v>56919.16</v>
          </cell>
          <cell r="Z272">
            <v>0.35</v>
          </cell>
          <cell r="AA272">
            <v>36997.454000000005</v>
          </cell>
          <cell r="AB272" t="str">
            <v>GZ</v>
          </cell>
        </row>
        <row r="273">
          <cell r="C273">
            <v>1</v>
          </cell>
          <cell r="D273">
            <v>0</v>
          </cell>
          <cell r="E273">
            <v>0</v>
          </cell>
          <cell r="F273">
            <v>0</v>
          </cell>
          <cell r="H273">
            <v>0</v>
          </cell>
          <cell r="O273">
            <v>410005</v>
          </cell>
          <cell r="P273" t="str">
            <v>2025/266-0051-01</v>
          </cell>
          <cell r="Q273" t="str">
            <v>EST MODULO CHAISE ENC VIRADO NEW CHATEAU (MTX MAR) TC E5175</v>
          </cell>
          <cell r="R273">
            <v>3.5700000000000003</v>
          </cell>
          <cell r="S273">
            <v>2.4500000000000002</v>
          </cell>
          <cell r="T273">
            <v>1.26</v>
          </cell>
          <cell r="U273">
            <v>2.4500000000000002</v>
          </cell>
          <cell r="V273">
            <v>0.8</v>
          </cell>
          <cell r="W273">
            <v>0</v>
          </cell>
          <cell r="X273" t="str">
            <v>EST MODULO CHAISE ENC VIRADO NEW CHATEAU (MTX MAR) TC E5175 - 1,26x2,45x0,8H</v>
          </cell>
          <cell r="Y273">
            <v>56919.16</v>
          </cell>
          <cell r="Z273">
            <v>0.35</v>
          </cell>
          <cell r="AA273">
            <v>36997.454000000005</v>
          </cell>
          <cell r="AB273" t="str">
            <v>GZ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H274">
            <v>1</v>
          </cell>
          <cell r="O274">
            <v>319558</v>
          </cell>
          <cell r="P274" t="str">
            <v>2022/073-0071-01</v>
          </cell>
          <cell r="Q274" t="str">
            <v>EST MODULO BRACO DIREITO MALONE FX F7140</v>
          </cell>
          <cell r="R274">
            <v>3</v>
          </cell>
          <cell r="S274">
            <v>1</v>
          </cell>
          <cell r="T274">
            <v>1.5</v>
          </cell>
          <cell r="U274">
            <v>1</v>
          </cell>
          <cell r="V274">
            <v>0.85</v>
          </cell>
          <cell r="W274">
            <v>0</v>
          </cell>
          <cell r="X274" t="str">
            <v>EST MODULO BRACO DIREITO MALONE FX F7140 - 1,5x1x0,85H</v>
          </cell>
          <cell r="Y274">
            <v>33838.959999999999</v>
          </cell>
          <cell r="Z274">
            <v>0.5</v>
          </cell>
          <cell r="AA274">
            <v>16919.48</v>
          </cell>
          <cell r="AB274" t="str">
            <v>H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H275">
            <v>1</v>
          </cell>
          <cell r="O275">
            <v>319559</v>
          </cell>
          <cell r="P275" t="str">
            <v>2022/073-0072-01</v>
          </cell>
          <cell r="Q275" t="str">
            <v>EST MODULO BRACO ESQUERDO MALONE FX F7140</v>
          </cell>
          <cell r="R275">
            <v>3</v>
          </cell>
          <cell r="S275">
            <v>1</v>
          </cell>
          <cell r="T275">
            <v>1.5</v>
          </cell>
          <cell r="U275">
            <v>1</v>
          </cell>
          <cell r="V275">
            <v>0.85</v>
          </cell>
          <cell r="W275">
            <v>0</v>
          </cell>
          <cell r="X275" t="str">
            <v>EST MODULO BRACO ESQUERDO MALONE FX F7140 - 1,5x1x0,85H</v>
          </cell>
          <cell r="Y275">
            <v>33838.959999999999</v>
          </cell>
          <cell r="Z275">
            <v>0.5</v>
          </cell>
          <cell r="AA275">
            <v>16919.48</v>
          </cell>
          <cell r="AB275" t="str">
            <v>H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H276">
            <v>0</v>
          </cell>
          <cell r="O276">
            <v>371714</v>
          </cell>
          <cell r="P276" t="str">
            <v>2023/282-0037-01</v>
          </cell>
          <cell r="Q276" t="str">
            <v>EST BASE JANTAR NINA (TAUARI NATURAL)</v>
          </cell>
          <cell r="R276">
            <v>1.8</v>
          </cell>
          <cell r="S276">
            <v>0</v>
          </cell>
          <cell r="T276">
            <v>1.2</v>
          </cell>
          <cell r="U276">
            <v>0</v>
          </cell>
          <cell r="V276">
            <v>0.73</v>
          </cell>
          <cell r="W276">
            <v>1.2</v>
          </cell>
          <cell r="X276" t="str">
            <v>EST BASE JANTAR NINA (TAUARI NATURAL) - Ø1,2x0,73H</v>
          </cell>
          <cell r="Y276">
            <v>69776.399999999994</v>
          </cell>
          <cell r="Z276">
            <v>0.35</v>
          </cell>
          <cell r="AA276">
            <v>45354.659999999996</v>
          </cell>
          <cell r="AB276" t="str">
            <v>HÁ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1</v>
          </cell>
          <cell r="H277">
            <v>0</v>
          </cell>
          <cell r="O277">
            <v>371715</v>
          </cell>
          <cell r="P277" t="str">
            <v>2023/258-0047-01</v>
          </cell>
          <cell r="Q277" t="str">
            <v>EST TAMPO NINA (CIRCULAR) (G2-RAFFAELLO LEVIG)</v>
          </cell>
          <cell r="R277">
            <v>1.8</v>
          </cell>
          <cell r="S277">
            <v>0</v>
          </cell>
          <cell r="T277">
            <v>1.8</v>
          </cell>
          <cell r="U277">
            <v>0</v>
          </cell>
          <cell r="V277">
            <v>0.02</v>
          </cell>
          <cell r="W277">
            <v>1.8</v>
          </cell>
          <cell r="X277" t="str">
            <v>EST TAMPO NINA (CIRCULAR) (G2-RAFFAELLO LEVIG) - Ø1,8x0,02H</v>
          </cell>
          <cell r="Y277">
            <v>69776.399999999994</v>
          </cell>
          <cell r="Z277">
            <v>0.35</v>
          </cell>
          <cell r="AA277">
            <v>45354.659999999996</v>
          </cell>
          <cell r="AB277" t="str">
            <v>HÁ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H278">
            <v>2</v>
          </cell>
          <cell r="O278">
            <v>371961</v>
          </cell>
          <cell r="P278" t="str">
            <v>2023/258-0051-01</v>
          </cell>
          <cell r="Q278" t="str">
            <v>EST TAMPO BUFFET YAACOV (G2-RAFFAELLO LEVIG)</v>
          </cell>
          <cell r="R278">
            <v>2.58</v>
          </cell>
          <cell r="S278">
            <v>0.55000000000000004</v>
          </cell>
          <cell r="T278">
            <v>1</v>
          </cell>
          <cell r="U278">
            <v>0.5</v>
          </cell>
          <cell r="V278">
            <v>0.02</v>
          </cell>
          <cell r="W278">
            <v>0</v>
          </cell>
          <cell r="X278" t="str">
            <v>EST TAMPO BUFFET YAACOV (G2-RAFFAELLO LEVIG) - 1x0,5x0,02H</v>
          </cell>
          <cell r="Y278">
            <v>67969.66</v>
          </cell>
          <cell r="Z278">
            <v>0.35</v>
          </cell>
          <cell r="AA278">
            <v>44180.279000000002</v>
          </cell>
          <cell r="AB278" t="str">
            <v>HB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H279">
            <v>2</v>
          </cell>
          <cell r="O279">
            <v>371961</v>
          </cell>
          <cell r="P279" t="str">
            <v>2023/258-0052-01</v>
          </cell>
          <cell r="Q279" t="str">
            <v>EST TAMPO BUFFET YAACOV (G2-RAFFAELLO LEVIG)</v>
          </cell>
          <cell r="R279">
            <v>2.58</v>
          </cell>
          <cell r="S279">
            <v>0.55000000000000004</v>
          </cell>
          <cell r="T279">
            <v>1</v>
          </cell>
          <cell r="U279">
            <v>0.5</v>
          </cell>
          <cell r="V279">
            <v>0.02</v>
          </cell>
          <cell r="W279">
            <v>0</v>
          </cell>
          <cell r="X279" t="str">
            <v>EST TAMPO BUFFET YAACOV (G2-RAFFAELLO LEVIG) - 1x0,5x0,02H</v>
          </cell>
          <cell r="Y279">
            <v>67969.66</v>
          </cell>
          <cell r="Z279">
            <v>0.35</v>
          </cell>
          <cell r="AA279">
            <v>44180.279000000002</v>
          </cell>
          <cell r="AB279" t="str">
            <v>HB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H280">
            <v>1</v>
          </cell>
          <cell r="O280">
            <v>372118</v>
          </cell>
          <cell r="P280" t="str">
            <v>2023/282-0002-01</v>
          </cell>
          <cell r="Q280" t="str">
            <v>EST BUFFET YAACOV (B) (TAUARI NATURAL) (TP G2 RAFFAELLO)</v>
          </cell>
          <cell r="R280">
            <v>2.58</v>
          </cell>
          <cell r="S280">
            <v>0.55000000000000004</v>
          </cell>
          <cell r="T280">
            <v>2.58</v>
          </cell>
          <cell r="U280">
            <v>0.55000000000000004</v>
          </cell>
          <cell r="V280">
            <v>0.7</v>
          </cell>
          <cell r="W280">
            <v>0</v>
          </cell>
          <cell r="X280" t="str">
            <v>EST BUFFET YAACOV (B) (TAUARI NATURAL) (TP G2 RAFFAELLO) - 2,58x0,55x0,7H</v>
          </cell>
          <cell r="Y280">
            <v>67969.66</v>
          </cell>
          <cell r="Z280">
            <v>0.35</v>
          </cell>
          <cell r="AA280">
            <v>44180.279000000002</v>
          </cell>
          <cell r="AB280" t="str">
            <v>HB</v>
          </cell>
        </row>
        <row r="281">
          <cell r="C281">
            <v>0</v>
          </cell>
          <cell r="D281">
            <v>0</v>
          </cell>
          <cell r="E281">
            <v>1</v>
          </cell>
          <cell r="F281">
            <v>0</v>
          </cell>
          <cell r="H281">
            <v>0</v>
          </cell>
          <cell r="O281">
            <v>371951</v>
          </cell>
          <cell r="P281" t="str">
            <v>2023/258-0050-01</v>
          </cell>
          <cell r="Q281" t="str">
            <v>EST TAMPO BUFFET YAACOV (G4-OAK BAMBOO LEVIG)</v>
          </cell>
          <cell r="R281">
            <v>2.58</v>
          </cell>
          <cell r="S281">
            <v>0.55000000000000004</v>
          </cell>
          <cell r="T281">
            <v>1</v>
          </cell>
          <cell r="U281">
            <v>0.5</v>
          </cell>
          <cell r="V281">
            <v>0.02</v>
          </cell>
          <cell r="W281">
            <v>0</v>
          </cell>
          <cell r="X281" t="str">
            <v>EST TAMPO BUFFET YAACOV (G4-OAK BAMBOO LEVIG) - 1x0,5x0,02H</v>
          </cell>
          <cell r="Y281">
            <v>62383.28</v>
          </cell>
          <cell r="Z281">
            <v>0.35</v>
          </cell>
          <cell r="AA281">
            <v>40549.131999999998</v>
          </cell>
          <cell r="AB281" t="str">
            <v>HC</v>
          </cell>
        </row>
        <row r="282">
          <cell r="C282">
            <v>0</v>
          </cell>
          <cell r="D282">
            <v>0</v>
          </cell>
          <cell r="E282">
            <v>1</v>
          </cell>
          <cell r="F282">
            <v>0</v>
          </cell>
          <cell r="H282">
            <v>0</v>
          </cell>
          <cell r="O282">
            <v>372077</v>
          </cell>
          <cell r="P282" t="str">
            <v>2023/282-0001-01</v>
          </cell>
          <cell r="Q282" t="str">
            <v>EST BUFFET YAACOV (A) (TAUARI NOGUEIRA) (TP G4 OAK BAMBOO)</v>
          </cell>
          <cell r="R282">
            <v>2.58</v>
          </cell>
          <cell r="S282">
            <v>0.55000000000000004</v>
          </cell>
          <cell r="T282">
            <v>2.58</v>
          </cell>
          <cell r="U282">
            <v>0.55000000000000004</v>
          </cell>
          <cell r="V282">
            <v>0.7</v>
          </cell>
          <cell r="W282">
            <v>0</v>
          </cell>
          <cell r="X282" t="str">
            <v>EST BUFFET YAACOV (A) (TAUARI NOGUEIRA) (TP G4 OAK BAMBOO) - 2,58x0,55x0,7H</v>
          </cell>
          <cell r="Y282">
            <v>62383.28</v>
          </cell>
          <cell r="Z282">
            <v>0.35</v>
          </cell>
          <cell r="AA282">
            <v>40549.131999999998</v>
          </cell>
          <cell r="AB282" t="str">
            <v>HC</v>
          </cell>
        </row>
        <row r="283">
          <cell r="C283">
            <v>0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371966</v>
          </cell>
          <cell r="P283" t="str">
            <v>2023/258-0053-01</v>
          </cell>
          <cell r="Q283" t="str">
            <v>EST TAMPO BUFFET YAACOV (G3-ROMA IMP LEVIG)</v>
          </cell>
          <cell r="R283">
            <v>2.58</v>
          </cell>
          <cell r="S283">
            <v>0.55000000000000004</v>
          </cell>
          <cell r="T283">
            <v>1.51</v>
          </cell>
          <cell r="U283">
            <v>0.5</v>
          </cell>
          <cell r="V283">
            <v>0.02</v>
          </cell>
          <cell r="W283">
            <v>0</v>
          </cell>
          <cell r="X283" t="str">
            <v>EST TAMPO BUFFET YAACOV (G3-ROMA IMP LEVIG) - 1,51x0,5x0,02H</v>
          </cell>
          <cell r="Y283">
            <v>71462.45</v>
          </cell>
          <cell r="Z283">
            <v>0.35</v>
          </cell>
          <cell r="AA283">
            <v>46450.592499999999</v>
          </cell>
          <cell r="AB283" t="str">
            <v>HE</v>
          </cell>
        </row>
        <row r="284">
          <cell r="C284">
            <v>0</v>
          </cell>
          <cell r="D284">
            <v>1</v>
          </cell>
          <cell r="E284">
            <v>0</v>
          </cell>
          <cell r="F284">
            <v>0</v>
          </cell>
          <cell r="H284">
            <v>0</v>
          </cell>
          <cell r="O284">
            <v>372122</v>
          </cell>
          <cell r="P284" t="str">
            <v>2023/282-0003-01</v>
          </cell>
          <cell r="Q284" t="str">
            <v>EST BUFFET YAACOV (C) (TAUARI NOGUEIRA) (TP G3 R IMPERIALLE)</v>
          </cell>
          <cell r="R284">
            <v>2.58</v>
          </cell>
          <cell r="S284">
            <v>0.55000000000000004</v>
          </cell>
          <cell r="T284">
            <v>2.58</v>
          </cell>
          <cell r="U284">
            <v>0.55000000000000004</v>
          </cell>
          <cell r="V284">
            <v>0.7</v>
          </cell>
          <cell r="W284">
            <v>0</v>
          </cell>
          <cell r="X284" t="str">
            <v>EST BUFFET YAACOV (C) (TAUARI NOGUEIRA) (TP G3 R IMPERIALLE) - 2,58x0,55x0,7H</v>
          </cell>
          <cell r="Y284">
            <v>71462.45</v>
          </cell>
          <cell r="Z284">
            <v>0.35</v>
          </cell>
          <cell r="AA284">
            <v>46450.592499999999</v>
          </cell>
          <cell r="AB284" t="str">
            <v>HE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H285">
            <v>1</v>
          </cell>
          <cell r="O285">
            <v>371720</v>
          </cell>
          <cell r="P285" t="str">
            <v>2023/286-0038-01</v>
          </cell>
          <cell r="Q285" t="str">
            <v>EST BASE JANTAR NINA (TAUARI TING NOG)</v>
          </cell>
          <cell r="R285">
            <v>3</v>
          </cell>
          <cell r="S285">
            <v>1.3</v>
          </cell>
          <cell r="T285">
            <v>3</v>
          </cell>
          <cell r="U285">
            <v>1.3</v>
          </cell>
          <cell r="V285">
            <v>0.73</v>
          </cell>
          <cell r="W285">
            <v>0</v>
          </cell>
          <cell r="X285" t="str">
            <v>EST BASE JANTAR NINA (TAUARI TING NOG) - 3x1,3x0,73H</v>
          </cell>
          <cell r="Y285">
            <v>88254.43</v>
          </cell>
          <cell r="Z285">
            <v>0.35</v>
          </cell>
          <cell r="AA285">
            <v>57365.379499999995</v>
          </cell>
          <cell r="AB285" t="str">
            <v>HF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H286">
            <v>1</v>
          </cell>
          <cell r="O286">
            <v>371721</v>
          </cell>
          <cell r="P286" t="str">
            <v>2023/258-0048-01</v>
          </cell>
          <cell r="Q286" t="str">
            <v>EST TAMPO NINA (RAIO 25MM) (G3-ROMA IMP LEVIG)</v>
          </cell>
          <cell r="R286">
            <v>3</v>
          </cell>
          <cell r="S286">
            <v>1.3</v>
          </cell>
          <cell r="T286">
            <v>3</v>
          </cell>
          <cell r="U286">
            <v>1.3</v>
          </cell>
          <cell r="V286">
            <v>0.02</v>
          </cell>
          <cell r="W286">
            <v>0</v>
          </cell>
          <cell r="X286" t="str">
            <v>EST TAMPO NINA (RAIO 25MM) (G3-ROMA IMP LEVIG) - 3x1,3x0,02H</v>
          </cell>
          <cell r="Y286">
            <v>88254.43</v>
          </cell>
          <cell r="Z286">
            <v>0.35</v>
          </cell>
          <cell r="AA286">
            <v>57365.379499999995</v>
          </cell>
          <cell r="AB286" t="str">
            <v>HF</v>
          </cell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0</v>
          </cell>
          <cell r="O287">
            <v>371723</v>
          </cell>
          <cell r="P287" t="str">
            <v>2023/286-0039-01</v>
          </cell>
          <cell r="Q287" t="str">
            <v>EST BASE JANTAR NINA (TAUARI NATURAL)</v>
          </cell>
          <cell r="R287">
            <v>3</v>
          </cell>
          <cell r="S287">
            <v>1.3</v>
          </cell>
          <cell r="T287">
            <v>3</v>
          </cell>
          <cell r="U287">
            <v>1.3</v>
          </cell>
          <cell r="V287">
            <v>0.73</v>
          </cell>
          <cell r="W287">
            <v>0</v>
          </cell>
          <cell r="X287" t="str">
            <v>EST BASE JANTAR NINA (TAUARI NATURAL) - 3x1,3x0,73H</v>
          </cell>
          <cell r="Y287">
            <v>88254.43</v>
          </cell>
          <cell r="Z287">
            <v>0.35</v>
          </cell>
          <cell r="AA287">
            <v>57365.379499999995</v>
          </cell>
          <cell r="AB287" t="str">
            <v>HG</v>
          </cell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371725</v>
          </cell>
          <cell r="P288" t="str">
            <v>2023/258-0049-01</v>
          </cell>
          <cell r="Q288" t="str">
            <v>EST TAMPO NINA (RAIO 25MM) (G3-VITORIA R LEVIG)</v>
          </cell>
          <cell r="R288">
            <v>3</v>
          </cell>
          <cell r="S288">
            <v>1.3</v>
          </cell>
          <cell r="T288">
            <v>3</v>
          </cell>
          <cell r="U288">
            <v>1.3</v>
          </cell>
          <cell r="V288">
            <v>0.02</v>
          </cell>
          <cell r="W288">
            <v>0</v>
          </cell>
          <cell r="X288" t="str">
            <v>EST TAMPO NINA (RAIO 25MM) (G3-VITORIA R LEVIG) - 3x1,3x0,02H</v>
          </cell>
          <cell r="Y288">
            <v>88254.43</v>
          </cell>
          <cell r="Z288">
            <v>0.35</v>
          </cell>
          <cell r="AA288">
            <v>57365.379499999995</v>
          </cell>
          <cell r="AB288" t="str">
            <v>HG</v>
          </cell>
        </row>
        <row r="289">
          <cell r="C289">
            <v>1</v>
          </cell>
          <cell r="D289">
            <v>0</v>
          </cell>
          <cell r="E289">
            <v>0</v>
          </cell>
          <cell r="F289">
            <v>0</v>
          </cell>
          <cell r="H289">
            <v>0</v>
          </cell>
          <cell r="O289">
            <v>373141</v>
          </cell>
          <cell r="P289" t="str">
            <v>2023/263-0019-01</v>
          </cell>
          <cell r="Q289" t="str">
            <v>EST MODULO BRACO DIREITO CLEAN (B06) (1AS) FX 4491</v>
          </cell>
          <cell r="R289">
            <v>3.12</v>
          </cell>
          <cell r="S289">
            <v>1.1499999999999999</v>
          </cell>
          <cell r="T289">
            <v>1.06</v>
          </cell>
          <cell r="U289">
            <v>1.1499999999999999</v>
          </cell>
          <cell r="V289">
            <v>0.8</v>
          </cell>
          <cell r="W289">
            <v>0</v>
          </cell>
          <cell r="X289" t="str">
            <v>EST MODULO BRACO DIREITO CLEAN (B06) (1AS) FX 4491 - 1,06x1,15x0,8H</v>
          </cell>
          <cell r="Y289">
            <v>40455.649999999994</v>
          </cell>
          <cell r="Z289">
            <v>0.35</v>
          </cell>
          <cell r="AA289">
            <v>26296.172499999997</v>
          </cell>
          <cell r="AB289" t="str">
            <v>HH</v>
          </cell>
        </row>
        <row r="290">
          <cell r="C290">
            <v>1</v>
          </cell>
          <cell r="D290">
            <v>0</v>
          </cell>
          <cell r="E290">
            <v>0</v>
          </cell>
          <cell r="F290">
            <v>0</v>
          </cell>
          <cell r="H290">
            <v>0</v>
          </cell>
          <cell r="O290">
            <v>373142</v>
          </cell>
          <cell r="P290" t="str">
            <v>2023/263-0020-01</v>
          </cell>
          <cell r="Q290" t="str">
            <v>EST MODULO BRACO ESQUERDO CLEAN (B06) (1AS) FX 4491</v>
          </cell>
          <cell r="R290">
            <v>3.12</v>
          </cell>
          <cell r="S290">
            <v>1.1499999999999999</v>
          </cell>
          <cell r="T290">
            <v>1.06</v>
          </cell>
          <cell r="U290">
            <v>1.1499999999999999</v>
          </cell>
          <cell r="V290">
            <v>0.8</v>
          </cell>
          <cell r="W290">
            <v>0</v>
          </cell>
          <cell r="X290" t="str">
            <v>EST MODULO BRACO ESQUERDO CLEAN (B06) (1AS) FX 4491 - 1,06x1,15x0,8H</v>
          </cell>
          <cell r="Y290">
            <v>40455.649999999994</v>
          </cell>
          <cell r="Z290">
            <v>0.35</v>
          </cell>
          <cell r="AA290">
            <v>26296.172499999997</v>
          </cell>
          <cell r="AB290" t="str">
            <v>HH</v>
          </cell>
        </row>
        <row r="291">
          <cell r="C291">
            <v>1</v>
          </cell>
          <cell r="D291">
            <v>0</v>
          </cell>
          <cell r="E291">
            <v>0</v>
          </cell>
          <cell r="F291">
            <v>0</v>
          </cell>
          <cell r="H291">
            <v>0</v>
          </cell>
          <cell r="O291">
            <v>373143</v>
          </cell>
          <cell r="P291" t="str">
            <v>2023/263-0021-01</v>
          </cell>
          <cell r="Q291" t="str">
            <v>EST MODULO S/BRACO CLEAN (1AS) FX 4491</v>
          </cell>
          <cell r="R291">
            <v>3.12</v>
          </cell>
          <cell r="S291">
            <v>1.1499999999999999</v>
          </cell>
          <cell r="T291">
            <v>1</v>
          </cell>
          <cell r="U291">
            <v>1.1499999999999999</v>
          </cell>
          <cell r="V291">
            <v>0.8</v>
          </cell>
          <cell r="W291">
            <v>0</v>
          </cell>
          <cell r="X291" t="str">
            <v>EST MODULO S/BRACO CLEAN (1AS) FX 4491 - 1x1,15x0,8H</v>
          </cell>
          <cell r="Y291">
            <v>40455.649999999994</v>
          </cell>
          <cell r="Z291">
            <v>0.35</v>
          </cell>
          <cell r="AA291">
            <v>26296.172499999997</v>
          </cell>
          <cell r="AB291" t="str">
            <v>HH</v>
          </cell>
        </row>
        <row r="292">
          <cell r="C292">
            <v>0</v>
          </cell>
          <cell r="D292">
            <v>1</v>
          </cell>
          <cell r="E292">
            <v>0</v>
          </cell>
          <cell r="F292">
            <v>0</v>
          </cell>
          <cell r="H292">
            <v>0</v>
          </cell>
          <cell r="O292">
            <v>374244</v>
          </cell>
          <cell r="P292" t="str">
            <v>2023/300-0054-01</v>
          </cell>
          <cell r="Q292" t="str">
            <v>EST MODULO BRACO DIR NEW CHATEAU (2AS) (MTX PT) B2262</v>
          </cell>
          <cell r="R292">
            <v>3.5700000000000003</v>
          </cell>
          <cell r="S292">
            <v>2.4500000000000002</v>
          </cell>
          <cell r="T292">
            <v>2.31</v>
          </cell>
          <cell r="U292">
            <v>0.96</v>
          </cell>
          <cell r="V292">
            <v>0.8</v>
          </cell>
          <cell r="W292">
            <v>0</v>
          </cell>
          <cell r="X292" t="str">
            <v>EST MODULO BRACO DIR NEW CHATEAU (2AS) (MTX PT) B2262 - 2,31x0,96x0,8H</v>
          </cell>
          <cell r="Y292">
            <v>48583.100000000006</v>
          </cell>
          <cell r="Z292">
            <v>0.35</v>
          </cell>
          <cell r="AA292">
            <v>31579.015000000003</v>
          </cell>
          <cell r="AB292" t="str">
            <v>HI</v>
          </cell>
        </row>
        <row r="293">
          <cell r="C293">
            <v>0</v>
          </cell>
          <cell r="D293">
            <v>1</v>
          </cell>
          <cell r="E293">
            <v>0</v>
          </cell>
          <cell r="F293">
            <v>0</v>
          </cell>
          <cell r="H293">
            <v>0</v>
          </cell>
          <cell r="O293">
            <v>374245</v>
          </cell>
          <cell r="P293" t="str">
            <v>2023/300-0055-01</v>
          </cell>
          <cell r="Q293" t="str">
            <v>EST MODULO CHAISE ENC VIRADO ESQ NEW CHATEAU (MTX PT) B2262</v>
          </cell>
          <cell r="R293">
            <v>3.5700000000000003</v>
          </cell>
          <cell r="S293">
            <v>2.4500000000000002</v>
          </cell>
          <cell r="T293">
            <v>1.26</v>
          </cell>
          <cell r="U293">
            <v>2.4500000000000002</v>
          </cell>
          <cell r="V293">
            <v>0.8</v>
          </cell>
          <cell r="W293">
            <v>0</v>
          </cell>
          <cell r="X293" t="str">
            <v>EST MODULO CHAISE ENC VIRADO ESQ NEW CHATEAU (MTX PT) B2262 - 1,26x2,45x0,8H</v>
          </cell>
          <cell r="Y293">
            <v>48583.100000000006</v>
          </cell>
          <cell r="Z293">
            <v>0.35</v>
          </cell>
          <cell r="AA293">
            <v>31579.015000000003</v>
          </cell>
          <cell r="AB293" t="str">
            <v>HI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1</v>
          </cell>
          <cell r="H294">
            <v>0</v>
          </cell>
          <cell r="O294">
            <v>377901</v>
          </cell>
          <cell r="P294" t="str">
            <v>2023/348-0021-01</v>
          </cell>
          <cell r="Q294" t="str">
            <v>EST TAMPO MESA JANTAR ABACATE (MARMORE 3 JADORE)</v>
          </cell>
          <cell r="R294">
            <v>3.7</v>
          </cell>
          <cell r="S294">
            <v>1.6</v>
          </cell>
          <cell r="T294">
            <v>3.7</v>
          </cell>
          <cell r="U294">
            <v>1.6</v>
          </cell>
          <cell r="V294">
            <v>0.02</v>
          </cell>
          <cell r="W294">
            <v>0</v>
          </cell>
          <cell r="X294" t="str">
            <v>EST TAMPO MESA JANTAR ABACATE (MARMORE 3 JADORE) - 3,7x1,6x0,02H</v>
          </cell>
          <cell r="Y294">
            <v>202099.08000000002</v>
          </cell>
          <cell r="Z294">
            <v>0.35</v>
          </cell>
          <cell r="AA294">
            <v>131364.402</v>
          </cell>
          <cell r="AB294" t="str">
            <v>HJ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1</v>
          </cell>
          <cell r="H295">
            <v>0</v>
          </cell>
          <cell r="O295">
            <v>377900</v>
          </cell>
          <cell r="P295" t="str">
            <v>2023/348-0022-01</v>
          </cell>
          <cell r="Q295" t="str">
            <v>EST BASE JANTAR ABACATE (LAMINA 2 NOGUEIRA)</v>
          </cell>
          <cell r="R295">
            <v>3.7</v>
          </cell>
          <cell r="S295">
            <v>1.6</v>
          </cell>
          <cell r="T295">
            <v>3.7</v>
          </cell>
          <cell r="U295">
            <v>1.6</v>
          </cell>
          <cell r="V295">
            <v>0.75</v>
          </cell>
          <cell r="W295">
            <v>0</v>
          </cell>
          <cell r="X295" t="str">
            <v>EST BASE JANTAR ABACATE (LAMINA 2 NOGUEIRA) - 3,7x1,6x0,75H</v>
          </cell>
          <cell r="Y295">
            <v>202099.08000000002</v>
          </cell>
          <cell r="Z295">
            <v>0.35</v>
          </cell>
          <cell r="AA295">
            <v>131364.402</v>
          </cell>
          <cell r="AB295" t="str">
            <v>HJ</v>
          </cell>
        </row>
        <row r="296">
          <cell r="C296">
            <v>0</v>
          </cell>
          <cell r="D296">
            <v>1</v>
          </cell>
          <cell r="E296">
            <v>0</v>
          </cell>
          <cell r="F296">
            <v>0</v>
          </cell>
          <cell r="H296">
            <v>0</v>
          </cell>
          <cell r="O296">
            <v>378342</v>
          </cell>
          <cell r="P296" t="str">
            <v>2024/025-0018-01</v>
          </cell>
          <cell r="Q296" t="str">
            <v>EST MODULO BRACO DIR ADANA (PES MTX MARROM) FX B2262</v>
          </cell>
          <cell r="R296">
            <v>3.67</v>
          </cell>
          <cell r="S296">
            <v>2.77</v>
          </cell>
          <cell r="T296">
            <v>1.8</v>
          </cell>
          <cell r="U296">
            <v>0.97</v>
          </cell>
          <cell r="V296">
            <v>0.92</v>
          </cell>
          <cell r="W296">
            <v>0</v>
          </cell>
          <cell r="X296" t="str">
            <v>EST MODULO BRACO DIR ADANA (PES MTX MARROM) FX B2262 - 1,8x0,97x0,92H</v>
          </cell>
          <cell r="Y296">
            <v>69745.850000000006</v>
          </cell>
          <cell r="Z296">
            <v>0.35</v>
          </cell>
          <cell r="AA296">
            <v>45334.802500000005</v>
          </cell>
          <cell r="AB296" t="str">
            <v>HM</v>
          </cell>
        </row>
        <row r="297">
          <cell r="C297">
            <v>0</v>
          </cell>
          <cell r="D297">
            <v>1</v>
          </cell>
          <cell r="E297">
            <v>0</v>
          </cell>
          <cell r="F297">
            <v>0</v>
          </cell>
          <cell r="H297">
            <v>0</v>
          </cell>
          <cell r="O297">
            <v>378343</v>
          </cell>
          <cell r="P297" t="str">
            <v>2024/025-0019-01</v>
          </cell>
          <cell r="Q297" t="str">
            <v>EST MODULO S/BRACO ADANA (PES MTX MARROM) FX B2262</v>
          </cell>
          <cell r="R297">
            <v>3.67</v>
          </cell>
          <cell r="S297">
            <v>2.77</v>
          </cell>
          <cell r="T297">
            <v>0.9</v>
          </cell>
          <cell r="U297">
            <v>0.97</v>
          </cell>
          <cell r="V297">
            <v>0.92</v>
          </cell>
          <cell r="W297">
            <v>0</v>
          </cell>
          <cell r="X297" t="str">
            <v>EST MODULO S/BRACO ADANA (PES MTX MARROM) FX B2262 - 0,9x0,97x0,92H</v>
          </cell>
          <cell r="Y297">
            <v>69745.850000000006</v>
          </cell>
          <cell r="Z297">
            <v>0.35</v>
          </cell>
          <cell r="AA297">
            <v>45334.802500000005</v>
          </cell>
          <cell r="AB297" t="str">
            <v>HM</v>
          </cell>
        </row>
        <row r="298">
          <cell r="C298">
            <v>0</v>
          </cell>
          <cell r="D298">
            <v>1</v>
          </cell>
          <cell r="E298">
            <v>0</v>
          </cell>
          <cell r="F298">
            <v>0</v>
          </cell>
          <cell r="H298">
            <v>0</v>
          </cell>
          <cell r="O298">
            <v>378344</v>
          </cell>
          <cell r="P298" t="str">
            <v>2024/025-0020-01</v>
          </cell>
          <cell r="Q298" t="str">
            <v>EST MODULO CANTO ADANA (PES MTX MARROM) FX B2262</v>
          </cell>
          <cell r="R298">
            <v>3.67</v>
          </cell>
          <cell r="S298">
            <v>2.77</v>
          </cell>
          <cell r="T298">
            <v>0.97</v>
          </cell>
          <cell r="U298">
            <v>0.97</v>
          </cell>
          <cell r="V298">
            <v>0.92</v>
          </cell>
          <cell r="W298">
            <v>0</v>
          </cell>
          <cell r="X298" t="str">
            <v>EST MODULO CANTO ADANA (PES MTX MARROM) FX B2262 - 0,97x0,97x0,92H</v>
          </cell>
          <cell r="Y298">
            <v>69745.850000000006</v>
          </cell>
          <cell r="Z298">
            <v>0.35</v>
          </cell>
          <cell r="AA298">
            <v>45334.802500000005</v>
          </cell>
          <cell r="AB298" t="str">
            <v>HM</v>
          </cell>
        </row>
        <row r="299">
          <cell r="C299">
            <v>0</v>
          </cell>
          <cell r="D299">
            <v>1</v>
          </cell>
          <cell r="E299">
            <v>0</v>
          </cell>
          <cell r="F299">
            <v>0</v>
          </cell>
          <cell r="H299">
            <v>0</v>
          </cell>
          <cell r="O299">
            <v>378345</v>
          </cell>
          <cell r="P299" t="str">
            <v>2024/025-0021-01</v>
          </cell>
          <cell r="Q299" t="str">
            <v>EST MODULO S/BRACO C/PUFF ADANA (PES MTX MARROM) FX B2262</v>
          </cell>
          <cell r="R299">
            <v>3.67</v>
          </cell>
          <cell r="S299">
            <v>2.77</v>
          </cell>
          <cell r="T299">
            <v>1.8</v>
          </cell>
          <cell r="U299">
            <v>0.97</v>
          </cell>
          <cell r="V299">
            <v>0.92</v>
          </cell>
          <cell r="W299">
            <v>0</v>
          </cell>
          <cell r="X299" t="str">
            <v>EST MODULO S/BRACO C/PUFF ADANA (PES MTX MARROM) FX B2262 - 1,8x0,97x0,92H</v>
          </cell>
          <cell r="Y299">
            <v>69745.850000000006</v>
          </cell>
          <cell r="Z299">
            <v>0.35</v>
          </cell>
          <cell r="AA299">
            <v>45334.802500000005</v>
          </cell>
          <cell r="AB299" t="str">
            <v>HM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H300">
            <v>5</v>
          </cell>
          <cell r="O300">
            <v>309891</v>
          </cell>
          <cell r="P300" t="str">
            <v>2022/284-0069-01</v>
          </cell>
          <cell r="Q300" t="str">
            <v>EST COMPONENTE PRATELEIRA ESTANTE VO (UNIAO) (LAM 2 NOG)</v>
          </cell>
          <cell r="R300">
            <v>2.56</v>
          </cell>
          <cell r="S300">
            <v>0.45</v>
          </cell>
          <cell r="T300">
            <v>0.6</v>
          </cell>
          <cell r="U300">
            <v>0.39</v>
          </cell>
          <cell r="V300">
            <v>0.02</v>
          </cell>
          <cell r="W300">
            <v>0</v>
          </cell>
          <cell r="X300" t="str">
            <v>EST COMPONENTE PRATELEIRA ESTANTE VO (UNIAO) (LAM 2 NOG) - 0,6x0,39x0,02H</v>
          </cell>
          <cell r="Y300">
            <v>141393.60999999999</v>
          </cell>
          <cell r="Z300">
            <v>0.5</v>
          </cell>
          <cell r="AA300">
            <v>70696.804999999993</v>
          </cell>
          <cell r="AB300" t="str">
            <v>HN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H301">
            <v>5</v>
          </cell>
          <cell r="O301">
            <v>309891</v>
          </cell>
          <cell r="P301" t="str">
            <v>2022/284-0070-01</v>
          </cell>
          <cell r="Q301" t="str">
            <v>EST COMPONENTE PRATELEIRA ESTANTE VO (UNIAO) (LAM 2 NOG)</v>
          </cell>
          <cell r="R301">
            <v>2.56</v>
          </cell>
          <cell r="S301">
            <v>0.45</v>
          </cell>
          <cell r="T301">
            <v>0.6</v>
          </cell>
          <cell r="U301">
            <v>0.39</v>
          </cell>
          <cell r="V301">
            <v>0.02</v>
          </cell>
          <cell r="W301">
            <v>0</v>
          </cell>
          <cell r="X301" t="str">
            <v>EST COMPONENTE PRATELEIRA ESTANTE VO (UNIAO) (LAM 2 NOG) - 0,6x0,39x0,02H</v>
          </cell>
          <cell r="Y301">
            <v>141393.60999999999</v>
          </cell>
          <cell r="Z301">
            <v>0.5</v>
          </cell>
          <cell r="AA301">
            <v>70696.804999999993</v>
          </cell>
          <cell r="AB301" t="str">
            <v>HN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H302">
            <v>5</v>
          </cell>
          <cell r="O302">
            <v>309891</v>
          </cell>
          <cell r="P302" t="str">
            <v>2022/284-0071-01</v>
          </cell>
          <cell r="Q302" t="str">
            <v>EST COMPONENTE PRATELEIRA ESTANTE VO (UNIAO) (LAM 2 NOG)</v>
          </cell>
          <cell r="R302">
            <v>2.56</v>
          </cell>
          <cell r="S302">
            <v>0.45</v>
          </cell>
          <cell r="T302">
            <v>0.6</v>
          </cell>
          <cell r="U302">
            <v>0.39</v>
          </cell>
          <cell r="V302">
            <v>0.02</v>
          </cell>
          <cell r="W302">
            <v>0</v>
          </cell>
          <cell r="X302" t="str">
            <v>EST COMPONENTE PRATELEIRA ESTANTE VO (UNIAO) (LAM 2 NOG) - 0,6x0,39x0,02H</v>
          </cell>
          <cell r="Y302">
            <v>141393.60999999999</v>
          </cell>
          <cell r="Z302">
            <v>0.5</v>
          </cell>
          <cell r="AA302">
            <v>70696.804999999993</v>
          </cell>
          <cell r="AB302" t="str">
            <v>HN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H303">
            <v>5</v>
          </cell>
          <cell r="O303">
            <v>309891</v>
          </cell>
          <cell r="P303" t="str">
            <v>2022/284-0072-01</v>
          </cell>
          <cell r="Q303" t="str">
            <v>EST COMPONENTE PRATELEIRA ESTANTE VO (UNIAO) (LAM 2 NOG)</v>
          </cell>
          <cell r="R303">
            <v>2.56</v>
          </cell>
          <cell r="S303">
            <v>0.45</v>
          </cell>
          <cell r="T303">
            <v>0.6</v>
          </cell>
          <cell r="U303">
            <v>0.39</v>
          </cell>
          <cell r="V303">
            <v>0.02</v>
          </cell>
          <cell r="W303">
            <v>0</v>
          </cell>
          <cell r="X303" t="str">
            <v>EST COMPONENTE PRATELEIRA ESTANTE VO (UNIAO) (LAM 2 NOG) - 0,6x0,39x0,02H</v>
          </cell>
          <cell r="Y303">
            <v>141393.60999999999</v>
          </cell>
          <cell r="Z303">
            <v>0.5</v>
          </cell>
          <cell r="AA303">
            <v>70696.804999999993</v>
          </cell>
          <cell r="AB303" t="str">
            <v>HN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H304">
            <v>5</v>
          </cell>
          <cell r="O304">
            <v>309891</v>
          </cell>
          <cell r="P304" t="str">
            <v>2022/284-0073-01</v>
          </cell>
          <cell r="Q304" t="str">
            <v>EST COMPONENTE PRATELEIRA ESTANTE VO (UNIAO) (LAM 2 NOG)</v>
          </cell>
          <cell r="R304">
            <v>2.56</v>
          </cell>
          <cell r="S304">
            <v>0.45</v>
          </cell>
          <cell r="T304">
            <v>0.6</v>
          </cell>
          <cell r="U304">
            <v>0.39</v>
          </cell>
          <cell r="V304">
            <v>0.02</v>
          </cell>
          <cell r="W304">
            <v>0</v>
          </cell>
          <cell r="X304" t="str">
            <v>EST COMPONENTE PRATELEIRA ESTANTE VO (UNIAO) (LAM 2 NOG) - 0,6x0,39x0,02H</v>
          </cell>
          <cell r="Y304">
            <v>141393.60999999999</v>
          </cell>
          <cell r="Z304">
            <v>0.5</v>
          </cell>
          <cell r="AA304">
            <v>70696.804999999993</v>
          </cell>
          <cell r="AB304" t="str">
            <v>HN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H305">
            <v>5</v>
          </cell>
          <cell r="O305">
            <v>309891</v>
          </cell>
          <cell r="P305" t="str">
            <v>2022/284-0074-01</v>
          </cell>
          <cell r="Q305" t="str">
            <v>EST COMPONENTE PRATELEIRA ESTANTE VO (UNIAO) (LAM 2 NOG)</v>
          </cell>
          <cell r="R305">
            <v>2.56</v>
          </cell>
          <cell r="S305">
            <v>0.45</v>
          </cell>
          <cell r="T305">
            <v>0.6</v>
          </cell>
          <cell r="U305">
            <v>0.39</v>
          </cell>
          <cell r="V305">
            <v>0.02</v>
          </cell>
          <cell r="W305">
            <v>0</v>
          </cell>
          <cell r="X305" t="str">
            <v>EST COMPONENTE PRATELEIRA ESTANTE VO (UNIAO) (LAM 2 NOG) - 0,6x0,39x0,02H</v>
          </cell>
          <cell r="Y305">
            <v>141393.60999999999</v>
          </cell>
          <cell r="Z305">
            <v>0.5</v>
          </cell>
          <cell r="AA305">
            <v>70696.804999999993</v>
          </cell>
          <cell r="AB305" t="str">
            <v>HN</v>
          </cell>
        </row>
        <row r="306">
          <cell r="C306">
            <v>0</v>
          </cell>
          <cell r="D306">
            <v>0</v>
          </cell>
          <cell r="E306">
            <v>1</v>
          </cell>
          <cell r="F306">
            <v>0</v>
          </cell>
          <cell r="H306">
            <v>1</v>
          </cell>
          <cell r="O306">
            <v>299533</v>
          </cell>
          <cell r="P306" t="str">
            <v>2022/034-0014-01</v>
          </cell>
          <cell r="Q306" t="str">
            <v>EST ESTANTE VO (B) (MTZ ONIX PRETO) (LAM 2 NOGUEIRA)</v>
          </cell>
          <cell r="R306">
            <v>2.56</v>
          </cell>
          <cell r="S306">
            <v>0.45</v>
          </cell>
          <cell r="T306">
            <v>1.04</v>
          </cell>
          <cell r="U306">
            <v>0.45</v>
          </cell>
          <cell r="V306">
            <v>2.11</v>
          </cell>
          <cell r="W306">
            <v>0</v>
          </cell>
          <cell r="X306" t="str">
            <v>EST ESTANTE VO (B) (MTZ ONIX PRETO) (LAM 2 NOGUEIRA) - 1,04x0,45x2,11H</v>
          </cell>
          <cell r="Y306">
            <v>141393.60999999999</v>
          </cell>
          <cell r="Z306">
            <v>0.35</v>
          </cell>
          <cell r="AA306">
            <v>91905.846499999985</v>
          </cell>
          <cell r="AB306" t="str">
            <v>HN</v>
          </cell>
        </row>
        <row r="307">
          <cell r="C307">
            <v>0</v>
          </cell>
          <cell r="D307">
            <v>0</v>
          </cell>
          <cell r="E307">
            <v>1</v>
          </cell>
          <cell r="F307">
            <v>0</v>
          </cell>
          <cell r="H307">
            <v>1</v>
          </cell>
          <cell r="O307">
            <v>299562</v>
          </cell>
          <cell r="P307" t="str">
            <v>2022/034-0015-01</v>
          </cell>
          <cell r="Q307" t="str">
            <v>EST ESTANTE VO (C) (MTZ ONIX PRETO) (LAM 2 NOGUEIRA)</v>
          </cell>
          <cell r="R307">
            <v>2.56</v>
          </cell>
          <cell r="S307">
            <v>0.45</v>
          </cell>
          <cell r="T307">
            <v>1.04</v>
          </cell>
          <cell r="U307">
            <v>0.45</v>
          </cell>
          <cell r="V307">
            <v>2.11</v>
          </cell>
          <cell r="W307">
            <v>0</v>
          </cell>
          <cell r="X307" t="str">
            <v>EST ESTANTE VO (C) (MTZ ONIX PRETO) (LAM 2 NOGUEIRA) - 1,04x0,45x2,11H</v>
          </cell>
          <cell r="Y307">
            <v>141393.60999999999</v>
          </cell>
          <cell r="Z307">
            <v>0.35</v>
          </cell>
          <cell r="AA307">
            <v>91905.846499999985</v>
          </cell>
          <cell r="AB307" t="str">
            <v>HN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H308">
            <v>1</v>
          </cell>
          <cell r="O308">
            <v>374356</v>
          </cell>
          <cell r="P308" t="str">
            <v>2024/026-0019-01</v>
          </cell>
          <cell r="Q308" t="str">
            <v>EST MODULO ANGULAR B/DIR HIMALAYA (CON) COURO FIRENZE 12</v>
          </cell>
          <cell r="R308">
            <v>4.78</v>
          </cell>
          <cell r="S308">
            <v>1.9</v>
          </cell>
          <cell r="T308">
            <v>2</v>
          </cell>
          <cell r="U308">
            <v>1.05</v>
          </cell>
          <cell r="V308">
            <v>0.74</v>
          </cell>
          <cell r="W308">
            <v>0</v>
          </cell>
          <cell r="X308" t="str">
            <v>EST MODULO ANGULAR B/DIR HIMALAYA (CON) COURO FIRENZE 12 - 2x1,05x0,74H</v>
          </cell>
          <cell r="Y308">
            <v>96372.32</v>
          </cell>
          <cell r="Z308">
            <v>0.35</v>
          </cell>
          <cell r="AA308">
            <v>62642.008000000009</v>
          </cell>
          <cell r="AB308" t="str">
            <v>HO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H309">
            <v>1</v>
          </cell>
          <cell r="O309">
            <v>374357</v>
          </cell>
          <cell r="P309" t="str">
            <v>2024/026-0020-01</v>
          </cell>
          <cell r="Q309" t="str">
            <v>EST MODULO ANGULAR DIR S/B HIMALAYA (CON) COURO FIRENZE 12</v>
          </cell>
          <cell r="R309">
            <v>4.78</v>
          </cell>
          <cell r="S309">
            <v>1.9</v>
          </cell>
          <cell r="T309">
            <v>2</v>
          </cell>
          <cell r="U309">
            <v>1.05</v>
          </cell>
          <cell r="V309">
            <v>0.74</v>
          </cell>
          <cell r="W309">
            <v>0</v>
          </cell>
          <cell r="X309" t="str">
            <v>EST MODULO ANGULAR DIR S/B HIMALAYA (CON) COURO FIRENZE 12 - 2x1,05x0,74H</v>
          </cell>
          <cell r="Y309">
            <v>96372.32</v>
          </cell>
          <cell r="Z309">
            <v>0.35</v>
          </cell>
          <cell r="AA309">
            <v>62642.008000000009</v>
          </cell>
          <cell r="AB309" t="str">
            <v>HO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H310">
            <v>1</v>
          </cell>
          <cell r="O310">
            <v>374358</v>
          </cell>
          <cell r="P310" t="str">
            <v>2024/026-0021-01</v>
          </cell>
          <cell r="Q310" t="str">
            <v>EST MODULO PUFF HIMALAYA (CON) COURO FIRENZE 12</v>
          </cell>
          <cell r="R310">
            <v>4.78</v>
          </cell>
          <cell r="S310">
            <v>1.9</v>
          </cell>
          <cell r="T310">
            <v>1.05</v>
          </cell>
          <cell r="U310">
            <v>1.05</v>
          </cell>
          <cell r="V310">
            <v>0.42</v>
          </cell>
          <cell r="W310">
            <v>0</v>
          </cell>
          <cell r="X310" t="str">
            <v>EST MODULO PUFF HIMALAYA (CON) COURO FIRENZE 12 - 1,05x1,05x0,42H</v>
          </cell>
          <cell r="Y310">
            <v>96372.32</v>
          </cell>
          <cell r="Z310">
            <v>0.35</v>
          </cell>
          <cell r="AA310">
            <v>62642.008000000009</v>
          </cell>
          <cell r="AB310" t="str">
            <v>HO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374370</v>
          </cell>
          <cell r="P311" t="str">
            <v>2024/026-0053-01</v>
          </cell>
          <cell r="Q311" t="str">
            <v>EST MODULO B/ESQ HIMALAYA (CON) (BS C3001) TC CRAFTED GLAZE</v>
          </cell>
          <cell r="R311">
            <v>4.5999999999999996</v>
          </cell>
          <cell r="S311">
            <v>3.55</v>
          </cell>
          <cell r="T311">
            <v>2.5</v>
          </cell>
          <cell r="U311">
            <v>1.05</v>
          </cell>
          <cell r="V311">
            <v>0.74</v>
          </cell>
          <cell r="W311">
            <v>0</v>
          </cell>
          <cell r="X311" t="str">
            <v>EST MODULO B/ESQ HIMALAYA (CON) (BS C3001) TC CRAFTED GLAZE - 2,5x1,05x0,74H</v>
          </cell>
          <cell r="Y311">
            <v>110525.7015</v>
          </cell>
          <cell r="Z311">
            <v>0.35</v>
          </cell>
          <cell r="AA311">
            <v>71841.70597499999</v>
          </cell>
          <cell r="AB311" t="str">
            <v>HP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1</v>
          </cell>
          <cell r="H312">
            <v>0</v>
          </cell>
          <cell r="O312">
            <v>374371</v>
          </cell>
          <cell r="P312" t="str">
            <v>2024/026-0054-01</v>
          </cell>
          <cell r="Q312" t="str">
            <v>EST MODULO CANTO HIMALAYA (CON) (BS C3001) TC CRAFTED GLAZE</v>
          </cell>
          <cell r="R312">
            <v>4.5999999999999996</v>
          </cell>
          <cell r="S312">
            <v>3.55</v>
          </cell>
          <cell r="T312">
            <v>1.05</v>
          </cell>
          <cell r="U312">
            <v>1.05</v>
          </cell>
          <cell r="V312">
            <v>0.74</v>
          </cell>
          <cell r="W312">
            <v>0</v>
          </cell>
          <cell r="X312" t="str">
            <v>EST MODULO CANTO HIMALAYA (CON) (BS C3001) TC CRAFTED GLAZE - 1,05x1,05x0,74H</v>
          </cell>
          <cell r="Y312">
            <v>110525.7015</v>
          </cell>
          <cell r="Z312">
            <v>0.35</v>
          </cell>
          <cell r="AA312">
            <v>71841.70597499999</v>
          </cell>
          <cell r="AB312" t="str">
            <v>HP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1</v>
          </cell>
          <cell r="H313">
            <v>0</v>
          </cell>
          <cell r="O313">
            <v>374372</v>
          </cell>
          <cell r="P313" t="str">
            <v>2024/026-0055-01</v>
          </cell>
          <cell r="Q313" t="str">
            <v>EST MODULO S/B HIMALAYA (CON) (BS C3001) TC CRAFTED GLAZE</v>
          </cell>
          <cell r="R313">
            <v>4.5999999999999996</v>
          </cell>
          <cell r="S313">
            <v>3.55</v>
          </cell>
          <cell r="T313">
            <v>2.5</v>
          </cell>
          <cell r="U313">
            <v>1.05</v>
          </cell>
          <cell r="V313">
            <v>0.74</v>
          </cell>
          <cell r="W313">
            <v>0</v>
          </cell>
          <cell r="X313" t="str">
            <v>EST MODULO S/B HIMALAYA (CON) (BS C3001) TC CRAFTED GLAZE - 2,5x1,05x0,74H</v>
          </cell>
          <cell r="Y313">
            <v>110525.7015</v>
          </cell>
          <cell r="Z313">
            <v>0.35</v>
          </cell>
          <cell r="AA313">
            <v>71841.70597499999</v>
          </cell>
          <cell r="AB313" t="str">
            <v>HP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1</v>
          </cell>
          <cell r="H314">
            <v>0</v>
          </cell>
          <cell r="O314">
            <v>374373</v>
          </cell>
          <cell r="P314" t="str">
            <v>2024/026-0056-01</v>
          </cell>
          <cell r="Q314" t="str">
            <v>EST MODULO PUFF HIMALAYA (CON) (BS C3001) TC CRAFTED GLAZE</v>
          </cell>
          <cell r="R314">
            <v>4.5999999999999996</v>
          </cell>
          <cell r="S314">
            <v>3.55</v>
          </cell>
          <cell r="T314">
            <v>1.05</v>
          </cell>
          <cell r="U314">
            <v>1.05</v>
          </cell>
          <cell r="V314">
            <v>0.42</v>
          </cell>
          <cell r="W314">
            <v>0</v>
          </cell>
          <cell r="X314" t="str">
            <v>EST MODULO PUFF HIMALAYA (CON) (BS C3001) TC CRAFTED GLAZE - 1,05x1,05x0,42H</v>
          </cell>
          <cell r="Y314">
            <v>110525.7015</v>
          </cell>
          <cell r="Z314">
            <v>0.35</v>
          </cell>
          <cell r="AA314">
            <v>71841.70597499999</v>
          </cell>
          <cell r="AB314" t="str">
            <v>HP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H315">
            <v>1</v>
          </cell>
          <cell r="O315">
            <v>379534</v>
          </cell>
          <cell r="P315" t="str">
            <v>2024/068-0010-01</v>
          </cell>
          <cell r="Q315" t="str">
            <v>EST MODULO B/DIR MONDRIAN (ESTOF) (C1 CREME/CARV BR) TC 6651</v>
          </cell>
          <cell r="R315">
            <v>4.79</v>
          </cell>
          <cell r="S315">
            <v>2.89</v>
          </cell>
          <cell r="T315">
            <v>1.94</v>
          </cell>
          <cell r="U315">
            <v>1.05</v>
          </cell>
          <cell r="V315">
            <v>0.71</v>
          </cell>
          <cell r="W315">
            <v>0</v>
          </cell>
          <cell r="X315" t="str">
            <v>EST MODULO B/DIR MONDRIAN (ESTOF) (C1 CREME/CARV BR) TC 6651 - 1,94x1,05x0,71H</v>
          </cell>
          <cell r="Y315">
            <v>180845.37999999998</v>
          </cell>
          <cell r="Z315">
            <v>0.35</v>
          </cell>
          <cell r="AA315">
            <v>117549.49699999999</v>
          </cell>
          <cell r="AB315" t="str">
            <v>HQ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H316">
            <v>1</v>
          </cell>
          <cell r="O316">
            <v>379535</v>
          </cell>
          <cell r="P316" t="str">
            <v>2024/068-0011-01</v>
          </cell>
          <cell r="Q316" t="str">
            <v>EST MODULO S/B MONDRIAN (C1 CREME/CARV BR) TC 6651</v>
          </cell>
          <cell r="R316">
            <v>4.79</v>
          </cell>
          <cell r="S316">
            <v>2.89</v>
          </cell>
          <cell r="T316">
            <v>1.8</v>
          </cell>
          <cell r="U316">
            <v>1.05</v>
          </cell>
          <cell r="V316">
            <v>0.71</v>
          </cell>
          <cell r="W316">
            <v>0</v>
          </cell>
          <cell r="X316" t="str">
            <v>EST MODULO S/B MONDRIAN (C1 CREME/CARV BR) TC 6651 - 1,8x1,05x0,71H</v>
          </cell>
          <cell r="Y316">
            <v>180845.37999999998</v>
          </cell>
          <cell r="Z316">
            <v>0.35</v>
          </cell>
          <cell r="AA316">
            <v>117549.49699999999</v>
          </cell>
          <cell r="AB316" t="str">
            <v>HQ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H317">
            <v>1</v>
          </cell>
          <cell r="O317">
            <v>379536</v>
          </cell>
          <cell r="P317" t="str">
            <v>2024/068-0012-01</v>
          </cell>
          <cell r="Q317" t="str">
            <v>EST MODULO B/ESQ MONDRIAN (MISTO) (C1 CREME/CARV) TC 6651</v>
          </cell>
          <cell r="R317">
            <v>4.79</v>
          </cell>
          <cell r="S317">
            <v>2.89</v>
          </cell>
          <cell r="T317">
            <v>1.84</v>
          </cell>
          <cell r="U317">
            <v>1.05</v>
          </cell>
          <cell r="V317">
            <v>0.71</v>
          </cell>
          <cell r="W317">
            <v>0</v>
          </cell>
          <cell r="X317" t="str">
            <v>EST MODULO B/ESQ MONDRIAN (MISTO) (C1 CREME/CARV) TC 6651 - 1,84x1,05x0,71H</v>
          </cell>
          <cell r="Y317">
            <v>180845.37999999998</v>
          </cell>
          <cell r="Z317">
            <v>0.35</v>
          </cell>
          <cell r="AA317">
            <v>117549.49699999999</v>
          </cell>
          <cell r="AB317" t="str">
            <v>HQ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H318">
            <v>1</v>
          </cell>
          <cell r="O318">
            <v>379537</v>
          </cell>
          <cell r="P318" t="str">
            <v>2024/068-0013-01</v>
          </cell>
          <cell r="Q318" t="str">
            <v>EST MODULO PUFF MONDRIAN (C1 CREME/CARV BR) (C1 CREME)</v>
          </cell>
          <cell r="R318">
            <v>4.79</v>
          </cell>
          <cell r="S318">
            <v>2.89</v>
          </cell>
          <cell r="T318">
            <v>1.05</v>
          </cell>
          <cell r="U318">
            <v>1.05</v>
          </cell>
          <cell r="V318">
            <v>0.43</v>
          </cell>
          <cell r="W318">
            <v>0</v>
          </cell>
          <cell r="X318" t="str">
            <v>EST MODULO PUFF MONDRIAN (C1 CREME/CARV BR) (C1 CREME) - 1,05x1,05x0,43H</v>
          </cell>
          <cell r="Y318">
            <v>180845.37999999998</v>
          </cell>
          <cell r="Z318">
            <v>0.35</v>
          </cell>
          <cell r="AA318">
            <v>117549.49699999999</v>
          </cell>
          <cell r="AB318" t="str">
            <v>HQ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H319">
            <v>1</v>
          </cell>
          <cell r="O319">
            <v>379521</v>
          </cell>
          <cell r="P319" t="str">
            <v>2024/068-0003-01</v>
          </cell>
          <cell r="Q319" t="str">
            <v>EST MODULO B/ESQ MONDRIAN (LAM) (C1 SEPIA/NOG) TC 6590</v>
          </cell>
          <cell r="R319">
            <v>3.68</v>
          </cell>
          <cell r="S319">
            <v>1.05</v>
          </cell>
          <cell r="T319">
            <v>1.84</v>
          </cell>
          <cell r="U319">
            <v>1.05</v>
          </cell>
          <cell r="V319">
            <v>0.71</v>
          </cell>
          <cell r="W319">
            <v>0</v>
          </cell>
          <cell r="X319" t="str">
            <v>EST MODULO B/ESQ MONDRIAN (LAM) (C1 SEPIA/NOG) TC 6590 - 1,84x1,05x0,71H</v>
          </cell>
          <cell r="Y319">
            <v>109172.4</v>
          </cell>
          <cell r="Z319">
            <v>0.35</v>
          </cell>
          <cell r="AA319">
            <v>70962.06</v>
          </cell>
          <cell r="AB319" t="str">
            <v>HR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H320">
            <v>1</v>
          </cell>
          <cell r="O320">
            <v>379522</v>
          </cell>
          <cell r="P320" t="str">
            <v>2024/068-0004-01</v>
          </cell>
          <cell r="Q320" t="str">
            <v>EST MODULO B/DIR MONDRIAN (LAM) (C1 SEPIA/NOG) TC 6590</v>
          </cell>
          <cell r="R320">
            <v>3.68</v>
          </cell>
          <cell r="S320">
            <v>1.05</v>
          </cell>
          <cell r="T320">
            <v>1.84</v>
          </cell>
          <cell r="U320">
            <v>1.05</v>
          </cell>
          <cell r="V320">
            <v>0.71</v>
          </cell>
          <cell r="W320">
            <v>0</v>
          </cell>
          <cell r="X320" t="str">
            <v>EST MODULO B/DIR MONDRIAN (LAM) (C1 SEPIA/NOG) TC 6590 - 1,84x1,05x0,71H</v>
          </cell>
          <cell r="Y320">
            <v>109172.4</v>
          </cell>
          <cell r="Z320">
            <v>0.35</v>
          </cell>
          <cell r="AA320">
            <v>70962.06</v>
          </cell>
          <cell r="AB320" t="str">
            <v>HR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H321">
            <v>1</v>
          </cell>
          <cell r="O321">
            <v>379519</v>
          </cell>
          <cell r="P321" t="str">
            <v>2024/068-0001-01</v>
          </cell>
          <cell r="Q321" t="str">
            <v>EST MODULO B/ESQ MONDRIAN (ESTOF) (C1 SEPIA/NOG) TC 6590</v>
          </cell>
          <cell r="R321">
            <v>3.88</v>
          </cell>
          <cell r="S321">
            <v>1.05</v>
          </cell>
          <cell r="T321">
            <v>1.94</v>
          </cell>
          <cell r="U321">
            <v>1.05</v>
          </cell>
          <cell r="V321">
            <v>0.71</v>
          </cell>
          <cell r="W321">
            <v>0</v>
          </cell>
          <cell r="X321" t="str">
            <v>EST MODULO B/ESQ MONDRIAN (ESTOF) (C1 SEPIA/NOG) TC 6590 - 1,94x1,05x0,71H</v>
          </cell>
          <cell r="Y321">
            <v>104737.84</v>
          </cell>
          <cell r="Z321">
            <v>0.35</v>
          </cell>
          <cell r="AA321">
            <v>68079.59599999999</v>
          </cell>
          <cell r="AB321" t="str">
            <v>HS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H322">
            <v>1</v>
          </cell>
          <cell r="O322">
            <v>379520</v>
          </cell>
          <cell r="P322" t="str">
            <v>2024/068-0002-01</v>
          </cell>
          <cell r="Q322" t="str">
            <v>EST MODULO B/DIR MONDRIAN (ESTOF) (C1 SEPIA/NOG) TC 6590</v>
          </cell>
          <cell r="R322">
            <v>3.88</v>
          </cell>
          <cell r="S322">
            <v>1.05</v>
          </cell>
          <cell r="T322">
            <v>1.94</v>
          </cell>
          <cell r="U322">
            <v>1.05</v>
          </cell>
          <cell r="V322">
            <v>0.71</v>
          </cell>
          <cell r="W322">
            <v>0</v>
          </cell>
          <cell r="X322" t="str">
            <v>EST MODULO B/DIR MONDRIAN (ESTOF) (C1 SEPIA/NOG) TC 6590 - 1,94x1,05x0,71H</v>
          </cell>
          <cell r="Y322">
            <v>104737.84</v>
          </cell>
          <cell r="Z322">
            <v>0.35</v>
          </cell>
          <cell r="AA322">
            <v>68079.59599999999</v>
          </cell>
          <cell r="AB322" t="str">
            <v>HS</v>
          </cell>
        </row>
        <row r="323">
          <cell r="C323">
            <v>1</v>
          </cell>
          <cell r="D323">
            <v>0</v>
          </cell>
          <cell r="E323">
            <v>0</v>
          </cell>
          <cell r="F323">
            <v>2</v>
          </cell>
          <cell r="H323">
            <v>2</v>
          </cell>
          <cell r="O323">
            <v>379864</v>
          </cell>
          <cell r="P323" t="str">
            <v>2024/068-0026-01</v>
          </cell>
          <cell r="Q323" t="str">
            <v>EST BASE CENTRO MONDRIAN (LAMINA NOGUEIRA)</v>
          </cell>
          <cell r="R323">
            <v>0.9</v>
          </cell>
          <cell r="S323">
            <v>0.9</v>
          </cell>
          <cell r="T323">
            <v>0.9</v>
          </cell>
          <cell r="U323">
            <v>0.9</v>
          </cell>
          <cell r="V323">
            <v>0.24</v>
          </cell>
          <cell r="W323">
            <v>0</v>
          </cell>
          <cell r="X323" t="str">
            <v>EST BASE CENTRO MONDRIAN (LAMINA NOGUEIRA) - 0,9x0,9x0,24H</v>
          </cell>
          <cell r="Y323">
            <v>22325.91</v>
          </cell>
          <cell r="Z323">
            <v>0.35</v>
          </cell>
          <cell r="AA323">
            <v>14511.8415</v>
          </cell>
          <cell r="AB323" t="str">
            <v>HT</v>
          </cell>
        </row>
        <row r="324">
          <cell r="C324">
            <v>1</v>
          </cell>
          <cell r="D324">
            <v>0</v>
          </cell>
          <cell r="E324">
            <v>0</v>
          </cell>
          <cell r="F324">
            <v>0</v>
          </cell>
          <cell r="H324">
            <v>1</v>
          </cell>
          <cell r="O324">
            <v>381897</v>
          </cell>
          <cell r="P324" t="str">
            <v>2024/068-0061-01</v>
          </cell>
          <cell r="Q324" t="str">
            <v>EST TAMPO MONDRIAN (PEDRA 1) (BRANCO PARANA POLIDO)</v>
          </cell>
          <cell r="R324">
            <v>0.9</v>
          </cell>
          <cell r="S324">
            <v>0.9</v>
          </cell>
          <cell r="T324">
            <v>0.87</v>
          </cell>
          <cell r="U324">
            <v>0.6</v>
          </cell>
          <cell r="V324">
            <v>0.02</v>
          </cell>
          <cell r="W324">
            <v>0</v>
          </cell>
          <cell r="X324" t="str">
            <v>EST TAMPO MONDRIAN (PEDRA 1) (BRANCO PARANA POLIDO) - 0,87x0,6x0,02H</v>
          </cell>
          <cell r="Y324">
            <v>22325.91</v>
          </cell>
          <cell r="Z324">
            <v>0.35</v>
          </cell>
          <cell r="AA324">
            <v>14511.8415</v>
          </cell>
          <cell r="AB324" t="str">
            <v>HT</v>
          </cell>
        </row>
        <row r="325">
          <cell r="C325">
            <v>1</v>
          </cell>
          <cell r="D325">
            <v>0</v>
          </cell>
          <cell r="E325">
            <v>0</v>
          </cell>
          <cell r="F325">
            <v>2</v>
          </cell>
          <cell r="H325">
            <v>2</v>
          </cell>
          <cell r="O325">
            <v>379864</v>
          </cell>
          <cell r="P325" t="str">
            <v>2024/068-0027-01</v>
          </cell>
          <cell r="Q325" t="str">
            <v>EST BASE CENTRO MONDRIAN (LAMINA NOGUEIRA)</v>
          </cell>
          <cell r="R325">
            <v>0.9</v>
          </cell>
          <cell r="S325">
            <v>0.9</v>
          </cell>
          <cell r="T325">
            <v>0.9</v>
          </cell>
          <cell r="U325">
            <v>0.9</v>
          </cell>
          <cell r="V325">
            <v>0.24</v>
          </cell>
          <cell r="W325">
            <v>0</v>
          </cell>
          <cell r="X325" t="str">
            <v>EST BASE CENTRO MONDRIAN (LAMINA NOGUEIRA) - 0,9x0,9x0,24H</v>
          </cell>
          <cell r="Y325">
            <v>22325.91</v>
          </cell>
          <cell r="Z325">
            <v>0.35</v>
          </cell>
          <cell r="AA325">
            <v>14511.8415</v>
          </cell>
          <cell r="AB325" t="str">
            <v>HU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2</v>
          </cell>
          <cell r="H326">
            <v>1</v>
          </cell>
          <cell r="O326">
            <v>379866</v>
          </cell>
          <cell r="P326" t="str">
            <v>2024/068-0031-01</v>
          </cell>
          <cell r="Q326" t="str">
            <v>EST TAMPO MONDRIAN (PEDRA 1) (BRANCO PARANA LEVIGADO)</v>
          </cell>
          <cell r="R326">
            <v>0.9</v>
          </cell>
          <cell r="S326">
            <v>0.9</v>
          </cell>
          <cell r="T326">
            <v>0.87</v>
          </cell>
          <cell r="U326">
            <v>0.6</v>
          </cell>
          <cell r="V326">
            <v>0.02</v>
          </cell>
          <cell r="W326">
            <v>0</v>
          </cell>
          <cell r="X326" t="str">
            <v>EST TAMPO MONDRIAN (PEDRA 1) (BRANCO PARANA LEVIGADO) - 0,87x0,6x0,02H</v>
          </cell>
          <cell r="Y326">
            <v>22325.91</v>
          </cell>
          <cell r="Z326">
            <v>0.35</v>
          </cell>
          <cell r="AA326">
            <v>14511.8415</v>
          </cell>
          <cell r="AB326" t="str">
            <v>HU</v>
          </cell>
        </row>
        <row r="327">
          <cell r="C327">
            <v>1</v>
          </cell>
          <cell r="D327">
            <v>0</v>
          </cell>
          <cell r="E327">
            <v>0</v>
          </cell>
          <cell r="F327">
            <v>2</v>
          </cell>
          <cell r="H327">
            <v>2</v>
          </cell>
          <cell r="O327">
            <v>379864</v>
          </cell>
          <cell r="P327" t="str">
            <v>2024/068-0029-01</v>
          </cell>
          <cell r="Q327" t="str">
            <v>EST BASE CENTRO MONDRIAN (LAMINA NOGUEIRA)</v>
          </cell>
          <cell r="R327">
            <v>0.9</v>
          </cell>
          <cell r="S327">
            <v>0.9</v>
          </cell>
          <cell r="T327">
            <v>0.9</v>
          </cell>
          <cell r="U327">
            <v>0.9</v>
          </cell>
          <cell r="V327">
            <v>0.24</v>
          </cell>
          <cell r="W327">
            <v>0</v>
          </cell>
          <cell r="X327" t="str">
            <v>EST BASE CENTRO MONDRIAN (LAMINA NOGUEIRA) - 0,9x0,9x0,24H</v>
          </cell>
          <cell r="Y327">
            <v>22325.91</v>
          </cell>
          <cell r="Z327">
            <v>0.35</v>
          </cell>
          <cell r="AA327">
            <v>14511.8415</v>
          </cell>
          <cell r="AB327" t="str">
            <v>HV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2</v>
          </cell>
          <cell r="H328">
            <v>1</v>
          </cell>
          <cell r="O328">
            <v>379866</v>
          </cell>
          <cell r="P328" t="str">
            <v>2024/068-0032-01</v>
          </cell>
          <cell r="Q328" t="str">
            <v>EST TAMPO MONDRIAN (PEDRA 1) (BRANCO PARANA LEVIGADO)</v>
          </cell>
          <cell r="R328">
            <v>0.9</v>
          </cell>
          <cell r="S328">
            <v>0.9</v>
          </cell>
          <cell r="T328">
            <v>0.87</v>
          </cell>
          <cell r="U328">
            <v>0.6</v>
          </cell>
          <cell r="V328">
            <v>0.02</v>
          </cell>
          <cell r="W328">
            <v>0</v>
          </cell>
          <cell r="X328" t="str">
            <v>EST TAMPO MONDRIAN (PEDRA 1) (BRANCO PARANA LEVIGADO) - 0,87x0,6x0,02H</v>
          </cell>
          <cell r="Y328">
            <v>22325.91</v>
          </cell>
          <cell r="Z328">
            <v>0.35</v>
          </cell>
          <cell r="AA328">
            <v>14511.8415</v>
          </cell>
          <cell r="AB328" t="str">
            <v>HV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H329">
            <v>4</v>
          </cell>
          <cell r="O329">
            <v>379868</v>
          </cell>
          <cell r="P329" t="str">
            <v>2024/068-0045-01</v>
          </cell>
          <cell r="Q329" t="str">
            <v>EST BASE CENTRO MONDRIAN (LAMINA CARV BRANCO)</v>
          </cell>
          <cell r="R329">
            <v>1.8</v>
          </cell>
          <cell r="S329">
            <v>0.45</v>
          </cell>
          <cell r="T329">
            <v>1.8</v>
          </cell>
          <cell r="U329">
            <v>0.45</v>
          </cell>
          <cell r="V329">
            <v>0.24</v>
          </cell>
          <cell r="W329">
            <v>0</v>
          </cell>
          <cell r="X329" t="str">
            <v>EST BASE CENTRO MONDRIAN (LAMINA CARV BRANCO) - 1,8x0,45x0,24H</v>
          </cell>
          <cell r="Y329">
            <v>23418.53</v>
          </cell>
          <cell r="Z329">
            <v>0.35</v>
          </cell>
          <cell r="AA329">
            <v>15222.0445</v>
          </cell>
          <cell r="AB329" t="str">
            <v>HX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H330">
            <v>2</v>
          </cell>
          <cell r="O330">
            <v>379870</v>
          </cell>
          <cell r="P330" t="str">
            <v>2024/068-0084-01</v>
          </cell>
          <cell r="Q330" t="str">
            <v>EST TAMPO MONDRIAN (PEDRA 1) (EMERALD GREEN)</v>
          </cell>
          <cell r="R330">
            <v>1.8</v>
          </cell>
          <cell r="S330">
            <v>0.45</v>
          </cell>
          <cell r="T330">
            <v>1.47</v>
          </cell>
          <cell r="U330">
            <v>0.42</v>
          </cell>
          <cell r="V330">
            <v>0.02</v>
          </cell>
          <cell r="W330">
            <v>0</v>
          </cell>
          <cell r="X330" t="str">
            <v>EST TAMPO MONDRIAN (PEDRA 1) (EMERALD GREEN) - 1,47x0,42x0,02H</v>
          </cell>
          <cell r="Y330">
            <v>23418.53</v>
          </cell>
          <cell r="Z330">
            <v>0.35</v>
          </cell>
          <cell r="AA330">
            <v>15222.0445</v>
          </cell>
          <cell r="AB330" t="str">
            <v>HX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H331">
            <v>4</v>
          </cell>
          <cell r="O331">
            <v>379868</v>
          </cell>
          <cell r="P331" t="str">
            <v>2024/068-0046-01</v>
          </cell>
          <cell r="Q331" t="str">
            <v>EST BASE CENTRO MONDRIAN (LAMINA CARV BRANCO)</v>
          </cell>
          <cell r="R331">
            <v>1.8</v>
          </cell>
          <cell r="S331">
            <v>0.45</v>
          </cell>
          <cell r="T331">
            <v>1.8</v>
          </cell>
          <cell r="U331">
            <v>0.45</v>
          </cell>
          <cell r="V331">
            <v>0.24</v>
          </cell>
          <cell r="W331">
            <v>0</v>
          </cell>
          <cell r="X331" t="str">
            <v>EST BASE CENTRO MONDRIAN (LAMINA CARV BRANCO) - 1,8x0,45x0,24H</v>
          </cell>
          <cell r="Y331">
            <v>23418.53</v>
          </cell>
          <cell r="Z331">
            <v>0.35</v>
          </cell>
          <cell r="AA331">
            <v>15222.0445</v>
          </cell>
          <cell r="AB331" t="str">
            <v>HY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H332">
            <v>2</v>
          </cell>
          <cell r="O332">
            <v>379870</v>
          </cell>
          <cell r="P332" t="str">
            <v>2024/068-0085-01</v>
          </cell>
          <cell r="Q332" t="str">
            <v>EST TAMPO MONDRIAN (PEDRA 1) (EMERALD GREEN)</v>
          </cell>
          <cell r="R332">
            <v>1.8</v>
          </cell>
          <cell r="S332">
            <v>0.45</v>
          </cell>
          <cell r="T332">
            <v>1.47</v>
          </cell>
          <cell r="U332">
            <v>0.42</v>
          </cell>
          <cell r="V332">
            <v>0.02</v>
          </cell>
          <cell r="W332">
            <v>0</v>
          </cell>
          <cell r="X332" t="str">
            <v>EST TAMPO MONDRIAN (PEDRA 1) (EMERALD GREEN) - 1,47x0,42x0,02H</v>
          </cell>
          <cell r="Y332">
            <v>23418.53</v>
          </cell>
          <cell r="Z332">
            <v>0.35</v>
          </cell>
          <cell r="AA332">
            <v>15222.0445</v>
          </cell>
          <cell r="AB332" t="str">
            <v>HY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1</v>
          </cell>
          <cell r="H333">
            <v>0</v>
          </cell>
          <cell r="O333">
            <v>379539</v>
          </cell>
          <cell r="P333" t="str">
            <v>2024/068-0014-01</v>
          </cell>
          <cell r="Q333" t="str">
            <v>EST BASE ESCRIVANINHA MONDRIAN (LAM NOG)</v>
          </cell>
          <cell r="R333">
            <v>1.8</v>
          </cell>
          <cell r="S333">
            <v>0.45</v>
          </cell>
          <cell r="T333">
            <v>1.8</v>
          </cell>
          <cell r="U333">
            <v>0.45</v>
          </cell>
          <cell r="V333">
            <v>0.7</v>
          </cell>
          <cell r="W333">
            <v>0</v>
          </cell>
          <cell r="X333" t="str">
            <v>EST BASE ESCRIVANINHA MONDRIAN (LAM NOG) - 1,8x0,45x0,7H</v>
          </cell>
          <cell r="Y333">
            <v>38902.17</v>
          </cell>
          <cell r="Z333">
            <v>0.35</v>
          </cell>
          <cell r="AA333">
            <v>25286.410499999998</v>
          </cell>
          <cell r="AB333" t="str">
            <v>HZ</v>
          </cell>
        </row>
        <row r="334">
          <cell r="C334">
            <v>1</v>
          </cell>
          <cell r="D334">
            <v>0</v>
          </cell>
          <cell r="E334">
            <v>0</v>
          </cell>
          <cell r="F334">
            <v>1</v>
          </cell>
          <cell r="H334">
            <v>0</v>
          </cell>
          <cell r="O334">
            <v>379880</v>
          </cell>
          <cell r="P334" t="str">
            <v>2024/068-0048-01</v>
          </cell>
          <cell r="Q334" t="str">
            <v>EST TAMPO MONDRIAN (PEDRA 2) (QUARTZITO BRONZITE)</v>
          </cell>
          <cell r="R334">
            <v>1.8</v>
          </cell>
          <cell r="S334">
            <v>0.45</v>
          </cell>
          <cell r="T334">
            <v>1.2</v>
          </cell>
          <cell r="U334">
            <v>0.42</v>
          </cell>
          <cell r="V334">
            <v>0.02</v>
          </cell>
          <cell r="W334">
            <v>0</v>
          </cell>
          <cell r="X334" t="str">
            <v>EST TAMPO MONDRIAN (PEDRA 2) (QUARTZITO BRONZITE) - 1,2x0,42x0,02H</v>
          </cell>
          <cell r="Y334">
            <v>38902.17</v>
          </cell>
          <cell r="Z334">
            <v>0.35</v>
          </cell>
          <cell r="AA334">
            <v>25286.410499999998</v>
          </cell>
          <cell r="AB334" t="str">
            <v>HZ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H335">
            <v>1</v>
          </cell>
          <cell r="O335">
            <v>300467</v>
          </cell>
          <cell r="P335" t="str">
            <v>2021/295-0011-01</v>
          </cell>
          <cell r="Q335" t="str">
            <v>EST MODULO CHAISE S/BRACO PARATY (FX 50041) (BLACK GLOSS)</v>
          </cell>
          <cell r="R335">
            <v>3.45</v>
          </cell>
          <cell r="S335">
            <v>2.4900000000000002</v>
          </cell>
          <cell r="T335">
            <v>0.9</v>
          </cell>
          <cell r="U335">
            <v>1.77</v>
          </cell>
          <cell r="V335">
            <v>0.77</v>
          </cell>
          <cell r="W335">
            <v>0</v>
          </cell>
          <cell r="X335" t="str">
            <v>EST MODULO CHAISE S/BRACO PARATY (FX 50041) (BLACK GLOSS) - 0,9x1,77x0,77H</v>
          </cell>
          <cell r="Y335">
            <v>86407.75999999998</v>
          </cell>
          <cell r="Z335">
            <v>0.35</v>
          </cell>
          <cell r="AA335">
            <v>56165.043999999994</v>
          </cell>
          <cell r="AB335" t="str">
            <v>I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H336">
            <v>3</v>
          </cell>
          <cell r="O336">
            <v>300469</v>
          </cell>
          <cell r="P336" t="str">
            <v>2021/295-0012-01</v>
          </cell>
          <cell r="Q336" t="str">
            <v>EST ALMOFADA BRACO PARATY (FX 50041) (BLACK GLOSS)</v>
          </cell>
          <cell r="R336">
            <v>3.45</v>
          </cell>
          <cell r="S336">
            <v>2.4900000000000002</v>
          </cell>
          <cell r="T336">
            <v>0.52</v>
          </cell>
          <cell r="U336">
            <v>0.23</v>
          </cell>
          <cell r="V336">
            <v>0.14000000000000001</v>
          </cell>
          <cell r="W336">
            <v>0</v>
          </cell>
          <cell r="X336" t="str">
            <v>EST ALMOFADA BRACO PARATY (FX 50041) (BLACK GLOSS) - 0,52x0,23x0,14H</v>
          </cell>
          <cell r="Y336">
            <v>86407.75999999998</v>
          </cell>
          <cell r="Z336">
            <v>0.35</v>
          </cell>
          <cell r="AA336">
            <v>56165.043999999994</v>
          </cell>
          <cell r="AB336" t="str">
            <v>I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H337">
            <v>3</v>
          </cell>
          <cell r="O337">
            <v>300469</v>
          </cell>
          <cell r="P337" t="str">
            <v>2021/295-0013-01</v>
          </cell>
          <cell r="Q337" t="str">
            <v>EST ALMOFADA BRACO PARATY (FX 50041) (BLACK GLOSS)</v>
          </cell>
          <cell r="R337">
            <v>3.45</v>
          </cell>
          <cell r="S337">
            <v>2.4900000000000002</v>
          </cell>
          <cell r="T337">
            <v>0.52</v>
          </cell>
          <cell r="U337">
            <v>0.23</v>
          </cell>
          <cell r="V337">
            <v>0.14000000000000001</v>
          </cell>
          <cell r="W337">
            <v>0</v>
          </cell>
          <cell r="X337" t="str">
            <v>EST ALMOFADA BRACO PARATY (FX 50041) (BLACK GLOSS) - 0,52x0,23x0,14H</v>
          </cell>
          <cell r="Y337">
            <v>86407.75999999998</v>
          </cell>
          <cell r="Z337">
            <v>0.35</v>
          </cell>
          <cell r="AA337">
            <v>56165.043999999994</v>
          </cell>
          <cell r="AB337" t="str">
            <v>I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H338">
            <v>3</v>
          </cell>
          <cell r="O338">
            <v>300469</v>
          </cell>
          <cell r="P338" t="str">
            <v>2021/295-0014-01</v>
          </cell>
          <cell r="Q338" t="str">
            <v>EST ALMOFADA BRACO PARATY (FX 50041) (BLACK GLOSS)</v>
          </cell>
          <cell r="R338">
            <v>3.45</v>
          </cell>
          <cell r="S338">
            <v>2.4900000000000002</v>
          </cell>
          <cell r="T338">
            <v>0.52</v>
          </cell>
          <cell r="U338">
            <v>0.23</v>
          </cell>
          <cell r="V338">
            <v>0.14000000000000001</v>
          </cell>
          <cell r="W338">
            <v>0</v>
          </cell>
          <cell r="X338" t="str">
            <v>EST ALMOFADA BRACO PARATY (FX 50041) (BLACK GLOSS) - 0,52x0,23x0,14H</v>
          </cell>
          <cell r="Y338">
            <v>86407.75999999998</v>
          </cell>
          <cell r="Z338">
            <v>0.35</v>
          </cell>
          <cell r="AA338">
            <v>56165.043999999994</v>
          </cell>
          <cell r="AB338" t="str">
            <v>I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H339">
            <v>6</v>
          </cell>
          <cell r="O339">
            <v>300470</v>
          </cell>
          <cell r="P339" t="str">
            <v>2021/295-0015-01</v>
          </cell>
          <cell r="Q339" t="str">
            <v>EST ALMOFADA ENCOSTO PARATY (FX 50041)</v>
          </cell>
          <cell r="R339">
            <v>3.45</v>
          </cell>
          <cell r="S339">
            <v>2.4900000000000002</v>
          </cell>
          <cell r="T339">
            <v>0.65</v>
          </cell>
          <cell r="U339">
            <v>0.65</v>
          </cell>
          <cell r="V339">
            <v>0</v>
          </cell>
          <cell r="W339">
            <v>0</v>
          </cell>
          <cell r="X339" t="str">
            <v>EST ALMOFADA ENCOSTO PARATY (FX 50041) - 0,65x0,65x0H</v>
          </cell>
          <cell r="Y339">
            <v>86407.75999999998</v>
          </cell>
          <cell r="Z339">
            <v>0.35</v>
          </cell>
          <cell r="AA339">
            <v>56165.043999999994</v>
          </cell>
          <cell r="AB339" t="str">
            <v>I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H340">
            <v>6</v>
          </cell>
          <cell r="O340">
            <v>300470</v>
          </cell>
          <cell r="P340" t="str">
            <v>2021/295-0016-01</v>
          </cell>
          <cell r="Q340" t="str">
            <v>EST ALMOFADA ENCOSTO PARATY (FX 50041)</v>
          </cell>
          <cell r="R340">
            <v>3.45</v>
          </cell>
          <cell r="S340">
            <v>2.4900000000000002</v>
          </cell>
          <cell r="T340">
            <v>0.65</v>
          </cell>
          <cell r="U340">
            <v>0.65</v>
          </cell>
          <cell r="V340">
            <v>0</v>
          </cell>
          <cell r="W340">
            <v>0</v>
          </cell>
          <cell r="X340" t="str">
            <v>EST ALMOFADA ENCOSTO PARATY (FX 50041) - 0,65x0,65x0H</v>
          </cell>
          <cell r="Y340">
            <v>86407.75999999998</v>
          </cell>
          <cell r="Z340">
            <v>0.35</v>
          </cell>
          <cell r="AA340">
            <v>56165.043999999994</v>
          </cell>
          <cell r="AB340" t="str">
            <v>I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H341">
            <v>6</v>
          </cell>
          <cell r="O341">
            <v>300470</v>
          </cell>
          <cell r="P341" t="str">
            <v>2021/295-0017-01</v>
          </cell>
          <cell r="Q341" t="str">
            <v>EST ALMOFADA ENCOSTO PARATY (FX 50041)</v>
          </cell>
          <cell r="R341">
            <v>3.45</v>
          </cell>
          <cell r="S341">
            <v>2.4900000000000002</v>
          </cell>
          <cell r="T341">
            <v>0.65</v>
          </cell>
          <cell r="U341">
            <v>0.65</v>
          </cell>
          <cell r="V341">
            <v>0</v>
          </cell>
          <cell r="W341">
            <v>0</v>
          </cell>
          <cell r="X341" t="str">
            <v>EST ALMOFADA ENCOSTO PARATY (FX 50041) - 0,65x0,65x0H</v>
          </cell>
          <cell r="Y341">
            <v>86407.75999999998</v>
          </cell>
          <cell r="Z341">
            <v>0.35</v>
          </cell>
          <cell r="AA341">
            <v>56165.043999999994</v>
          </cell>
          <cell r="AB341" t="str">
            <v>I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H342">
            <v>6</v>
          </cell>
          <cell r="O342">
            <v>300470</v>
          </cell>
          <cell r="P342" t="str">
            <v>2021/295-0018-01</v>
          </cell>
          <cell r="Q342" t="str">
            <v>EST ALMOFADA ENCOSTO PARATY (FX 50041)</v>
          </cell>
          <cell r="R342">
            <v>3.45</v>
          </cell>
          <cell r="S342">
            <v>2.4900000000000002</v>
          </cell>
          <cell r="T342">
            <v>0.65</v>
          </cell>
          <cell r="U342">
            <v>0.65</v>
          </cell>
          <cell r="V342">
            <v>0</v>
          </cell>
          <cell r="W342">
            <v>0</v>
          </cell>
          <cell r="X342" t="str">
            <v>EST ALMOFADA ENCOSTO PARATY (FX 50041) - 0,65x0,65x0H</v>
          </cell>
          <cell r="Y342">
            <v>86407.75999999998</v>
          </cell>
          <cell r="Z342">
            <v>0.35</v>
          </cell>
          <cell r="AA342">
            <v>56165.043999999994</v>
          </cell>
          <cell r="AB342" t="str">
            <v>I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H343">
            <v>6</v>
          </cell>
          <cell r="O343">
            <v>300470</v>
          </cell>
          <cell r="P343" t="str">
            <v>2021/295-0019-01</v>
          </cell>
          <cell r="Q343" t="str">
            <v>EST ALMOFADA ENCOSTO PARATY (FX 50041)</v>
          </cell>
          <cell r="R343">
            <v>3.45</v>
          </cell>
          <cell r="S343">
            <v>2.4900000000000002</v>
          </cell>
          <cell r="T343">
            <v>0.65</v>
          </cell>
          <cell r="U343">
            <v>0.65</v>
          </cell>
          <cell r="V343">
            <v>0</v>
          </cell>
          <cell r="W343">
            <v>0</v>
          </cell>
          <cell r="X343" t="str">
            <v>EST ALMOFADA ENCOSTO PARATY (FX 50041) - 0,65x0,65x0H</v>
          </cell>
          <cell r="Y343">
            <v>86407.75999999998</v>
          </cell>
          <cell r="Z343">
            <v>0.35</v>
          </cell>
          <cell r="AA343">
            <v>56165.043999999994</v>
          </cell>
          <cell r="AB343" t="str">
            <v>I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H344">
            <v>6</v>
          </cell>
          <cell r="O344">
            <v>300470</v>
          </cell>
          <cell r="P344" t="str">
            <v>2021/295-0020-01</v>
          </cell>
          <cell r="Q344" t="str">
            <v>EST ALMOFADA ENCOSTO PARATY (FX 50041)</v>
          </cell>
          <cell r="R344">
            <v>3.45</v>
          </cell>
          <cell r="S344">
            <v>2.4900000000000002</v>
          </cell>
          <cell r="T344">
            <v>0.65</v>
          </cell>
          <cell r="U344">
            <v>0.65</v>
          </cell>
          <cell r="V344">
            <v>0</v>
          </cell>
          <cell r="W344">
            <v>0</v>
          </cell>
          <cell r="X344" t="str">
            <v>EST ALMOFADA ENCOSTO PARATY (FX 50041) - 0,65x0,65x0H</v>
          </cell>
          <cell r="Y344">
            <v>86407.75999999998</v>
          </cell>
          <cell r="Z344">
            <v>0.35</v>
          </cell>
          <cell r="AA344">
            <v>56165.043999999994</v>
          </cell>
          <cell r="AB344" t="str">
            <v>I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H345">
            <v>3</v>
          </cell>
          <cell r="O345">
            <v>300471</v>
          </cell>
          <cell r="P345" t="str">
            <v>2021/295-0021-01</v>
          </cell>
          <cell r="Q345" t="str">
            <v>EST MODULO PUFF PARATY (FX 50041) (BLACK GLOSS)</v>
          </cell>
          <cell r="R345">
            <v>3.45</v>
          </cell>
          <cell r="S345">
            <v>2.4900000000000002</v>
          </cell>
          <cell r="T345">
            <v>0.9</v>
          </cell>
          <cell r="U345">
            <v>0.72</v>
          </cell>
          <cell r="V345">
            <v>0.4</v>
          </cell>
          <cell r="W345">
            <v>0</v>
          </cell>
          <cell r="X345" t="str">
            <v>EST MODULO PUFF PARATY (FX 50041) (BLACK GLOSS) - 0,9x0,72x0,4H</v>
          </cell>
          <cell r="Y345">
            <v>86407.75999999998</v>
          </cell>
          <cell r="Z345">
            <v>0.35</v>
          </cell>
          <cell r="AA345">
            <v>56165.043999999994</v>
          </cell>
          <cell r="AB345" t="str">
            <v>I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H346">
            <v>3</v>
          </cell>
          <cell r="O346">
            <v>300471</v>
          </cell>
          <cell r="P346" t="str">
            <v>2021/295-0022-01</v>
          </cell>
          <cell r="Q346" t="str">
            <v>EST MODULO PUFF PARATY (FX 50041) (BLACK GLOSS)</v>
          </cell>
          <cell r="R346">
            <v>3.45</v>
          </cell>
          <cell r="S346">
            <v>2.4900000000000002</v>
          </cell>
          <cell r="T346">
            <v>0.9</v>
          </cell>
          <cell r="U346">
            <v>0.72</v>
          </cell>
          <cell r="V346">
            <v>0.4</v>
          </cell>
          <cell r="W346">
            <v>0</v>
          </cell>
          <cell r="X346" t="str">
            <v>EST MODULO PUFF PARATY (FX 50041) (BLACK GLOSS) - 0,9x0,72x0,4H</v>
          </cell>
          <cell r="Y346">
            <v>86407.75999999998</v>
          </cell>
          <cell r="Z346">
            <v>0.35</v>
          </cell>
          <cell r="AA346">
            <v>56165.043999999994</v>
          </cell>
          <cell r="AB346" t="str">
            <v>I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H347">
            <v>3</v>
          </cell>
          <cell r="O347">
            <v>300471</v>
          </cell>
          <cell r="P347" t="str">
            <v>2021/295-0023-01</v>
          </cell>
          <cell r="Q347" t="str">
            <v>EST MODULO PUFF PARATY (FX 50041) (BLACK GLOSS)</v>
          </cell>
          <cell r="R347">
            <v>3.45</v>
          </cell>
          <cell r="S347">
            <v>2.4900000000000002</v>
          </cell>
          <cell r="T347">
            <v>0.9</v>
          </cell>
          <cell r="U347">
            <v>0.72</v>
          </cell>
          <cell r="V347">
            <v>0.4</v>
          </cell>
          <cell r="W347">
            <v>0</v>
          </cell>
          <cell r="X347" t="str">
            <v>EST MODULO PUFF PARATY (FX 50041) (BLACK GLOSS) - 0,9x0,72x0,4H</v>
          </cell>
          <cell r="Y347">
            <v>86407.75999999998</v>
          </cell>
          <cell r="Z347">
            <v>0.35</v>
          </cell>
          <cell r="AA347">
            <v>56165.043999999994</v>
          </cell>
          <cell r="AB347" t="str">
            <v>I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300472</v>
          </cell>
          <cell r="P348" t="str">
            <v>2021/295-0024-01</v>
          </cell>
          <cell r="Q348" t="str">
            <v>EST PUFF PARATY (FX 50041) (BLACK GLOSS)</v>
          </cell>
          <cell r="R348">
            <v>3.45</v>
          </cell>
          <cell r="S348">
            <v>2.4900000000000002</v>
          </cell>
          <cell r="T348">
            <v>1.77</v>
          </cell>
          <cell r="U348">
            <v>0.75</v>
          </cell>
          <cell r="V348">
            <v>0.4</v>
          </cell>
          <cell r="W348">
            <v>0</v>
          </cell>
          <cell r="X348" t="str">
            <v>EST PUFF PARATY (FX 50041) (BLACK GLOSS) - 1,77x0,75x0,4H</v>
          </cell>
          <cell r="Y348">
            <v>86407.75999999998</v>
          </cell>
          <cell r="Z348">
            <v>0.35</v>
          </cell>
          <cell r="AA348">
            <v>56165.043999999994</v>
          </cell>
          <cell r="AB348" t="str">
            <v>I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300476</v>
          </cell>
          <cell r="P349" t="str">
            <v>2021/295-0025-01</v>
          </cell>
          <cell r="Q349" t="str">
            <v>EST MODULO S/BRACO C/ENCOSTO PARATY (FX 50041) (BLACK GLOSS)</v>
          </cell>
          <cell r="R349">
            <v>3.45</v>
          </cell>
          <cell r="S349">
            <v>2.4900000000000002</v>
          </cell>
          <cell r="T349">
            <v>1.8</v>
          </cell>
          <cell r="U349">
            <v>1</v>
          </cell>
          <cell r="V349">
            <v>0.77</v>
          </cell>
          <cell r="W349">
            <v>0</v>
          </cell>
          <cell r="X349" t="str">
            <v>EST MODULO S/BRACO C/ENCOSTO PARATY (FX 50041) (BLACK GLOSS) - 1,8x1x0,77H</v>
          </cell>
          <cell r="Y349">
            <v>86407.75999999998</v>
          </cell>
          <cell r="Z349">
            <v>0.35</v>
          </cell>
          <cell r="AA349">
            <v>56165.043999999994</v>
          </cell>
          <cell r="AB349" t="str">
            <v>I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H350">
            <v>1</v>
          </cell>
          <cell r="O350">
            <v>379526</v>
          </cell>
          <cell r="P350" t="str">
            <v>2024/068-0016-01</v>
          </cell>
          <cell r="Q350" t="str">
            <v>EST BASE APARADOR MONDRIAN (BAIXO) (C/PORTA) (LAM CARV BR)</v>
          </cell>
          <cell r="R350">
            <v>1.8</v>
          </cell>
          <cell r="S350">
            <v>0.45</v>
          </cell>
          <cell r="T350">
            <v>1.8</v>
          </cell>
          <cell r="U350">
            <v>0.45</v>
          </cell>
          <cell r="V350">
            <v>0.45</v>
          </cell>
          <cell r="W350">
            <v>0</v>
          </cell>
          <cell r="X350" t="str">
            <v>EST BASE APARADOR MONDRIAN (BAIXO) (C/PORTA) (LAM CARV BR) - 1,8x0,45x0,45H</v>
          </cell>
          <cell r="Y350">
            <v>38590.589999999997</v>
          </cell>
          <cell r="Z350">
            <v>0.35</v>
          </cell>
          <cell r="AA350">
            <v>25083.883499999996</v>
          </cell>
          <cell r="AB350" t="str">
            <v>IB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H351">
            <v>1</v>
          </cell>
          <cell r="O351">
            <v>379799</v>
          </cell>
          <cell r="P351" t="str">
            <v>2024/068-0018-01</v>
          </cell>
          <cell r="Q351" t="str">
            <v>EST TAMPO MONDRIAN (PEDRA 1) (EMERALD GREEN)</v>
          </cell>
          <cell r="R351">
            <v>1.8</v>
          </cell>
          <cell r="S351">
            <v>0.45</v>
          </cell>
          <cell r="T351">
            <v>1.2</v>
          </cell>
          <cell r="U351">
            <v>0.42</v>
          </cell>
          <cell r="V351">
            <v>0.02</v>
          </cell>
          <cell r="W351">
            <v>0</v>
          </cell>
          <cell r="X351" t="str">
            <v>EST TAMPO MONDRIAN (PEDRA 1) (EMERALD GREEN) - 1,2x0,42x0,02H</v>
          </cell>
          <cell r="Y351">
            <v>38590.589999999997</v>
          </cell>
          <cell r="Z351">
            <v>0.35</v>
          </cell>
          <cell r="AA351">
            <v>25083.883499999996</v>
          </cell>
          <cell r="AB351" t="str">
            <v>IB</v>
          </cell>
        </row>
        <row r="352">
          <cell r="C352">
            <v>1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379791</v>
          </cell>
          <cell r="P352" t="str">
            <v>2024/068-0015-01</v>
          </cell>
          <cell r="Q352" t="str">
            <v>EST TAMPO MONDRIAN (PEDRA 1) (BRANCO PARANA POLIDO)</v>
          </cell>
          <cell r="R352">
            <v>1.8</v>
          </cell>
          <cell r="S352">
            <v>0.45</v>
          </cell>
          <cell r="T352">
            <v>1.2</v>
          </cell>
          <cell r="U352">
            <v>0.42</v>
          </cell>
          <cell r="V352">
            <v>0.02</v>
          </cell>
          <cell r="W352">
            <v>0</v>
          </cell>
          <cell r="X352" t="str">
            <v>EST TAMPO MONDRIAN (PEDRA 1) (BRANCO PARANA POLIDO) - 1,2x0,42x0,02H</v>
          </cell>
          <cell r="Y352">
            <v>34598.46</v>
          </cell>
          <cell r="Z352">
            <v>0.35</v>
          </cell>
          <cell r="AA352">
            <v>22488.999</v>
          </cell>
          <cell r="AB352" t="str">
            <v>ID</v>
          </cell>
        </row>
        <row r="353">
          <cell r="C353">
            <v>1</v>
          </cell>
          <cell r="D353">
            <v>0</v>
          </cell>
          <cell r="E353">
            <v>0</v>
          </cell>
          <cell r="F353">
            <v>0</v>
          </cell>
          <cell r="H353">
            <v>0</v>
          </cell>
          <cell r="O353">
            <v>379858</v>
          </cell>
          <cell r="P353" t="str">
            <v>2024/068-0019-01</v>
          </cell>
          <cell r="Q353" t="str">
            <v>EST BASE APARADOR MONDRIAN (ALTO) (S/PORTA) (LAMINA NOG)</v>
          </cell>
          <cell r="R353">
            <v>1.8</v>
          </cell>
          <cell r="S353">
            <v>0.45</v>
          </cell>
          <cell r="T353">
            <v>1.8</v>
          </cell>
          <cell r="U353">
            <v>0.45</v>
          </cell>
          <cell r="V353">
            <v>0.65</v>
          </cell>
          <cell r="W353">
            <v>0</v>
          </cell>
          <cell r="X353" t="str">
            <v>EST BASE APARADOR MONDRIAN (ALTO) (S/PORTA) (LAMINA NOG) - 1,8x0,45x0,65H</v>
          </cell>
          <cell r="Y353">
            <v>34598.46</v>
          </cell>
          <cell r="Z353">
            <v>0.35</v>
          </cell>
          <cell r="AA353">
            <v>22488.999</v>
          </cell>
          <cell r="AB353" t="str">
            <v>ID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H354">
            <v>0</v>
          </cell>
          <cell r="O354">
            <v>374342</v>
          </cell>
          <cell r="P354" t="str">
            <v>2024/026-0012-01</v>
          </cell>
          <cell r="Q354" t="str">
            <v>EST MODULO B/ESQ HIMALAYA (CLA) (NOG) (DB3001) TC TARENTO 12</v>
          </cell>
          <cell r="R354">
            <v>3.4</v>
          </cell>
          <cell r="S354">
            <v>1.7</v>
          </cell>
          <cell r="T354">
            <v>2.25</v>
          </cell>
          <cell r="U354">
            <v>1.05</v>
          </cell>
          <cell r="V354">
            <v>0.74</v>
          </cell>
          <cell r="W354">
            <v>0</v>
          </cell>
          <cell r="X354" t="str">
            <v>EST MODULO B/ESQ HIMALAYA (CLA) (NOG) (DB3001) TC TARENTO 12 - 2,25x1,05x0,74H</v>
          </cell>
          <cell r="Y354">
            <v>66722.586500000005</v>
          </cell>
          <cell r="Z354">
            <v>0.35</v>
          </cell>
          <cell r="AA354">
            <v>43369.681225000008</v>
          </cell>
          <cell r="AB354" t="str">
            <v>IE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H355">
            <v>0</v>
          </cell>
          <cell r="O355">
            <v>374346</v>
          </cell>
          <cell r="P355" t="str">
            <v>2024/026-0013-01</v>
          </cell>
          <cell r="Q355" t="str">
            <v>EST MODULO CHAISE DIR HIMALAYA (CLA) (DB3001) TC TARENTO 12</v>
          </cell>
          <cell r="R355">
            <v>3.4</v>
          </cell>
          <cell r="S355">
            <v>1.7</v>
          </cell>
          <cell r="T355">
            <v>1.1499999999999999</v>
          </cell>
          <cell r="U355">
            <v>1.7</v>
          </cell>
          <cell r="V355">
            <v>0.74</v>
          </cell>
          <cell r="W355">
            <v>0</v>
          </cell>
          <cell r="X355" t="str">
            <v>EST MODULO CHAISE DIR HIMALAYA (CLA) (DB3001) TC TARENTO 12 - 1,15x1,7x0,74H</v>
          </cell>
          <cell r="Y355">
            <v>66722.586500000005</v>
          </cell>
          <cell r="Z355">
            <v>0.35</v>
          </cell>
          <cell r="AA355">
            <v>43369.681225000008</v>
          </cell>
          <cell r="AB355" t="str">
            <v>IE</v>
          </cell>
        </row>
        <row r="356">
          <cell r="C356">
            <v>1</v>
          </cell>
          <cell r="D356">
            <v>0</v>
          </cell>
          <cell r="E356">
            <v>0</v>
          </cell>
          <cell r="F356">
            <v>2</v>
          </cell>
          <cell r="H356">
            <v>2</v>
          </cell>
          <cell r="O356">
            <v>379864</v>
          </cell>
          <cell r="P356" t="str">
            <v>2024/068-0023-01</v>
          </cell>
          <cell r="Q356" t="str">
            <v>EST BASE CENTRO MONDRIAN (LAMINA NOGUEIRA)</v>
          </cell>
          <cell r="R356">
            <v>0.9</v>
          </cell>
          <cell r="S356">
            <v>0.9</v>
          </cell>
          <cell r="T356">
            <v>0.9</v>
          </cell>
          <cell r="U356">
            <v>0.9</v>
          </cell>
          <cell r="V356">
            <v>0.24</v>
          </cell>
          <cell r="W356">
            <v>0</v>
          </cell>
          <cell r="X356" t="str">
            <v>EST BASE CENTRO MONDRIAN (LAMINA NOGUEIRA) - 0,9x0,9x0,24H</v>
          </cell>
          <cell r="Y356">
            <v>22325.91</v>
          </cell>
          <cell r="Z356">
            <v>0.35</v>
          </cell>
          <cell r="AA356">
            <v>14511.8415</v>
          </cell>
          <cell r="AB356" t="str">
            <v>IH</v>
          </cell>
        </row>
        <row r="357">
          <cell r="C357">
            <v>1</v>
          </cell>
          <cell r="D357">
            <v>0</v>
          </cell>
          <cell r="E357">
            <v>0</v>
          </cell>
          <cell r="F357">
            <v>0</v>
          </cell>
          <cell r="H357">
            <v>1</v>
          </cell>
          <cell r="O357">
            <v>381897</v>
          </cell>
          <cell r="P357" t="str">
            <v>2024/068-0062-01</v>
          </cell>
          <cell r="Q357" t="str">
            <v>EST TAMPO MONDRIAN (PEDRA 1) (BRANCO PARANA POLIDO)</v>
          </cell>
          <cell r="R357">
            <v>0.9</v>
          </cell>
          <cell r="S357">
            <v>0.9</v>
          </cell>
          <cell r="T357">
            <v>0.87</v>
          </cell>
          <cell r="U357">
            <v>0.6</v>
          </cell>
          <cell r="V357">
            <v>0.02</v>
          </cell>
          <cell r="W357">
            <v>0</v>
          </cell>
          <cell r="X357" t="str">
            <v>EST TAMPO MONDRIAN (PEDRA 1) (BRANCO PARANA POLIDO) - 0,87x0,6x0,02H</v>
          </cell>
          <cell r="Y357">
            <v>22325.91</v>
          </cell>
          <cell r="Z357">
            <v>0.35</v>
          </cell>
          <cell r="AA357">
            <v>14511.8415</v>
          </cell>
          <cell r="AB357" t="str">
            <v>IH</v>
          </cell>
        </row>
        <row r="358">
          <cell r="C358">
            <v>1</v>
          </cell>
          <cell r="D358">
            <v>0</v>
          </cell>
          <cell r="E358">
            <v>0</v>
          </cell>
          <cell r="F358">
            <v>0</v>
          </cell>
          <cell r="H358">
            <v>0</v>
          </cell>
          <cell r="O358">
            <v>379756</v>
          </cell>
          <cell r="P358" t="str">
            <v>2024/071-0035-01</v>
          </cell>
          <cell r="Q358" t="str">
            <v>EST MODULO CHAISE BRACO DIR SONETTO (G7124)</v>
          </cell>
          <cell r="R358">
            <v>4.05</v>
          </cell>
          <cell r="S358">
            <v>1.75</v>
          </cell>
          <cell r="T358">
            <v>1.45</v>
          </cell>
          <cell r="U358">
            <v>1.75</v>
          </cell>
          <cell r="V358">
            <v>0.8</v>
          </cell>
          <cell r="W358">
            <v>0</v>
          </cell>
          <cell r="X358" t="str">
            <v>EST MODULO CHAISE BRACO DIR SONETTO (G7124) - 1,45x1,75x0,8H</v>
          </cell>
          <cell r="Y358">
            <v>100668.01999999999</v>
          </cell>
          <cell r="Z358">
            <v>0.35</v>
          </cell>
          <cell r="AA358">
            <v>65434.212999999996</v>
          </cell>
          <cell r="AB358" t="str">
            <v>IK</v>
          </cell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379757</v>
          </cell>
          <cell r="P359" t="str">
            <v>2024/071-0036-01</v>
          </cell>
          <cell r="Q359" t="str">
            <v>EST MODULO S/BRACO SONETTO (G7124)</v>
          </cell>
          <cell r="R359">
            <v>4.05</v>
          </cell>
          <cell r="S359">
            <v>1.75</v>
          </cell>
          <cell r="T359">
            <v>1.2</v>
          </cell>
          <cell r="U359">
            <v>1.35</v>
          </cell>
          <cell r="V359">
            <v>0.8</v>
          </cell>
          <cell r="W359">
            <v>0</v>
          </cell>
          <cell r="X359" t="str">
            <v>EST MODULO S/BRACO SONETTO (G7124) - 1,2x1,35x0,8H</v>
          </cell>
          <cell r="Y359">
            <v>100668.01999999999</v>
          </cell>
          <cell r="Z359">
            <v>0.35</v>
          </cell>
          <cell r="AA359">
            <v>65434.212999999996</v>
          </cell>
          <cell r="AB359" t="str">
            <v>IK</v>
          </cell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379759</v>
          </cell>
          <cell r="P360" t="str">
            <v>2024/071-0037-01</v>
          </cell>
          <cell r="Q360" t="str">
            <v>EST MODULO S/BRACO C/AVANCO ESQ SONETTO (G7124)</v>
          </cell>
          <cell r="R360">
            <v>4.05</v>
          </cell>
          <cell r="S360">
            <v>1.75</v>
          </cell>
          <cell r="T360">
            <v>1.4</v>
          </cell>
          <cell r="U360">
            <v>1.35</v>
          </cell>
          <cell r="V360">
            <v>0.8</v>
          </cell>
          <cell r="W360">
            <v>0</v>
          </cell>
          <cell r="X360" t="str">
            <v>EST MODULO S/BRACO C/AVANCO ESQ SONETTO (G7124) - 1,4x1,35x0,8H</v>
          </cell>
          <cell r="Y360">
            <v>100668.01999999999</v>
          </cell>
          <cell r="Z360">
            <v>0.35</v>
          </cell>
          <cell r="AA360">
            <v>65434.212999999996</v>
          </cell>
          <cell r="AB360" t="str">
            <v>IK</v>
          </cell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379760</v>
          </cell>
          <cell r="P361" t="str">
            <v>2024/071-0038-01</v>
          </cell>
          <cell r="Q361" t="str">
            <v>EST MODULO PUFF SONETTO (G7124)</v>
          </cell>
          <cell r="R361">
            <v>4.05</v>
          </cell>
          <cell r="S361">
            <v>1.75</v>
          </cell>
          <cell r="T361">
            <v>1.3</v>
          </cell>
          <cell r="U361">
            <v>1.35</v>
          </cell>
          <cell r="V361">
            <v>0.4</v>
          </cell>
          <cell r="W361">
            <v>0</v>
          </cell>
          <cell r="X361" t="str">
            <v>EST MODULO PUFF SONETTO (G7124) - 1,3x1,35x0,4H</v>
          </cell>
          <cell r="Y361">
            <v>100668.01999999999</v>
          </cell>
          <cell r="Z361">
            <v>0.35</v>
          </cell>
          <cell r="AA361">
            <v>65434.212999999996</v>
          </cell>
          <cell r="AB361" t="str">
            <v>IK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H362">
            <v>1</v>
          </cell>
          <cell r="O362">
            <v>335216</v>
          </cell>
          <cell r="P362" t="str">
            <v>2022/210-0073-01</v>
          </cell>
          <cell r="Q362" t="str">
            <v>EST MODULO CHAISE BRACO DIR TARANTO TC B2111/VRNZ EBNZ</v>
          </cell>
          <cell r="R362">
            <v>2.4</v>
          </cell>
          <cell r="S362">
            <v>1.8</v>
          </cell>
          <cell r="T362">
            <v>1.2</v>
          </cell>
          <cell r="U362">
            <v>1.8</v>
          </cell>
          <cell r="V362">
            <v>0.95</v>
          </cell>
          <cell r="W362">
            <v>0</v>
          </cell>
          <cell r="X362" t="str">
            <v>EST MODULO CHAISE BRACO DIR TARANTO TC B2111/VRNZ EBNZ - 1,2x1,8x0,95H</v>
          </cell>
          <cell r="Y362">
            <v>37914.78</v>
          </cell>
          <cell r="Z362">
            <v>0.5</v>
          </cell>
          <cell r="AA362">
            <v>18957.39</v>
          </cell>
          <cell r="AB362" t="str">
            <v>IL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H363">
            <v>1</v>
          </cell>
          <cell r="O363">
            <v>335217</v>
          </cell>
          <cell r="P363" t="str">
            <v>2022/210-0074-01</v>
          </cell>
          <cell r="Q363" t="str">
            <v>EST MODULO CHAISE BRACO ESQ TARANTO TC B2111/VRNZ EBNZ</v>
          </cell>
          <cell r="R363">
            <v>2.4</v>
          </cell>
          <cell r="S363">
            <v>1.8</v>
          </cell>
          <cell r="T363">
            <v>1.2</v>
          </cell>
          <cell r="U363">
            <v>1.8</v>
          </cell>
          <cell r="V363">
            <v>0.95</v>
          </cell>
          <cell r="W363">
            <v>0</v>
          </cell>
          <cell r="X363" t="str">
            <v>EST MODULO CHAISE BRACO ESQ TARANTO TC B2111/VRNZ EBNZ - 1,2x1,8x0,95H</v>
          </cell>
          <cell r="Y363">
            <v>37914.78</v>
          </cell>
          <cell r="Z363">
            <v>0.5</v>
          </cell>
          <cell r="AA363">
            <v>18957.39</v>
          </cell>
          <cell r="AB363" t="str">
            <v>IL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H364">
            <v>1</v>
          </cell>
          <cell r="O364">
            <v>379650</v>
          </cell>
          <cell r="P364" t="str">
            <v>2024/071-0039-01</v>
          </cell>
          <cell r="Q364" t="str">
            <v>EST MODULO BRACO ESQ DIXON FX C3005/PES PRETO</v>
          </cell>
          <cell r="R364">
            <v>3.77</v>
          </cell>
          <cell r="S364">
            <v>2.67</v>
          </cell>
          <cell r="T364">
            <v>2.75</v>
          </cell>
          <cell r="U364">
            <v>1.02</v>
          </cell>
          <cell r="V364">
            <v>0.8</v>
          </cell>
          <cell r="W364">
            <v>0</v>
          </cell>
          <cell r="X364" t="str">
            <v>EST MODULO BRACO ESQ DIXON FX C3005/PES PRETO - 2,75x1,02x0,8H</v>
          </cell>
          <cell r="Y364">
            <v>58146.820000000007</v>
          </cell>
          <cell r="Z364">
            <v>0.35</v>
          </cell>
          <cell r="AA364">
            <v>37795.433000000005</v>
          </cell>
          <cell r="AB364" t="str">
            <v>IM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H365">
            <v>1</v>
          </cell>
          <cell r="O365">
            <v>379651</v>
          </cell>
          <cell r="P365" t="str">
            <v>2024/071-0040-01</v>
          </cell>
          <cell r="Q365" t="str">
            <v>EST MODULO S/B C/AVANCO BASE DIR DIXON FX C3005/PES PRETO</v>
          </cell>
          <cell r="R365">
            <v>3.77</v>
          </cell>
          <cell r="S365">
            <v>2.67</v>
          </cell>
          <cell r="T365">
            <v>1.65</v>
          </cell>
          <cell r="U365">
            <v>1.02</v>
          </cell>
          <cell r="V365">
            <v>0.8</v>
          </cell>
          <cell r="W365">
            <v>0</v>
          </cell>
          <cell r="X365" t="str">
            <v>EST MODULO S/B C/AVANCO BASE DIR DIXON FX C3005/PES PRETO - 1,65x1,02x0,8H</v>
          </cell>
          <cell r="Y365">
            <v>58146.820000000007</v>
          </cell>
          <cell r="Z365">
            <v>0.35</v>
          </cell>
          <cell r="AA365">
            <v>37795.433000000005</v>
          </cell>
          <cell r="AB365" t="str">
            <v>IM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H366">
            <v>1</v>
          </cell>
          <cell r="O366">
            <v>379652</v>
          </cell>
          <cell r="P366" t="str">
            <v>2024/071-0041-01</v>
          </cell>
          <cell r="Q366" t="str">
            <v>EST MODULO PUFF DIXON FX C3005/PES PRETO</v>
          </cell>
          <cell r="R366">
            <v>3.77</v>
          </cell>
          <cell r="S366">
            <v>2.67</v>
          </cell>
          <cell r="T366">
            <v>1.01</v>
          </cell>
          <cell r="U366">
            <v>1.01</v>
          </cell>
          <cell r="V366">
            <v>0.44</v>
          </cell>
          <cell r="W366">
            <v>0</v>
          </cell>
          <cell r="X366" t="str">
            <v>EST MODULO PUFF DIXON FX C3005/PES PRETO - 1,01x1,01x0,44H</v>
          </cell>
          <cell r="Y366">
            <v>58146.820000000007</v>
          </cell>
          <cell r="Z366">
            <v>0.35</v>
          </cell>
          <cell r="AA366">
            <v>37795.433000000005</v>
          </cell>
          <cell r="AB366" t="str">
            <v>IM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H367">
            <v>1</v>
          </cell>
          <cell r="O367">
            <v>379996</v>
          </cell>
          <cell r="P367" t="str">
            <v>2024/071-0042-01</v>
          </cell>
          <cell r="Q367" t="str">
            <v>EST ACESSORIO DE MESA DIXON METAL/COURO CAMEL</v>
          </cell>
          <cell r="R367">
            <v>3.77</v>
          </cell>
          <cell r="S367">
            <v>2.67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 t="str">
            <v>EST ACESSORIO DE MESA DIXON METAL/COURO CAMEL - Ø0x0H</v>
          </cell>
          <cell r="Y367">
            <v>58146.820000000007</v>
          </cell>
          <cell r="Z367">
            <v>0.35</v>
          </cell>
          <cell r="AA367">
            <v>37795.433000000005</v>
          </cell>
          <cell r="AB367" t="str">
            <v>IM</v>
          </cell>
        </row>
        <row r="368">
          <cell r="C368">
            <v>0</v>
          </cell>
          <cell r="D368">
            <v>3</v>
          </cell>
          <cell r="E368">
            <v>0</v>
          </cell>
          <cell r="F368">
            <v>0</v>
          </cell>
          <cell r="H368">
            <v>0</v>
          </cell>
          <cell r="O368">
            <v>379684</v>
          </cell>
          <cell r="P368" t="str">
            <v>2024/094-0031-01</v>
          </cell>
          <cell r="Q368" t="str">
            <v>EST ALMOFADA DECORATIVA LENCOIS M (DET04) TC RUST SENNA 297</v>
          </cell>
          <cell r="R368">
            <v>3.4</v>
          </cell>
          <cell r="S368">
            <v>3.4</v>
          </cell>
          <cell r="T368">
            <v>0.6</v>
          </cell>
          <cell r="U368">
            <v>0.6</v>
          </cell>
          <cell r="V368">
            <v>0</v>
          </cell>
          <cell r="W368">
            <v>0</v>
          </cell>
          <cell r="X368" t="str">
            <v>EST ALMOFADA DECORATIVA LENCOIS M (DET04) TC RUST SENNA 297 - 0,6x0,6x0H</v>
          </cell>
          <cell r="Y368">
            <v>76303.050999999992</v>
          </cell>
          <cell r="Z368">
            <v>0.35</v>
          </cell>
          <cell r="AA368">
            <v>49596.98315</v>
          </cell>
          <cell r="AB368" t="str">
            <v>IN</v>
          </cell>
        </row>
        <row r="369">
          <cell r="C369">
            <v>0</v>
          </cell>
          <cell r="D369">
            <v>3</v>
          </cell>
          <cell r="E369">
            <v>0</v>
          </cell>
          <cell r="F369">
            <v>0</v>
          </cell>
          <cell r="H369">
            <v>0</v>
          </cell>
          <cell r="O369">
            <v>379684</v>
          </cell>
          <cell r="P369" t="str">
            <v>2024/094-0032-01</v>
          </cell>
          <cell r="Q369" t="str">
            <v>EST ALMOFADA DECORATIVA LENCOIS M (DET04) TC RUST SENNA 297</v>
          </cell>
          <cell r="R369">
            <v>3.4</v>
          </cell>
          <cell r="S369">
            <v>3.4</v>
          </cell>
          <cell r="T369">
            <v>0.6</v>
          </cell>
          <cell r="U369">
            <v>0.6</v>
          </cell>
          <cell r="V369">
            <v>0</v>
          </cell>
          <cell r="W369">
            <v>0</v>
          </cell>
          <cell r="X369" t="str">
            <v>EST ALMOFADA DECORATIVA LENCOIS M (DET04) TC RUST SENNA 297 - 0,6x0,6x0H</v>
          </cell>
          <cell r="Y369">
            <v>76303.050999999992</v>
          </cell>
          <cell r="Z369">
            <v>0.35</v>
          </cell>
          <cell r="AA369">
            <v>49596.98315</v>
          </cell>
          <cell r="AB369" t="str">
            <v>IN</v>
          </cell>
        </row>
        <row r="370">
          <cell r="C370">
            <v>0</v>
          </cell>
          <cell r="D370">
            <v>3</v>
          </cell>
          <cell r="E370">
            <v>0</v>
          </cell>
          <cell r="F370">
            <v>0</v>
          </cell>
          <cell r="H370">
            <v>0</v>
          </cell>
          <cell r="O370">
            <v>379684</v>
          </cell>
          <cell r="P370" t="str">
            <v>2024/094-0033-01</v>
          </cell>
          <cell r="Q370" t="str">
            <v>EST ALMOFADA DECORATIVA LENCOIS M (DET04) TC RUST SENNA 297</v>
          </cell>
          <cell r="R370">
            <v>3.4</v>
          </cell>
          <cell r="S370">
            <v>3.4</v>
          </cell>
          <cell r="T370">
            <v>0.6</v>
          </cell>
          <cell r="U370">
            <v>0.6</v>
          </cell>
          <cell r="V370">
            <v>0</v>
          </cell>
          <cell r="W370">
            <v>0</v>
          </cell>
          <cell r="X370" t="str">
            <v>EST ALMOFADA DECORATIVA LENCOIS M (DET04) TC RUST SENNA 297 - 0,6x0,6x0H</v>
          </cell>
          <cell r="Y370">
            <v>76303.050999999992</v>
          </cell>
          <cell r="Z370">
            <v>0.35</v>
          </cell>
          <cell r="AA370">
            <v>49596.98315</v>
          </cell>
          <cell r="AB370" t="str">
            <v>IN</v>
          </cell>
        </row>
        <row r="371">
          <cell r="C371">
            <v>0</v>
          </cell>
          <cell r="D371">
            <v>1</v>
          </cell>
          <cell r="E371">
            <v>0</v>
          </cell>
          <cell r="F371">
            <v>0</v>
          </cell>
          <cell r="H371">
            <v>0</v>
          </cell>
          <cell r="O371">
            <v>379686</v>
          </cell>
          <cell r="P371" t="str">
            <v>2024/094-0034-01</v>
          </cell>
          <cell r="Q371" t="str">
            <v>EST ALMOFADA DECORATIVA LENCOIS M (LISO) TC RUSTICO VAT 410</v>
          </cell>
          <cell r="R371">
            <v>3.4</v>
          </cell>
          <cell r="S371">
            <v>3.4</v>
          </cell>
          <cell r="T371">
            <v>0.5</v>
          </cell>
          <cell r="U371">
            <v>0.5</v>
          </cell>
          <cell r="V371">
            <v>0</v>
          </cell>
          <cell r="W371">
            <v>0</v>
          </cell>
          <cell r="X371" t="str">
            <v>EST ALMOFADA DECORATIVA LENCOIS M (LISO) TC RUSTICO VAT 410 - 0,5x0,5x0H</v>
          </cell>
          <cell r="Y371">
            <v>76303.050999999992</v>
          </cell>
          <cell r="Z371">
            <v>0.35</v>
          </cell>
          <cell r="AA371">
            <v>49596.98315</v>
          </cell>
          <cell r="AB371" t="str">
            <v>IN</v>
          </cell>
        </row>
        <row r="372">
          <cell r="C372">
            <v>0</v>
          </cell>
          <cell r="D372">
            <v>1</v>
          </cell>
          <cell r="E372">
            <v>0</v>
          </cell>
          <cell r="F372">
            <v>0</v>
          </cell>
          <cell r="H372">
            <v>0</v>
          </cell>
          <cell r="O372">
            <v>379686</v>
          </cell>
          <cell r="P372" t="str">
            <v>2024/094-0035-01</v>
          </cell>
          <cell r="Q372" t="str">
            <v>EST ALMOFADA DECORATIVA LENCOIS M (LISO) TC RUSTICO VAT 410</v>
          </cell>
          <cell r="R372">
            <v>3.4</v>
          </cell>
          <cell r="S372">
            <v>3.4</v>
          </cell>
          <cell r="T372">
            <v>0.5</v>
          </cell>
          <cell r="U372">
            <v>0.5</v>
          </cell>
          <cell r="V372">
            <v>0</v>
          </cell>
          <cell r="W372">
            <v>0</v>
          </cell>
          <cell r="X372" t="str">
            <v>EST ALMOFADA DECORATIVA LENCOIS M (LISO) TC RUSTICO VAT 410 - 0,5x0,5x0H</v>
          </cell>
          <cell r="Y372">
            <v>76303.050999999992</v>
          </cell>
          <cell r="Z372">
            <v>0.35</v>
          </cell>
          <cell r="AA372">
            <v>49596.98315</v>
          </cell>
          <cell r="AB372" t="str">
            <v>IN</v>
          </cell>
        </row>
        <row r="373">
          <cell r="C373">
            <v>0</v>
          </cell>
          <cell r="D373">
            <v>1</v>
          </cell>
          <cell r="E373">
            <v>0</v>
          </cell>
          <cell r="F373">
            <v>0</v>
          </cell>
          <cell r="H373">
            <v>0</v>
          </cell>
          <cell r="O373">
            <v>379686</v>
          </cell>
          <cell r="P373" t="str">
            <v>2024/094-0036-01</v>
          </cell>
          <cell r="Q373" t="str">
            <v>EST ALMOFADA DECORATIVA LENCOIS M (LISO) TC RUSTICO VAT 410</v>
          </cell>
          <cell r="R373">
            <v>3.4</v>
          </cell>
          <cell r="S373">
            <v>3.4</v>
          </cell>
          <cell r="T373">
            <v>0.5</v>
          </cell>
          <cell r="U373">
            <v>0.5</v>
          </cell>
          <cell r="V373">
            <v>0</v>
          </cell>
          <cell r="W373">
            <v>0</v>
          </cell>
          <cell r="X373" t="str">
            <v>EST ALMOFADA DECORATIVA LENCOIS M (LISO) TC RUSTICO VAT 410 - 0,5x0,5x0H</v>
          </cell>
          <cell r="Y373">
            <v>76303.050999999992</v>
          </cell>
          <cell r="Z373">
            <v>0.35</v>
          </cell>
          <cell r="AA373">
            <v>49596.98315</v>
          </cell>
          <cell r="AB373" t="str">
            <v>IN</v>
          </cell>
        </row>
        <row r="374">
          <cell r="C374">
            <v>0</v>
          </cell>
          <cell r="D374">
            <v>1</v>
          </cell>
          <cell r="E374">
            <v>0</v>
          </cell>
          <cell r="F374">
            <v>0</v>
          </cell>
          <cell r="H374">
            <v>0</v>
          </cell>
          <cell r="O374">
            <v>379692</v>
          </cell>
          <cell r="P374" t="str">
            <v>2024/094-0037-01</v>
          </cell>
          <cell r="Q374" t="str">
            <v>EST MODULO ENCOSTO (L) LENCOIS M (DET04) TC RUST SENNA 297</v>
          </cell>
          <cell r="R374">
            <v>3.4</v>
          </cell>
          <cell r="S374">
            <v>3.4</v>
          </cell>
          <cell r="T374">
            <v>1.2</v>
          </cell>
          <cell r="U374">
            <v>0.8</v>
          </cell>
          <cell r="V374">
            <v>0.26</v>
          </cell>
          <cell r="W374">
            <v>0</v>
          </cell>
          <cell r="X374" t="str">
            <v>EST MODULO ENCOSTO (L) LENCOIS M (DET04) TC RUST SENNA 297 - 1,2x0,8x0,26H</v>
          </cell>
          <cell r="Y374">
            <v>76303.050999999992</v>
          </cell>
          <cell r="Z374">
            <v>0.35</v>
          </cell>
          <cell r="AA374">
            <v>49596.98315</v>
          </cell>
          <cell r="AB374" t="str">
            <v>IN</v>
          </cell>
        </row>
        <row r="375">
          <cell r="C375">
            <v>0</v>
          </cell>
          <cell r="D375">
            <v>1</v>
          </cell>
          <cell r="E375">
            <v>0</v>
          </cell>
          <cell r="F375">
            <v>0</v>
          </cell>
          <cell r="H375">
            <v>0</v>
          </cell>
          <cell r="O375">
            <v>379693</v>
          </cell>
          <cell r="P375" t="str">
            <v>2024/094-0038-01</v>
          </cell>
          <cell r="Q375" t="str">
            <v>EST MODULO PUFF LENCOIS M (DET04) TC RUST SENNA 297</v>
          </cell>
          <cell r="R375">
            <v>3.4</v>
          </cell>
          <cell r="S375">
            <v>3.4</v>
          </cell>
          <cell r="T375">
            <v>2.4</v>
          </cell>
          <cell r="U375">
            <v>1</v>
          </cell>
          <cell r="V375">
            <v>0.38</v>
          </cell>
          <cell r="W375">
            <v>0</v>
          </cell>
          <cell r="X375" t="str">
            <v>EST MODULO PUFF LENCOIS M (DET04) TC RUST SENNA 297 - 2,4x1x0,38H</v>
          </cell>
          <cell r="Y375">
            <v>76303.050999999992</v>
          </cell>
          <cell r="Z375">
            <v>0.35</v>
          </cell>
          <cell r="AA375">
            <v>49596.98315</v>
          </cell>
          <cell r="AB375" t="str">
            <v>IN</v>
          </cell>
        </row>
        <row r="376">
          <cell r="C376">
            <v>0</v>
          </cell>
          <cell r="D376">
            <v>1</v>
          </cell>
          <cell r="E376">
            <v>0</v>
          </cell>
          <cell r="F376">
            <v>0</v>
          </cell>
          <cell r="H376">
            <v>0</v>
          </cell>
          <cell r="O376">
            <v>379694</v>
          </cell>
          <cell r="P376" t="str">
            <v>2024/094-0039-01</v>
          </cell>
          <cell r="Q376" t="str">
            <v>EST MODULO PUFF CHAISE LENCOIS M (DET04) TC RUST SENNA 297</v>
          </cell>
          <cell r="R376">
            <v>3.4</v>
          </cell>
          <cell r="S376">
            <v>3.4</v>
          </cell>
          <cell r="T376">
            <v>2.4</v>
          </cell>
          <cell r="U376">
            <v>1.55</v>
          </cell>
          <cell r="V376">
            <v>0.38</v>
          </cell>
          <cell r="W376">
            <v>0</v>
          </cell>
          <cell r="X376" t="str">
            <v>EST MODULO PUFF CHAISE LENCOIS M (DET04) TC RUST SENNA 297 - 2,4x1,55x0,38H</v>
          </cell>
          <cell r="Y376">
            <v>76303.050999999992</v>
          </cell>
          <cell r="Z376">
            <v>0.35</v>
          </cell>
          <cell r="AA376">
            <v>49596.98315</v>
          </cell>
          <cell r="AB376" t="str">
            <v>IN</v>
          </cell>
        </row>
        <row r="377">
          <cell r="C377">
            <v>0</v>
          </cell>
          <cell r="D377">
            <v>1</v>
          </cell>
          <cell r="E377">
            <v>0</v>
          </cell>
          <cell r="F377">
            <v>0</v>
          </cell>
          <cell r="H377">
            <v>0</v>
          </cell>
          <cell r="O377">
            <v>379696</v>
          </cell>
          <cell r="P377" t="str">
            <v>2024/094-0040-01</v>
          </cell>
          <cell r="Q377" t="str">
            <v>EST MODULO PUFF CANTO 90 LENCOIS M (LISO) TC RUSTICO VAT 410</v>
          </cell>
          <cell r="R377">
            <v>3.4</v>
          </cell>
          <cell r="S377">
            <v>3.4</v>
          </cell>
          <cell r="T377">
            <v>1</v>
          </cell>
          <cell r="U377">
            <v>1</v>
          </cell>
          <cell r="V377">
            <v>0.38</v>
          </cell>
          <cell r="W377">
            <v>0</v>
          </cell>
          <cell r="X377" t="str">
            <v>EST MODULO PUFF CANTO 90 LENCOIS M (LISO) TC RUSTICO VAT 410 - 1x1x0,38H</v>
          </cell>
          <cell r="Y377">
            <v>76303.050999999992</v>
          </cell>
          <cell r="Z377">
            <v>0.35</v>
          </cell>
          <cell r="AA377">
            <v>49596.98315</v>
          </cell>
          <cell r="AB377" t="str">
            <v>IN</v>
          </cell>
        </row>
        <row r="378">
          <cell r="C378">
            <v>0</v>
          </cell>
          <cell r="D378">
            <v>1</v>
          </cell>
          <cell r="E378">
            <v>0</v>
          </cell>
          <cell r="F378">
            <v>0</v>
          </cell>
          <cell r="H378">
            <v>0</v>
          </cell>
          <cell r="O378">
            <v>379698</v>
          </cell>
          <cell r="P378" t="str">
            <v>2024/094-0041-01</v>
          </cell>
          <cell r="Q378" t="str">
            <v>EST MODULO ENCOSTO RETO LENCOIS M (LISO) TC RUSTICO VAT 410</v>
          </cell>
          <cell r="R378">
            <v>3.4</v>
          </cell>
          <cell r="S378">
            <v>3.4</v>
          </cell>
          <cell r="T378">
            <v>0.7</v>
          </cell>
          <cell r="U378">
            <v>0.26</v>
          </cell>
          <cell r="V378">
            <v>0.26</v>
          </cell>
          <cell r="W378">
            <v>0</v>
          </cell>
          <cell r="X378" t="str">
            <v>EST MODULO ENCOSTO RETO LENCOIS M (LISO) TC RUSTICO VAT 410 - 0,7x0,26x0,26H</v>
          </cell>
          <cell r="Y378">
            <v>76303.050999999992</v>
          </cell>
          <cell r="Z378">
            <v>0.35</v>
          </cell>
          <cell r="AA378">
            <v>49596.98315</v>
          </cell>
          <cell r="AB378" t="str">
            <v>IN</v>
          </cell>
        </row>
        <row r="379">
          <cell r="C379">
            <v>0</v>
          </cell>
          <cell r="D379">
            <v>2</v>
          </cell>
          <cell r="E379">
            <v>0</v>
          </cell>
          <cell r="F379">
            <v>0</v>
          </cell>
          <cell r="H379">
            <v>0</v>
          </cell>
          <cell r="O379">
            <v>379699</v>
          </cell>
          <cell r="P379" t="str">
            <v>2024/094-0042-01</v>
          </cell>
          <cell r="Q379" t="str">
            <v>EST MODULO ENCOSTO RETO LENCOIS M (DET04) TC RUST SENNA 297</v>
          </cell>
          <cell r="R379">
            <v>3.4</v>
          </cell>
          <cell r="S379">
            <v>3.4</v>
          </cell>
          <cell r="T379">
            <v>1.2</v>
          </cell>
          <cell r="U379">
            <v>0.26</v>
          </cell>
          <cell r="V379">
            <v>0.26</v>
          </cell>
          <cell r="W379">
            <v>0</v>
          </cell>
          <cell r="X379" t="str">
            <v>EST MODULO ENCOSTO RETO LENCOIS M (DET04) TC RUST SENNA 297 - 1,2x0,26x0,26H</v>
          </cell>
          <cell r="Y379">
            <v>76303.050999999992</v>
          </cell>
          <cell r="Z379">
            <v>0.35</v>
          </cell>
          <cell r="AA379">
            <v>49596.98315</v>
          </cell>
          <cell r="AB379" t="str">
            <v>IN</v>
          </cell>
        </row>
        <row r="380">
          <cell r="C380">
            <v>0</v>
          </cell>
          <cell r="D380">
            <v>2</v>
          </cell>
          <cell r="E380">
            <v>0</v>
          </cell>
          <cell r="F380">
            <v>0</v>
          </cell>
          <cell r="H380">
            <v>0</v>
          </cell>
          <cell r="O380">
            <v>379699</v>
          </cell>
          <cell r="P380" t="str">
            <v>2024/094-0043-01</v>
          </cell>
          <cell r="Q380" t="str">
            <v>EST MODULO ENCOSTO RETO LENCOIS M (DET04) TC RUST SENNA 297</v>
          </cell>
          <cell r="R380">
            <v>3.4</v>
          </cell>
          <cell r="S380">
            <v>3.4</v>
          </cell>
          <cell r="T380">
            <v>1.2</v>
          </cell>
          <cell r="U380">
            <v>0.26</v>
          </cell>
          <cell r="V380">
            <v>0.26</v>
          </cell>
          <cell r="W380">
            <v>0</v>
          </cell>
          <cell r="X380" t="str">
            <v>EST MODULO ENCOSTO RETO LENCOIS M (DET04) TC RUST SENNA 297 - 1,2x0,26x0,26H</v>
          </cell>
          <cell r="Y380">
            <v>76303.050999999992</v>
          </cell>
          <cell r="Z380">
            <v>0.35</v>
          </cell>
          <cell r="AA380">
            <v>49596.98315</v>
          </cell>
          <cell r="AB380" t="str">
            <v>IN</v>
          </cell>
        </row>
        <row r="381">
          <cell r="C381">
            <v>0</v>
          </cell>
          <cell r="D381">
            <v>1</v>
          </cell>
          <cell r="E381">
            <v>0</v>
          </cell>
          <cell r="F381">
            <v>0</v>
          </cell>
          <cell r="H381">
            <v>0</v>
          </cell>
          <cell r="O381">
            <v>379700</v>
          </cell>
          <cell r="P381" t="str">
            <v>2024/094-0044-01</v>
          </cell>
          <cell r="Q381" t="str">
            <v>EST MODULO ENCOSTO RETO LENCOIS M (DET04) TC RUST SENNA 297</v>
          </cell>
          <cell r="R381">
            <v>3.4</v>
          </cell>
          <cell r="S381">
            <v>3.4</v>
          </cell>
          <cell r="T381">
            <v>0.7</v>
          </cell>
          <cell r="U381">
            <v>0.26</v>
          </cell>
          <cell r="V381">
            <v>0.26</v>
          </cell>
          <cell r="W381">
            <v>0</v>
          </cell>
          <cell r="X381" t="str">
            <v>EST MODULO ENCOSTO RETO LENCOIS M (DET04) TC RUST SENNA 297 - 0,7x0,26x0,26H</v>
          </cell>
          <cell r="Y381">
            <v>76303.050999999992</v>
          </cell>
          <cell r="Z381">
            <v>0.35</v>
          </cell>
          <cell r="AA381">
            <v>49596.98315</v>
          </cell>
          <cell r="AB381" t="str">
            <v>IN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H382">
            <v>1</v>
          </cell>
          <cell r="O382">
            <v>379890</v>
          </cell>
          <cell r="P382" t="str">
            <v>2024/068-0053-01</v>
          </cell>
          <cell r="Q382" t="str">
            <v>EST MODULO S/BRACO MONDRIAN (C1 CREME/CARV) (TC 6649)</v>
          </cell>
          <cell r="R382">
            <v>3.88</v>
          </cell>
          <cell r="S382">
            <v>1.7</v>
          </cell>
          <cell r="T382">
            <v>0.9</v>
          </cell>
          <cell r="U382">
            <v>0.7</v>
          </cell>
          <cell r="V382">
            <v>0.71</v>
          </cell>
          <cell r="W382">
            <v>0</v>
          </cell>
          <cell r="X382" t="str">
            <v>EST MODULO S/BRACO MONDRIAN (C1 CREME/CARV) (TC 6649) - 0,9x0,7x0,71H</v>
          </cell>
          <cell r="Y382">
            <v>123866.81</v>
          </cell>
          <cell r="Z382">
            <v>0.5</v>
          </cell>
          <cell r="AA382">
            <v>61933.404999999999</v>
          </cell>
          <cell r="AB382" t="str">
            <v>IO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H383">
            <v>1</v>
          </cell>
          <cell r="O383">
            <v>379889</v>
          </cell>
          <cell r="P383" t="str">
            <v>2024/068-0052-01</v>
          </cell>
          <cell r="Q383" t="str">
            <v>EST CHAISE B/ESQ MONDRIAN (ESTOF) (C1 CREME/CARV) (TC 6649)</v>
          </cell>
          <cell r="R383">
            <v>3.88</v>
          </cell>
          <cell r="S383">
            <v>1.7</v>
          </cell>
          <cell r="T383">
            <v>1.04</v>
          </cell>
          <cell r="U383">
            <v>1.7</v>
          </cell>
          <cell r="V383">
            <v>0.71</v>
          </cell>
          <cell r="W383">
            <v>0</v>
          </cell>
          <cell r="X383" t="str">
            <v>EST CHAISE B/ESQ MONDRIAN (ESTOF) (C1 CREME/CARV) (TC 6649) - 1,04x1,7x0,71H</v>
          </cell>
          <cell r="Y383">
            <v>123866.81</v>
          </cell>
          <cell r="Z383">
            <v>0.5</v>
          </cell>
          <cell r="AA383">
            <v>61933.404999999999</v>
          </cell>
          <cell r="AB383" t="str">
            <v>IO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H384">
            <v>1</v>
          </cell>
          <cell r="O384">
            <v>379891</v>
          </cell>
          <cell r="P384" t="str">
            <v>2024/068-0054-01</v>
          </cell>
          <cell r="Q384" t="str">
            <v>EST MODULO B/DIR MONDRIAN (ESTOF) (C1 CREME/CARV BR) TC 6649</v>
          </cell>
          <cell r="R384">
            <v>3.88</v>
          </cell>
          <cell r="S384">
            <v>1.7</v>
          </cell>
          <cell r="T384">
            <v>1.94</v>
          </cell>
          <cell r="U384">
            <v>1.05</v>
          </cell>
          <cell r="V384">
            <v>0.71</v>
          </cell>
          <cell r="W384">
            <v>0</v>
          </cell>
          <cell r="X384" t="str">
            <v>EST MODULO B/DIR MONDRIAN (ESTOF) (C1 CREME/CARV BR) TC 6649 - 1,94x1,05x0,71H</v>
          </cell>
          <cell r="Y384">
            <v>123866.81</v>
          </cell>
          <cell r="Z384">
            <v>0.5</v>
          </cell>
          <cell r="AA384">
            <v>61933.404999999999</v>
          </cell>
          <cell r="AB384" t="str">
            <v>IO</v>
          </cell>
        </row>
        <row r="385">
          <cell r="C385">
            <v>0</v>
          </cell>
          <cell r="D385">
            <v>1</v>
          </cell>
          <cell r="E385">
            <v>0</v>
          </cell>
          <cell r="F385">
            <v>0</v>
          </cell>
          <cell r="H385">
            <v>0</v>
          </cell>
          <cell r="O385">
            <v>379541</v>
          </cell>
          <cell r="P385" t="str">
            <v>2024/068-0017-01</v>
          </cell>
          <cell r="Q385" t="str">
            <v>EST BASE APARADOR MONDRIAN (ALTO) (C/PORTA) (LAM CARV)</v>
          </cell>
          <cell r="R385">
            <v>1.8</v>
          </cell>
          <cell r="S385">
            <v>0.45</v>
          </cell>
          <cell r="T385">
            <v>1.8</v>
          </cell>
          <cell r="U385">
            <v>0.45</v>
          </cell>
          <cell r="V385">
            <v>0.65</v>
          </cell>
          <cell r="W385">
            <v>0</v>
          </cell>
          <cell r="X385" t="str">
            <v>EST BASE APARADOR MONDRIAN (ALTO) (C/PORTA) (LAM CARV) - 1,8x0,45x0,65H</v>
          </cell>
          <cell r="Y385">
            <v>38590.589999999997</v>
          </cell>
          <cell r="Z385">
            <v>0.35</v>
          </cell>
          <cell r="AA385">
            <v>25083.883499999996</v>
          </cell>
          <cell r="AB385" t="str">
            <v>IR</v>
          </cell>
        </row>
        <row r="386">
          <cell r="C386">
            <v>0</v>
          </cell>
          <cell r="D386">
            <v>1</v>
          </cell>
          <cell r="E386">
            <v>0</v>
          </cell>
          <cell r="F386">
            <v>0</v>
          </cell>
          <cell r="H386">
            <v>0</v>
          </cell>
          <cell r="O386">
            <v>381924</v>
          </cell>
          <cell r="P386" t="str">
            <v>2024/068-0063-01</v>
          </cell>
          <cell r="Q386" t="str">
            <v>EST TAMPO MONDRIAN (PEDRA 1) (BRANCO PARANA LEVIGADO)</v>
          </cell>
          <cell r="R386">
            <v>1.8</v>
          </cell>
          <cell r="S386">
            <v>0.45</v>
          </cell>
          <cell r="T386">
            <v>1.2</v>
          </cell>
          <cell r="U386">
            <v>0.42</v>
          </cell>
          <cell r="V386">
            <v>0.02</v>
          </cell>
          <cell r="W386">
            <v>0</v>
          </cell>
          <cell r="X386" t="str">
            <v>EST TAMPO MONDRIAN (PEDRA 1) (BRANCO PARANA LEVIGADO) - 1,2x0,42x0,02H</v>
          </cell>
          <cell r="Y386">
            <v>38590.589999999997</v>
          </cell>
          <cell r="Z386">
            <v>0.35</v>
          </cell>
          <cell r="AA386">
            <v>25083.883499999996</v>
          </cell>
          <cell r="AB386" t="str">
            <v>IR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H387">
            <v>4</v>
          </cell>
          <cell r="O387">
            <v>379868</v>
          </cell>
          <cell r="P387" t="str">
            <v>2024/068-0043-01</v>
          </cell>
          <cell r="Q387" t="str">
            <v>EST BASE CENTRO MONDRIAN (LAMINA CARV BRANCO)</v>
          </cell>
          <cell r="R387">
            <v>1.8</v>
          </cell>
          <cell r="S387">
            <v>0.45</v>
          </cell>
          <cell r="T387">
            <v>1.8</v>
          </cell>
          <cell r="U387">
            <v>0.45</v>
          </cell>
          <cell r="V387">
            <v>0.24</v>
          </cell>
          <cell r="W387">
            <v>0</v>
          </cell>
          <cell r="X387" t="str">
            <v>EST BASE CENTRO MONDRIAN (LAMINA CARV BRANCO) - 1,8x0,45x0,24H</v>
          </cell>
          <cell r="Y387">
            <v>23418.53</v>
          </cell>
          <cell r="Z387">
            <v>0.5</v>
          </cell>
          <cell r="AA387">
            <v>11709.264999999999</v>
          </cell>
          <cell r="AB387" t="str">
            <v>IS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1</v>
          </cell>
          <cell r="O388">
            <v>380411</v>
          </cell>
          <cell r="P388" t="str">
            <v>2024/068-0057-01</v>
          </cell>
          <cell r="Q388" t="str">
            <v>EST TAMPO MONDRIAN (PEDRA 1) (BRANCO PARANA LEVIGADO)</v>
          </cell>
          <cell r="R388">
            <v>1.8</v>
          </cell>
          <cell r="S388">
            <v>0.45</v>
          </cell>
          <cell r="T388">
            <v>1.47</v>
          </cell>
          <cell r="U388">
            <v>0.42</v>
          </cell>
          <cell r="V388">
            <v>0.02</v>
          </cell>
          <cell r="W388">
            <v>0</v>
          </cell>
          <cell r="X388" t="str">
            <v>EST TAMPO MONDRIAN (PEDRA 1) (BRANCO PARANA LEVIGADO) - 1,47x0,42x0,02H</v>
          </cell>
          <cell r="Y388">
            <v>23418.53</v>
          </cell>
          <cell r="Z388">
            <v>0.5</v>
          </cell>
          <cell r="AA388">
            <v>11709.264999999999</v>
          </cell>
          <cell r="AB388" t="str">
            <v>IS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4</v>
          </cell>
          <cell r="O389">
            <v>379868</v>
          </cell>
          <cell r="P389" t="str">
            <v>2024/068-0044-01</v>
          </cell>
          <cell r="Q389" t="str">
            <v>EST BASE CENTRO MONDRIAN (LAMINA CARV BRANCO)</v>
          </cell>
          <cell r="R389">
            <v>1.8</v>
          </cell>
          <cell r="S389">
            <v>0.45</v>
          </cell>
          <cell r="T389">
            <v>1.8</v>
          </cell>
          <cell r="U389">
            <v>0.45</v>
          </cell>
          <cell r="V389">
            <v>0.24</v>
          </cell>
          <cell r="W389">
            <v>0</v>
          </cell>
          <cell r="X389" t="str">
            <v>EST BASE CENTRO MONDRIAN (LAMINA CARV BRANCO) - 1,8x0,45x0,24H</v>
          </cell>
          <cell r="Y389">
            <v>23418.53</v>
          </cell>
          <cell r="Z389">
            <v>0.5</v>
          </cell>
          <cell r="AA389">
            <v>11709.264999999999</v>
          </cell>
          <cell r="AB389" t="str">
            <v>IT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1</v>
          </cell>
          <cell r="O390">
            <v>380411</v>
          </cell>
          <cell r="P390" t="str">
            <v>2024/068-0058-01</v>
          </cell>
          <cell r="Q390" t="str">
            <v>EST TAMPO MONDRIAN (PEDRA 1) (BRANCO PARANA LEVIGADO)</v>
          </cell>
          <cell r="R390">
            <v>1.8</v>
          </cell>
          <cell r="S390">
            <v>0.45</v>
          </cell>
          <cell r="T390">
            <v>1.47</v>
          </cell>
          <cell r="U390">
            <v>0.42</v>
          </cell>
          <cell r="V390">
            <v>0.02</v>
          </cell>
          <cell r="W390">
            <v>0</v>
          </cell>
          <cell r="X390" t="str">
            <v>EST TAMPO MONDRIAN (PEDRA 1) (BRANCO PARANA LEVIGADO) - 1,47x0,42x0,02H</v>
          </cell>
          <cell r="Y390">
            <v>23418.53</v>
          </cell>
          <cell r="Z390">
            <v>0.5</v>
          </cell>
          <cell r="AA390">
            <v>11709.264999999999</v>
          </cell>
          <cell r="AB390" t="str">
            <v>IT</v>
          </cell>
        </row>
        <row r="391">
          <cell r="C391">
            <v>1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374381</v>
          </cell>
          <cell r="P391" t="str">
            <v>2024/026-0068-01</v>
          </cell>
          <cell r="Q391" t="str">
            <v>EST MODULO ANGULAR B/DIR HIMALAYA (CON) TC CRAFTED GLAZE</v>
          </cell>
          <cell r="R391">
            <v>4.78</v>
          </cell>
          <cell r="S391">
            <v>1.9</v>
          </cell>
          <cell r="T391">
            <v>2</v>
          </cell>
          <cell r="U391">
            <v>1.05</v>
          </cell>
          <cell r="V391">
            <v>0.74</v>
          </cell>
          <cell r="W391">
            <v>0</v>
          </cell>
          <cell r="X391" t="str">
            <v>EST MODULO ANGULAR B/DIR HIMALAYA (CON) TC CRAFTED GLAZE - 2x1,05x0,74H</v>
          </cell>
          <cell r="Y391">
            <v>71288.620899999994</v>
          </cell>
          <cell r="Z391">
            <v>0.35</v>
          </cell>
          <cell r="AA391">
            <v>46337.603584999997</v>
          </cell>
          <cell r="AB391" t="str">
            <v>IU</v>
          </cell>
        </row>
        <row r="392">
          <cell r="C392">
            <v>1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374382</v>
          </cell>
          <cell r="P392" t="str">
            <v>2024/026-0069-01</v>
          </cell>
          <cell r="Q392" t="str">
            <v>EST MODULO ANGULAR DIR S/B HIMALAYA (CON) TC CRAFTED GLAZE</v>
          </cell>
          <cell r="R392">
            <v>4.78</v>
          </cell>
          <cell r="S392">
            <v>1.9</v>
          </cell>
          <cell r="T392">
            <v>2</v>
          </cell>
          <cell r="U392">
            <v>1.05</v>
          </cell>
          <cell r="V392">
            <v>0.74</v>
          </cell>
          <cell r="W392">
            <v>0</v>
          </cell>
          <cell r="X392" t="str">
            <v>EST MODULO ANGULAR DIR S/B HIMALAYA (CON) TC CRAFTED GLAZE - 2x1,05x0,74H</v>
          </cell>
          <cell r="Y392">
            <v>71288.620899999994</v>
          </cell>
          <cell r="Z392">
            <v>0.35</v>
          </cell>
          <cell r="AA392">
            <v>46337.603584999997</v>
          </cell>
          <cell r="AB392" t="str">
            <v>IU</v>
          </cell>
        </row>
        <row r="393">
          <cell r="C393">
            <v>1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374383</v>
          </cell>
          <cell r="P393" t="str">
            <v>2024/026-0070-01</v>
          </cell>
          <cell r="Q393" t="str">
            <v>EST MODULO PUFF HIMALAYA (CON) TC CRAFTED GLAZE</v>
          </cell>
          <cell r="R393">
            <v>4.78</v>
          </cell>
          <cell r="S393">
            <v>1.9</v>
          </cell>
          <cell r="T393">
            <v>1.05</v>
          </cell>
          <cell r="U393">
            <v>1.05</v>
          </cell>
          <cell r="V393">
            <v>0.42</v>
          </cell>
          <cell r="W393">
            <v>0</v>
          </cell>
          <cell r="X393" t="str">
            <v>EST MODULO PUFF HIMALAYA (CON) TC CRAFTED GLAZE - 1,05x1,05x0,42H</v>
          </cell>
          <cell r="Y393">
            <v>71288.620899999994</v>
          </cell>
          <cell r="Z393">
            <v>0.35</v>
          </cell>
          <cell r="AA393">
            <v>46337.603584999997</v>
          </cell>
          <cell r="AB393" t="str">
            <v>IU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379663</v>
          </cell>
          <cell r="P394" t="str">
            <v>2024/099-0033-01</v>
          </cell>
          <cell r="Q394" t="str">
            <v>EST MODULO CHAISE B/DIR NEW ARAGON (B20) (MTZ CAPU) TC B2271</v>
          </cell>
          <cell r="R394">
            <v>3.4</v>
          </cell>
          <cell r="S394">
            <v>1.6</v>
          </cell>
          <cell r="T394">
            <v>1.2</v>
          </cell>
          <cell r="U394">
            <v>1.6</v>
          </cell>
          <cell r="V394">
            <v>0.92</v>
          </cell>
          <cell r="W394">
            <v>0</v>
          </cell>
          <cell r="X394" t="str">
            <v>EST MODULO CHAISE B/DIR NEW ARAGON (B20) (MTZ CAPU) TC B2271 - 1,2x1,6x0,92H</v>
          </cell>
          <cell r="Y394">
            <v>65107.08</v>
          </cell>
          <cell r="Z394">
            <v>0.35</v>
          </cell>
          <cell r="AA394">
            <v>42319.601999999999</v>
          </cell>
          <cell r="AB394" t="str">
            <v>IV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379681</v>
          </cell>
          <cell r="P395" t="str">
            <v>2024/099-0034-01</v>
          </cell>
          <cell r="Q395" t="str">
            <v>EST MODULO PUFF C/AP NEW ARAGON (WALNUT/CAPU) TC B2271</v>
          </cell>
          <cell r="R395">
            <v>3.4</v>
          </cell>
          <cell r="S395">
            <v>1.6</v>
          </cell>
          <cell r="T395">
            <v>1.25</v>
          </cell>
          <cell r="U395">
            <v>1.25</v>
          </cell>
          <cell r="V395">
            <v>0.45</v>
          </cell>
          <cell r="W395">
            <v>0</v>
          </cell>
          <cell r="X395" t="str">
            <v>EST MODULO PUFF C/AP NEW ARAGON (WALNUT/CAPU) TC B2271 - 1,25x1,25x0,45H</v>
          </cell>
          <cell r="Y395">
            <v>65107.08</v>
          </cell>
          <cell r="Z395">
            <v>0.35</v>
          </cell>
          <cell r="AA395">
            <v>42319.601999999999</v>
          </cell>
          <cell r="AB395" t="str">
            <v>IV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379895</v>
          </cell>
          <cell r="P396" t="str">
            <v>2024/099-0035-01</v>
          </cell>
          <cell r="Q396" t="str">
            <v>EST MODULO B/ESQ NEW ARAGON (B20) (MTZ CAPU) TC B2271</v>
          </cell>
          <cell r="R396">
            <v>3.4</v>
          </cell>
          <cell r="S396">
            <v>1.6</v>
          </cell>
          <cell r="T396">
            <v>1.2</v>
          </cell>
          <cell r="U396">
            <v>1</v>
          </cell>
          <cell r="V396">
            <v>0.92</v>
          </cell>
          <cell r="W396">
            <v>0</v>
          </cell>
          <cell r="X396" t="str">
            <v>EST MODULO B/ESQ NEW ARAGON (B20) (MTZ CAPU) TC B2271 - 1,2x1x0,92H</v>
          </cell>
          <cell r="Y396">
            <v>65107.08</v>
          </cell>
          <cell r="Z396">
            <v>0.35</v>
          </cell>
          <cell r="AA396">
            <v>42319.601999999999</v>
          </cell>
          <cell r="AB396" t="str">
            <v>IV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379896</v>
          </cell>
          <cell r="P397" t="str">
            <v>2024/099-0036-01</v>
          </cell>
          <cell r="Q397" t="str">
            <v>EST MODULO S/BRACO NEW ARAGON (MTZ CAPU) TC B2271</v>
          </cell>
          <cell r="R397">
            <v>3.4</v>
          </cell>
          <cell r="S397">
            <v>1.6</v>
          </cell>
          <cell r="T397">
            <v>1</v>
          </cell>
          <cell r="U397">
            <v>1</v>
          </cell>
          <cell r="V397">
            <v>0.92</v>
          </cell>
          <cell r="W397">
            <v>0</v>
          </cell>
          <cell r="X397" t="str">
            <v>EST MODULO S/BRACO NEW ARAGON (MTZ CAPU) TC B2271 - 1x1x0,92H</v>
          </cell>
          <cell r="Y397">
            <v>65107.08</v>
          </cell>
          <cell r="Z397">
            <v>0.35</v>
          </cell>
          <cell r="AA397">
            <v>42319.601999999999</v>
          </cell>
          <cell r="AB397" t="str">
            <v>IV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H398">
            <v>1</v>
          </cell>
          <cell r="O398">
            <v>379925</v>
          </cell>
          <cell r="P398" t="str">
            <v>2024/095-0015-01</v>
          </cell>
          <cell r="Q398" t="str">
            <v>EST MODULO CHAISE BRACO DIR SONETTO (D4139)</v>
          </cell>
          <cell r="R398">
            <v>3.1</v>
          </cell>
          <cell r="S398">
            <v>1.75</v>
          </cell>
          <cell r="T398">
            <v>1.55</v>
          </cell>
          <cell r="U398">
            <v>1.75</v>
          </cell>
          <cell r="V398">
            <v>0.8</v>
          </cell>
          <cell r="W398">
            <v>0</v>
          </cell>
          <cell r="X398" t="str">
            <v>EST MODULO CHAISE BRACO DIR SONETTO (D4139) - 1,55x1,75x0,8H</v>
          </cell>
          <cell r="Y398">
            <v>63418.7</v>
          </cell>
          <cell r="Z398">
            <v>0.5</v>
          </cell>
          <cell r="AA398">
            <v>31709.35</v>
          </cell>
          <cell r="AB398" t="str">
            <v>IW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H399">
            <v>1</v>
          </cell>
          <cell r="O399">
            <v>379927</v>
          </cell>
          <cell r="P399" t="str">
            <v>2024/095-0016-01</v>
          </cell>
          <cell r="Q399" t="str">
            <v>EST MODULO CHAISE BRACO ESQ SONETTO (D4139)</v>
          </cell>
          <cell r="R399">
            <v>3.1</v>
          </cell>
          <cell r="S399">
            <v>1.75</v>
          </cell>
          <cell r="T399">
            <v>1.55</v>
          </cell>
          <cell r="U399">
            <v>1.75</v>
          </cell>
          <cell r="V399">
            <v>0.8</v>
          </cell>
          <cell r="W399">
            <v>0</v>
          </cell>
          <cell r="X399" t="str">
            <v>EST MODULO CHAISE BRACO ESQ SONETTO (D4139) - 1,55x1,75x0,8H</v>
          </cell>
          <cell r="Y399">
            <v>63418.7</v>
          </cell>
          <cell r="Z399">
            <v>0.5</v>
          </cell>
          <cell r="AA399">
            <v>31709.35</v>
          </cell>
          <cell r="AB399" t="str">
            <v>IW</v>
          </cell>
        </row>
        <row r="400">
          <cell r="C400">
            <v>0</v>
          </cell>
          <cell r="D400">
            <v>0</v>
          </cell>
          <cell r="E400">
            <v>1</v>
          </cell>
          <cell r="F400">
            <v>0</v>
          </cell>
          <cell r="H400">
            <v>0</v>
          </cell>
          <cell r="O400">
            <v>379983</v>
          </cell>
          <cell r="P400" t="str">
            <v>2024/113-0046-01</v>
          </cell>
          <cell r="Q400" t="str">
            <v>EST MODULO BRACO ESQ LAGO (TC E5139)</v>
          </cell>
          <cell r="R400">
            <v>3</v>
          </cell>
          <cell r="S400">
            <v>1.2</v>
          </cell>
          <cell r="T400">
            <v>1.5</v>
          </cell>
          <cell r="U400">
            <v>1.2</v>
          </cell>
          <cell r="V400">
            <v>0.85</v>
          </cell>
          <cell r="W400">
            <v>0</v>
          </cell>
          <cell r="X400" t="str">
            <v>EST MODULO BRACO ESQ LAGO (TC E5139) - 1,5x1,2x0,85H</v>
          </cell>
          <cell r="Y400">
            <v>46778.21</v>
          </cell>
          <cell r="Z400">
            <v>0.35</v>
          </cell>
          <cell r="AA400">
            <v>30405.836500000001</v>
          </cell>
          <cell r="AB400" t="str">
            <v>IX</v>
          </cell>
        </row>
        <row r="401">
          <cell r="C401">
            <v>0</v>
          </cell>
          <cell r="D401">
            <v>0</v>
          </cell>
          <cell r="E401">
            <v>1</v>
          </cell>
          <cell r="F401">
            <v>0</v>
          </cell>
          <cell r="H401">
            <v>0</v>
          </cell>
          <cell r="O401">
            <v>379984</v>
          </cell>
          <cell r="P401" t="str">
            <v>2024/113-0047-01</v>
          </cell>
          <cell r="Q401" t="str">
            <v>EST MODULO BRACO DIR LAGO (E5139)</v>
          </cell>
          <cell r="R401">
            <v>3</v>
          </cell>
          <cell r="S401">
            <v>1.2</v>
          </cell>
          <cell r="T401">
            <v>1.5</v>
          </cell>
          <cell r="U401">
            <v>1.2</v>
          </cell>
          <cell r="V401">
            <v>0.85</v>
          </cell>
          <cell r="W401">
            <v>0</v>
          </cell>
          <cell r="X401" t="str">
            <v>EST MODULO BRACO DIR LAGO (E5139) - 1,5x1,2x0,85H</v>
          </cell>
          <cell r="Y401">
            <v>46778.21</v>
          </cell>
          <cell r="Z401">
            <v>0.35</v>
          </cell>
          <cell r="AA401">
            <v>30405.836500000001</v>
          </cell>
          <cell r="AB401" t="str">
            <v>IX</v>
          </cell>
        </row>
        <row r="402">
          <cell r="C402">
            <v>0</v>
          </cell>
          <cell r="D402">
            <v>0</v>
          </cell>
          <cell r="E402">
            <v>1</v>
          </cell>
          <cell r="F402">
            <v>0</v>
          </cell>
          <cell r="H402">
            <v>0</v>
          </cell>
          <cell r="O402">
            <v>379985</v>
          </cell>
          <cell r="P402" t="str">
            <v>2024/113-0048-01</v>
          </cell>
          <cell r="Q402" t="str">
            <v>EST KIT MOTORIZADO TOUCH (ABERTURA 40) (2 ASSENTOS)</v>
          </cell>
          <cell r="R402">
            <v>3</v>
          </cell>
          <cell r="S402">
            <v>1.2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 t="str">
            <v>EST KIT MOTORIZADO TOUCH (ABERTURA 40) (2 ASSENTOS) - Ø0x0H</v>
          </cell>
          <cell r="Y402">
            <v>46778.21</v>
          </cell>
          <cell r="Z402">
            <v>0.35</v>
          </cell>
          <cell r="AA402">
            <v>30405.836500000001</v>
          </cell>
          <cell r="AB402" t="str">
            <v>IX</v>
          </cell>
        </row>
        <row r="403">
          <cell r="C403">
            <v>0</v>
          </cell>
          <cell r="D403">
            <v>1</v>
          </cell>
          <cell r="E403">
            <v>0</v>
          </cell>
          <cell r="F403">
            <v>0</v>
          </cell>
          <cell r="H403">
            <v>0</v>
          </cell>
          <cell r="O403">
            <v>379929</v>
          </cell>
          <cell r="P403" t="str">
            <v>2024/116-0009-01</v>
          </cell>
          <cell r="Q403" t="str">
            <v>EST MODULO BRACO ESQ LAGO (TC D4119)</v>
          </cell>
          <cell r="R403">
            <v>2.6</v>
          </cell>
          <cell r="S403">
            <v>1.2</v>
          </cell>
          <cell r="T403">
            <v>1.3</v>
          </cell>
          <cell r="U403">
            <v>1.2</v>
          </cell>
          <cell r="V403">
            <v>0.85</v>
          </cell>
          <cell r="W403">
            <v>0</v>
          </cell>
          <cell r="X403" t="str">
            <v>EST MODULO BRACO ESQ LAGO (TC D4119) - 1,3x1,2x0,85H</v>
          </cell>
          <cell r="Y403">
            <v>42437.590000000004</v>
          </cell>
          <cell r="Z403">
            <v>0.35</v>
          </cell>
          <cell r="AA403">
            <v>27584.433500000003</v>
          </cell>
          <cell r="AB403" t="str">
            <v>IY</v>
          </cell>
        </row>
        <row r="404">
          <cell r="C404">
            <v>0</v>
          </cell>
          <cell r="D404">
            <v>1</v>
          </cell>
          <cell r="E404">
            <v>0</v>
          </cell>
          <cell r="F404">
            <v>0</v>
          </cell>
          <cell r="H404">
            <v>0</v>
          </cell>
          <cell r="O404">
            <v>379930</v>
          </cell>
          <cell r="P404" t="str">
            <v>2024/116-0010-01</v>
          </cell>
          <cell r="Q404" t="str">
            <v>EST MODULO S/BRACO LAGO (TC D4119)</v>
          </cell>
          <cell r="R404">
            <v>2.6</v>
          </cell>
          <cell r="S404">
            <v>1.2</v>
          </cell>
          <cell r="T404">
            <v>1</v>
          </cell>
          <cell r="U404">
            <v>1.2</v>
          </cell>
          <cell r="V404">
            <v>0.85</v>
          </cell>
          <cell r="W404">
            <v>0</v>
          </cell>
          <cell r="X404" t="str">
            <v>EST MODULO S/BRACO LAGO (TC D4119) - 1x1,2x0,85H</v>
          </cell>
          <cell r="Y404">
            <v>42437.590000000004</v>
          </cell>
          <cell r="Z404">
            <v>0.35</v>
          </cell>
          <cell r="AA404">
            <v>27584.433500000003</v>
          </cell>
          <cell r="AB404" t="str">
            <v>IY</v>
          </cell>
        </row>
        <row r="405">
          <cell r="C405">
            <v>0</v>
          </cell>
          <cell r="D405">
            <v>1</v>
          </cell>
          <cell r="E405">
            <v>0</v>
          </cell>
          <cell r="F405">
            <v>0</v>
          </cell>
          <cell r="H405">
            <v>0</v>
          </cell>
          <cell r="O405">
            <v>379982</v>
          </cell>
          <cell r="P405" t="str">
            <v>2024/116-0011-01</v>
          </cell>
          <cell r="Q405" t="str">
            <v>EST MODULO BRACO DIR LAGO (TC D4119)</v>
          </cell>
          <cell r="R405">
            <v>2.6</v>
          </cell>
          <cell r="S405">
            <v>1.2</v>
          </cell>
          <cell r="T405">
            <v>1.3</v>
          </cell>
          <cell r="U405">
            <v>1.2</v>
          </cell>
          <cell r="V405">
            <v>0.85</v>
          </cell>
          <cell r="W405">
            <v>0</v>
          </cell>
          <cell r="X405" t="str">
            <v>EST MODULO BRACO DIR LAGO (TC D4119) - 1,3x1,2x0,85H</v>
          </cell>
          <cell r="Y405">
            <v>42437.590000000004</v>
          </cell>
          <cell r="Z405">
            <v>0.35</v>
          </cell>
          <cell r="AA405">
            <v>27584.433500000003</v>
          </cell>
          <cell r="AB405" t="str">
            <v>IY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H406">
            <v>1</v>
          </cell>
          <cell r="O406">
            <v>379917</v>
          </cell>
          <cell r="P406" t="str">
            <v>2024/095-0011-01</v>
          </cell>
          <cell r="Q406" t="str">
            <v>EST MODULO S/BRACO SONETTO SMALL (D4236)</v>
          </cell>
          <cell r="R406">
            <v>3.8000000000000003</v>
          </cell>
          <cell r="S406">
            <v>1.55</v>
          </cell>
          <cell r="T406">
            <v>1.1000000000000001</v>
          </cell>
          <cell r="U406">
            <v>1.1499999999999999</v>
          </cell>
          <cell r="V406">
            <v>0.8</v>
          </cell>
          <cell r="W406">
            <v>0</v>
          </cell>
          <cell r="X406" t="str">
            <v>EST MODULO S/BRACO SONETTO SMALL (D4236) - 1,1x1,15x0,8H</v>
          </cell>
          <cell r="Y406">
            <v>69265.460000000006</v>
          </cell>
          <cell r="Z406">
            <v>0.35</v>
          </cell>
          <cell r="AA406">
            <v>45022.549000000006</v>
          </cell>
          <cell r="AB406" t="str">
            <v>JÁ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H407">
            <v>1</v>
          </cell>
          <cell r="O407">
            <v>379920</v>
          </cell>
          <cell r="P407" t="str">
            <v>2024/095-0012-01</v>
          </cell>
          <cell r="Q407" t="str">
            <v>EST MODULO BRACO ESQ SONETTO SMALL (D4236)</v>
          </cell>
          <cell r="R407">
            <v>3.8000000000000003</v>
          </cell>
          <cell r="S407">
            <v>1.55</v>
          </cell>
          <cell r="T407">
            <v>1.35</v>
          </cell>
          <cell r="U407">
            <v>1.1499999999999999</v>
          </cell>
          <cell r="V407">
            <v>0.8</v>
          </cell>
          <cell r="W407">
            <v>0</v>
          </cell>
          <cell r="X407" t="str">
            <v>EST MODULO BRACO ESQ SONETTO SMALL (D4236) - 1,35x1,15x0,8H</v>
          </cell>
          <cell r="Y407">
            <v>69265.460000000006</v>
          </cell>
          <cell r="Z407">
            <v>0.35</v>
          </cell>
          <cell r="AA407">
            <v>45022.549000000006</v>
          </cell>
          <cell r="AB407" t="str">
            <v>JÁ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H408">
            <v>1</v>
          </cell>
          <cell r="O408">
            <v>379915</v>
          </cell>
          <cell r="P408" t="str">
            <v>2024/095-0010-01</v>
          </cell>
          <cell r="Q408" t="str">
            <v>EST MODULO CHAISE BRACO DIREITO SONETTO SMALL (D4236)</v>
          </cell>
          <cell r="R408">
            <v>3.8000000000000003</v>
          </cell>
          <cell r="S408">
            <v>1.55</v>
          </cell>
          <cell r="T408">
            <v>1.35</v>
          </cell>
          <cell r="U408">
            <v>1.55</v>
          </cell>
          <cell r="V408">
            <v>0.8</v>
          </cell>
          <cell r="W408">
            <v>0</v>
          </cell>
          <cell r="X408" t="str">
            <v>EST MODULO CHAISE BRACO DIREITO SONETTO SMALL (D4236) - 1,35x1,55x0,8H</v>
          </cell>
          <cell r="Y408">
            <v>69265.460000000006</v>
          </cell>
          <cell r="Z408">
            <v>0.35</v>
          </cell>
          <cell r="AA408">
            <v>45022.549000000006</v>
          </cell>
          <cell r="AB408" t="str">
            <v>JÁ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H409">
            <v>1</v>
          </cell>
          <cell r="O409">
            <v>379922</v>
          </cell>
          <cell r="P409" t="str">
            <v>2024/095-0013-01</v>
          </cell>
          <cell r="Q409" t="str">
            <v>EST MODULO CHAISE BRACO ESQ SONETTO (G7138)</v>
          </cell>
          <cell r="R409">
            <v>3.85</v>
          </cell>
          <cell r="S409">
            <v>1.75</v>
          </cell>
          <cell r="T409">
            <v>1.75</v>
          </cell>
          <cell r="U409">
            <v>1.75</v>
          </cell>
          <cell r="V409">
            <v>0.8</v>
          </cell>
          <cell r="W409">
            <v>0</v>
          </cell>
          <cell r="X409" t="str">
            <v>EST MODULO CHAISE BRACO ESQ SONETTO (G7138) - 1,75x1,75x0,8H</v>
          </cell>
          <cell r="Y409">
            <v>76597.600000000006</v>
          </cell>
          <cell r="Z409">
            <v>0.35</v>
          </cell>
          <cell r="AA409">
            <v>49788.44</v>
          </cell>
          <cell r="AB409" t="str">
            <v>JB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H410">
            <v>1</v>
          </cell>
          <cell r="O410">
            <v>379923</v>
          </cell>
          <cell r="P410" t="str">
            <v>2024/095-0014-01</v>
          </cell>
          <cell r="Q410" t="str">
            <v>EST MODULO S/BRACO C/AVANCO DIR SONETTO (G7138)</v>
          </cell>
          <cell r="R410">
            <v>3.85</v>
          </cell>
          <cell r="S410">
            <v>1.75</v>
          </cell>
          <cell r="T410">
            <v>2.1</v>
          </cell>
          <cell r="U410">
            <v>1.35</v>
          </cell>
          <cell r="V410">
            <v>0.8</v>
          </cell>
          <cell r="W410">
            <v>0</v>
          </cell>
          <cell r="X410" t="str">
            <v>EST MODULO S/BRACO C/AVANCO DIR SONETTO (G7138) - 2,1x1,35x0,8H</v>
          </cell>
          <cell r="Y410">
            <v>76597.600000000006</v>
          </cell>
          <cell r="Z410">
            <v>0.35</v>
          </cell>
          <cell r="AA410">
            <v>49788.44</v>
          </cell>
          <cell r="AB410" t="str">
            <v>JB</v>
          </cell>
        </row>
        <row r="411">
          <cell r="C411">
            <v>0</v>
          </cell>
          <cell r="D411">
            <v>0</v>
          </cell>
          <cell r="E411">
            <v>1</v>
          </cell>
          <cell r="F411">
            <v>0</v>
          </cell>
          <cell r="H411">
            <v>0</v>
          </cell>
          <cell r="O411">
            <v>379654</v>
          </cell>
          <cell r="P411" t="str">
            <v>2024/099-0028-01</v>
          </cell>
          <cell r="Q411" t="str">
            <v>EST MODULO B/ESQ NEW ARAGON (1AS) (B10) (MTX PT) TC D4237</v>
          </cell>
          <cell r="R411">
            <v>4.2</v>
          </cell>
          <cell r="S411">
            <v>2.6</v>
          </cell>
          <cell r="T411">
            <v>1.1000000000000001</v>
          </cell>
          <cell r="U411">
            <v>1</v>
          </cell>
          <cell r="V411">
            <v>0.92</v>
          </cell>
          <cell r="W411">
            <v>0</v>
          </cell>
          <cell r="X411" t="str">
            <v>EST MODULO B/ESQ NEW ARAGON (1AS) (B10) (MTX PT) TC D4237 - 1,1x1x0,92H</v>
          </cell>
          <cell r="Y411">
            <v>62874.2</v>
          </cell>
          <cell r="Z411">
            <v>0.35</v>
          </cell>
          <cell r="AA411">
            <v>40868.229999999996</v>
          </cell>
          <cell r="AB411" t="str">
            <v>JC</v>
          </cell>
        </row>
        <row r="412">
          <cell r="C412">
            <v>0</v>
          </cell>
          <cell r="D412">
            <v>0</v>
          </cell>
          <cell r="E412">
            <v>1</v>
          </cell>
          <cell r="F412">
            <v>0</v>
          </cell>
          <cell r="H412">
            <v>0</v>
          </cell>
          <cell r="O412">
            <v>379655</v>
          </cell>
          <cell r="P412" t="str">
            <v>2024/099-0029-01</v>
          </cell>
          <cell r="Q412" t="str">
            <v>EST MODULO S/BRACO CURVO NEW ARAGON (MTX PT) TC D4237</v>
          </cell>
          <cell r="R412">
            <v>4.2</v>
          </cell>
          <cell r="S412">
            <v>2.6</v>
          </cell>
          <cell r="T412">
            <v>2.1</v>
          </cell>
          <cell r="U412">
            <v>1.4</v>
          </cell>
          <cell r="V412">
            <v>0.92</v>
          </cell>
          <cell r="W412">
            <v>0</v>
          </cell>
          <cell r="X412" t="str">
            <v>EST MODULO S/BRACO CURVO NEW ARAGON (MTX PT) TC D4237 - 2,1x1,4x0,92H</v>
          </cell>
          <cell r="Y412">
            <v>62874.2</v>
          </cell>
          <cell r="Z412">
            <v>0.35</v>
          </cell>
          <cell r="AA412">
            <v>40868.229999999996</v>
          </cell>
          <cell r="AB412" t="str">
            <v>JC</v>
          </cell>
        </row>
        <row r="413">
          <cell r="C413">
            <v>0</v>
          </cell>
          <cell r="D413">
            <v>0</v>
          </cell>
          <cell r="E413">
            <v>1</v>
          </cell>
          <cell r="F413">
            <v>0</v>
          </cell>
          <cell r="H413">
            <v>0</v>
          </cell>
          <cell r="O413">
            <v>379656</v>
          </cell>
          <cell r="P413" t="str">
            <v>2024/099-0030-01</v>
          </cell>
          <cell r="Q413" t="str">
            <v>EST MODULO CHAISE B/DIR NEW ARAGON (B30) (MTX PT) TC D4237</v>
          </cell>
          <cell r="R413">
            <v>4.2</v>
          </cell>
          <cell r="S413">
            <v>2.6</v>
          </cell>
          <cell r="T413">
            <v>1.2</v>
          </cell>
          <cell r="U413">
            <v>1.6</v>
          </cell>
          <cell r="V413">
            <v>0.92</v>
          </cell>
          <cell r="W413">
            <v>0</v>
          </cell>
          <cell r="X413" t="str">
            <v>EST MODULO CHAISE B/DIR NEW ARAGON (B30) (MTX PT) TC D4237 - 1,2x1,6x0,92H</v>
          </cell>
          <cell r="Y413">
            <v>62874.2</v>
          </cell>
          <cell r="Z413">
            <v>0.35</v>
          </cell>
          <cell r="AA413">
            <v>40868.229999999996</v>
          </cell>
          <cell r="AB413" t="str">
            <v>JC</v>
          </cell>
        </row>
        <row r="414">
          <cell r="C414">
            <v>0</v>
          </cell>
          <cell r="D414">
            <v>0</v>
          </cell>
          <cell r="E414">
            <v>1</v>
          </cell>
          <cell r="F414">
            <v>0</v>
          </cell>
          <cell r="H414">
            <v>0</v>
          </cell>
          <cell r="O414">
            <v>379657</v>
          </cell>
          <cell r="P414" t="str">
            <v>2024/099-0031-01</v>
          </cell>
          <cell r="Q414" t="str">
            <v>EST APOIO DE CABECA NEW ARAGON (MTX PT) TC D4237</v>
          </cell>
          <cell r="R414">
            <v>4.2</v>
          </cell>
          <cell r="S414">
            <v>2.6</v>
          </cell>
          <cell r="T414">
            <v>0.65</v>
          </cell>
          <cell r="U414">
            <v>0.12</v>
          </cell>
          <cell r="V414">
            <v>0.75</v>
          </cell>
          <cell r="W414">
            <v>0</v>
          </cell>
          <cell r="X414" t="str">
            <v>EST APOIO DE CABECA NEW ARAGON (MTX PT) TC D4237 - 0,65x0,12x0,75H</v>
          </cell>
          <cell r="Y414">
            <v>62874.2</v>
          </cell>
          <cell r="Z414">
            <v>0.35</v>
          </cell>
          <cell r="AA414">
            <v>40868.229999999996</v>
          </cell>
          <cell r="AB414" t="str">
            <v>JC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1</v>
          </cell>
          <cell r="H415">
            <v>0</v>
          </cell>
          <cell r="O415">
            <v>379992</v>
          </cell>
          <cell r="P415" t="str">
            <v>2024/123-0026-01</v>
          </cell>
          <cell r="Q415" t="str">
            <v>EST MODULO BRACO ESQ LAGO (E5139)</v>
          </cell>
          <cell r="R415">
            <v>3.6</v>
          </cell>
          <cell r="S415">
            <v>1.2</v>
          </cell>
          <cell r="T415">
            <v>1.3</v>
          </cell>
          <cell r="U415">
            <v>1.2</v>
          </cell>
          <cell r="V415">
            <v>0.85</v>
          </cell>
          <cell r="W415">
            <v>0</v>
          </cell>
          <cell r="X415" t="str">
            <v>EST MODULO BRACO ESQ LAGO (E5139) - 1,3x1,2x0,85H</v>
          </cell>
          <cell r="Y415">
            <v>62068.07</v>
          </cell>
          <cell r="Z415">
            <v>0.35</v>
          </cell>
          <cell r="AA415">
            <v>40344.245500000005</v>
          </cell>
          <cell r="AB415" t="str">
            <v>JD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1</v>
          </cell>
          <cell r="H416">
            <v>0</v>
          </cell>
          <cell r="O416">
            <v>379993</v>
          </cell>
          <cell r="P416" t="str">
            <v>2024/123-0027-01</v>
          </cell>
          <cell r="Q416" t="str">
            <v>EST MODULO S/BRACO LAGO (E5139)</v>
          </cell>
          <cell r="R416">
            <v>3.6</v>
          </cell>
          <cell r="S416">
            <v>1.2</v>
          </cell>
          <cell r="T416">
            <v>1</v>
          </cell>
          <cell r="U416">
            <v>1.2</v>
          </cell>
          <cell r="V416">
            <v>0.85</v>
          </cell>
          <cell r="W416">
            <v>0</v>
          </cell>
          <cell r="X416" t="str">
            <v>EST MODULO S/BRACO LAGO (E5139) - 1x1,2x0,85H</v>
          </cell>
          <cell r="Y416">
            <v>62068.07</v>
          </cell>
          <cell r="Z416">
            <v>0.35</v>
          </cell>
          <cell r="AA416">
            <v>40344.245500000005</v>
          </cell>
          <cell r="AB416" t="str">
            <v>JD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1</v>
          </cell>
          <cell r="H417">
            <v>0</v>
          </cell>
          <cell r="O417">
            <v>379994</v>
          </cell>
          <cell r="P417" t="str">
            <v>2024/123-0028-01</v>
          </cell>
          <cell r="Q417" t="str">
            <v>EST MODULO BRACO DIREITO LAGO (E5139)</v>
          </cell>
          <cell r="R417">
            <v>3.6</v>
          </cell>
          <cell r="S417">
            <v>1.2</v>
          </cell>
          <cell r="T417">
            <v>1.3</v>
          </cell>
          <cell r="U417">
            <v>1.2</v>
          </cell>
          <cell r="V417">
            <v>0.85</v>
          </cell>
          <cell r="W417">
            <v>0</v>
          </cell>
          <cell r="X417" t="str">
            <v>EST MODULO BRACO DIREITO LAGO (E5139) - 1,3x1,2x0,85H</v>
          </cell>
          <cell r="Y417">
            <v>62068.07</v>
          </cell>
          <cell r="Z417">
            <v>0.35</v>
          </cell>
          <cell r="AA417">
            <v>40344.245500000005</v>
          </cell>
          <cell r="AB417" t="str">
            <v>JD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1</v>
          </cell>
          <cell r="H418">
            <v>0</v>
          </cell>
          <cell r="O418">
            <v>379995</v>
          </cell>
          <cell r="P418" t="str">
            <v>2024/123-0029-01</v>
          </cell>
          <cell r="Q418" t="str">
            <v>EST KIT MOTORIZADO TOUCH (ABERTURA 40) (3 ASSENTOS)</v>
          </cell>
          <cell r="R418">
            <v>3.6</v>
          </cell>
          <cell r="S418">
            <v>1.2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 t="str">
            <v>EST KIT MOTORIZADO TOUCH (ABERTURA 40) (3 ASSENTOS) - Ø0x0H</v>
          </cell>
          <cell r="Y418">
            <v>62068.07</v>
          </cell>
          <cell r="Z418">
            <v>0.35</v>
          </cell>
          <cell r="AA418">
            <v>40344.245500000005</v>
          </cell>
          <cell r="AB418" t="str">
            <v>JD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H419">
            <v>1</v>
          </cell>
          <cell r="O419">
            <v>379986</v>
          </cell>
          <cell r="P419" t="str">
            <v>2024/123-0023-01</v>
          </cell>
          <cell r="Q419" t="str">
            <v>EST MODULO CHAISE BRACO ESQ LAGO (D4116)</v>
          </cell>
          <cell r="R419">
            <v>3.6</v>
          </cell>
          <cell r="S419">
            <v>1.6</v>
          </cell>
          <cell r="T419">
            <v>1.3</v>
          </cell>
          <cell r="U419">
            <v>1.6</v>
          </cell>
          <cell r="V419">
            <v>0.85</v>
          </cell>
          <cell r="W419">
            <v>0</v>
          </cell>
          <cell r="X419" t="str">
            <v>EST MODULO CHAISE BRACO ESQ LAGO (D4116) - 1,3x1,6x0,85H</v>
          </cell>
          <cell r="Y419">
            <v>42437.590000000004</v>
          </cell>
          <cell r="Z419">
            <v>0.35</v>
          </cell>
          <cell r="AA419">
            <v>27584.433500000003</v>
          </cell>
          <cell r="AB419" t="str">
            <v>JE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H420">
            <v>1</v>
          </cell>
          <cell r="O420">
            <v>379989</v>
          </cell>
          <cell r="P420" t="str">
            <v>2024/123-0024-01</v>
          </cell>
          <cell r="Q420" t="str">
            <v>EST MODULO S/BRACO LAGO (D4116)</v>
          </cell>
          <cell r="R420">
            <v>3.6</v>
          </cell>
          <cell r="S420">
            <v>1.6</v>
          </cell>
          <cell r="T420">
            <v>1</v>
          </cell>
          <cell r="U420">
            <v>1.2</v>
          </cell>
          <cell r="V420">
            <v>0.85</v>
          </cell>
          <cell r="W420">
            <v>0</v>
          </cell>
          <cell r="X420" t="str">
            <v>EST MODULO S/BRACO LAGO (D4116) - 1x1,2x0,85H</v>
          </cell>
          <cell r="Y420">
            <v>42437.590000000004</v>
          </cell>
          <cell r="Z420">
            <v>0.35</v>
          </cell>
          <cell r="AA420">
            <v>27584.433500000003</v>
          </cell>
          <cell r="AB420" t="str">
            <v>JE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H421">
            <v>1</v>
          </cell>
          <cell r="O421">
            <v>379991</v>
          </cell>
          <cell r="P421" t="str">
            <v>2024/123-0025-01</v>
          </cell>
          <cell r="Q421" t="str">
            <v>EST MODULO BRACO DIR LAGO (D4116)</v>
          </cell>
          <cell r="R421">
            <v>3.6</v>
          </cell>
          <cell r="S421">
            <v>1.6</v>
          </cell>
          <cell r="T421">
            <v>1.3</v>
          </cell>
          <cell r="U421">
            <v>1.2</v>
          </cell>
          <cell r="V421">
            <v>0.85</v>
          </cell>
          <cell r="W421">
            <v>0</v>
          </cell>
          <cell r="X421" t="str">
            <v>EST MODULO BRACO DIR LAGO (D4116) - 1,3x1,2x0,85H</v>
          </cell>
          <cell r="Y421">
            <v>42437.590000000004</v>
          </cell>
          <cell r="Z421">
            <v>0.35</v>
          </cell>
          <cell r="AA421">
            <v>27584.433500000003</v>
          </cell>
          <cell r="AB421" t="str">
            <v>JE</v>
          </cell>
        </row>
        <row r="422">
          <cell r="C422">
            <v>1</v>
          </cell>
          <cell r="D422">
            <v>1</v>
          </cell>
          <cell r="E422">
            <v>0</v>
          </cell>
          <cell r="F422">
            <v>0</v>
          </cell>
          <cell r="H422">
            <v>0</v>
          </cell>
          <cell r="O422">
            <v>223324</v>
          </cell>
          <cell r="P422" t="str">
            <v>2020/308-0003-01</v>
          </cell>
          <cell r="Q422" t="str">
            <v>EST MESA LATERAL DESK (PINTURA PN) (TP REC MARROM)</v>
          </cell>
          <cell r="R422"/>
          <cell r="S422"/>
          <cell r="T422">
            <v>1</v>
          </cell>
          <cell r="U422">
            <v>0.3</v>
          </cell>
          <cell r="V422">
            <v>0.55000000000000004</v>
          </cell>
          <cell r="W422">
            <v>0</v>
          </cell>
          <cell r="X422" t="str">
            <v>EST MESA LATERAL DESK (PINTURA PN) (TP REC MARROM) - 1x0,3x0,55H</v>
          </cell>
          <cell r="Y422">
            <v>7693.15</v>
          </cell>
          <cell r="Z422">
            <v>0.35</v>
          </cell>
          <cell r="AA422">
            <v>5000.5475000000006</v>
          </cell>
          <cell r="AB422"/>
        </row>
        <row r="423">
          <cell r="C423">
            <v>1</v>
          </cell>
          <cell r="D423">
            <v>0</v>
          </cell>
          <cell r="E423">
            <v>0</v>
          </cell>
          <cell r="F423">
            <v>1</v>
          </cell>
          <cell r="H423">
            <v>0</v>
          </cell>
          <cell r="O423">
            <v>378451</v>
          </cell>
          <cell r="P423" t="str">
            <v>2024/075-0024-01</v>
          </cell>
          <cell r="Q423" t="str">
            <v>EST MESA LATERAL HIMALAYA (CLAS) (TP MARM NUVOLA) (WALNUT)</v>
          </cell>
          <cell r="R423"/>
          <cell r="S423"/>
          <cell r="T423">
            <v>0.7</v>
          </cell>
          <cell r="U423">
            <v>0</v>
          </cell>
          <cell r="V423">
            <v>0.55000000000000004</v>
          </cell>
          <cell r="W423">
            <v>0.7</v>
          </cell>
          <cell r="X423" t="str">
            <v>EST MESA LATERAL HIMALAYA (CLAS) (TP MARM NUVOLA) (WALNUT) - Ø0,7x0,55H</v>
          </cell>
          <cell r="Y423">
            <v>20091.23</v>
          </cell>
          <cell r="Z423">
            <v>0.35</v>
          </cell>
          <cell r="AA423">
            <v>13059.299500000001</v>
          </cell>
          <cell r="AB423"/>
        </row>
        <row r="424">
          <cell r="C424">
            <v>1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378472</v>
          </cell>
          <cell r="P424" t="str">
            <v>2024/081-0003-01</v>
          </cell>
          <cell r="Q424" t="str">
            <v>EST MESA LATERAL HIMALAYA (CLAS) (VD COMUM MTZ STR) (WALNUT)</v>
          </cell>
          <cell r="R424"/>
          <cell r="S424"/>
          <cell r="T424">
            <v>0.5</v>
          </cell>
          <cell r="U424">
            <v>0</v>
          </cell>
          <cell r="V424">
            <v>0.45</v>
          </cell>
          <cell r="W424">
            <v>0.5</v>
          </cell>
          <cell r="X424" t="str">
            <v>EST MESA LATERAL HIMALAYA (CLAS) (VD COMUM MTZ STR) (WALNUT) - Ø0,5x0,45H</v>
          </cell>
          <cell r="Y424">
            <v>9626.85</v>
          </cell>
          <cell r="Z424">
            <v>0.35</v>
          </cell>
          <cell r="AA424">
            <v>6257.4525000000003</v>
          </cell>
          <cell r="AB424"/>
        </row>
        <row r="425">
          <cell r="C425">
            <v>1</v>
          </cell>
          <cell r="D425">
            <v>0</v>
          </cell>
          <cell r="E425">
            <v>1</v>
          </cell>
          <cell r="F425">
            <v>0</v>
          </cell>
          <cell r="H425">
            <v>0</v>
          </cell>
          <cell r="O425">
            <v>324009</v>
          </cell>
          <cell r="P425" t="str">
            <v>2022/090-0043-01</v>
          </cell>
          <cell r="Q425" t="str">
            <v>EST TAPETE TROPICAL (LISO) (1 COR) (10MM) F:5056</v>
          </cell>
          <cell r="R425"/>
          <cell r="S425"/>
          <cell r="T425">
            <v>3.5</v>
          </cell>
          <cell r="U425">
            <v>4.5</v>
          </cell>
          <cell r="V425">
            <v>0.01</v>
          </cell>
          <cell r="W425">
            <v>0</v>
          </cell>
          <cell r="X425" t="str">
            <v>EST TAPETE TROPICAL (LISO) (1 COR) (10MM) F:5056 - 3,5x4,5x0,01H</v>
          </cell>
          <cell r="Y425">
            <v>26671.68</v>
          </cell>
          <cell r="Z425">
            <v>0.35</v>
          </cell>
          <cell r="AA425">
            <v>17336.592000000001</v>
          </cell>
          <cell r="AB425"/>
        </row>
        <row r="426">
          <cell r="C426">
            <v>0</v>
          </cell>
          <cell r="D426">
            <v>0</v>
          </cell>
          <cell r="E426">
            <v>1</v>
          </cell>
          <cell r="F426">
            <v>0</v>
          </cell>
          <cell r="H426">
            <v>0</v>
          </cell>
          <cell r="O426">
            <v>324026</v>
          </cell>
          <cell r="P426" t="str">
            <v>2022/090-0041-01</v>
          </cell>
          <cell r="Q426" t="str">
            <v>EST TAPETE DUNAS (DES) (10MM) F:5018/D:1137/1160/1580/6005</v>
          </cell>
          <cell r="R426"/>
          <cell r="S426"/>
          <cell r="T426">
            <v>3.5</v>
          </cell>
          <cell r="U426">
            <v>4.5</v>
          </cell>
          <cell r="V426">
            <v>0.01</v>
          </cell>
          <cell r="W426">
            <v>0</v>
          </cell>
          <cell r="X426" t="str">
            <v>EST TAPETE DUNAS (DES) (10MM) F:5018/D:1137/1160/1580/6005 - 3,5x4,5x0,01H</v>
          </cell>
          <cell r="Y426">
            <v>40078.079999999994</v>
          </cell>
          <cell r="Z426">
            <v>0.35</v>
          </cell>
          <cell r="AA426">
            <v>26050.751999999997</v>
          </cell>
          <cell r="AB426"/>
        </row>
        <row r="427">
          <cell r="C427">
            <v>0</v>
          </cell>
          <cell r="D427">
            <v>0</v>
          </cell>
          <cell r="E427">
            <v>1</v>
          </cell>
          <cell r="F427">
            <v>0</v>
          </cell>
          <cell r="H427">
            <v>0</v>
          </cell>
          <cell r="O427">
            <v>362426</v>
          </cell>
          <cell r="P427" t="str">
            <v>2023/107-0044-01</v>
          </cell>
          <cell r="Q427" t="str">
            <v>EST CARRINHO BAR ZIMBRO (LAMINA A2 FREIJO NATURAL) CORTEN</v>
          </cell>
          <cell r="R427"/>
          <cell r="S427"/>
          <cell r="T427">
            <v>1.07</v>
          </cell>
          <cell r="U427">
            <v>0.59</v>
          </cell>
          <cell r="V427">
            <v>0.76</v>
          </cell>
          <cell r="W427">
            <v>0</v>
          </cell>
          <cell r="X427" t="str">
            <v>EST CARRINHO BAR ZIMBRO (LAMINA A2 FREIJO NATURAL) CORTEN - 1,07x0,59x0,76H</v>
          </cell>
          <cell r="Y427">
            <v>22046.44</v>
          </cell>
          <cell r="Z427">
            <v>0.35</v>
          </cell>
          <cell r="AA427">
            <v>14330.186</v>
          </cell>
          <cell r="AB427"/>
        </row>
        <row r="428">
          <cell r="C428">
            <v>0</v>
          </cell>
          <cell r="D428">
            <v>1</v>
          </cell>
          <cell r="E428">
            <v>0</v>
          </cell>
          <cell r="F428">
            <v>1</v>
          </cell>
          <cell r="H428">
            <v>3</v>
          </cell>
          <cell r="O428">
            <v>273338</v>
          </cell>
          <cell r="P428" t="str">
            <v>2021/076-0105-01</v>
          </cell>
          <cell r="Q428" t="str">
            <v>EST CADEIRA RAMONA (COURO BOUT LA PAZ PINHAO) PINT PRETA</v>
          </cell>
          <cell r="R428"/>
          <cell r="S428"/>
          <cell r="T428">
            <v>0.5</v>
          </cell>
          <cell r="U428">
            <v>0.56000000000000005</v>
          </cell>
          <cell r="V428">
            <v>0.76</v>
          </cell>
          <cell r="W428">
            <v>0</v>
          </cell>
          <cell r="X428" t="str">
            <v>EST CADEIRA RAMONA (COURO BOUT LA PAZ PINHAO) PINT PRETA - 0,5x0,56x0,76H</v>
          </cell>
          <cell r="Y428">
            <v>10826.37</v>
          </cell>
          <cell r="Z428">
            <v>0.35</v>
          </cell>
          <cell r="AA428">
            <v>7037.1405000000013</v>
          </cell>
          <cell r="AB428"/>
        </row>
        <row r="429">
          <cell r="C429">
            <v>0</v>
          </cell>
          <cell r="D429">
            <v>0</v>
          </cell>
          <cell r="E429">
            <v>0</v>
          </cell>
          <cell r="F429">
            <v>1</v>
          </cell>
          <cell r="H429">
            <v>0</v>
          </cell>
          <cell r="O429">
            <v>378304</v>
          </cell>
          <cell r="P429" t="str">
            <v>2024/050-0009-01</v>
          </cell>
          <cell r="Q429" t="str">
            <v>EST TAPETE TROPICAL (LISO) (1 COR) (10MM) F:1171</v>
          </cell>
          <cell r="R429"/>
          <cell r="S429"/>
          <cell r="T429">
            <v>5.5</v>
          </cell>
          <cell r="U429">
            <v>0.4</v>
          </cell>
          <cell r="V429">
            <v>0.01</v>
          </cell>
          <cell r="W429">
            <v>0</v>
          </cell>
          <cell r="X429" t="str">
            <v>EST TAPETE TROPICAL (LISO) (1 COR) (10MM) F:1171 - 5,5x0,4x0,01H</v>
          </cell>
          <cell r="Y429">
            <v>3725.5680000000002</v>
          </cell>
          <cell r="Z429">
            <v>0.35</v>
          </cell>
          <cell r="AA429">
            <v>2421.6192000000001</v>
          </cell>
          <cell r="AB429"/>
        </row>
        <row r="430">
          <cell r="C430">
            <v>0</v>
          </cell>
          <cell r="D430">
            <v>0</v>
          </cell>
          <cell r="E430">
            <v>0</v>
          </cell>
          <cell r="F430">
            <v>1</v>
          </cell>
          <cell r="H430">
            <v>0</v>
          </cell>
          <cell r="O430">
            <v>378393</v>
          </cell>
          <cell r="P430" t="str">
            <v>2024/050-0010-01</v>
          </cell>
          <cell r="Q430" t="str">
            <v>EST TAPETE TROPICAL (LISO) (1 COR) (10MM) F:1057</v>
          </cell>
          <cell r="R430"/>
          <cell r="S430"/>
          <cell r="T430">
            <v>4</v>
          </cell>
          <cell r="U430">
            <v>1</v>
          </cell>
          <cell r="V430">
            <v>0.01</v>
          </cell>
          <cell r="W430">
            <v>0</v>
          </cell>
          <cell r="X430" t="str">
            <v>EST TAPETE TROPICAL (LISO) (1 COR) (10MM) F:1057 - 4x1x0,01H</v>
          </cell>
          <cell r="Y430">
            <v>6773.76</v>
          </cell>
          <cell r="Z430">
            <v>0.35</v>
          </cell>
          <cell r="AA430">
            <v>4402.9440000000004</v>
          </cell>
          <cell r="AB430"/>
        </row>
        <row r="431">
          <cell r="C431">
            <v>0</v>
          </cell>
          <cell r="D431">
            <v>0</v>
          </cell>
          <cell r="E431">
            <v>0</v>
          </cell>
          <cell r="F431">
            <v>1</v>
          </cell>
          <cell r="H431">
            <v>1</v>
          </cell>
          <cell r="O431">
            <v>378394</v>
          </cell>
          <cell r="P431" t="str">
            <v>2024/030-0069-01</v>
          </cell>
          <cell r="Q431" t="str">
            <v>EST TAPETE TROPICAL (LISO) (1 COR) (10MM) F:5020</v>
          </cell>
          <cell r="R431"/>
          <cell r="S431"/>
          <cell r="T431">
            <v>3</v>
          </cell>
          <cell r="U431">
            <v>1</v>
          </cell>
          <cell r="V431">
            <v>0.01</v>
          </cell>
          <cell r="W431">
            <v>0</v>
          </cell>
          <cell r="X431" t="str">
            <v>EST TAPETE TROPICAL (LISO) (1 COR) (10MM) F:5020 - 3x1x0,01H</v>
          </cell>
          <cell r="Y431">
            <v>5080.32</v>
          </cell>
          <cell r="Z431">
            <v>0.35</v>
          </cell>
          <cell r="AA431">
            <v>3302.2079999999996</v>
          </cell>
          <cell r="AB431"/>
        </row>
        <row r="432">
          <cell r="C432">
            <v>0</v>
          </cell>
          <cell r="D432">
            <v>0</v>
          </cell>
          <cell r="E432">
            <v>0</v>
          </cell>
          <cell r="F432">
            <v>1</v>
          </cell>
          <cell r="H432">
            <v>1</v>
          </cell>
          <cell r="O432">
            <v>378394</v>
          </cell>
          <cell r="P432" t="str">
            <v>2024/030-0070-01</v>
          </cell>
          <cell r="Q432" t="str">
            <v>EST TAPETE TROPICAL (LISO) (1 COR) (10MM) F:5020</v>
          </cell>
          <cell r="R432"/>
          <cell r="S432"/>
          <cell r="T432">
            <v>3</v>
          </cell>
          <cell r="U432">
            <v>1</v>
          </cell>
          <cell r="V432">
            <v>0.01</v>
          </cell>
          <cell r="W432">
            <v>0</v>
          </cell>
          <cell r="X432" t="str">
            <v>EST TAPETE TROPICAL (LISO) (1 COR) (10MM) F:5020 - 3x1x0,01H</v>
          </cell>
          <cell r="Y432">
            <v>5080.32</v>
          </cell>
          <cell r="Z432">
            <v>0.35</v>
          </cell>
          <cell r="AA432">
            <v>3302.2079999999996</v>
          </cell>
          <cell r="AB432"/>
        </row>
        <row r="433">
          <cell r="C433">
            <v>0</v>
          </cell>
          <cell r="D433">
            <v>0</v>
          </cell>
          <cell r="E433">
            <v>0</v>
          </cell>
          <cell r="F433">
            <v>1</v>
          </cell>
          <cell r="H433">
            <v>0</v>
          </cell>
          <cell r="O433">
            <v>378395</v>
          </cell>
          <cell r="P433" t="str">
            <v>2024/030-0071-01</v>
          </cell>
          <cell r="Q433" t="str">
            <v>EST TAPETE TROPICAL (LISO) (1 COR) (10MM) F:89</v>
          </cell>
          <cell r="R433"/>
          <cell r="S433"/>
          <cell r="T433">
            <v>3</v>
          </cell>
          <cell r="U433">
            <v>1</v>
          </cell>
          <cell r="V433">
            <v>0.01</v>
          </cell>
          <cell r="W433">
            <v>0</v>
          </cell>
          <cell r="X433" t="str">
            <v>EST TAPETE TROPICAL (LISO) (1 COR) (10MM) F:89 - 3x1x0,01H</v>
          </cell>
          <cell r="Y433">
            <v>5080.32</v>
          </cell>
          <cell r="Z433">
            <v>0.35</v>
          </cell>
          <cell r="AA433">
            <v>3302.2079999999996</v>
          </cell>
          <cell r="AB433"/>
        </row>
        <row r="434">
          <cell r="C434">
            <v>0</v>
          </cell>
          <cell r="D434">
            <v>0</v>
          </cell>
          <cell r="E434">
            <v>0</v>
          </cell>
          <cell r="F434">
            <v>2</v>
          </cell>
          <cell r="H434">
            <v>0</v>
          </cell>
          <cell r="O434">
            <v>378397</v>
          </cell>
          <cell r="P434" t="str">
            <v>2024/050-0011-01</v>
          </cell>
          <cell r="Q434" t="str">
            <v>EST TAPETE TROPICAL (LISO SOFT) (1 COR) (10MM) F:918</v>
          </cell>
          <cell r="R434"/>
          <cell r="S434"/>
          <cell r="T434">
            <v>4</v>
          </cell>
          <cell r="U434">
            <v>3.32</v>
          </cell>
          <cell r="V434">
            <v>0.01</v>
          </cell>
          <cell r="W434">
            <v>0</v>
          </cell>
          <cell r="X434" t="str">
            <v>EST TAPETE TROPICAL (LISO SOFT) (1 COR) (10MM) F:918 - 4x3,32x0,01H</v>
          </cell>
          <cell r="Y434">
            <v>23976.243200000001</v>
          </cell>
          <cell r="Z434">
            <v>0.35</v>
          </cell>
          <cell r="AA434">
            <v>15584.558080000001</v>
          </cell>
          <cell r="AB434"/>
        </row>
        <row r="435">
          <cell r="C435">
            <v>0</v>
          </cell>
          <cell r="D435">
            <v>0</v>
          </cell>
          <cell r="E435">
            <v>0</v>
          </cell>
          <cell r="F435">
            <v>2</v>
          </cell>
          <cell r="H435">
            <v>0</v>
          </cell>
          <cell r="O435">
            <v>378397</v>
          </cell>
          <cell r="P435" t="str">
            <v>2024/050-0012-01</v>
          </cell>
          <cell r="Q435" t="str">
            <v>EST TAPETE TROPICAL (LISO SOFT) (1 COR) (10MM) F:918</v>
          </cell>
          <cell r="R435"/>
          <cell r="S435"/>
          <cell r="T435">
            <v>4</v>
          </cell>
          <cell r="U435">
            <v>3.32</v>
          </cell>
          <cell r="V435">
            <v>0.01</v>
          </cell>
          <cell r="W435">
            <v>0</v>
          </cell>
          <cell r="X435" t="str">
            <v>EST TAPETE TROPICAL (LISO SOFT) (1 COR) (10MM) F:918 - 4x3,32x0,01H</v>
          </cell>
          <cell r="Y435">
            <v>23976.243200000001</v>
          </cell>
          <cell r="Z435">
            <v>0.35</v>
          </cell>
          <cell r="AA435">
            <v>15584.558080000001</v>
          </cell>
          <cell r="AB435"/>
        </row>
        <row r="436">
          <cell r="C436">
            <v>0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206483</v>
          </cell>
          <cell r="P436" t="str">
            <v>2017/048-0021-01</v>
          </cell>
          <cell r="Q436" t="str">
            <v>EST TAPETE CUSTON NIVEL 04 (14MM) (ESCULPIDO) F:99</v>
          </cell>
          <cell r="R436"/>
          <cell r="S436"/>
          <cell r="T436">
            <v>6</v>
          </cell>
          <cell r="U436">
            <v>4</v>
          </cell>
          <cell r="V436">
            <v>0.01</v>
          </cell>
          <cell r="W436">
            <v>0</v>
          </cell>
          <cell r="X436" t="str">
            <v>EST TAPETE CUSTON NIVEL 04 (14MM) (ESCULPIDO) F:99 - 6x4x0,01H</v>
          </cell>
          <cell r="Y436">
            <v>74726.399999999994</v>
          </cell>
          <cell r="Z436">
            <v>0.35</v>
          </cell>
          <cell r="AA436">
            <v>48572.159999999996</v>
          </cell>
          <cell r="AB436"/>
        </row>
        <row r="437">
          <cell r="C437">
            <v>0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206483</v>
          </cell>
          <cell r="P437" t="str">
            <v>2017/265-0030-01</v>
          </cell>
          <cell r="Q437" t="str">
            <v>EST TAPETE CUSTON NIVEL 04 (14MM) (ESCULPIDO) F:99</v>
          </cell>
          <cell r="R437"/>
          <cell r="S437"/>
          <cell r="T437">
            <v>6</v>
          </cell>
          <cell r="U437">
            <v>4</v>
          </cell>
          <cell r="V437">
            <v>0.01</v>
          </cell>
          <cell r="W437">
            <v>0</v>
          </cell>
          <cell r="X437" t="str">
            <v>EST TAPETE CUSTON NIVEL 04 (14MM) (ESCULPIDO) F:99 - 6x4x0,01H</v>
          </cell>
          <cell r="Y437">
            <v>74726.399999999994</v>
          </cell>
          <cell r="Z437">
            <v>0.35</v>
          </cell>
          <cell r="AA437">
            <v>48572.159999999996</v>
          </cell>
          <cell r="AB437"/>
        </row>
        <row r="438">
          <cell r="C438">
            <v>0</v>
          </cell>
          <cell r="D438">
            <v>1</v>
          </cell>
          <cell r="E438">
            <v>0</v>
          </cell>
          <cell r="F438">
            <v>1</v>
          </cell>
          <cell r="H438">
            <v>3</v>
          </cell>
          <cell r="O438">
            <v>273338</v>
          </cell>
          <cell r="P438" t="str">
            <v>2021/076-0112-01</v>
          </cell>
          <cell r="Q438" t="str">
            <v>EST CADEIRA RAMONA (COURO BOUT LA PAZ PINHAO) PINT PRETA</v>
          </cell>
          <cell r="R438"/>
          <cell r="S438"/>
          <cell r="T438">
            <v>0.5</v>
          </cell>
          <cell r="U438">
            <v>0.56000000000000005</v>
          </cell>
          <cell r="V438">
            <v>0.76</v>
          </cell>
          <cell r="W438">
            <v>0</v>
          </cell>
          <cell r="X438" t="str">
            <v>EST CADEIRA RAMONA (COURO BOUT LA PAZ PINHAO) PINT PRETA - 0,5x0,56x0,76H</v>
          </cell>
          <cell r="Y438">
            <v>10826.37</v>
          </cell>
          <cell r="Z438">
            <v>0.35</v>
          </cell>
          <cell r="AA438">
            <v>7037.1405000000013</v>
          </cell>
          <cell r="AB438"/>
        </row>
        <row r="439">
          <cell r="C439">
            <v>0</v>
          </cell>
          <cell r="D439">
            <v>1</v>
          </cell>
          <cell r="E439">
            <v>0</v>
          </cell>
          <cell r="F439">
            <v>0</v>
          </cell>
          <cell r="H439">
            <v>1</v>
          </cell>
          <cell r="O439">
            <v>273339</v>
          </cell>
          <cell r="P439" t="str">
            <v>2021/068-0153-01</v>
          </cell>
          <cell r="Q439" t="str">
            <v>EST POLTRONA RAMONA (COURO BOUT COURO PRETO) PINT PRETA</v>
          </cell>
          <cell r="R439"/>
          <cell r="S439"/>
          <cell r="T439">
            <v>0.63</v>
          </cell>
          <cell r="U439">
            <v>0.77</v>
          </cell>
          <cell r="V439">
            <v>0.66</v>
          </cell>
          <cell r="W439">
            <v>0</v>
          </cell>
          <cell r="X439" t="str">
            <v>EST POLTRONA RAMONA (COURO BOUT COURO PRETO) PINT PRETA - 0,63x0,77x0,66H</v>
          </cell>
          <cell r="Y439">
            <v>20720.990000000002</v>
          </cell>
          <cell r="Z439">
            <v>0.35</v>
          </cell>
          <cell r="AA439">
            <v>13468.643500000002</v>
          </cell>
          <cell r="AB439"/>
        </row>
        <row r="440">
          <cell r="C440">
            <v>0</v>
          </cell>
          <cell r="D440">
            <v>1</v>
          </cell>
          <cell r="E440">
            <v>0</v>
          </cell>
          <cell r="F440">
            <v>0</v>
          </cell>
          <cell r="H440">
            <v>1</v>
          </cell>
          <cell r="O440">
            <v>273339</v>
          </cell>
          <cell r="P440" t="str">
            <v>2021/068-0152-01</v>
          </cell>
          <cell r="Q440" t="str">
            <v>EST POLTRONA RAMONA (COURO BOUT COURO PRETO) PINT PRETA</v>
          </cell>
          <cell r="R440"/>
          <cell r="S440"/>
          <cell r="T440">
            <v>0.63</v>
          </cell>
          <cell r="U440">
            <v>0.77</v>
          </cell>
          <cell r="V440">
            <v>0.66</v>
          </cell>
          <cell r="W440">
            <v>0</v>
          </cell>
          <cell r="X440" t="str">
            <v>EST POLTRONA RAMONA (COURO BOUT COURO PRETO) PINT PRETA - 0,63x0,77x0,66H</v>
          </cell>
          <cell r="Y440">
            <v>20720.990000000002</v>
          </cell>
          <cell r="Z440">
            <v>0.35</v>
          </cell>
          <cell r="AA440">
            <v>13468.643500000002</v>
          </cell>
          <cell r="AB440"/>
        </row>
        <row r="441">
          <cell r="C441">
            <v>0</v>
          </cell>
          <cell r="D441">
            <v>1</v>
          </cell>
          <cell r="E441">
            <v>0</v>
          </cell>
          <cell r="F441">
            <v>0</v>
          </cell>
          <cell r="H441">
            <v>0</v>
          </cell>
          <cell r="O441">
            <v>324013</v>
          </cell>
          <cell r="P441" t="str">
            <v>2022/101-0067-01</v>
          </cell>
          <cell r="Q441" t="str">
            <v>EST TAPETE AREIA (LST IRR) (10MM) F:1471/D:1136/1237/1362/95</v>
          </cell>
          <cell r="R441"/>
          <cell r="S441"/>
          <cell r="T441">
            <v>3.5</v>
          </cell>
          <cell r="U441">
            <v>5</v>
          </cell>
          <cell r="V441">
            <v>0.01</v>
          </cell>
          <cell r="W441">
            <v>0</v>
          </cell>
          <cell r="X441" t="str">
            <v>EST TAPETE AREIA (LST IRR) (10MM) F:1471/D:1136/1237/1362/95 - 3,5x5x0,01H</v>
          </cell>
          <cell r="Y441">
            <v>44531.199999999997</v>
          </cell>
          <cell r="Z441">
            <v>0.35</v>
          </cell>
          <cell r="AA441">
            <v>28945.279999999999</v>
          </cell>
          <cell r="AB441"/>
        </row>
        <row r="442">
          <cell r="C442">
            <v>0</v>
          </cell>
          <cell r="D442">
            <v>1</v>
          </cell>
          <cell r="E442">
            <v>0</v>
          </cell>
          <cell r="F442">
            <v>0</v>
          </cell>
          <cell r="H442">
            <v>0</v>
          </cell>
          <cell r="O442">
            <v>342299</v>
          </cell>
          <cell r="P442" t="str">
            <v>2022/217-0007-01</v>
          </cell>
          <cell r="Q442" t="str">
            <v>EST TAPETE MATISSE WAVES ROUND 2 (LAT) (10MM) F:1280/D:73</v>
          </cell>
          <cell r="R442"/>
          <cell r="S442"/>
          <cell r="T442">
            <v>4</v>
          </cell>
          <cell r="U442">
            <v>0</v>
          </cell>
          <cell r="V442">
            <v>0.01</v>
          </cell>
          <cell r="W442">
            <v>4</v>
          </cell>
          <cell r="X442" t="str">
            <v>EST TAPETE MATISSE WAVES ROUND 2 (LAT) (10MM) F:1280/D:73 - Ø4x0,01H</v>
          </cell>
          <cell r="Y442">
            <v>46305.279999999999</v>
          </cell>
          <cell r="Z442">
            <v>0.35</v>
          </cell>
          <cell r="AA442">
            <v>30098.432000000001</v>
          </cell>
          <cell r="AB442"/>
        </row>
        <row r="443">
          <cell r="C443">
            <v>0</v>
          </cell>
          <cell r="D443">
            <v>1</v>
          </cell>
          <cell r="E443">
            <v>0</v>
          </cell>
          <cell r="F443">
            <v>0</v>
          </cell>
          <cell r="H443">
            <v>0</v>
          </cell>
          <cell r="O443">
            <v>362427</v>
          </cell>
          <cell r="P443" t="str">
            <v>2023/107-0047-01</v>
          </cell>
          <cell r="Q443" t="str">
            <v>EST CARRINHO BAR ZIMBRO (LAMINA A3 LOURO PARDO) CONTEN</v>
          </cell>
          <cell r="R443"/>
          <cell r="S443"/>
          <cell r="T443">
            <v>1.07</v>
          </cell>
          <cell r="U443">
            <v>0.59</v>
          </cell>
          <cell r="V443">
            <v>0.76</v>
          </cell>
          <cell r="W443">
            <v>0</v>
          </cell>
          <cell r="X443" t="str">
            <v>EST CARRINHO BAR ZIMBRO (LAMINA A3 LOURO PARDO) CONTEN - 1,07x0,59x0,76H</v>
          </cell>
          <cell r="Y443">
            <v>23810.17</v>
          </cell>
          <cell r="Z443">
            <v>0.35</v>
          </cell>
          <cell r="AA443">
            <v>15476.610499999999</v>
          </cell>
          <cell r="AB443"/>
        </row>
        <row r="444">
          <cell r="C444">
            <v>0</v>
          </cell>
          <cell r="D444">
            <v>2</v>
          </cell>
          <cell r="E444">
            <v>0</v>
          </cell>
          <cell r="F444">
            <v>0</v>
          </cell>
          <cell r="H444">
            <v>0</v>
          </cell>
          <cell r="O444">
            <v>372716</v>
          </cell>
          <cell r="P444" t="str">
            <v>2023/247-0011-01</v>
          </cell>
          <cell r="Q444" t="str">
            <v>EST POLTRONA BUBA (TC CURATOR 136195 COR 166)</v>
          </cell>
          <cell r="R444"/>
          <cell r="S444"/>
          <cell r="T444">
            <v>1.05</v>
          </cell>
          <cell r="U444">
            <v>1</v>
          </cell>
          <cell r="V444">
            <v>0.74</v>
          </cell>
          <cell r="W444">
            <v>0</v>
          </cell>
          <cell r="X444" t="str">
            <v>EST POLTRONA BUBA (TC CURATOR 136195 COR 166) - 1,05x1x0,74H</v>
          </cell>
          <cell r="Y444">
            <v>29586.37</v>
          </cell>
          <cell r="Z444">
            <v>0.35</v>
          </cell>
          <cell r="AA444">
            <v>19231.140500000001</v>
          </cell>
          <cell r="AB444"/>
        </row>
        <row r="445">
          <cell r="C445">
            <v>0</v>
          </cell>
          <cell r="D445">
            <v>2</v>
          </cell>
          <cell r="E445">
            <v>0</v>
          </cell>
          <cell r="F445">
            <v>0</v>
          </cell>
          <cell r="H445">
            <v>0</v>
          </cell>
          <cell r="O445">
            <v>372716</v>
          </cell>
          <cell r="P445" t="str">
            <v>2023/247-0012-01</v>
          </cell>
          <cell r="Q445" t="str">
            <v>EST POLTRONA BUBA (TC CURATOR 136195 COR 166)</v>
          </cell>
          <cell r="R445"/>
          <cell r="S445"/>
          <cell r="T445">
            <v>1.05</v>
          </cell>
          <cell r="U445">
            <v>1</v>
          </cell>
          <cell r="V445">
            <v>0.74</v>
          </cell>
          <cell r="W445">
            <v>0</v>
          </cell>
          <cell r="X445" t="str">
            <v>EST POLTRONA BUBA (TC CURATOR 136195 COR 166) - 1,05x1x0,74H</v>
          </cell>
          <cell r="Y445">
            <v>29586.37</v>
          </cell>
          <cell r="Z445">
            <v>0.35</v>
          </cell>
          <cell r="AA445">
            <v>19231.140500000001</v>
          </cell>
          <cell r="AB445"/>
        </row>
        <row r="446">
          <cell r="C446">
            <v>0</v>
          </cell>
          <cell r="D446">
            <v>1</v>
          </cell>
          <cell r="E446">
            <v>0</v>
          </cell>
          <cell r="F446">
            <v>0</v>
          </cell>
          <cell r="H446">
            <v>7</v>
          </cell>
          <cell r="O446">
            <v>308799</v>
          </cell>
          <cell r="P446" t="str">
            <v>2022/165-0014-01</v>
          </cell>
          <cell r="Q446" t="str">
            <v>EST CADEIRA 60 C/BRACO (EUC EBANIZ) CS0125/BOUT COURO 3815-1</v>
          </cell>
          <cell r="R446"/>
          <cell r="S446"/>
          <cell r="T446">
            <v>0.56000000000000005</v>
          </cell>
          <cell r="U446">
            <v>0.59</v>
          </cell>
          <cell r="V446">
            <v>0.84</v>
          </cell>
          <cell r="W446">
            <v>0</v>
          </cell>
          <cell r="X446" t="str">
            <v>EST CADEIRA 60 C/BRACO (EUC EBANIZ) CS0125/BOUT COURO 3815-1 - 0,56x0,59x0,84H</v>
          </cell>
          <cell r="Y446">
            <v>7016.8</v>
          </cell>
          <cell r="Z446">
            <v>0.5</v>
          </cell>
          <cell r="AA446">
            <v>3508.4</v>
          </cell>
          <cell r="AB446"/>
        </row>
        <row r="447">
          <cell r="C447">
            <v>1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223326</v>
          </cell>
          <cell r="P447" t="str">
            <v>2019/288-0007-01</v>
          </cell>
          <cell r="Q447" t="str">
            <v>EST APARADOR ZINA (LAMINA 3 PAU FERRO PC) (LACA FOSCA PRETA)</v>
          </cell>
          <cell r="R447"/>
          <cell r="S447"/>
          <cell r="T447">
            <v>1.9</v>
          </cell>
          <cell r="U447">
            <v>0.5</v>
          </cell>
          <cell r="V447">
            <v>0.8</v>
          </cell>
          <cell r="W447">
            <v>0</v>
          </cell>
          <cell r="X447" t="str">
            <v>EST APARADOR ZINA (LAMINA 3 PAU FERRO PC) (LACA FOSCA PRETA) - 1,9x0,5x0,8H</v>
          </cell>
          <cell r="Y447">
            <v>26879.42</v>
          </cell>
          <cell r="Z447">
            <v>0.5</v>
          </cell>
          <cell r="AA447">
            <v>13439.71</v>
          </cell>
          <cell r="AB447"/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H448">
            <v>1</v>
          </cell>
          <cell r="O448">
            <v>223328</v>
          </cell>
          <cell r="P448" t="str">
            <v>2018/214-0023-01</v>
          </cell>
          <cell r="Q448" t="str">
            <v>EST MESA CENTRO TUNIS (LACA POLIESTER BRILHO J155)</v>
          </cell>
          <cell r="R448"/>
          <cell r="S448"/>
          <cell r="T448">
            <v>2</v>
          </cell>
          <cell r="U448">
            <v>0.8</v>
          </cell>
          <cell r="V448">
            <v>0.23</v>
          </cell>
          <cell r="W448">
            <v>0</v>
          </cell>
          <cell r="X448" t="str">
            <v>EST MESA CENTRO TUNIS (LACA POLIESTER BRILHO J155) - 2x0,8x0,23H</v>
          </cell>
          <cell r="Y448">
            <v>25452.63</v>
          </cell>
          <cell r="Z448">
            <v>0.5</v>
          </cell>
          <cell r="AA448">
            <v>12726.315000000001</v>
          </cell>
          <cell r="AB448"/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H449">
            <v>2</v>
          </cell>
          <cell r="O449">
            <v>223394</v>
          </cell>
          <cell r="P449" t="str">
            <v>2018/211-0010-01</v>
          </cell>
          <cell r="Q449" t="str">
            <v>EST MESA CENTRO TUNIS (LACA POLIESTER BRILHO J155)</v>
          </cell>
          <cell r="R449"/>
          <cell r="S449"/>
          <cell r="T449">
            <v>1.8</v>
          </cell>
          <cell r="U449">
            <v>0.7</v>
          </cell>
          <cell r="V449">
            <v>0.23</v>
          </cell>
          <cell r="W449">
            <v>0</v>
          </cell>
          <cell r="X449" t="str">
            <v>EST MESA CENTRO TUNIS (LACA POLIESTER BRILHO J155) - 1,8x0,7x0,23H</v>
          </cell>
          <cell r="Y449">
            <v>16035.13</v>
          </cell>
          <cell r="Z449">
            <v>0.5</v>
          </cell>
          <cell r="AA449">
            <v>8017.5649999999996</v>
          </cell>
          <cell r="AB449"/>
        </row>
        <row r="450">
          <cell r="C450">
            <v>1</v>
          </cell>
          <cell r="D450">
            <v>0</v>
          </cell>
          <cell r="E450">
            <v>1</v>
          </cell>
          <cell r="F450">
            <v>0</v>
          </cell>
          <cell r="H450">
            <v>0</v>
          </cell>
          <cell r="O450">
            <v>231996</v>
          </cell>
          <cell r="P450" t="str">
            <v>2019/091-0028-01</v>
          </cell>
          <cell r="Q450" t="str">
            <v>EST MESA JANTAR STEEL (TP CLEAR BRANCO) BS LAM 3 LOURO PARDO</v>
          </cell>
          <cell r="R450"/>
          <cell r="S450"/>
          <cell r="T450">
            <v>2.7</v>
          </cell>
          <cell r="U450">
            <v>1.2</v>
          </cell>
          <cell r="V450">
            <v>0.76</v>
          </cell>
          <cell r="W450">
            <v>0</v>
          </cell>
          <cell r="X450" t="str">
            <v>EST MESA JANTAR STEEL (TP CLEAR BRANCO) BS LAM 3 LOURO PARDO - 2,7x1,2x0,76H</v>
          </cell>
          <cell r="Y450">
            <v>45779.42</v>
          </cell>
          <cell r="Z450">
            <v>0.5</v>
          </cell>
          <cell r="AA450">
            <v>22889.71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336617</v>
          </cell>
          <cell r="P451" t="str">
            <v>2022/235-0066-01</v>
          </cell>
          <cell r="Q451" t="str">
            <v>EST APARADOR MAR ADENTRO (PINTURA CS120)</v>
          </cell>
          <cell r="R451"/>
          <cell r="S451"/>
          <cell r="T451">
            <v>2.0699999999999998</v>
          </cell>
          <cell r="U451">
            <v>0.47</v>
          </cell>
          <cell r="V451">
            <v>0.84</v>
          </cell>
          <cell r="W451">
            <v>0</v>
          </cell>
          <cell r="X451" t="str">
            <v>EST APARADOR MAR ADENTRO (PINTURA CS120) - 2,07x0,47x0,84H</v>
          </cell>
          <cell r="Y451">
            <v>29795.05</v>
          </cell>
          <cell r="Z451">
            <v>0.5</v>
          </cell>
          <cell r="AA451">
            <v>14897.525</v>
          </cell>
          <cell r="AB451"/>
        </row>
        <row r="452">
          <cell r="C452">
            <v>4</v>
          </cell>
          <cell r="D452">
            <v>0</v>
          </cell>
          <cell r="E452">
            <v>0</v>
          </cell>
          <cell r="F452">
            <v>0</v>
          </cell>
          <cell r="H452">
            <v>4</v>
          </cell>
          <cell r="O452">
            <v>372730</v>
          </cell>
          <cell r="P452" t="str">
            <v>2023/264-0009-01</v>
          </cell>
          <cell r="Q452" t="str">
            <v>EST CADEIRA 60 C/BRACO (FREIJO NAT) CS0120/BOUT COURO CAMEL</v>
          </cell>
          <cell r="R452"/>
          <cell r="S452"/>
          <cell r="T452">
            <v>0.56000000000000005</v>
          </cell>
          <cell r="U452">
            <v>0.59</v>
          </cell>
          <cell r="V452">
            <v>0.84</v>
          </cell>
          <cell r="W452">
            <v>0</v>
          </cell>
          <cell r="X452" t="str">
            <v>EST CADEIRA 60 C/BRACO (FREIJO NAT) CS0120/BOUT COURO CAMEL - 0,56x0,59x0,84H</v>
          </cell>
          <cell r="Y452">
            <v>9290.1299999999992</v>
          </cell>
          <cell r="Z452">
            <v>0.5</v>
          </cell>
          <cell r="AA452">
            <v>4645.0649999999996</v>
          </cell>
          <cell r="AB452"/>
        </row>
        <row r="453">
          <cell r="C453">
            <v>4</v>
          </cell>
          <cell r="D453">
            <v>0</v>
          </cell>
          <cell r="E453">
            <v>0</v>
          </cell>
          <cell r="F453">
            <v>0</v>
          </cell>
          <cell r="H453">
            <v>4</v>
          </cell>
          <cell r="O453">
            <v>372730</v>
          </cell>
          <cell r="P453" t="str">
            <v>2023/264-0010-01</v>
          </cell>
          <cell r="Q453" t="str">
            <v>EST CADEIRA 60 C/BRACO (FREIJO NAT) CS0120/BOUT COURO CAMEL</v>
          </cell>
          <cell r="R453"/>
          <cell r="S453"/>
          <cell r="T453">
            <v>0.56000000000000005</v>
          </cell>
          <cell r="U453">
            <v>0.59</v>
          </cell>
          <cell r="V453">
            <v>0.84</v>
          </cell>
          <cell r="W453">
            <v>0</v>
          </cell>
          <cell r="X453" t="str">
            <v>EST CADEIRA 60 C/BRACO (FREIJO NAT) CS0120/BOUT COURO CAMEL - 0,56x0,59x0,84H</v>
          </cell>
          <cell r="Y453">
            <v>9290.1299999999992</v>
          </cell>
          <cell r="Z453">
            <v>0.5</v>
          </cell>
          <cell r="AA453">
            <v>4645.0649999999996</v>
          </cell>
          <cell r="AB453"/>
        </row>
        <row r="454">
          <cell r="C454">
            <v>4</v>
          </cell>
          <cell r="D454">
            <v>0</v>
          </cell>
          <cell r="E454">
            <v>0</v>
          </cell>
          <cell r="F454">
            <v>0</v>
          </cell>
          <cell r="H454">
            <v>4</v>
          </cell>
          <cell r="O454">
            <v>372730</v>
          </cell>
          <cell r="P454" t="str">
            <v>2023/264-0013-01</v>
          </cell>
          <cell r="Q454" t="str">
            <v>EST CADEIRA 60 C/BRACO (FREIJO NAT) CS0120/BOUT COURO CAMEL</v>
          </cell>
          <cell r="R454"/>
          <cell r="S454"/>
          <cell r="T454">
            <v>0.56000000000000005</v>
          </cell>
          <cell r="U454">
            <v>0.59</v>
          </cell>
          <cell r="V454">
            <v>0.84</v>
          </cell>
          <cell r="W454">
            <v>0</v>
          </cell>
          <cell r="X454" t="str">
            <v>EST CADEIRA 60 C/BRACO (FREIJO NAT) CS0120/BOUT COURO CAMEL - 0,56x0,59x0,84H</v>
          </cell>
          <cell r="Y454">
            <v>9290.1299999999992</v>
          </cell>
          <cell r="Z454">
            <v>0.5</v>
          </cell>
          <cell r="AA454">
            <v>4645.0649999999996</v>
          </cell>
          <cell r="AB454"/>
        </row>
        <row r="455">
          <cell r="C455">
            <v>4</v>
          </cell>
          <cell r="D455">
            <v>0</v>
          </cell>
          <cell r="E455">
            <v>0</v>
          </cell>
          <cell r="F455">
            <v>0</v>
          </cell>
          <cell r="H455">
            <v>4</v>
          </cell>
          <cell r="O455">
            <v>372730</v>
          </cell>
          <cell r="P455" t="str">
            <v>2023/264-0014-01</v>
          </cell>
          <cell r="Q455" t="str">
            <v>EST CADEIRA 60 C/BRACO (FREIJO NAT) CS0120/BOUT COURO CAMEL</v>
          </cell>
          <cell r="R455"/>
          <cell r="S455"/>
          <cell r="T455">
            <v>0.56000000000000005</v>
          </cell>
          <cell r="U455">
            <v>0.59</v>
          </cell>
          <cell r="V455">
            <v>0.84</v>
          </cell>
          <cell r="W455">
            <v>0</v>
          </cell>
          <cell r="X455" t="str">
            <v>EST CADEIRA 60 C/BRACO (FREIJO NAT) CS0120/BOUT COURO CAMEL - 0,56x0,59x0,84H</v>
          </cell>
          <cell r="Y455">
            <v>9290.1299999999992</v>
          </cell>
          <cell r="Z455">
            <v>0.5</v>
          </cell>
          <cell r="AA455">
            <v>4645.0649999999996</v>
          </cell>
          <cell r="AB455"/>
        </row>
        <row r="456">
          <cell r="C456">
            <v>1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206481</v>
          </cell>
          <cell r="P456" t="str">
            <v>2017/258-0001-01</v>
          </cell>
          <cell r="Q456" t="str">
            <v>EST TAPETE CUSTOM NIVEL 05 (10MM) F:1280 METALIC</v>
          </cell>
          <cell r="R456"/>
          <cell r="S456"/>
          <cell r="T456">
            <v>5</v>
          </cell>
          <cell r="U456">
            <v>4</v>
          </cell>
          <cell r="V456">
            <v>0.01</v>
          </cell>
          <cell r="W456">
            <v>0</v>
          </cell>
          <cell r="X456" t="str">
            <v>EST TAPETE CUSTOM NIVEL 05 (10MM) F:1280 METALIC - 5x4x0,01H</v>
          </cell>
          <cell r="Y456">
            <v>73113.599999999991</v>
          </cell>
          <cell r="Z456">
            <v>0.35</v>
          </cell>
          <cell r="AA456">
            <v>47523.839999999997</v>
          </cell>
          <cell r="AB456"/>
        </row>
        <row r="457">
          <cell r="C457">
            <v>1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206481</v>
          </cell>
          <cell r="P457" t="str">
            <v>2017/265-0028-01</v>
          </cell>
          <cell r="Q457" t="str">
            <v>EST TAPETE CUSTOM NIVEL 05 (10MM) F:1280 METALIC</v>
          </cell>
          <cell r="R457"/>
          <cell r="S457"/>
          <cell r="T457">
            <v>5</v>
          </cell>
          <cell r="U457">
            <v>4</v>
          </cell>
          <cell r="V457">
            <v>0.01</v>
          </cell>
          <cell r="W457">
            <v>0</v>
          </cell>
          <cell r="X457" t="str">
            <v>EST TAPETE CUSTOM NIVEL 05 (10MM) F:1280 METALIC - 5x4x0,01H</v>
          </cell>
          <cell r="Y457">
            <v>73113.599999999991</v>
          </cell>
          <cell r="Z457">
            <v>0.35</v>
          </cell>
          <cell r="AA457">
            <v>47523.839999999997</v>
          </cell>
          <cell r="AB457"/>
        </row>
        <row r="458">
          <cell r="C458">
            <v>1</v>
          </cell>
          <cell r="D458">
            <v>0</v>
          </cell>
          <cell r="E458">
            <v>0</v>
          </cell>
          <cell r="F458">
            <v>0</v>
          </cell>
          <cell r="H458">
            <v>0</v>
          </cell>
          <cell r="O458">
            <v>206481</v>
          </cell>
          <cell r="P458" t="str">
            <v>2017/048-0019-01</v>
          </cell>
          <cell r="Q458" t="str">
            <v>EST TAPETE CUSTOM NIVEL 05 (10MM) F:1280 METALIC</v>
          </cell>
          <cell r="R458"/>
          <cell r="S458"/>
          <cell r="T458">
            <v>5</v>
          </cell>
          <cell r="U458">
            <v>4</v>
          </cell>
          <cell r="V458">
            <v>0.01</v>
          </cell>
          <cell r="W458">
            <v>0</v>
          </cell>
          <cell r="X458" t="str">
            <v>EST TAPETE CUSTOM NIVEL 05 (10MM) F:1280 METALIC - 5x4x0,01H</v>
          </cell>
          <cell r="Y458">
            <v>73113.599999999991</v>
          </cell>
          <cell r="Z458">
            <v>0.35</v>
          </cell>
          <cell r="AA458">
            <v>47523.839999999997</v>
          </cell>
          <cell r="AB458"/>
        </row>
        <row r="459">
          <cell r="C459">
            <v>1</v>
          </cell>
          <cell r="D459">
            <v>0</v>
          </cell>
          <cell r="E459">
            <v>0</v>
          </cell>
          <cell r="F459">
            <v>0</v>
          </cell>
          <cell r="H459">
            <v>0</v>
          </cell>
          <cell r="O459">
            <v>324017</v>
          </cell>
          <cell r="P459" t="str">
            <v>2022/101-0065-01</v>
          </cell>
          <cell r="Q459" t="str">
            <v>EST TAPETE CONCHA (ZIG ZAG) (14/10MM) F:1303</v>
          </cell>
          <cell r="R459"/>
          <cell r="S459"/>
          <cell r="T459">
            <v>4</v>
          </cell>
          <cell r="U459">
            <v>5.5</v>
          </cell>
          <cell r="V459">
            <v>0.01</v>
          </cell>
          <cell r="W459">
            <v>0</v>
          </cell>
          <cell r="X459" t="str">
            <v>EST TAPETE CONCHA (ZIG ZAG) (14/10MM) F:1303 - 4x5,5x0,01H</v>
          </cell>
          <cell r="Y459">
            <v>93829.119999999995</v>
          </cell>
          <cell r="Z459">
            <v>0.35</v>
          </cell>
          <cell r="AA459">
            <v>60988.928</v>
          </cell>
          <cell r="AB459"/>
        </row>
        <row r="460">
          <cell r="C460">
            <v>2</v>
          </cell>
          <cell r="D460">
            <v>0</v>
          </cell>
          <cell r="E460">
            <v>0</v>
          </cell>
          <cell r="F460">
            <v>2</v>
          </cell>
          <cell r="H460">
            <v>0</v>
          </cell>
          <cell r="O460">
            <v>362424</v>
          </cell>
          <cell r="P460" t="str">
            <v xml:space="preserve">2023/082-0012-01 </v>
          </cell>
          <cell r="Q460" t="str">
            <v>EST POLTRONA BUBA (TC CURATOR 112125 COR 884)</v>
          </cell>
          <cell r="R460"/>
          <cell r="S460"/>
          <cell r="T460">
            <v>1.05</v>
          </cell>
          <cell r="U460">
            <v>1</v>
          </cell>
          <cell r="V460">
            <v>0.74</v>
          </cell>
          <cell r="W460">
            <v>0</v>
          </cell>
          <cell r="X460" t="str">
            <v>EST POLTRONA BUBA (TC CURATOR 112125 COR 884) - 1,05x1x0,74H</v>
          </cell>
          <cell r="Y460">
            <v>29586.37</v>
          </cell>
          <cell r="Z460">
            <v>0.35</v>
          </cell>
          <cell r="AA460">
            <v>19231.140500000001</v>
          </cell>
          <cell r="AB460"/>
        </row>
        <row r="461">
          <cell r="C461">
            <v>2</v>
          </cell>
          <cell r="D461">
            <v>0</v>
          </cell>
          <cell r="E461">
            <v>0</v>
          </cell>
          <cell r="F461">
            <v>2</v>
          </cell>
          <cell r="H461">
            <v>0</v>
          </cell>
          <cell r="O461">
            <v>362424</v>
          </cell>
          <cell r="P461" t="str">
            <v xml:space="preserve">2023/082-0011-01 </v>
          </cell>
          <cell r="Q461" t="str">
            <v>EST POLTRONA BUBA (TC CURATOR 112125 COR 884)</v>
          </cell>
          <cell r="R461"/>
          <cell r="S461"/>
          <cell r="T461">
            <v>1.05</v>
          </cell>
          <cell r="U461">
            <v>1</v>
          </cell>
          <cell r="V461">
            <v>0.74</v>
          </cell>
          <cell r="W461">
            <v>0</v>
          </cell>
          <cell r="X461" t="str">
            <v>EST POLTRONA BUBA (TC CURATOR 112125 COR 884) - 1,05x1x0,74H</v>
          </cell>
          <cell r="Y461">
            <v>29586.37</v>
          </cell>
          <cell r="Z461">
            <v>0.35</v>
          </cell>
          <cell r="AA461">
            <v>19231.140500000001</v>
          </cell>
          <cell r="AB461"/>
        </row>
        <row r="462">
          <cell r="C462">
            <v>1</v>
          </cell>
          <cell r="D462">
            <v>0</v>
          </cell>
          <cell r="E462">
            <v>0</v>
          </cell>
          <cell r="F462">
            <v>0</v>
          </cell>
          <cell r="H462">
            <v>0</v>
          </cell>
          <cell r="O462">
            <v>378116</v>
          </cell>
          <cell r="P462" t="str">
            <v>2023/338-0024-01</v>
          </cell>
          <cell r="Q462" t="str">
            <v>EST MESA JANTAR PREMIUM (LAMINA A2 NOGUEIRA) BS CORTEN</v>
          </cell>
          <cell r="R462"/>
          <cell r="S462"/>
          <cell r="T462">
            <v>3</v>
          </cell>
          <cell r="U462">
            <v>1.2</v>
          </cell>
          <cell r="V462">
            <v>0.76</v>
          </cell>
          <cell r="W462">
            <v>0</v>
          </cell>
          <cell r="X462" t="str">
            <v>EST MESA JANTAR PREMIUM (LAMINA A2 NOGUEIRA) BS CORTEN - 3x1,2x0,76H</v>
          </cell>
          <cell r="Y462">
            <v>51915</v>
          </cell>
          <cell r="Z462">
            <v>0.35</v>
          </cell>
          <cell r="AA462">
            <v>33744.75</v>
          </cell>
          <cell r="AB462"/>
        </row>
        <row r="463">
          <cell r="C463">
            <v>0</v>
          </cell>
          <cell r="D463">
            <v>0</v>
          </cell>
          <cell r="E463">
            <v>1</v>
          </cell>
          <cell r="F463">
            <v>0</v>
          </cell>
          <cell r="H463">
            <v>0</v>
          </cell>
          <cell r="O463">
            <v>214352</v>
          </cell>
          <cell r="P463" t="str">
            <v>2019/212-0049-01</v>
          </cell>
          <cell r="Q463" t="str">
            <v>EST BANQUETA BAR CAVALETTA H78 (JEQUITIBA IMBUIA CLARO)</v>
          </cell>
          <cell r="R463"/>
          <cell r="S463"/>
          <cell r="T463">
            <v>0.43</v>
          </cell>
          <cell r="U463">
            <v>0.5</v>
          </cell>
          <cell r="V463">
            <v>0.78</v>
          </cell>
          <cell r="W463">
            <v>0</v>
          </cell>
          <cell r="X463" t="str">
            <v>EST BANQUETA BAR CAVALETTA H78 (JEQUITIBA IMBUIA CLARO) - 0,43x0,5x0,78H</v>
          </cell>
          <cell r="Y463">
            <v>6595.55</v>
          </cell>
          <cell r="Z463">
            <v>0.35</v>
          </cell>
          <cell r="AA463">
            <v>4287.1075000000001</v>
          </cell>
          <cell r="AB463"/>
        </row>
        <row r="464">
          <cell r="C464">
            <v>0</v>
          </cell>
          <cell r="D464">
            <v>0</v>
          </cell>
          <cell r="E464">
            <v>1</v>
          </cell>
          <cell r="F464">
            <v>0</v>
          </cell>
          <cell r="H464">
            <v>0</v>
          </cell>
          <cell r="O464">
            <v>233111</v>
          </cell>
          <cell r="P464" t="str">
            <v>2019/113-0065-01</v>
          </cell>
          <cell r="Q464" t="str">
            <v>EST BANQUETA BAR CAVALETTA H50 (JEQUITIBA IMBUIA CLAR)</v>
          </cell>
          <cell r="R464"/>
          <cell r="S464"/>
          <cell r="T464">
            <v>0.43</v>
          </cell>
          <cell r="U464">
            <v>0.53</v>
          </cell>
          <cell r="V464">
            <v>0.5</v>
          </cell>
          <cell r="W464">
            <v>0</v>
          </cell>
          <cell r="X464" t="str">
            <v>EST BANQUETA BAR CAVALETTA H50 (JEQUITIBA IMBUIA CLAR) - 0,43x0,53x0,5H</v>
          </cell>
          <cell r="Y464">
            <v>6456.31</v>
          </cell>
          <cell r="Z464">
            <v>0.35</v>
          </cell>
          <cell r="AA464">
            <v>4196.6015000000007</v>
          </cell>
          <cell r="AB464"/>
        </row>
        <row r="465">
          <cell r="C465">
            <v>0</v>
          </cell>
          <cell r="D465">
            <v>0</v>
          </cell>
          <cell r="E465">
            <v>6</v>
          </cell>
          <cell r="F465">
            <v>0</v>
          </cell>
          <cell r="H465">
            <v>0</v>
          </cell>
          <cell r="O465">
            <v>364288</v>
          </cell>
          <cell r="P465" t="str">
            <v>2023/152-0025-01</v>
          </cell>
          <cell r="Q465" t="str">
            <v>EST CADEIRA CACAU (NOGAL) (LATAO) TC 1000 - 1316</v>
          </cell>
          <cell r="R465"/>
          <cell r="S465"/>
          <cell r="T465">
            <v>0.5</v>
          </cell>
          <cell r="U465">
            <v>0.61</v>
          </cell>
          <cell r="V465">
            <v>0.84</v>
          </cell>
          <cell r="W465">
            <v>0</v>
          </cell>
          <cell r="X465" t="str">
            <v>EST CADEIRA CACAU (NOGAL) (LATAO) TC 1000 - 1316 - 0,5x0,61x0,84H</v>
          </cell>
          <cell r="Y465">
            <v>4625.6400000000003</v>
          </cell>
          <cell r="Z465">
            <v>0.35</v>
          </cell>
          <cell r="AA465">
            <v>3006.6660000000002</v>
          </cell>
          <cell r="AB465"/>
        </row>
        <row r="466">
          <cell r="C466">
            <v>0</v>
          </cell>
          <cell r="D466">
            <v>0</v>
          </cell>
          <cell r="E466">
            <v>6</v>
          </cell>
          <cell r="F466">
            <v>0</v>
          </cell>
          <cell r="H466">
            <v>0</v>
          </cell>
          <cell r="O466">
            <v>364288</v>
          </cell>
          <cell r="P466" t="str">
            <v>2023/152-0026-01</v>
          </cell>
          <cell r="Q466" t="str">
            <v>EST CADEIRA CACAU (NOGAL) (LATAO) TC 1000 - 1316</v>
          </cell>
          <cell r="R466"/>
          <cell r="S466"/>
          <cell r="T466">
            <v>0.5</v>
          </cell>
          <cell r="U466">
            <v>0.61</v>
          </cell>
          <cell r="V466">
            <v>0.84</v>
          </cell>
          <cell r="W466">
            <v>0</v>
          </cell>
          <cell r="X466" t="str">
            <v>EST CADEIRA CACAU (NOGAL) (LATAO) TC 1000 - 1316 - 0,5x0,61x0,84H</v>
          </cell>
          <cell r="Y466">
            <v>4625.6400000000003</v>
          </cell>
          <cell r="Z466">
            <v>0.35</v>
          </cell>
          <cell r="AA466">
            <v>3006.6660000000002</v>
          </cell>
          <cell r="AB466"/>
        </row>
        <row r="467">
          <cell r="C467">
            <v>0</v>
          </cell>
          <cell r="D467">
            <v>0</v>
          </cell>
          <cell r="E467">
            <v>6</v>
          </cell>
          <cell r="F467">
            <v>0</v>
          </cell>
          <cell r="H467">
            <v>0</v>
          </cell>
          <cell r="O467">
            <v>364288</v>
          </cell>
          <cell r="P467" t="str">
            <v>2023/152-0027-01</v>
          </cell>
          <cell r="Q467" t="str">
            <v>EST CADEIRA CACAU (NOGAL) (LATAO) TC 1000 - 1316</v>
          </cell>
          <cell r="R467"/>
          <cell r="S467"/>
          <cell r="T467">
            <v>0.5</v>
          </cell>
          <cell r="U467">
            <v>0.61</v>
          </cell>
          <cell r="V467">
            <v>0.84</v>
          </cell>
          <cell r="W467">
            <v>0</v>
          </cell>
          <cell r="X467" t="str">
            <v>EST CADEIRA CACAU (NOGAL) (LATAO) TC 1000 - 1316 - 0,5x0,61x0,84H</v>
          </cell>
          <cell r="Y467">
            <v>4625.6400000000003</v>
          </cell>
          <cell r="Z467">
            <v>0.35</v>
          </cell>
          <cell r="AA467">
            <v>3006.6660000000002</v>
          </cell>
          <cell r="AB467"/>
        </row>
        <row r="468">
          <cell r="C468">
            <v>0</v>
          </cell>
          <cell r="D468">
            <v>0</v>
          </cell>
          <cell r="E468">
            <v>6</v>
          </cell>
          <cell r="F468">
            <v>0</v>
          </cell>
          <cell r="H468">
            <v>0</v>
          </cell>
          <cell r="O468">
            <v>364288</v>
          </cell>
          <cell r="P468" t="str">
            <v>2023/152-0028-01</v>
          </cell>
          <cell r="Q468" t="str">
            <v>EST CADEIRA CACAU (NOGAL) (LATAO) TC 1000 - 1316</v>
          </cell>
          <cell r="R468"/>
          <cell r="S468"/>
          <cell r="T468">
            <v>0.5</v>
          </cell>
          <cell r="U468">
            <v>0.61</v>
          </cell>
          <cell r="V468">
            <v>0.84</v>
          </cell>
          <cell r="W468">
            <v>0</v>
          </cell>
          <cell r="X468" t="str">
            <v>EST CADEIRA CACAU (NOGAL) (LATAO) TC 1000 - 1316 - 0,5x0,61x0,84H</v>
          </cell>
          <cell r="Y468">
            <v>4625.6400000000003</v>
          </cell>
          <cell r="Z468">
            <v>0.35</v>
          </cell>
          <cell r="AA468">
            <v>3006.6660000000002</v>
          </cell>
          <cell r="AB468"/>
        </row>
        <row r="469">
          <cell r="C469">
            <v>0</v>
          </cell>
          <cell r="D469">
            <v>0</v>
          </cell>
          <cell r="E469">
            <v>6</v>
          </cell>
          <cell r="F469">
            <v>0</v>
          </cell>
          <cell r="H469">
            <v>0</v>
          </cell>
          <cell r="O469">
            <v>364288</v>
          </cell>
          <cell r="P469" t="str">
            <v>2023/152-0029-01</v>
          </cell>
          <cell r="Q469" t="str">
            <v>EST CADEIRA CACAU (NOGAL) (LATAO) TC 1000 - 1316</v>
          </cell>
          <cell r="R469"/>
          <cell r="S469"/>
          <cell r="T469">
            <v>0.5</v>
          </cell>
          <cell r="U469">
            <v>0.61</v>
          </cell>
          <cell r="V469">
            <v>0.84</v>
          </cell>
          <cell r="W469">
            <v>0</v>
          </cell>
          <cell r="X469" t="str">
            <v>EST CADEIRA CACAU (NOGAL) (LATAO) TC 1000 - 1316 - 0,5x0,61x0,84H</v>
          </cell>
          <cell r="Y469">
            <v>4625.6400000000003</v>
          </cell>
          <cell r="Z469">
            <v>0.35</v>
          </cell>
          <cell r="AA469">
            <v>3006.6660000000002</v>
          </cell>
          <cell r="AB469"/>
        </row>
        <row r="470">
          <cell r="C470">
            <v>0</v>
          </cell>
          <cell r="D470">
            <v>0</v>
          </cell>
          <cell r="E470">
            <v>6</v>
          </cell>
          <cell r="F470">
            <v>0</v>
          </cell>
          <cell r="H470">
            <v>0</v>
          </cell>
          <cell r="O470">
            <v>364288</v>
          </cell>
          <cell r="P470" t="str">
            <v>2023/152-0030-01</v>
          </cell>
          <cell r="Q470" t="str">
            <v>EST CADEIRA CACAU (NOGAL) (LATAO) TC 1000 - 1316</v>
          </cell>
          <cell r="R470"/>
          <cell r="S470"/>
          <cell r="T470">
            <v>0.5</v>
          </cell>
          <cell r="U470">
            <v>0.61</v>
          </cell>
          <cell r="V470">
            <v>0.84</v>
          </cell>
          <cell r="W470">
            <v>0</v>
          </cell>
          <cell r="X470" t="str">
            <v>EST CADEIRA CACAU (NOGAL) (LATAO) TC 1000 - 1316 - 0,5x0,61x0,84H</v>
          </cell>
          <cell r="Y470">
            <v>4625.6400000000003</v>
          </cell>
          <cell r="Z470">
            <v>0.35</v>
          </cell>
          <cell r="AA470">
            <v>3006.6660000000002</v>
          </cell>
          <cell r="AB470"/>
        </row>
        <row r="471">
          <cell r="C471">
            <v>0</v>
          </cell>
          <cell r="D471">
            <v>0</v>
          </cell>
          <cell r="E471">
            <v>1</v>
          </cell>
          <cell r="F471">
            <v>1</v>
          </cell>
          <cell r="H471">
            <v>0</v>
          </cell>
          <cell r="O471">
            <v>378169</v>
          </cell>
          <cell r="P471" t="str">
            <v>2024/023-0006-01</v>
          </cell>
          <cell r="Q471" t="str">
            <v>EST TAPETE SISAL CY (BARRA VIRADA)</v>
          </cell>
          <cell r="R471"/>
          <cell r="S471"/>
          <cell r="T471">
            <v>4</v>
          </cell>
          <cell r="U471">
            <v>0</v>
          </cell>
          <cell r="V471">
            <v>0</v>
          </cell>
          <cell r="W471">
            <v>4</v>
          </cell>
          <cell r="X471" t="str">
            <v>EST TAPETE SISAL CY (BARRA VIRADA) - Ø4x0H</v>
          </cell>
          <cell r="Y471">
            <v>7123.2</v>
          </cell>
          <cell r="Z471">
            <v>0.35</v>
          </cell>
          <cell r="AA471">
            <v>4630.08</v>
          </cell>
          <cell r="AB471"/>
        </row>
        <row r="472">
          <cell r="C472">
            <v>1</v>
          </cell>
          <cell r="D472">
            <v>0</v>
          </cell>
          <cell r="E472">
            <v>2</v>
          </cell>
          <cell r="F472">
            <v>7</v>
          </cell>
          <cell r="H472">
            <v>0</v>
          </cell>
          <cell r="O472">
            <v>380352</v>
          </cell>
          <cell r="P472" t="str">
            <v>2024/065-0081-01</v>
          </cell>
          <cell r="Q472" t="str">
            <v>EST ALMOFADA DECORATIVA MONDRIAN (ITAJIME SHIBORI)</v>
          </cell>
          <cell r="R472"/>
          <cell r="S472"/>
          <cell r="T472">
            <v>0.6</v>
          </cell>
          <cell r="U472">
            <v>0.3</v>
          </cell>
          <cell r="V472">
            <v>0</v>
          </cell>
          <cell r="W472">
            <v>0</v>
          </cell>
          <cell r="X472" t="str">
            <v>EST ALMOFADA DECORATIVA MONDRIAN (ITAJIME SHIBORI) - 0,6x0,3x0H</v>
          </cell>
          <cell r="Y472">
            <v>1466.84</v>
          </cell>
          <cell r="Z472">
            <v>0.35</v>
          </cell>
          <cell r="AA472">
            <v>953.44600000000003</v>
          </cell>
          <cell r="AB472"/>
        </row>
        <row r="473">
          <cell r="C473">
            <v>1</v>
          </cell>
          <cell r="D473">
            <v>0</v>
          </cell>
          <cell r="E473">
            <v>2</v>
          </cell>
          <cell r="F473">
            <v>7</v>
          </cell>
          <cell r="H473">
            <v>0</v>
          </cell>
          <cell r="O473">
            <v>380352</v>
          </cell>
          <cell r="P473" t="str">
            <v>2024/065-0082-01</v>
          </cell>
          <cell r="Q473" t="str">
            <v>EST ALMOFADA DECORATIVA MONDRIAN (ITAJIME SHIBORI)</v>
          </cell>
          <cell r="R473"/>
          <cell r="S473"/>
          <cell r="T473">
            <v>0.6</v>
          </cell>
          <cell r="U473">
            <v>0.3</v>
          </cell>
          <cell r="V473">
            <v>0</v>
          </cell>
          <cell r="W473">
            <v>0</v>
          </cell>
          <cell r="X473" t="str">
            <v>EST ALMOFADA DECORATIVA MONDRIAN (ITAJIME SHIBORI) - 0,6x0,3x0H</v>
          </cell>
          <cell r="Y473">
            <v>1466.84</v>
          </cell>
          <cell r="Z473">
            <v>0.35</v>
          </cell>
          <cell r="AA473">
            <v>953.44600000000003</v>
          </cell>
          <cell r="AB473"/>
        </row>
        <row r="474">
          <cell r="C474">
            <v>0</v>
          </cell>
          <cell r="D474">
            <v>0</v>
          </cell>
          <cell r="E474">
            <v>6</v>
          </cell>
          <cell r="F474">
            <v>0</v>
          </cell>
          <cell r="H474">
            <v>0</v>
          </cell>
          <cell r="O474">
            <v>387660</v>
          </cell>
          <cell r="P474" t="str">
            <v>2024/206-0053-01</v>
          </cell>
          <cell r="Q474" t="str">
            <v>EST CADEIRA MIRIAM (AMENDOA) TC PREMIUM P016</v>
          </cell>
          <cell r="R474"/>
          <cell r="S474"/>
          <cell r="T474">
            <v>0.55000000000000004</v>
          </cell>
          <cell r="U474">
            <v>0.51</v>
          </cell>
          <cell r="V474">
            <v>0.78</v>
          </cell>
          <cell r="W474">
            <v>0</v>
          </cell>
          <cell r="X474" t="str">
            <v>EST CADEIRA MIRIAM (AMENDOA) TC PREMIUM P016 - 0,55x0,51x0,78H</v>
          </cell>
          <cell r="Y474">
            <v>4474.8500000000004</v>
          </cell>
          <cell r="Z474">
            <v>0.35</v>
          </cell>
          <cell r="AA474">
            <v>2908.6525000000001</v>
          </cell>
          <cell r="AB474"/>
        </row>
        <row r="475">
          <cell r="C475">
            <v>0</v>
          </cell>
          <cell r="D475">
            <v>0</v>
          </cell>
          <cell r="E475">
            <v>6</v>
          </cell>
          <cell r="F475">
            <v>0</v>
          </cell>
          <cell r="H475">
            <v>0</v>
          </cell>
          <cell r="O475">
            <v>387660</v>
          </cell>
          <cell r="P475" t="str">
            <v>2024/206-0054-01</v>
          </cell>
          <cell r="Q475" t="str">
            <v>EST CADEIRA MIRIAM (AMENDOA) TC PREMIUM P016</v>
          </cell>
          <cell r="R475"/>
          <cell r="S475"/>
          <cell r="T475">
            <v>0.55000000000000004</v>
          </cell>
          <cell r="U475">
            <v>0.51</v>
          </cell>
          <cell r="V475">
            <v>0.78</v>
          </cell>
          <cell r="W475">
            <v>0</v>
          </cell>
          <cell r="X475" t="str">
            <v>EST CADEIRA MIRIAM (AMENDOA) TC PREMIUM P016 - 0,55x0,51x0,78H</v>
          </cell>
          <cell r="Y475">
            <v>4474.8500000000004</v>
          </cell>
          <cell r="Z475">
            <v>0.35</v>
          </cell>
          <cell r="AA475">
            <v>2908.6525000000001</v>
          </cell>
          <cell r="AB475"/>
        </row>
        <row r="476">
          <cell r="C476">
            <v>0</v>
          </cell>
          <cell r="D476">
            <v>0</v>
          </cell>
          <cell r="E476">
            <v>6</v>
          </cell>
          <cell r="F476">
            <v>0</v>
          </cell>
          <cell r="H476">
            <v>0</v>
          </cell>
          <cell r="O476">
            <v>387660</v>
          </cell>
          <cell r="P476" t="str">
            <v>2024/206-0055-01</v>
          </cell>
          <cell r="Q476" t="str">
            <v>EST CADEIRA MIRIAM (AMENDOA) TC PREMIUM P016</v>
          </cell>
          <cell r="R476"/>
          <cell r="S476"/>
          <cell r="T476">
            <v>0.55000000000000004</v>
          </cell>
          <cell r="U476">
            <v>0.51</v>
          </cell>
          <cell r="V476">
            <v>0.78</v>
          </cell>
          <cell r="W476">
            <v>0</v>
          </cell>
          <cell r="X476" t="str">
            <v>EST CADEIRA MIRIAM (AMENDOA) TC PREMIUM P016 - 0,55x0,51x0,78H</v>
          </cell>
          <cell r="Y476">
            <v>4474.8500000000004</v>
          </cell>
          <cell r="Z476">
            <v>0.35</v>
          </cell>
          <cell r="AA476">
            <v>2908.6525000000001</v>
          </cell>
          <cell r="AB476"/>
        </row>
        <row r="477">
          <cell r="C477">
            <v>0</v>
          </cell>
          <cell r="D477">
            <v>0</v>
          </cell>
          <cell r="E477">
            <v>6</v>
          </cell>
          <cell r="F477">
            <v>0</v>
          </cell>
          <cell r="H477">
            <v>0</v>
          </cell>
          <cell r="O477">
            <v>387660</v>
          </cell>
          <cell r="P477" t="str">
            <v>2024/206-0056-01</v>
          </cell>
          <cell r="Q477" t="str">
            <v>EST CADEIRA MIRIAM (AMENDOA) TC PREMIUM P016</v>
          </cell>
          <cell r="R477"/>
          <cell r="S477"/>
          <cell r="T477">
            <v>0.55000000000000004</v>
          </cell>
          <cell r="U477">
            <v>0.51</v>
          </cell>
          <cell r="V477">
            <v>0.78</v>
          </cell>
          <cell r="W477">
            <v>0</v>
          </cell>
          <cell r="X477" t="str">
            <v>EST CADEIRA MIRIAM (AMENDOA) TC PREMIUM P016 - 0,55x0,51x0,78H</v>
          </cell>
          <cell r="Y477">
            <v>4474.8500000000004</v>
          </cell>
          <cell r="Z477">
            <v>0.35</v>
          </cell>
          <cell r="AA477">
            <v>2908.6525000000001</v>
          </cell>
          <cell r="AB477"/>
        </row>
        <row r="478">
          <cell r="C478">
            <v>0</v>
          </cell>
          <cell r="D478">
            <v>0</v>
          </cell>
          <cell r="E478">
            <v>6</v>
          </cell>
          <cell r="F478">
            <v>0</v>
          </cell>
          <cell r="H478">
            <v>0</v>
          </cell>
          <cell r="O478">
            <v>387660</v>
          </cell>
          <cell r="P478" t="str">
            <v>2024/206-0057-01</v>
          </cell>
          <cell r="Q478" t="str">
            <v>EST CADEIRA MIRIAM (AMENDOA) TC PREMIUM P016</v>
          </cell>
          <cell r="R478"/>
          <cell r="S478"/>
          <cell r="T478">
            <v>0.55000000000000004</v>
          </cell>
          <cell r="U478">
            <v>0.51</v>
          </cell>
          <cell r="V478">
            <v>0.78</v>
          </cell>
          <cell r="W478">
            <v>0</v>
          </cell>
          <cell r="X478" t="str">
            <v>EST CADEIRA MIRIAM (AMENDOA) TC PREMIUM P016 - 0,55x0,51x0,78H</v>
          </cell>
          <cell r="Y478">
            <v>4474.8500000000004</v>
          </cell>
          <cell r="Z478">
            <v>0.35</v>
          </cell>
          <cell r="AA478">
            <v>2908.6525000000001</v>
          </cell>
          <cell r="AB478"/>
        </row>
        <row r="479">
          <cell r="C479">
            <v>0</v>
          </cell>
          <cell r="D479">
            <v>0</v>
          </cell>
          <cell r="E479">
            <v>6</v>
          </cell>
          <cell r="F479">
            <v>0</v>
          </cell>
          <cell r="H479">
            <v>0</v>
          </cell>
          <cell r="O479">
            <v>387660</v>
          </cell>
          <cell r="P479" t="str">
            <v>2024/206-0058-01</v>
          </cell>
          <cell r="Q479" t="str">
            <v>EST CADEIRA MIRIAM (AMENDOA) TC PREMIUM P016</v>
          </cell>
          <cell r="R479"/>
          <cell r="S479"/>
          <cell r="T479">
            <v>0.55000000000000004</v>
          </cell>
          <cell r="U479">
            <v>0.51</v>
          </cell>
          <cell r="V479">
            <v>0.78</v>
          </cell>
          <cell r="W479">
            <v>0</v>
          </cell>
          <cell r="X479" t="str">
            <v>EST CADEIRA MIRIAM (AMENDOA) TC PREMIUM P016 - 0,55x0,51x0,78H</v>
          </cell>
          <cell r="Y479">
            <v>4474.8500000000004</v>
          </cell>
          <cell r="Z479">
            <v>0.35</v>
          </cell>
          <cell r="AA479">
            <v>2908.6525000000001</v>
          </cell>
          <cell r="AB479"/>
        </row>
        <row r="480">
          <cell r="C480">
            <v>0</v>
          </cell>
          <cell r="D480">
            <v>0</v>
          </cell>
          <cell r="E480">
            <v>2</v>
          </cell>
          <cell r="F480">
            <v>0</v>
          </cell>
          <cell r="H480">
            <v>0</v>
          </cell>
          <cell r="O480">
            <v>387686</v>
          </cell>
          <cell r="P480" t="str">
            <v>2024/194-0013-01</v>
          </cell>
          <cell r="Q480" t="str">
            <v>EST ESTANTE ABRIGO (AMENDOA) SEMI CAPUCCINO</v>
          </cell>
          <cell r="R480"/>
          <cell r="S480"/>
          <cell r="T480">
            <v>1.2</v>
          </cell>
          <cell r="U480">
            <v>0.4</v>
          </cell>
          <cell r="V480">
            <v>1.88</v>
          </cell>
          <cell r="W480">
            <v>0</v>
          </cell>
          <cell r="X480" t="str">
            <v>EST ESTANTE ABRIGO (AMENDOA) SEMI CAPUCCINO - 1,2x0,4x1,88H</v>
          </cell>
          <cell r="Y480">
            <v>8633.0499999999993</v>
          </cell>
          <cell r="Z480">
            <v>0.35</v>
          </cell>
          <cell r="AA480">
            <v>5611.4825000000001</v>
          </cell>
          <cell r="AB480"/>
        </row>
        <row r="481">
          <cell r="C481">
            <v>0</v>
          </cell>
          <cell r="D481">
            <v>0</v>
          </cell>
          <cell r="E481">
            <v>2</v>
          </cell>
          <cell r="F481">
            <v>0</v>
          </cell>
          <cell r="H481">
            <v>0</v>
          </cell>
          <cell r="O481">
            <v>387686</v>
          </cell>
          <cell r="P481" t="str">
            <v>2024/194-0014-01</v>
          </cell>
          <cell r="Q481" t="str">
            <v>EST ESTANTE ABRIGO (AMENDOA) SEMI CAPUCCINO</v>
          </cell>
          <cell r="R481"/>
          <cell r="S481"/>
          <cell r="T481">
            <v>1.2</v>
          </cell>
          <cell r="U481">
            <v>0.4</v>
          </cell>
          <cell r="V481">
            <v>1.88</v>
          </cell>
          <cell r="W481">
            <v>0</v>
          </cell>
          <cell r="X481" t="str">
            <v>EST ESTANTE ABRIGO (AMENDOA) SEMI CAPUCCINO - 1,2x0,4x1,88H</v>
          </cell>
          <cell r="Y481">
            <v>8633.0499999999993</v>
          </cell>
          <cell r="Z481">
            <v>0.35</v>
          </cell>
          <cell r="AA481">
            <v>5611.4825000000001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H482">
            <v>1</v>
          </cell>
          <cell r="O482">
            <v>387702</v>
          </cell>
          <cell r="P482" t="str">
            <v>2024/194-0021-01</v>
          </cell>
          <cell r="Q482" t="str">
            <v>EST MESA CENTRO PLANALTO (TP LAM LOURO) BS SEMI CAPUCCINO</v>
          </cell>
          <cell r="R482"/>
          <cell r="S482"/>
          <cell r="T482">
            <v>0.95</v>
          </cell>
          <cell r="U482">
            <v>0.95</v>
          </cell>
          <cell r="V482">
            <v>0.3</v>
          </cell>
          <cell r="W482">
            <v>0</v>
          </cell>
          <cell r="X482" t="str">
            <v>EST MESA CENTRO PLANALTO (TP LAM LOURO) BS SEMI CAPUCCINO - 0,95x0,95x0,3H</v>
          </cell>
          <cell r="Y482">
            <v>6913.98</v>
          </cell>
          <cell r="Z482">
            <v>0.35</v>
          </cell>
          <cell r="AA482">
            <v>4494.0869999999995</v>
          </cell>
          <cell r="AB482"/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H483">
            <v>1</v>
          </cell>
          <cell r="O483">
            <v>387708</v>
          </cell>
          <cell r="P483" t="str">
            <v>2024/194-0023-01</v>
          </cell>
          <cell r="Q483" t="str">
            <v>EST MESA CENTRO PLANALTO (TP LAM LOURO) BS SEMI CAPUCCINO</v>
          </cell>
          <cell r="R483"/>
          <cell r="S483"/>
          <cell r="T483">
            <v>1.1499999999999999</v>
          </cell>
          <cell r="U483">
            <v>1.1499999999999999</v>
          </cell>
          <cell r="V483">
            <v>0.25</v>
          </cell>
          <cell r="W483">
            <v>0</v>
          </cell>
          <cell r="X483" t="str">
            <v>EST MESA CENTRO PLANALTO (TP LAM LOURO) BS SEMI CAPUCCINO - 1,15x1,15x0,25H</v>
          </cell>
          <cell r="Y483">
            <v>7551.08</v>
          </cell>
          <cell r="Z483">
            <v>0.35</v>
          </cell>
          <cell r="AA483">
            <v>4908.2020000000002</v>
          </cell>
          <cell r="AB483"/>
        </row>
        <row r="484">
          <cell r="C484">
            <v>0</v>
          </cell>
          <cell r="D484">
            <v>0</v>
          </cell>
          <cell r="E484">
            <v>1</v>
          </cell>
          <cell r="F484">
            <v>0</v>
          </cell>
          <cell r="H484">
            <v>0</v>
          </cell>
          <cell r="O484">
            <v>387718</v>
          </cell>
          <cell r="P484" t="str">
            <v>2024/194-0026-01</v>
          </cell>
          <cell r="Q484" t="str">
            <v>EST MESA LATERAL PLANALTO (TP/BS LAM LOURO)</v>
          </cell>
          <cell r="R484"/>
          <cell r="S484"/>
          <cell r="T484">
            <v>0.65</v>
          </cell>
          <cell r="U484">
            <v>0.65</v>
          </cell>
          <cell r="V484">
            <v>0.5</v>
          </cell>
          <cell r="W484">
            <v>0</v>
          </cell>
          <cell r="X484" t="str">
            <v>EST MESA LATERAL PLANALTO (TP/BS LAM LOURO) - 0,65x0,65x0,5H</v>
          </cell>
          <cell r="Y484">
            <v>5835.78</v>
          </cell>
          <cell r="Z484">
            <v>0.35</v>
          </cell>
          <cell r="AA484">
            <v>3793.2570000000001</v>
          </cell>
          <cell r="AB484"/>
        </row>
        <row r="485">
          <cell r="C485">
            <v>0</v>
          </cell>
          <cell r="D485">
            <v>0</v>
          </cell>
          <cell r="E485">
            <v>1</v>
          </cell>
          <cell r="F485">
            <v>0</v>
          </cell>
          <cell r="H485">
            <v>0</v>
          </cell>
          <cell r="O485">
            <v>387730</v>
          </cell>
          <cell r="P485" t="str">
            <v>2024/206-0095-01</v>
          </cell>
          <cell r="Q485" t="str">
            <v>EST MESA JANTAR ORIENTE (TP/BS LAM LOURO) MTZ CHAMP</v>
          </cell>
          <cell r="R485"/>
          <cell r="S485"/>
          <cell r="T485">
            <v>2.78</v>
          </cell>
          <cell r="U485">
            <v>1.2</v>
          </cell>
          <cell r="V485">
            <v>0.76</v>
          </cell>
          <cell r="W485">
            <v>0</v>
          </cell>
          <cell r="X485" t="str">
            <v>EST MESA JANTAR ORIENTE (TP/BS LAM LOURO) MTZ CHAMP - 2,78x1,2x0,76H</v>
          </cell>
          <cell r="Y485">
            <v>24289.4</v>
          </cell>
          <cell r="Z485">
            <v>0.35</v>
          </cell>
          <cell r="AA485">
            <v>15788.11</v>
          </cell>
          <cell r="AB485"/>
        </row>
        <row r="486">
          <cell r="C486">
            <v>0</v>
          </cell>
          <cell r="D486">
            <v>0</v>
          </cell>
          <cell r="E486">
            <v>1</v>
          </cell>
          <cell r="F486">
            <v>0</v>
          </cell>
          <cell r="H486">
            <v>0</v>
          </cell>
          <cell r="O486">
            <v>387732</v>
          </cell>
          <cell r="P486" t="str">
            <v>2024/194-0030-01</v>
          </cell>
          <cell r="Q486" t="str">
            <v>EST MESA LATERAL COPA (TP/BS AMENDOA) SEMI CAFE</v>
          </cell>
          <cell r="R486"/>
          <cell r="S486"/>
          <cell r="T486">
            <v>0.37</v>
          </cell>
          <cell r="U486">
            <v>0.35</v>
          </cell>
          <cell r="V486">
            <v>0.45</v>
          </cell>
          <cell r="W486">
            <v>0</v>
          </cell>
          <cell r="X486" t="str">
            <v>EST MESA LATERAL COPA (TP/BS AMENDOA) SEMI CAFE - 0,37x0,35x0,45H</v>
          </cell>
          <cell r="Y486">
            <v>4753.82</v>
          </cell>
          <cell r="Z486">
            <v>0.35</v>
          </cell>
          <cell r="AA486">
            <v>3089.9830000000002</v>
          </cell>
          <cell r="AB486"/>
        </row>
        <row r="487">
          <cell r="C487">
            <v>0</v>
          </cell>
          <cell r="D487">
            <v>0</v>
          </cell>
          <cell r="E487">
            <v>2</v>
          </cell>
          <cell r="F487">
            <v>0</v>
          </cell>
          <cell r="H487">
            <v>0</v>
          </cell>
          <cell r="O487">
            <v>390615</v>
          </cell>
          <cell r="P487" t="str">
            <v>2024/276-0057-01</v>
          </cell>
          <cell r="Q487" t="str">
            <v>EST POLTRONA ANGELINA (DAMASCO) TC BELLAGIO 500</v>
          </cell>
          <cell r="R487"/>
          <cell r="S487"/>
          <cell r="T487">
            <v>0.79</v>
          </cell>
          <cell r="U487">
            <v>0.57999999999999996</v>
          </cell>
          <cell r="V487">
            <v>0.79</v>
          </cell>
          <cell r="W487">
            <v>0</v>
          </cell>
          <cell r="X487" t="str">
            <v>EST POLTRONA ANGELINA (DAMASCO) TC BELLAGIO 500 - 0,79x0,58x0,79H</v>
          </cell>
          <cell r="Y487">
            <v>16152.244000000001</v>
          </cell>
          <cell r="Z487">
            <v>0.35</v>
          </cell>
          <cell r="AA487">
            <v>10498.958600000002</v>
          </cell>
          <cell r="AB487"/>
        </row>
        <row r="488">
          <cell r="C488">
            <v>0</v>
          </cell>
          <cell r="D488">
            <v>0</v>
          </cell>
          <cell r="E488">
            <v>2</v>
          </cell>
          <cell r="F488">
            <v>0</v>
          </cell>
          <cell r="H488">
            <v>0</v>
          </cell>
          <cell r="O488">
            <v>390615</v>
          </cell>
          <cell r="P488" t="str">
            <v>2024/276-0058-01</v>
          </cell>
          <cell r="Q488" t="str">
            <v>EST POLTRONA ANGELINA (DAMASCO) TC BELLAGIO 500</v>
          </cell>
          <cell r="R488"/>
          <cell r="S488"/>
          <cell r="T488">
            <v>0.79</v>
          </cell>
          <cell r="U488">
            <v>0.57999999999999996</v>
          </cell>
          <cell r="V488">
            <v>0.79</v>
          </cell>
          <cell r="W488">
            <v>0</v>
          </cell>
          <cell r="X488" t="str">
            <v>EST POLTRONA ANGELINA (DAMASCO) TC BELLAGIO 500 - 0,79x0,58x0,79H</v>
          </cell>
          <cell r="Y488">
            <v>16152.244000000001</v>
          </cell>
          <cell r="Z488">
            <v>0.35</v>
          </cell>
          <cell r="AA488">
            <v>10498.958600000002</v>
          </cell>
          <cell r="AB488"/>
        </row>
        <row r="489">
          <cell r="C489">
            <v>0</v>
          </cell>
          <cell r="D489">
            <v>0</v>
          </cell>
          <cell r="E489">
            <v>1</v>
          </cell>
          <cell r="F489">
            <v>0</v>
          </cell>
          <cell r="H489">
            <v>0</v>
          </cell>
          <cell r="O489">
            <v>101806</v>
          </cell>
          <cell r="P489" t="str">
            <v>2022/311-0024-01</v>
          </cell>
          <cell r="Q489" t="str">
            <v>EST BANDEJA MADAM BUTTERFLY GRAFITE</v>
          </cell>
          <cell r="R489"/>
          <cell r="S489"/>
          <cell r="T489">
            <v>0.36</v>
          </cell>
          <cell r="U489">
            <v>0</v>
          </cell>
          <cell r="V489">
            <v>7.0000000000000007E-2</v>
          </cell>
          <cell r="W489">
            <v>0.36</v>
          </cell>
          <cell r="X489" t="str">
            <v>EST BANDEJA MADAM BUTTERFLY GRAFITE - Ø0,36x0,07H</v>
          </cell>
          <cell r="Y489">
            <v>1431.45</v>
          </cell>
          <cell r="Z489">
            <v>0.5</v>
          </cell>
          <cell r="AA489">
            <v>715.72500000000002</v>
          </cell>
          <cell r="AB489"/>
        </row>
        <row r="490">
          <cell r="C490">
            <v>0</v>
          </cell>
          <cell r="D490">
            <v>0</v>
          </cell>
          <cell r="E490">
            <v>2</v>
          </cell>
          <cell r="F490">
            <v>0</v>
          </cell>
          <cell r="H490">
            <v>0</v>
          </cell>
          <cell r="O490">
            <v>261017</v>
          </cell>
          <cell r="P490" t="str">
            <v>2020/084-0056-01</v>
          </cell>
          <cell r="Q490" t="str">
            <v>EST VASO CILINDRO ONDO LA MOUSSE (CERAMICA VERDE)</v>
          </cell>
          <cell r="R490"/>
          <cell r="S490"/>
          <cell r="T490">
            <v>0</v>
          </cell>
          <cell r="U490">
            <v>0.17</v>
          </cell>
          <cell r="V490">
            <v>0.27</v>
          </cell>
          <cell r="W490">
            <v>0</v>
          </cell>
          <cell r="X490" t="str">
            <v>EST VASO CILINDRO ONDO LA MOUSSE (CERAMICA VERDE) - 0x0,17x0,27H</v>
          </cell>
          <cell r="Y490">
            <v>1209.5999999999999</v>
          </cell>
          <cell r="Z490">
            <v>0.5</v>
          </cell>
          <cell r="AA490">
            <v>604.79999999999995</v>
          </cell>
          <cell r="AB490"/>
        </row>
        <row r="491">
          <cell r="C491">
            <v>0</v>
          </cell>
          <cell r="D491">
            <v>0</v>
          </cell>
          <cell r="E491">
            <v>2</v>
          </cell>
          <cell r="F491">
            <v>0</v>
          </cell>
          <cell r="H491">
            <v>0</v>
          </cell>
          <cell r="O491">
            <v>261017</v>
          </cell>
          <cell r="P491" t="str">
            <v>2020/084-0057-01</v>
          </cell>
          <cell r="Q491" t="str">
            <v>EST VASO CILINDRO ONDO LA MOUSSE (CERAMICA VERDE)</v>
          </cell>
          <cell r="R491"/>
          <cell r="S491"/>
          <cell r="T491">
            <v>0</v>
          </cell>
          <cell r="U491">
            <v>0.17</v>
          </cell>
          <cell r="V491">
            <v>0.27</v>
          </cell>
          <cell r="W491">
            <v>0</v>
          </cell>
          <cell r="X491" t="str">
            <v>EST VASO CILINDRO ONDO LA MOUSSE (CERAMICA VERDE) - 0x0,17x0,27H</v>
          </cell>
          <cell r="Y491">
            <v>1209.5999999999999</v>
          </cell>
          <cell r="Z491">
            <v>0.5</v>
          </cell>
          <cell r="AA491">
            <v>604.79999999999995</v>
          </cell>
          <cell r="AB491"/>
        </row>
        <row r="492">
          <cell r="C492">
            <v>0</v>
          </cell>
          <cell r="D492">
            <v>0</v>
          </cell>
          <cell r="E492">
            <v>1</v>
          </cell>
          <cell r="F492">
            <v>0</v>
          </cell>
          <cell r="H492">
            <v>0</v>
          </cell>
          <cell r="O492">
            <v>271718</v>
          </cell>
          <cell r="P492" t="str">
            <v>2021/013-0041-01</v>
          </cell>
          <cell r="Q492" t="str">
            <v>EST ABATJOUR OCA INOX VIDRO REDOMA</v>
          </cell>
          <cell r="R492"/>
          <cell r="S492"/>
          <cell r="T492">
            <v>0.17</v>
          </cell>
          <cell r="U492">
            <v>0.17</v>
          </cell>
          <cell r="V492">
            <v>0.42</v>
          </cell>
          <cell r="W492">
            <v>0</v>
          </cell>
          <cell r="X492" t="str">
            <v>EST ABATJOUR OCA INOX VIDRO REDOMA - 0,17x0,17x0,42H</v>
          </cell>
          <cell r="Y492">
            <v>2647.41</v>
          </cell>
          <cell r="Z492">
            <v>0.5</v>
          </cell>
          <cell r="AA492">
            <v>1323.7049999999999</v>
          </cell>
          <cell r="AB492"/>
        </row>
        <row r="493">
          <cell r="C493">
            <v>1</v>
          </cell>
          <cell r="D493">
            <v>0</v>
          </cell>
          <cell r="E493">
            <v>1</v>
          </cell>
          <cell r="F493">
            <v>0</v>
          </cell>
          <cell r="H493">
            <v>0</v>
          </cell>
          <cell r="O493">
            <v>271719</v>
          </cell>
          <cell r="P493" t="str">
            <v>2020/353-0062-01</v>
          </cell>
          <cell r="Q493" t="str">
            <v>EST ABATJOUR DUE INOX BOWL METAL</v>
          </cell>
          <cell r="R493"/>
          <cell r="S493"/>
          <cell r="T493">
            <v>0.19</v>
          </cell>
          <cell r="U493">
            <v>0.19</v>
          </cell>
          <cell r="V493">
            <v>0.67</v>
          </cell>
          <cell r="W493">
            <v>0</v>
          </cell>
          <cell r="X493" t="str">
            <v>EST ABATJOUR DUE INOX BOWL METAL - 0,19x0,19x0,67H</v>
          </cell>
          <cell r="Y493">
            <v>3609.63</v>
          </cell>
          <cell r="Z493">
            <v>0.5</v>
          </cell>
          <cell r="AA493">
            <v>1804.8150000000001</v>
          </cell>
          <cell r="AB493"/>
        </row>
        <row r="494">
          <cell r="C494">
            <v>2</v>
          </cell>
          <cell r="D494">
            <v>0</v>
          </cell>
          <cell r="E494">
            <v>2</v>
          </cell>
          <cell r="F494">
            <v>0</v>
          </cell>
          <cell r="H494">
            <v>0</v>
          </cell>
          <cell r="O494">
            <v>271720</v>
          </cell>
          <cell r="P494" t="str">
            <v>2020/353-0063-01</v>
          </cell>
          <cell r="Q494" t="str">
            <v>EST ABATJOUR UNO INOX BS MAD PTO REDOMA VD</v>
          </cell>
          <cell r="R494"/>
          <cell r="S494"/>
          <cell r="T494">
            <v>0.21</v>
          </cell>
          <cell r="U494">
            <v>0.15</v>
          </cell>
          <cell r="V494">
            <v>0.59</v>
          </cell>
          <cell r="W494">
            <v>0</v>
          </cell>
          <cell r="X494" t="str">
            <v>EST ABATJOUR UNO INOX BS MAD PTO REDOMA VD - 0,21x0,15x0,59H</v>
          </cell>
          <cell r="Y494">
            <v>2862.81</v>
          </cell>
          <cell r="Z494">
            <v>0.5</v>
          </cell>
          <cell r="AA494">
            <v>1431.405</v>
          </cell>
          <cell r="AB494"/>
        </row>
        <row r="495">
          <cell r="C495">
            <v>2</v>
          </cell>
          <cell r="D495">
            <v>0</v>
          </cell>
          <cell r="E495">
            <v>2</v>
          </cell>
          <cell r="F495">
            <v>0</v>
          </cell>
          <cell r="H495">
            <v>0</v>
          </cell>
          <cell r="O495">
            <v>271720</v>
          </cell>
          <cell r="P495" t="str">
            <v>2021/046-0014-01</v>
          </cell>
          <cell r="Q495" t="str">
            <v>EST ABATJOUR UNO INOX BS MAD PTO REDOMA VD</v>
          </cell>
          <cell r="R495"/>
          <cell r="S495"/>
          <cell r="T495">
            <v>0.21</v>
          </cell>
          <cell r="U495">
            <v>0.15</v>
          </cell>
          <cell r="V495">
            <v>0.59</v>
          </cell>
          <cell r="W495">
            <v>0</v>
          </cell>
          <cell r="X495" t="str">
            <v>EST ABATJOUR UNO INOX BS MAD PTO REDOMA VD - 0,21x0,15x0,59H</v>
          </cell>
          <cell r="Y495">
            <v>2862.81</v>
          </cell>
          <cell r="Z495">
            <v>0.5</v>
          </cell>
          <cell r="AA495">
            <v>1431.405</v>
          </cell>
          <cell r="AB495"/>
        </row>
        <row r="496">
          <cell r="C496">
            <v>0</v>
          </cell>
          <cell r="D496">
            <v>0</v>
          </cell>
          <cell r="E496">
            <v>1</v>
          </cell>
          <cell r="F496">
            <v>0</v>
          </cell>
          <cell r="H496">
            <v>0</v>
          </cell>
          <cell r="O496">
            <v>312423</v>
          </cell>
          <cell r="P496" t="str">
            <v>2022/039-0009-01</v>
          </cell>
          <cell r="Q496" t="str">
            <v>EST QUADRO CORTEN CARBONE (COD920)</v>
          </cell>
          <cell r="R496"/>
          <cell r="S496"/>
          <cell r="T496">
            <v>2.4</v>
          </cell>
          <cell r="U496">
            <v>1.4</v>
          </cell>
          <cell r="V496">
            <v>0</v>
          </cell>
          <cell r="W496">
            <v>0</v>
          </cell>
          <cell r="X496" t="str">
            <v>EST QUADRO CORTEN CARBONE (COD920) - 2,4x1,4x0H</v>
          </cell>
          <cell r="Y496">
            <v>11712.96</v>
          </cell>
          <cell r="Z496">
            <v>0.5</v>
          </cell>
          <cell r="AA496">
            <v>5856.48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312424</v>
          </cell>
          <cell r="P497" t="str">
            <v>2022/039-0010-01</v>
          </cell>
          <cell r="Q497" t="str">
            <v>EST QUADRO CORTEN CARBONE 2 (COD1163)</v>
          </cell>
          <cell r="R497"/>
          <cell r="S497"/>
          <cell r="T497">
            <v>2.4</v>
          </cell>
          <cell r="U497">
            <v>1.4</v>
          </cell>
          <cell r="V497">
            <v>0</v>
          </cell>
          <cell r="W497">
            <v>0</v>
          </cell>
          <cell r="X497" t="str">
            <v>EST QUADRO CORTEN CARBONE 2 (COD1163) - 2,4x1,4x0H</v>
          </cell>
          <cell r="Y497">
            <v>11712.96</v>
          </cell>
          <cell r="Z497">
            <v>0.5</v>
          </cell>
          <cell r="AA497">
            <v>5856.48</v>
          </cell>
          <cell r="AB497"/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H498">
            <v>3</v>
          </cell>
          <cell r="O498">
            <v>312427</v>
          </cell>
          <cell r="P498" t="str">
            <v>2022/039-0017-01</v>
          </cell>
          <cell r="Q498" t="str">
            <v>EST QUADRO GALEE BAEM (COD960)</v>
          </cell>
          <cell r="R498"/>
          <cell r="S498"/>
          <cell r="T498">
            <v>1.7</v>
          </cell>
          <cell r="U498">
            <v>1</v>
          </cell>
          <cell r="V498">
            <v>0</v>
          </cell>
          <cell r="W498">
            <v>0</v>
          </cell>
          <cell r="X498" t="str">
            <v>EST QUADRO GALEE BAEM (COD960) - 1,7x1x0H</v>
          </cell>
          <cell r="Y498">
            <v>5597.76</v>
          </cell>
          <cell r="Z498">
            <v>0.5</v>
          </cell>
          <cell r="AA498">
            <v>2798.88</v>
          </cell>
          <cell r="AB498"/>
        </row>
        <row r="499">
          <cell r="C499">
            <v>0</v>
          </cell>
          <cell r="D499">
            <v>0</v>
          </cell>
          <cell r="E499">
            <v>6</v>
          </cell>
          <cell r="F499">
            <v>0</v>
          </cell>
          <cell r="H499">
            <v>0</v>
          </cell>
          <cell r="O499">
            <v>314834</v>
          </cell>
          <cell r="P499" t="str">
            <v>2021/344-0101-01</v>
          </cell>
          <cell r="Q499" t="str">
            <v>EST ALMOFADA LOLITA PAPRIKA</v>
          </cell>
          <cell r="R499"/>
          <cell r="S499"/>
          <cell r="T499">
            <v>0.5</v>
          </cell>
          <cell r="U499">
            <v>0.5</v>
          </cell>
          <cell r="V499">
            <v>0</v>
          </cell>
          <cell r="W499">
            <v>0</v>
          </cell>
          <cell r="X499" t="str">
            <v>EST ALMOFADA LOLITA PAPRIKA - 0,5x0,5x0H</v>
          </cell>
          <cell r="Y499">
            <v>413.95</v>
          </cell>
          <cell r="Z499">
            <v>0.5</v>
          </cell>
          <cell r="AA499">
            <v>206.97499999999999</v>
          </cell>
          <cell r="AB499"/>
        </row>
        <row r="500">
          <cell r="C500">
            <v>0</v>
          </cell>
          <cell r="D500">
            <v>0</v>
          </cell>
          <cell r="E500">
            <v>6</v>
          </cell>
          <cell r="F500">
            <v>0</v>
          </cell>
          <cell r="H500">
            <v>0</v>
          </cell>
          <cell r="O500">
            <v>314834</v>
          </cell>
          <cell r="P500" t="str">
            <v>2021/344-0102-01</v>
          </cell>
          <cell r="Q500" t="str">
            <v>EST ALMOFADA LOLITA PAPRIKA</v>
          </cell>
          <cell r="R500"/>
          <cell r="S500"/>
          <cell r="T500">
            <v>0.5</v>
          </cell>
          <cell r="U500">
            <v>0.5</v>
          </cell>
          <cell r="V500">
            <v>0</v>
          </cell>
          <cell r="W500">
            <v>0</v>
          </cell>
          <cell r="X500" t="str">
            <v>EST ALMOFADA LOLITA PAPRIKA - 0,5x0,5x0H</v>
          </cell>
          <cell r="Y500">
            <v>413.95</v>
          </cell>
          <cell r="Z500">
            <v>0.5</v>
          </cell>
          <cell r="AA500">
            <v>206.97499999999999</v>
          </cell>
          <cell r="AB500"/>
        </row>
        <row r="501">
          <cell r="C501">
            <v>0</v>
          </cell>
          <cell r="D501">
            <v>0</v>
          </cell>
          <cell r="E501">
            <v>6</v>
          </cell>
          <cell r="F501">
            <v>0</v>
          </cell>
          <cell r="H501">
            <v>0</v>
          </cell>
          <cell r="O501">
            <v>314834</v>
          </cell>
          <cell r="P501" t="str">
            <v>2021/344-0099-01</v>
          </cell>
          <cell r="Q501" t="str">
            <v>EST ALMOFADA LOLITA PAPRIKA</v>
          </cell>
          <cell r="R501"/>
          <cell r="S501"/>
          <cell r="T501">
            <v>0.5</v>
          </cell>
          <cell r="U501">
            <v>0.5</v>
          </cell>
          <cell r="V501">
            <v>0</v>
          </cell>
          <cell r="W501">
            <v>0</v>
          </cell>
          <cell r="X501" t="str">
            <v>EST ALMOFADA LOLITA PAPRIKA - 0,5x0,5x0H</v>
          </cell>
          <cell r="Y501">
            <v>413.95</v>
          </cell>
          <cell r="Z501">
            <v>0.5</v>
          </cell>
          <cell r="AA501">
            <v>206.97499999999999</v>
          </cell>
          <cell r="AB501"/>
        </row>
        <row r="502">
          <cell r="C502">
            <v>0</v>
          </cell>
          <cell r="D502">
            <v>0</v>
          </cell>
          <cell r="E502">
            <v>6</v>
          </cell>
          <cell r="F502">
            <v>0</v>
          </cell>
          <cell r="H502">
            <v>0</v>
          </cell>
          <cell r="O502">
            <v>314834</v>
          </cell>
          <cell r="P502" t="str">
            <v>2021/344-0100-01</v>
          </cell>
          <cell r="Q502" t="str">
            <v>EST ALMOFADA LOLITA PAPRIKA</v>
          </cell>
          <cell r="R502"/>
          <cell r="S502"/>
          <cell r="T502">
            <v>0.5</v>
          </cell>
          <cell r="U502">
            <v>0.5</v>
          </cell>
          <cell r="V502">
            <v>0</v>
          </cell>
          <cell r="W502">
            <v>0</v>
          </cell>
          <cell r="X502" t="str">
            <v>EST ALMOFADA LOLITA PAPRIKA - 0,5x0,5x0H</v>
          </cell>
          <cell r="Y502">
            <v>413.95</v>
          </cell>
          <cell r="Z502">
            <v>0.5</v>
          </cell>
          <cell r="AA502">
            <v>206.97499999999999</v>
          </cell>
          <cell r="AB502"/>
        </row>
        <row r="503">
          <cell r="C503">
            <v>0</v>
          </cell>
          <cell r="D503">
            <v>0</v>
          </cell>
          <cell r="E503">
            <v>6</v>
          </cell>
          <cell r="F503">
            <v>0</v>
          </cell>
          <cell r="H503">
            <v>0</v>
          </cell>
          <cell r="O503">
            <v>314834</v>
          </cell>
          <cell r="P503" t="str">
            <v>2021/344-0103-01</v>
          </cell>
          <cell r="Q503" t="str">
            <v>EST ALMOFADA LOLITA PAPRIKA</v>
          </cell>
          <cell r="R503"/>
          <cell r="S503"/>
          <cell r="T503">
            <v>0.5</v>
          </cell>
          <cell r="U503">
            <v>0.5</v>
          </cell>
          <cell r="V503">
            <v>0</v>
          </cell>
          <cell r="W503">
            <v>0</v>
          </cell>
          <cell r="X503" t="str">
            <v>EST ALMOFADA LOLITA PAPRIKA - 0,5x0,5x0H</v>
          </cell>
          <cell r="Y503">
            <v>413.95</v>
          </cell>
          <cell r="Z503">
            <v>0.5</v>
          </cell>
          <cell r="AA503">
            <v>206.97499999999999</v>
          </cell>
          <cell r="AB503"/>
        </row>
        <row r="504">
          <cell r="C504">
            <v>0</v>
          </cell>
          <cell r="D504">
            <v>0</v>
          </cell>
          <cell r="E504">
            <v>6</v>
          </cell>
          <cell r="F504">
            <v>0</v>
          </cell>
          <cell r="H504">
            <v>0</v>
          </cell>
          <cell r="O504">
            <v>314834</v>
          </cell>
          <cell r="P504" t="str">
            <v>2021/344-0104-01</v>
          </cell>
          <cell r="Q504" t="str">
            <v>EST ALMOFADA LOLITA PAPRIKA</v>
          </cell>
          <cell r="R504"/>
          <cell r="S504"/>
          <cell r="T504">
            <v>0.5</v>
          </cell>
          <cell r="U504">
            <v>0.5</v>
          </cell>
          <cell r="V504">
            <v>0</v>
          </cell>
          <cell r="W504">
            <v>0</v>
          </cell>
          <cell r="X504" t="str">
            <v>EST ALMOFADA LOLITA PAPRIKA - 0,5x0,5x0H</v>
          </cell>
          <cell r="Y504">
            <v>413.95</v>
          </cell>
          <cell r="Z504">
            <v>0.5</v>
          </cell>
          <cell r="AA504">
            <v>206.97499999999999</v>
          </cell>
          <cell r="AB504"/>
        </row>
        <row r="505">
          <cell r="C505">
            <v>1</v>
          </cell>
          <cell r="D505">
            <v>4</v>
          </cell>
          <cell r="E505">
            <v>1</v>
          </cell>
          <cell r="F505">
            <v>0</v>
          </cell>
          <cell r="H505">
            <v>0</v>
          </cell>
          <cell r="O505">
            <v>314838</v>
          </cell>
          <cell r="P505" t="str">
            <v>2022/150-0118-01</v>
          </cell>
          <cell r="Q505" t="str">
            <v>EST ALMOFADA RET.LIVERPOOL MATTE</v>
          </cell>
          <cell r="R505"/>
          <cell r="S505"/>
          <cell r="T505">
            <v>0.6</v>
          </cell>
          <cell r="U505">
            <v>0.4</v>
          </cell>
          <cell r="V505">
            <v>0</v>
          </cell>
          <cell r="W505">
            <v>0</v>
          </cell>
          <cell r="X505" t="str">
            <v>EST ALMOFADA RET.LIVERPOOL MATTE - 0,6x0,4x0H</v>
          </cell>
          <cell r="Y505">
            <v>877.14</v>
          </cell>
          <cell r="Z505">
            <v>0.49999897849736963</v>
          </cell>
          <cell r="AA505">
            <v>438.57089600081719</v>
          </cell>
          <cell r="AB505"/>
        </row>
        <row r="506">
          <cell r="C506">
            <v>1</v>
          </cell>
          <cell r="D506">
            <v>4</v>
          </cell>
          <cell r="E506">
            <v>1</v>
          </cell>
          <cell r="F506">
            <v>0</v>
          </cell>
          <cell r="H506">
            <v>0</v>
          </cell>
          <cell r="O506">
            <v>314838</v>
          </cell>
          <cell r="P506" t="str">
            <v>2022/150-0122-01</v>
          </cell>
          <cell r="Q506" t="str">
            <v>EST ALMOFADA RET.LIVERPOOL MATTE</v>
          </cell>
          <cell r="R506"/>
          <cell r="S506"/>
          <cell r="T506">
            <v>0.6</v>
          </cell>
          <cell r="U506">
            <v>0.4</v>
          </cell>
          <cell r="V506">
            <v>0</v>
          </cell>
          <cell r="W506">
            <v>0</v>
          </cell>
          <cell r="X506" t="str">
            <v>EST ALMOFADA RET.LIVERPOOL MATTE - 0,6x0,4x0H</v>
          </cell>
          <cell r="Y506">
            <v>877.14</v>
          </cell>
          <cell r="Z506">
            <v>0.49999897849736963</v>
          </cell>
          <cell r="AA506">
            <v>438.57089600081719</v>
          </cell>
          <cell r="AB506"/>
        </row>
        <row r="507">
          <cell r="C507">
            <v>1</v>
          </cell>
          <cell r="D507">
            <v>0</v>
          </cell>
          <cell r="E507">
            <v>1</v>
          </cell>
          <cell r="F507">
            <v>0</v>
          </cell>
          <cell r="H507">
            <v>1</v>
          </cell>
          <cell r="O507">
            <v>335084</v>
          </cell>
          <cell r="P507" t="str">
            <v>2022/349-0021-01</v>
          </cell>
          <cell r="Q507" t="str">
            <v>EST LUMINARIA PISO TROY (2101) ACO/JEQ NT/CUP LIN OFF WHITE</v>
          </cell>
          <cell r="R507"/>
          <cell r="S507"/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 t="str">
            <v>EST LUMINARIA PISO TROY (2101) ACO/JEQ NT/CUP LIN OFF WHITE - Ø0x0H</v>
          </cell>
          <cell r="Y507">
            <v>5152</v>
          </cell>
          <cell r="Z507">
            <v>0.5</v>
          </cell>
          <cell r="AA507">
            <v>2576</v>
          </cell>
          <cell r="AB507"/>
        </row>
        <row r="508">
          <cell r="C508">
            <v>1</v>
          </cell>
          <cell r="D508">
            <v>1</v>
          </cell>
          <cell r="E508">
            <v>1</v>
          </cell>
          <cell r="F508">
            <v>1</v>
          </cell>
          <cell r="H508">
            <v>0</v>
          </cell>
          <cell r="O508">
            <v>359585</v>
          </cell>
          <cell r="P508" t="str">
            <v>2022/347-0006-01</v>
          </cell>
          <cell r="Q508" t="str">
            <v>EST VASO MATISSE I (AREIA)</v>
          </cell>
          <cell r="R508"/>
          <cell r="S508"/>
          <cell r="T508">
            <v>0.19</v>
          </cell>
          <cell r="U508">
            <v>0.17</v>
          </cell>
          <cell r="V508">
            <v>0.28000000000000003</v>
          </cell>
          <cell r="W508">
            <v>0</v>
          </cell>
          <cell r="X508" t="str">
            <v>EST VASO MATISSE I (AREIA) - 0,19x0,17x0,28H</v>
          </cell>
          <cell r="Y508">
            <v>582.4</v>
          </cell>
          <cell r="Z508">
            <v>0.5</v>
          </cell>
          <cell r="AA508">
            <v>291.2</v>
          </cell>
          <cell r="AB508"/>
        </row>
        <row r="509">
          <cell r="C509">
            <v>1</v>
          </cell>
          <cell r="D509">
            <v>1</v>
          </cell>
          <cell r="E509">
            <v>1</v>
          </cell>
          <cell r="F509">
            <v>1</v>
          </cell>
          <cell r="H509">
            <v>0</v>
          </cell>
          <cell r="O509">
            <v>359586</v>
          </cell>
          <cell r="P509" t="str">
            <v>2022/347-0009-01</v>
          </cell>
          <cell r="Q509" t="str">
            <v>EST VASO MATISSE II (AREIA)</v>
          </cell>
          <cell r="R509"/>
          <cell r="S509"/>
          <cell r="T509">
            <v>0.16</v>
          </cell>
          <cell r="U509">
            <v>0.14000000000000001</v>
          </cell>
          <cell r="V509">
            <v>0.24</v>
          </cell>
          <cell r="W509">
            <v>0</v>
          </cell>
          <cell r="X509" t="str">
            <v>EST VASO MATISSE II (AREIA) - 0,16x0,14x0,24H</v>
          </cell>
          <cell r="Y509">
            <v>492.8</v>
          </cell>
          <cell r="Z509">
            <v>0.5</v>
          </cell>
          <cell r="AA509">
            <v>246.4</v>
          </cell>
          <cell r="AB509"/>
        </row>
        <row r="510">
          <cell r="C510">
            <v>1</v>
          </cell>
          <cell r="D510">
            <v>1</v>
          </cell>
          <cell r="E510">
            <v>1</v>
          </cell>
          <cell r="F510">
            <v>1</v>
          </cell>
          <cell r="H510">
            <v>0</v>
          </cell>
          <cell r="O510">
            <v>359588</v>
          </cell>
          <cell r="P510" t="str">
            <v>2022/347-0013-01</v>
          </cell>
          <cell r="Q510" t="str">
            <v>EST VASO MATISSE II (OURO VELHO)</v>
          </cell>
          <cell r="R510"/>
          <cell r="S510"/>
          <cell r="T510">
            <v>0.16</v>
          </cell>
          <cell r="U510">
            <v>0.14000000000000001</v>
          </cell>
          <cell r="V510">
            <v>0.24</v>
          </cell>
          <cell r="W510">
            <v>0</v>
          </cell>
          <cell r="X510" t="str">
            <v>EST VASO MATISSE II (OURO VELHO) - 0,16x0,14x0,24H</v>
          </cell>
          <cell r="Y510">
            <v>492.8</v>
          </cell>
          <cell r="Z510">
            <v>0.5</v>
          </cell>
          <cell r="AA510">
            <v>246.4</v>
          </cell>
          <cell r="AB510"/>
        </row>
        <row r="511">
          <cell r="C511">
            <v>1</v>
          </cell>
          <cell r="D511">
            <v>1</v>
          </cell>
          <cell r="E511">
            <v>1</v>
          </cell>
          <cell r="F511">
            <v>1</v>
          </cell>
          <cell r="H511">
            <v>0</v>
          </cell>
          <cell r="O511">
            <v>359589</v>
          </cell>
          <cell r="P511" t="str">
            <v>2022/347-0018-01</v>
          </cell>
          <cell r="Q511" t="str">
            <v>EST VASO MATISSE III (AREIA)</v>
          </cell>
          <cell r="R511"/>
          <cell r="S511"/>
          <cell r="T511">
            <v>0.15</v>
          </cell>
          <cell r="U511">
            <v>0.1</v>
          </cell>
          <cell r="V511">
            <v>0.16</v>
          </cell>
          <cell r="W511">
            <v>0</v>
          </cell>
          <cell r="X511" t="str">
            <v>EST VASO MATISSE III (AREIA) - 0,15x0,1x0,16H</v>
          </cell>
          <cell r="Y511">
            <v>380.8</v>
          </cell>
          <cell r="Z511">
            <v>0.5</v>
          </cell>
          <cell r="AA511">
            <v>190.4</v>
          </cell>
          <cell r="AB511"/>
        </row>
        <row r="512">
          <cell r="C512">
            <v>1</v>
          </cell>
          <cell r="D512">
            <v>1</v>
          </cell>
          <cell r="E512">
            <v>1</v>
          </cell>
          <cell r="F512">
            <v>0</v>
          </cell>
          <cell r="H512">
            <v>0</v>
          </cell>
          <cell r="O512">
            <v>359591</v>
          </cell>
          <cell r="P512" t="str">
            <v>2022/347-0022-01</v>
          </cell>
          <cell r="Q512" t="str">
            <v>EST VASO MATISSE III (OURO VELHO)</v>
          </cell>
          <cell r="R512"/>
          <cell r="S512"/>
          <cell r="T512">
            <v>0.15</v>
          </cell>
          <cell r="U512">
            <v>0.1</v>
          </cell>
          <cell r="V512">
            <v>0.16</v>
          </cell>
          <cell r="W512">
            <v>0</v>
          </cell>
          <cell r="X512" t="str">
            <v>EST VASO MATISSE III (OURO VELHO) - 0,15x0,1x0,16H</v>
          </cell>
          <cell r="Y512">
            <v>380.8</v>
          </cell>
          <cell r="Z512">
            <v>0.5</v>
          </cell>
          <cell r="AA512">
            <v>190.4</v>
          </cell>
          <cell r="AB512"/>
        </row>
        <row r="513">
          <cell r="C513">
            <v>0</v>
          </cell>
          <cell r="D513">
            <v>0</v>
          </cell>
          <cell r="E513">
            <v>0</v>
          </cell>
          <cell r="F513">
            <v>1</v>
          </cell>
          <cell r="H513">
            <v>0</v>
          </cell>
          <cell r="O513">
            <v>269218</v>
          </cell>
          <cell r="P513" t="str">
            <v>2020/276-0101-01</v>
          </cell>
          <cell r="Q513" t="str">
            <v>EST BANQUETA YUMI COURO 2 8002/JEQ IMBUIA CLARA</v>
          </cell>
          <cell r="R513"/>
          <cell r="S513"/>
          <cell r="T513">
            <v>0.69</v>
          </cell>
          <cell r="U513">
            <v>0.53</v>
          </cell>
          <cell r="V513">
            <v>0.4</v>
          </cell>
          <cell r="W513">
            <v>0</v>
          </cell>
          <cell r="X513" t="str">
            <v>EST BANQUETA YUMI COURO 2 8002/JEQ IMBUIA CLARA - 0,69x0,53x0,4H</v>
          </cell>
          <cell r="Y513">
            <v>13868.56</v>
          </cell>
          <cell r="Z513">
            <v>0.35</v>
          </cell>
          <cell r="AA513">
            <v>9014.5640000000003</v>
          </cell>
          <cell r="AB513"/>
        </row>
        <row r="514">
          <cell r="C514">
            <v>0</v>
          </cell>
          <cell r="D514">
            <v>0</v>
          </cell>
          <cell r="E514">
            <v>0</v>
          </cell>
          <cell r="F514">
            <v>1</v>
          </cell>
          <cell r="H514">
            <v>0</v>
          </cell>
          <cell r="O514">
            <v>269219</v>
          </cell>
          <cell r="P514" t="str">
            <v>2020/276-0102-01</v>
          </cell>
          <cell r="Q514" t="str">
            <v>EST POLTRONA YUMI COURO 2 8002/JEQUITIBA IMBUIA CLARA</v>
          </cell>
          <cell r="R514"/>
          <cell r="S514"/>
          <cell r="T514">
            <v>1.1599999999999999</v>
          </cell>
          <cell r="U514">
            <v>0.86</v>
          </cell>
          <cell r="V514">
            <v>0.84</v>
          </cell>
          <cell r="W514">
            <v>0</v>
          </cell>
          <cell r="X514" t="str">
            <v>EST POLTRONA YUMI COURO 2 8002/JEQUITIBA IMBUIA CLARA - 1,16x0,86x0,84H</v>
          </cell>
          <cell r="Y514">
            <v>37090.050000000003</v>
          </cell>
          <cell r="Z514">
            <v>0.35</v>
          </cell>
          <cell r="AA514">
            <v>24108.532500000001</v>
          </cell>
          <cell r="AB514"/>
        </row>
        <row r="515">
          <cell r="C515">
            <v>0</v>
          </cell>
          <cell r="D515">
            <v>0</v>
          </cell>
          <cell r="E515">
            <v>0</v>
          </cell>
          <cell r="F515">
            <v>1</v>
          </cell>
          <cell r="H515">
            <v>0</v>
          </cell>
          <cell r="O515">
            <v>334169</v>
          </cell>
          <cell r="P515" t="str">
            <v>2022/185-0096-01</v>
          </cell>
          <cell r="Q515" t="str">
            <v>EST SOFA C/AVANCO ESQ DALOA FX E7121/BASE NOGUEIRA</v>
          </cell>
          <cell r="R515"/>
          <cell r="S515"/>
          <cell r="T515">
            <v>3.28</v>
          </cell>
          <cell r="U515">
            <v>1</v>
          </cell>
          <cell r="V515">
            <v>0.85</v>
          </cell>
          <cell r="W515">
            <v>0</v>
          </cell>
          <cell r="X515" t="str">
            <v>EST SOFA C/AVANCO ESQ DALOA FX E7121/BASE NOGUEIRA - 3,28x1x0,85H</v>
          </cell>
          <cell r="Y515">
            <v>35279.730000000003</v>
          </cell>
          <cell r="Z515">
            <v>0.35</v>
          </cell>
          <cell r="AA515">
            <v>22931.824500000002</v>
          </cell>
          <cell r="AB515"/>
        </row>
        <row r="516">
          <cell r="C516">
            <v>1</v>
          </cell>
          <cell r="D516">
            <v>0</v>
          </cell>
          <cell r="E516">
            <v>0</v>
          </cell>
          <cell r="F516">
            <v>1</v>
          </cell>
          <cell r="H516">
            <v>0</v>
          </cell>
          <cell r="O516">
            <v>371329</v>
          </cell>
          <cell r="P516" t="str">
            <v>2023/282-0038-01</v>
          </cell>
          <cell r="Q516" t="str">
            <v>EST BANQUETA BAR CAVALETTA H78 (JEQUITIBA IMBUIA CLARO)</v>
          </cell>
          <cell r="R516"/>
          <cell r="S516"/>
          <cell r="T516">
            <v>0.43</v>
          </cell>
          <cell r="U516">
            <v>0.5</v>
          </cell>
          <cell r="V516">
            <v>0.78</v>
          </cell>
          <cell r="W516">
            <v>0</v>
          </cell>
          <cell r="X516" t="str">
            <v>EST BANQUETA BAR CAVALETTA H78 (JEQUITIBA IMBUIA CLARO) - 0,43x0,5x0,78H</v>
          </cell>
          <cell r="Y516">
            <v>6595.55</v>
          </cell>
          <cell r="Z516">
            <v>0.35</v>
          </cell>
          <cell r="AA516">
            <v>4287.1075000000001</v>
          </cell>
          <cell r="AB516"/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H517">
            <v>10</v>
          </cell>
          <cell r="O517">
            <v>371710</v>
          </cell>
          <cell r="P517" t="str">
            <v>2023/234-0054-01</v>
          </cell>
          <cell r="Q517" t="str">
            <v>EST CADEIRA LUIZA C/BRACO FORN COURO PIG 259/JEQ CAST CLARO</v>
          </cell>
          <cell r="R517"/>
          <cell r="S517"/>
          <cell r="T517">
            <v>0.59</v>
          </cell>
          <cell r="U517">
            <v>0.56000000000000005</v>
          </cell>
          <cell r="V517">
            <v>0.74</v>
          </cell>
          <cell r="W517">
            <v>0</v>
          </cell>
          <cell r="X517" t="str">
            <v>EST CADEIRA LUIZA C/BRACO FORN COURO PIG 259/JEQ CAST CLARO - 0,59x0,56x0,74H</v>
          </cell>
          <cell r="Y517">
            <v>5341.634</v>
          </cell>
          <cell r="Z517">
            <v>0.35</v>
          </cell>
          <cell r="AA517">
            <v>3472.0621000000001</v>
          </cell>
          <cell r="AB517"/>
        </row>
        <row r="518">
          <cell r="C518">
            <v>0</v>
          </cell>
          <cell r="D518">
            <v>0</v>
          </cell>
          <cell r="E518">
            <v>0</v>
          </cell>
          <cell r="F518">
            <v>1</v>
          </cell>
          <cell r="H518">
            <v>0</v>
          </cell>
          <cell r="O518">
            <v>378166</v>
          </cell>
          <cell r="P518" t="str">
            <v>2024/023-0002-01</v>
          </cell>
          <cell r="Q518" t="str">
            <v>EST TAPETE SISAL CY (BARRA VIRADA)</v>
          </cell>
          <cell r="R518"/>
          <cell r="S518"/>
          <cell r="T518">
            <v>5</v>
          </cell>
          <cell r="U518">
            <v>4</v>
          </cell>
          <cell r="V518">
            <v>0</v>
          </cell>
          <cell r="W518">
            <v>0</v>
          </cell>
          <cell r="X518" t="str">
            <v>EST TAPETE SISAL CY (BARRA VIRADA) - 5x4x0H</v>
          </cell>
          <cell r="Y518">
            <v>8892.7999999999993</v>
          </cell>
          <cell r="Z518">
            <v>0.35</v>
          </cell>
          <cell r="AA518">
            <v>5780.32</v>
          </cell>
          <cell r="AB518"/>
        </row>
        <row r="519">
          <cell r="C519">
            <v>0</v>
          </cell>
          <cell r="D519">
            <v>0</v>
          </cell>
          <cell r="E519">
            <v>0</v>
          </cell>
          <cell r="F519">
            <v>1</v>
          </cell>
          <cell r="H519">
            <v>0</v>
          </cell>
          <cell r="O519">
            <v>378167</v>
          </cell>
          <cell r="P519" t="str">
            <v>2024/023-0003-01</v>
          </cell>
          <cell r="Q519" t="str">
            <v>EST TAPETE SISAL CY (BARRA VIRADA)</v>
          </cell>
          <cell r="R519"/>
          <cell r="S519"/>
          <cell r="T519">
            <v>7</v>
          </cell>
          <cell r="U519">
            <v>3</v>
          </cell>
          <cell r="V519">
            <v>0</v>
          </cell>
          <cell r="W519">
            <v>0</v>
          </cell>
          <cell r="X519" t="str">
            <v>EST TAPETE SISAL CY (BARRA VIRADA) - 7x3x0H</v>
          </cell>
          <cell r="Y519">
            <v>12588.8</v>
          </cell>
          <cell r="Z519">
            <v>0.35</v>
          </cell>
          <cell r="AA519">
            <v>8182.72</v>
          </cell>
          <cell r="AB519"/>
        </row>
        <row r="520">
          <cell r="C520">
            <v>0</v>
          </cell>
          <cell r="D520">
            <v>0</v>
          </cell>
          <cell r="E520">
            <v>1</v>
          </cell>
          <cell r="F520">
            <v>1</v>
          </cell>
          <cell r="H520">
            <v>0</v>
          </cell>
          <cell r="O520">
            <v>378169</v>
          </cell>
          <cell r="P520" t="str">
            <v>2024/023-0005-01</v>
          </cell>
          <cell r="Q520" t="str">
            <v>EST TAPETE SISAL CY (BARRA VIRADA)</v>
          </cell>
          <cell r="R520"/>
          <cell r="S520"/>
          <cell r="T520">
            <v>4</v>
          </cell>
          <cell r="U520">
            <v>0</v>
          </cell>
          <cell r="V520">
            <v>0</v>
          </cell>
          <cell r="W520">
            <v>4</v>
          </cell>
          <cell r="X520" t="str">
            <v>EST TAPETE SISAL CY (BARRA VIRADA) - Ø4x0H</v>
          </cell>
          <cell r="Y520">
            <v>7123.2</v>
          </cell>
          <cell r="Z520">
            <v>0.35</v>
          </cell>
          <cell r="AA520">
            <v>4630.08</v>
          </cell>
          <cell r="AB520"/>
        </row>
        <row r="521">
          <cell r="C521">
            <v>0</v>
          </cell>
          <cell r="D521">
            <v>0</v>
          </cell>
          <cell r="E521">
            <v>0</v>
          </cell>
          <cell r="F521">
            <v>1</v>
          </cell>
          <cell r="H521">
            <v>0</v>
          </cell>
          <cell r="O521">
            <v>378170</v>
          </cell>
          <cell r="P521" t="str">
            <v>2024/023-0007-01</v>
          </cell>
          <cell r="Q521" t="str">
            <v>EST TAPETE SISAL CD (BARRA VIRADA)</v>
          </cell>
          <cell r="R521"/>
          <cell r="S521"/>
          <cell r="T521">
            <v>5</v>
          </cell>
          <cell r="U521">
            <v>4</v>
          </cell>
          <cell r="V521">
            <v>0</v>
          </cell>
          <cell r="W521">
            <v>0</v>
          </cell>
          <cell r="X521" t="str">
            <v>EST TAPETE SISAL CD (BARRA VIRADA) - 5x4x0H</v>
          </cell>
          <cell r="Y521">
            <v>8892.7999999999993</v>
          </cell>
          <cell r="Z521">
            <v>0.35</v>
          </cell>
          <cell r="AA521">
            <v>5780.32</v>
          </cell>
          <cell r="AB521"/>
        </row>
        <row r="522">
          <cell r="C522">
            <v>1</v>
          </cell>
          <cell r="D522">
            <v>0</v>
          </cell>
          <cell r="E522">
            <v>0</v>
          </cell>
          <cell r="F522">
            <v>1</v>
          </cell>
          <cell r="H522">
            <v>0</v>
          </cell>
          <cell r="O522">
            <v>378451</v>
          </cell>
          <cell r="P522" t="str">
            <v>2024/030-0008-01</v>
          </cell>
          <cell r="Q522" t="str">
            <v>EST MESA LATERAL HIMALAYA (CLAS) (TP MARM NUVOLA) (WALNUT)</v>
          </cell>
          <cell r="R522"/>
          <cell r="S522"/>
          <cell r="T522">
            <v>0.7</v>
          </cell>
          <cell r="U522">
            <v>0</v>
          </cell>
          <cell r="V522">
            <v>0.55000000000000004</v>
          </cell>
          <cell r="W522">
            <v>0.7</v>
          </cell>
          <cell r="X522" t="str">
            <v>EST MESA LATERAL HIMALAYA (CLAS) (TP MARM NUVOLA) (WALNUT) - Ø0,7x0,55H</v>
          </cell>
          <cell r="Y522">
            <v>20091.23</v>
          </cell>
          <cell r="Z522">
            <v>0.35</v>
          </cell>
          <cell r="AA522">
            <v>13059.299500000001</v>
          </cell>
          <cell r="AB522"/>
        </row>
        <row r="523">
          <cell r="C523">
            <v>0</v>
          </cell>
          <cell r="D523">
            <v>0</v>
          </cell>
          <cell r="E523">
            <v>0</v>
          </cell>
          <cell r="F523">
            <v>6</v>
          </cell>
          <cell r="H523">
            <v>0</v>
          </cell>
          <cell r="O523">
            <v>378710</v>
          </cell>
          <cell r="P523" t="str">
            <v>2024/031-0029-01</v>
          </cell>
          <cell r="Q523" t="str">
            <v>EST CADEIRA CACAU (AMENDOA) (LATAO) TC 1000 - 1374</v>
          </cell>
          <cell r="R523"/>
          <cell r="S523"/>
          <cell r="T523">
            <v>0.5</v>
          </cell>
          <cell r="U523">
            <v>0.61</v>
          </cell>
          <cell r="V523">
            <v>0.84</v>
          </cell>
          <cell r="W523">
            <v>0</v>
          </cell>
          <cell r="X523" t="str">
            <v>EST CADEIRA CACAU (AMENDOA) (LATAO) TC 1000 - 1374 - 0,5x0,61x0,84H</v>
          </cell>
          <cell r="Y523">
            <v>4625.6400000000003</v>
          </cell>
          <cell r="Z523">
            <v>0.35</v>
          </cell>
          <cell r="AA523">
            <v>3006.6660000000002</v>
          </cell>
          <cell r="AB523"/>
        </row>
        <row r="524">
          <cell r="C524">
            <v>0</v>
          </cell>
          <cell r="D524">
            <v>0</v>
          </cell>
          <cell r="E524">
            <v>0</v>
          </cell>
          <cell r="F524">
            <v>6</v>
          </cell>
          <cell r="H524">
            <v>0</v>
          </cell>
          <cell r="O524">
            <v>378710</v>
          </cell>
          <cell r="P524" t="str">
            <v>2024/031-0030-01</v>
          </cell>
          <cell r="Q524" t="str">
            <v>EST CADEIRA CACAU (AMENDOA) (LATAO) TC 1000 - 1374</v>
          </cell>
          <cell r="R524"/>
          <cell r="S524"/>
          <cell r="T524">
            <v>0.5</v>
          </cell>
          <cell r="U524">
            <v>0.61</v>
          </cell>
          <cell r="V524">
            <v>0.84</v>
          </cell>
          <cell r="W524">
            <v>0</v>
          </cell>
          <cell r="X524" t="str">
            <v>EST CADEIRA CACAU (AMENDOA) (LATAO) TC 1000 - 1374 - 0,5x0,61x0,84H</v>
          </cell>
          <cell r="Y524">
            <v>4625.6400000000003</v>
          </cell>
          <cell r="Z524">
            <v>0.35</v>
          </cell>
          <cell r="AA524">
            <v>3006.6660000000002</v>
          </cell>
          <cell r="AB524"/>
        </row>
        <row r="525">
          <cell r="C525">
            <v>0</v>
          </cell>
          <cell r="D525">
            <v>0</v>
          </cell>
          <cell r="E525">
            <v>0</v>
          </cell>
          <cell r="F525">
            <v>6</v>
          </cell>
          <cell r="H525">
            <v>0</v>
          </cell>
          <cell r="O525">
            <v>378710</v>
          </cell>
          <cell r="P525" t="str">
            <v>2024/031-0031-01</v>
          </cell>
          <cell r="Q525" t="str">
            <v>EST CADEIRA CACAU (AMENDOA) (LATAO) TC 1000 - 1374</v>
          </cell>
          <cell r="R525"/>
          <cell r="S525"/>
          <cell r="T525">
            <v>0.5</v>
          </cell>
          <cell r="U525">
            <v>0.61</v>
          </cell>
          <cell r="V525">
            <v>0.84</v>
          </cell>
          <cell r="W525">
            <v>0</v>
          </cell>
          <cell r="X525" t="str">
            <v>EST CADEIRA CACAU (AMENDOA) (LATAO) TC 1000 - 1374 - 0,5x0,61x0,84H</v>
          </cell>
          <cell r="Y525">
            <v>4625.6400000000003</v>
          </cell>
          <cell r="Z525">
            <v>0.35</v>
          </cell>
          <cell r="AA525">
            <v>3006.6660000000002</v>
          </cell>
          <cell r="AB525"/>
        </row>
        <row r="526">
          <cell r="C526">
            <v>0</v>
          </cell>
          <cell r="D526">
            <v>0</v>
          </cell>
          <cell r="E526">
            <v>0</v>
          </cell>
          <cell r="F526">
            <v>6</v>
          </cell>
          <cell r="H526">
            <v>0</v>
          </cell>
          <cell r="O526">
            <v>378710</v>
          </cell>
          <cell r="P526" t="str">
            <v>2024/031-0032-01</v>
          </cell>
          <cell r="Q526" t="str">
            <v>EST CADEIRA CACAU (AMENDOA) (LATAO) TC 1000 - 1374</v>
          </cell>
          <cell r="R526"/>
          <cell r="S526"/>
          <cell r="T526">
            <v>0.5</v>
          </cell>
          <cell r="U526">
            <v>0.61</v>
          </cell>
          <cell r="V526">
            <v>0.84</v>
          </cell>
          <cell r="W526">
            <v>0</v>
          </cell>
          <cell r="X526" t="str">
            <v>EST CADEIRA CACAU (AMENDOA) (LATAO) TC 1000 - 1374 - 0,5x0,61x0,84H</v>
          </cell>
          <cell r="Y526">
            <v>4625.6400000000003</v>
          </cell>
          <cell r="Z526">
            <v>0.35</v>
          </cell>
          <cell r="AA526">
            <v>3006.6660000000002</v>
          </cell>
          <cell r="AB526"/>
        </row>
        <row r="527">
          <cell r="C527">
            <v>0</v>
          </cell>
          <cell r="D527">
            <v>0</v>
          </cell>
          <cell r="E527">
            <v>0</v>
          </cell>
          <cell r="F527">
            <v>6</v>
          </cell>
          <cell r="H527">
            <v>0</v>
          </cell>
          <cell r="O527">
            <v>378710</v>
          </cell>
          <cell r="P527" t="str">
            <v>2024/031-0033-01</v>
          </cell>
          <cell r="Q527" t="str">
            <v>EST CADEIRA CACAU (AMENDOA) (LATAO) TC 1000 - 1374</v>
          </cell>
          <cell r="R527"/>
          <cell r="S527"/>
          <cell r="T527">
            <v>0.5</v>
          </cell>
          <cell r="U527">
            <v>0.61</v>
          </cell>
          <cell r="V527">
            <v>0.84</v>
          </cell>
          <cell r="W527">
            <v>0</v>
          </cell>
          <cell r="X527" t="str">
            <v>EST CADEIRA CACAU (AMENDOA) (LATAO) TC 1000 - 1374 - 0,5x0,61x0,84H</v>
          </cell>
          <cell r="Y527">
            <v>4625.6400000000003</v>
          </cell>
          <cell r="Z527">
            <v>0.35</v>
          </cell>
          <cell r="AA527">
            <v>3006.6660000000002</v>
          </cell>
          <cell r="AB527"/>
        </row>
        <row r="528">
          <cell r="C528">
            <v>0</v>
          </cell>
          <cell r="D528">
            <v>0</v>
          </cell>
          <cell r="E528">
            <v>0</v>
          </cell>
          <cell r="F528">
            <v>6</v>
          </cell>
          <cell r="H528">
            <v>0</v>
          </cell>
          <cell r="O528">
            <v>378710</v>
          </cell>
          <cell r="P528" t="str">
            <v>2024/031-0034-01</v>
          </cell>
          <cell r="Q528" t="str">
            <v>EST CADEIRA CACAU (AMENDOA) (LATAO) TC 1000 - 1374</v>
          </cell>
          <cell r="R528"/>
          <cell r="S528"/>
          <cell r="T528">
            <v>0.5</v>
          </cell>
          <cell r="U528">
            <v>0.61</v>
          </cell>
          <cell r="V528">
            <v>0.84</v>
          </cell>
          <cell r="W528">
            <v>0</v>
          </cell>
          <cell r="X528" t="str">
            <v>EST CADEIRA CACAU (AMENDOA) (LATAO) TC 1000 - 1374 - 0,5x0,61x0,84H</v>
          </cell>
          <cell r="Y528">
            <v>4625.6400000000003</v>
          </cell>
          <cell r="Z528">
            <v>0.35</v>
          </cell>
          <cell r="AA528">
            <v>3006.6660000000002</v>
          </cell>
          <cell r="AB528"/>
        </row>
        <row r="529">
          <cell r="C529">
            <v>0</v>
          </cell>
          <cell r="D529">
            <v>0</v>
          </cell>
          <cell r="E529">
            <v>0</v>
          </cell>
          <cell r="F529">
            <v>2</v>
          </cell>
          <cell r="H529">
            <v>0</v>
          </cell>
          <cell r="O529">
            <v>378711</v>
          </cell>
          <cell r="P529" t="str">
            <v>2024/031-0036-01</v>
          </cell>
          <cell r="Q529" t="str">
            <v>EST CADEIRA CACAU C/BRACO (AMENDOA) (LATAO) TC 1000 - 1374</v>
          </cell>
          <cell r="R529"/>
          <cell r="S529"/>
          <cell r="T529">
            <v>0.61</v>
          </cell>
          <cell r="U529">
            <v>0.61</v>
          </cell>
          <cell r="V529">
            <v>0.84</v>
          </cell>
          <cell r="W529">
            <v>0</v>
          </cell>
          <cell r="X529" t="str">
            <v>EST CADEIRA CACAU C/BRACO (AMENDOA) (LATAO) TC 1000 - 1374 - 0,61x0,61x0,84H</v>
          </cell>
          <cell r="Y529">
            <v>6616.15</v>
          </cell>
          <cell r="Z529">
            <v>0.35</v>
          </cell>
          <cell r="AA529">
            <v>4300.4974999999995</v>
          </cell>
          <cell r="AB529"/>
        </row>
        <row r="530">
          <cell r="C530">
            <v>0</v>
          </cell>
          <cell r="D530">
            <v>0</v>
          </cell>
          <cell r="E530">
            <v>0</v>
          </cell>
          <cell r="F530">
            <v>2</v>
          </cell>
          <cell r="H530">
            <v>0</v>
          </cell>
          <cell r="O530">
            <v>387672</v>
          </cell>
          <cell r="P530" t="str">
            <v>2024/206-0081-01</v>
          </cell>
          <cell r="Q530" t="str">
            <v>EST POLTRONA BLANCA (CASTANHO) TC PREMIUM P016</v>
          </cell>
          <cell r="R530"/>
          <cell r="S530"/>
          <cell r="T530">
            <v>0.7</v>
          </cell>
          <cell r="U530">
            <v>0.66</v>
          </cell>
          <cell r="V530">
            <v>0.79</v>
          </cell>
          <cell r="W530">
            <v>0</v>
          </cell>
          <cell r="X530" t="str">
            <v>EST POLTRONA BLANCA (CASTANHO) TC PREMIUM P016 - 0,7x0,66x0,79H</v>
          </cell>
          <cell r="Y530">
            <v>13865.64</v>
          </cell>
          <cell r="Z530">
            <v>0.35</v>
          </cell>
          <cell r="AA530">
            <v>9012.6660000000011</v>
          </cell>
          <cell r="AB530"/>
        </row>
        <row r="531">
          <cell r="C531">
            <v>0</v>
          </cell>
          <cell r="D531">
            <v>0</v>
          </cell>
          <cell r="E531">
            <v>0</v>
          </cell>
          <cell r="F531">
            <v>2</v>
          </cell>
          <cell r="H531">
            <v>0</v>
          </cell>
          <cell r="O531">
            <v>387672</v>
          </cell>
          <cell r="P531" t="str">
            <v>2024/206-0082-01</v>
          </cell>
          <cell r="Q531" t="str">
            <v>EST POLTRONA BLANCA (CASTANHO) TC PREMIUM P016</v>
          </cell>
          <cell r="R531"/>
          <cell r="S531"/>
          <cell r="T531">
            <v>0.7</v>
          </cell>
          <cell r="U531">
            <v>0.66</v>
          </cell>
          <cell r="V531">
            <v>0.79</v>
          </cell>
          <cell r="W531">
            <v>0</v>
          </cell>
          <cell r="X531" t="str">
            <v>EST POLTRONA BLANCA (CASTANHO) TC PREMIUM P016 - 0,7x0,66x0,79H</v>
          </cell>
          <cell r="Y531">
            <v>13865.64</v>
          </cell>
          <cell r="Z531">
            <v>0.35</v>
          </cell>
          <cell r="AA531">
            <v>9012.6660000000011</v>
          </cell>
          <cell r="AB531"/>
        </row>
        <row r="532">
          <cell r="C532">
            <v>0</v>
          </cell>
          <cell r="D532">
            <v>0</v>
          </cell>
          <cell r="E532">
            <v>0</v>
          </cell>
          <cell r="F532">
            <v>2</v>
          </cell>
          <cell r="H532">
            <v>0</v>
          </cell>
          <cell r="O532">
            <v>387684</v>
          </cell>
          <cell r="P532" t="str">
            <v>2024/194-0009-01</v>
          </cell>
          <cell r="Q532" t="str">
            <v>EST ESTANTE ABRIGO (NOGAL) MTZ PRETO</v>
          </cell>
          <cell r="R532"/>
          <cell r="S532"/>
          <cell r="T532">
            <v>1.2</v>
          </cell>
          <cell r="U532">
            <v>0.4</v>
          </cell>
          <cell r="V532">
            <v>1.88</v>
          </cell>
          <cell r="W532">
            <v>0</v>
          </cell>
          <cell r="X532" t="str">
            <v>EST ESTANTE ABRIGO (NOGAL) MTZ PRETO - 1,2x0,4x1,88H</v>
          </cell>
          <cell r="Y532">
            <v>8633.0499999999993</v>
          </cell>
          <cell r="Z532">
            <v>0.35</v>
          </cell>
          <cell r="AA532">
            <v>5611.4825000000001</v>
          </cell>
          <cell r="AB532"/>
        </row>
        <row r="533">
          <cell r="C533">
            <v>0</v>
          </cell>
          <cell r="D533">
            <v>0</v>
          </cell>
          <cell r="E533">
            <v>0</v>
          </cell>
          <cell r="F533">
            <v>2</v>
          </cell>
          <cell r="H533">
            <v>0</v>
          </cell>
          <cell r="O533">
            <v>387684</v>
          </cell>
          <cell r="P533" t="str">
            <v>2024/194-0010-01</v>
          </cell>
          <cell r="Q533" t="str">
            <v>EST ESTANTE ABRIGO (NOGAL) MTZ PRETO</v>
          </cell>
          <cell r="R533"/>
          <cell r="S533"/>
          <cell r="T533">
            <v>1.2</v>
          </cell>
          <cell r="U533">
            <v>0.4</v>
          </cell>
          <cell r="V533">
            <v>1.88</v>
          </cell>
          <cell r="W533">
            <v>0</v>
          </cell>
          <cell r="X533" t="str">
            <v>EST ESTANTE ABRIGO (NOGAL) MTZ PRETO - 1,2x0,4x1,88H</v>
          </cell>
          <cell r="Y533">
            <v>8633.0499999999993</v>
          </cell>
          <cell r="Z533">
            <v>0.35</v>
          </cell>
          <cell r="AA533">
            <v>5611.4825000000001</v>
          </cell>
          <cell r="AB533"/>
        </row>
        <row r="534">
          <cell r="C534">
            <v>0</v>
          </cell>
          <cell r="D534">
            <v>0</v>
          </cell>
          <cell r="E534">
            <v>0</v>
          </cell>
          <cell r="F534">
            <v>1</v>
          </cell>
          <cell r="H534">
            <v>0</v>
          </cell>
          <cell r="O534">
            <v>387698</v>
          </cell>
          <cell r="P534" t="str">
            <v>2024/194-0017-01</v>
          </cell>
          <cell r="Q534" t="str">
            <v>EST MESA CENTRO PLANALTO (TP/BS SEMI PRETA)</v>
          </cell>
          <cell r="R534"/>
          <cell r="S534"/>
          <cell r="T534">
            <v>0.95</v>
          </cell>
          <cell r="U534">
            <v>0.95</v>
          </cell>
          <cell r="V534">
            <v>0.3</v>
          </cell>
          <cell r="W534">
            <v>0</v>
          </cell>
          <cell r="X534" t="str">
            <v>EST MESA CENTRO PLANALTO (TP/BS SEMI PRETA) - 0,95x0,95x0,3H</v>
          </cell>
          <cell r="Y534">
            <v>6913.98</v>
          </cell>
          <cell r="Z534">
            <v>0.35</v>
          </cell>
          <cell r="AA534">
            <v>4494.0869999999995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1</v>
          </cell>
          <cell r="H535">
            <v>0</v>
          </cell>
          <cell r="O535">
            <v>387699</v>
          </cell>
          <cell r="P535" t="str">
            <v>2024/194-0018-01</v>
          </cell>
          <cell r="Q535" t="str">
            <v>EST MESA CENTRO PLANALTO (TP LAM CARV NOGAL) BS SEMI PRETA</v>
          </cell>
          <cell r="R535"/>
          <cell r="S535"/>
          <cell r="T535">
            <v>1.1499999999999999</v>
          </cell>
          <cell r="U535">
            <v>1.1499999999999999</v>
          </cell>
          <cell r="V535">
            <v>0.25</v>
          </cell>
          <cell r="W535">
            <v>0</v>
          </cell>
          <cell r="X535" t="str">
            <v>EST MESA CENTRO PLANALTO (TP LAM CARV NOGAL) BS SEMI PRETA - 1,15x1,15x0,25H</v>
          </cell>
          <cell r="Y535">
            <v>7551.08</v>
          </cell>
          <cell r="Z535">
            <v>0.35</v>
          </cell>
          <cell r="AA535">
            <v>4908.2020000000002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1</v>
          </cell>
          <cell r="H536">
            <v>0</v>
          </cell>
          <cell r="O536">
            <v>387709</v>
          </cell>
          <cell r="P536" t="str">
            <v>2024/194-0024-01</v>
          </cell>
          <cell r="Q536" t="str">
            <v>EST MESA LATERAL PLANALTO (TP LAM CARV NOGAL) BS SEMI PRETA</v>
          </cell>
          <cell r="R536"/>
          <cell r="S536"/>
          <cell r="T536">
            <v>0.65</v>
          </cell>
          <cell r="U536">
            <v>0.65</v>
          </cell>
          <cell r="V536">
            <v>0.5</v>
          </cell>
          <cell r="W536">
            <v>0</v>
          </cell>
          <cell r="X536" t="str">
            <v>EST MESA LATERAL PLANALTO (TP LAM CARV NOGAL) BS SEMI PRETA - 0,65x0,65x0,5H</v>
          </cell>
          <cell r="Y536">
            <v>5835.78</v>
          </cell>
          <cell r="Z536">
            <v>0.35</v>
          </cell>
          <cell r="AA536">
            <v>3793.2570000000001</v>
          </cell>
          <cell r="AB536"/>
        </row>
        <row r="537">
          <cell r="C537">
            <v>0</v>
          </cell>
          <cell r="D537">
            <v>1</v>
          </cell>
          <cell r="E537">
            <v>0</v>
          </cell>
          <cell r="F537">
            <v>1</v>
          </cell>
          <cell r="H537">
            <v>0</v>
          </cell>
          <cell r="O537">
            <v>387726</v>
          </cell>
          <cell r="P537" t="str">
            <v>2024/194-0028-01</v>
          </cell>
          <cell r="Q537" t="str">
            <v>EST MESA LATERAL COPA (TP/BS NOGAL) MTX CAFE</v>
          </cell>
          <cell r="R537"/>
          <cell r="S537"/>
          <cell r="T537">
            <v>0.37</v>
          </cell>
          <cell r="U537">
            <v>0.35</v>
          </cell>
          <cell r="V537">
            <v>0.45</v>
          </cell>
          <cell r="W537">
            <v>0</v>
          </cell>
          <cell r="X537" t="str">
            <v>EST MESA LATERAL COPA (TP/BS NOGAL) MTX CAFE - 0,37x0,35x0,45H</v>
          </cell>
          <cell r="Y537">
            <v>4753.82</v>
          </cell>
          <cell r="Z537">
            <v>0.35</v>
          </cell>
          <cell r="AA537">
            <v>3089.9830000000002</v>
          </cell>
          <cell r="AB537"/>
        </row>
        <row r="538">
          <cell r="C538">
            <v>0</v>
          </cell>
          <cell r="D538">
            <v>0</v>
          </cell>
          <cell r="E538">
            <v>0</v>
          </cell>
          <cell r="F538">
            <v>1</v>
          </cell>
          <cell r="H538">
            <v>0</v>
          </cell>
          <cell r="O538">
            <v>390883</v>
          </cell>
          <cell r="P538" t="str">
            <v>2024/275-0001-01</v>
          </cell>
          <cell r="Q538" t="str">
            <v>EST MESA JANTAR HIMALAYA (CONT) (TP MARM NEW ROME) (WALNUT)</v>
          </cell>
          <cell r="R538"/>
          <cell r="S538"/>
          <cell r="T538">
            <v>3</v>
          </cell>
          <cell r="U538">
            <v>1.1000000000000001</v>
          </cell>
          <cell r="V538">
            <v>0.75</v>
          </cell>
          <cell r="W538">
            <v>0</v>
          </cell>
          <cell r="X538" t="str">
            <v>EST MESA JANTAR HIMALAYA (CONT) (TP MARM NEW ROME) (WALNUT) - 3x1,1x0,75H</v>
          </cell>
          <cell r="Y538">
            <v>96840.98</v>
          </cell>
          <cell r="Z538">
            <v>0.35</v>
          </cell>
          <cell r="AA538">
            <v>62946.637000000002</v>
          </cell>
          <cell r="AB538"/>
        </row>
        <row r="539">
          <cell r="C539">
            <v>0</v>
          </cell>
          <cell r="D539">
            <v>0</v>
          </cell>
          <cell r="E539">
            <v>0</v>
          </cell>
          <cell r="F539">
            <v>1</v>
          </cell>
          <cell r="H539">
            <v>0</v>
          </cell>
          <cell r="O539">
            <v>254166</v>
          </cell>
          <cell r="P539" t="str">
            <v>2019/316-0043-01</v>
          </cell>
          <cell r="Q539" t="str">
            <v>EST BANCO EVO (MADEIRA NATURAL) GRAVADO LOGO</v>
          </cell>
          <cell r="R539"/>
          <cell r="S539"/>
          <cell r="T539">
            <v>0.39</v>
          </cell>
          <cell r="U539">
            <v>0.37</v>
          </cell>
          <cell r="V539">
            <v>0.45</v>
          </cell>
          <cell r="W539">
            <v>0</v>
          </cell>
          <cell r="X539" t="str">
            <v>EST BANCO EVO (MADEIRA NATURAL) GRAVADO LOGO - 0,39x0,37x0,45H</v>
          </cell>
          <cell r="Y539">
            <v>3046.4</v>
          </cell>
          <cell r="Z539">
            <v>0.5</v>
          </cell>
          <cell r="AA539">
            <v>1523.2</v>
          </cell>
          <cell r="AB539"/>
        </row>
        <row r="540">
          <cell r="C540">
            <v>0</v>
          </cell>
          <cell r="D540">
            <v>0</v>
          </cell>
          <cell r="E540">
            <v>0</v>
          </cell>
          <cell r="F540">
            <v>1</v>
          </cell>
          <cell r="H540">
            <v>0</v>
          </cell>
          <cell r="O540">
            <v>335074</v>
          </cell>
          <cell r="P540" t="str">
            <v>2022/256-0033-01</v>
          </cell>
          <cell r="Q540" t="str">
            <v>EST MESA LATERAL BUZIOS 300 (TP MTX CORTEN/BS CONC/HST CORT)</v>
          </cell>
          <cell r="R540"/>
          <cell r="S540"/>
          <cell r="T540">
            <v>0.3</v>
          </cell>
          <cell r="U540">
            <v>0</v>
          </cell>
          <cell r="V540">
            <v>0.55000000000000004</v>
          </cell>
          <cell r="W540">
            <v>0.3</v>
          </cell>
          <cell r="X540" t="str">
            <v>EST MESA LATERAL BUZIOS 300 (TP MTX CORTEN/BS CONC/HST CORT) - Ø0,3x0,55H</v>
          </cell>
          <cell r="Y540">
            <v>4313.3900000000003</v>
          </cell>
          <cell r="Z540">
            <v>0.5</v>
          </cell>
          <cell r="AA540">
            <v>2156.6950000000002</v>
          </cell>
          <cell r="AB540"/>
        </row>
        <row r="541">
          <cell r="C541">
            <v>0</v>
          </cell>
          <cell r="D541">
            <v>0</v>
          </cell>
          <cell r="E541">
            <v>0</v>
          </cell>
          <cell r="F541">
            <v>1</v>
          </cell>
          <cell r="H541">
            <v>0</v>
          </cell>
          <cell r="O541">
            <v>335089</v>
          </cell>
          <cell r="P541" t="str">
            <v>2022/256-0035-01</v>
          </cell>
          <cell r="Q541" t="str">
            <v>EST MESA LATERAL BUZIOS 600 (TP/BS CONC RETO NAT/HST TITAN)</v>
          </cell>
          <cell r="R541"/>
          <cell r="S541"/>
          <cell r="T541">
            <v>0.6</v>
          </cell>
          <cell r="U541">
            <v>0</v>
          </cell>
          <cell r="V541">
            <v>0.41</v>
          </cell>
          <cell r="W541">
            <v>0.6</v>
          </cell>
          <cell r="X541" t="str">
            <v>EST MESA LATERAL BUZIOS 600 (TP/BS CONC RETO NAT/HST TITAN) - Ø0,6x0,41H</v>
          </cell>
          <cell r="Y541">
            <v>9247.66</v>
          </cell>
          <cell r="Z541">
            <v>0.5</v>
          </cell>
          <cell r="AA541">
            <v>4623.83</v>
          </cell>
          <cell r="AB541"/>
        </row>
        <row r="542">
          <cell r="C542">
            <v>0</v>
          </cell>
          <cell r="D542">
            <v>0</v>
          </cell>
          <cell r="E542">
            <v>0</v>
          </cell>
          <cell r="F542">
            <v>1</v>
          </cell>
          <cell r="H542">
            <v>1</v>
          </cell>
          <cell r="O542">
            <v>351720</v>
          </cell>
          <cell r="P542" t="str">
            <v>2022/242-0072-01</v>
          </cell>
          <cell r="Q542" t="str">
            <v>EST ALMOFADA CLAMI 1 (PLUMA SINT) (MAQUINETADO CRU/PRETO)</v>
          </cell>
          <cell r="R542"/>
          <cell r="S542"/>
          <cell r="T542">
            <v>0.6</v>
          </cell>
          <cell r="U542">
            <v>0.25</v>
          </cell>
          <cell r="V542">
            <v>0.15</v>
          </cell>
          <cell r="W542">
            <v>0</v>
          </cell>
          <cell r="X542" t="str">
            <v>EST ALMOFADA CLAMI 1 (PLUMA SINT) (MAQUINETADO CRU/PRETO) - 0,6x0,25x0,15H</v>
          </cell>
          <cell r="Y542">
            <v>550.37</v>
          </cell>
          <cell r="Z542">
            <v>0.35</v>
          </cell>
          <cell r="AA542">
            <v>357.7405</v>
          </cell>
          <cell r="AB542"/>
        </row>
        <row r="543">
          <cell r="C543">
            <v>1</v>
          </cell>
          <cell r="D543">
            <v>1</v>
          </cell>
          <cell r="E543">
            <v>1</v>
          </cell>
          <cell r="F543">
            <v>1</v>
          </cell>
          <cell r="H543">
            <v>0</v>
          </cell>
          <cell r="O543">
            <v>359585</v>
          </cell>
          <cell r="P543" t="str">
            <v>2022/347-0007-01</v>
          </cell>
          <cell r="Q543" t="str">
            <v>EST VASO MATISSE I (AREIA)</v>
          </cell>
          <cell r="R543"/>
          <cell r="S543"/>
          <cell r="T543">
            <v>0.19</v>
          </cell>
          <cell r="U543">
            <v>0.17</v>
          </cell>
          <cell r="V543">
            <v>0.28000000000000003</v>
          </cell>
          <cell r="W543">
            <v>0</v>
          </cell>
          <cell r="X543" t="str">
            <v>EST VASO MATISSE I (AREIA) - 0,19x0,17x0,28H</v>
          </cell>
          <cell r="Y543">
            <v>582.4</v>
          </cell>
          <cell r="Z543">
            <v>0.5</v>
          </cell>
          <cell r="AA543">
            <v>291.2</v>
          </cell>
          <cell r="AB543"/>
        </row>
        <row r="544">
          <cell r="C544">
            <v>1</v>
          </cell>
          <cell r="D544">
            <v>1</v>
          </cell>
          <cell r="E544">
            <v>1</v>
          </cell>
          <cell r="F544">
            <v>1</v>
          </cell>
          <cell r="H544">
            <v>0</v>
          </cell>
          <cell r="O544">
            <v>359586</v>
          </cell>
          <cell r="P544" t="str">
            <v>2022/347-0010-01</v>
          </cell>
          <cell r="Q544" t="str">
            <v>EST VASO MATISSE II (AREIA)</v>
          </cell>
          <cell r="R544"/>
          <cell r="S544"/>
          <cell r="T544">
            <v>0.16</v>
          </cell>
          <cell r="U544">
            <v>0.14000000000000001</v>
          </cell>
          <cell r="V544">
            <v>0.24</v>
          </cell>
          <cell r="W544">
            <v>0</v>
          </cell>
          <cell r="X544" t="str">
            <v>EST VASO MATISSE II (AREIA) - 0,16x0,14x0,24H</v>
          </cell>
          <cell r="Y544">
            <v>492.8</v>
          </cell>
          <cell r="Z544">
            <v>0.5</v>
          </cell>
          <cell r="AA544">
            <v>246.4</v>
          </cell>
          <cell r="AB544"/>
        </row>
        <row r="545">
          <cell r="C545">
            <v>1</v>
          </cell>
          <cell r="D545">
            <v>1</v>
          </cell>
          <cell r="E545">
            <v>1</v>
          </cell>
          <cell r="F545">
            <v>1</v>
          </cell>
          <cell r="H545">
            <v>0</v>
          </cell>
          <cell r="O545">
            <v>359588</v>
          </cell>
          <cell r="P545" t="str">
            <v>2022/347-0016-01</v>
          </cell>
          <cell r="Q545" t="str">
            <v>EST VASO MATISSE II (OURO VELHO)</v>
          </cell>
          <cell r="R545"/>
          <cell r="S545"/>
          <cell r="T545">
            <v>0.16</v>
          </cell>
          <cell r="U545">
            <v>0.14000000000000001</v>
          </cell>
          <cell r="V545">
            <v>0.24</v>
          </cell>
          <cell r="W545">
            <v>0</v>
          </cell>
          <cell r="X545" t="str">
            <v>EST VASO MATISSE II (OURO VELHO) - 0,16x0,14x0,24H</v>
          </cell>
          <cell r="Y545">
            <v>492.8</v>
          </cell>
          <cell r="Z545">
            <v>0.5</v>
          </cell>
          <cell r="AA545">
            <v>246.4</v>
          </cell>
          <cell r="AB545"/>
        </row>
        <row r="546">
          <cell r="C546">
            <v>1</v>
          </cell>
          <cell r="D546">
            <v>1</v>
          </cell>
          <cell r="E546">
            <v>1</v>
          </cell>
          <cell r="F546">
            <v>1</v>
          </cell>
          <cell r="H546">
            <v>0</v>
          </cell>
          <cell r="O546">
            <v>359589</v>
          </cell>
          <cell r="P546" t="str">
            <v>2022/347-0017-01</v>
          </cell>
          <cell r="Q546" t="str">
            <v>EST VASO MATISSE III (AREIA)</v>
          </cell>
          <cell r="R546"/>
          <cell r="S546"/>
          <cell r="T546">
            <v>0.15</v>
          </cell>
          <cell r="U546">
            <v>0.1</v>
          </cell>
          <cell r="V546">
            <v>0.16</v>
          </cell>
          <cell r="W546">
            <v>0</v>
          </cell>
          <cell r="X546" t="str">
            <v>EST VASO MATISSE III (AREIA) - 0,15x0,1x0,16H</v>
          </cell>
          <cell r="Y546">
            <v>380.8</v>
          </cell>
          <cell r="Z546">
            <v>0.5</v>
          </cell>
          <cell r="AA546">
            <v>190.4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1</v>
          </cell>
          <cell r="H547">
            <v>0</v>
          </cell>
          <cell r="O547">
            <v>359684</v>
          </cell>
          <cell r="P547" t="str">
            <v>2022/347-0025-01</v>
          </cell>
          <cell r="Q547" t="str">
            <v>EST VASO MATISSE I (TRANSPARENTE)</v>
          </cell>
          <cell r="R547"/>
          <cell r="S547"/>
          <cell r="T547">
            <v>0.19</v>
          </cell>
          <cell r="U547">
            <v>0.17</v>
          </cell>
          <cell r="V547">
            <v>0.28000000000000003</v>
          </cell>
          <cell r="W547">
            <v>0</v>
          </cell>
          <cell r="X547" t="str">
            <v>EST VASO MATISSE I (TRANSPARENTE) - 0,19x0,17x0,28H</v>
          </cell>
          <cell r="Y547">
            <v>582.4</v>
          </cell>
          <cell r="Z547">
            <v>0.5</v>
          </cell>
          <cell r="AA547">
            <v>291.2</v>
          </cell>
          <cell r="AB547"/>
        </row>
        <row r="548">
          <cell r="C548">
            <v>1</v>
          </cell>
          <cell r="D548">
            <v>1</v>
          </cell>
          <cell r="E548">
            <v>0</v>
          </cell>
          <cell r="F548">
            <v>1</v>
          </cell>
          <cell r="H548">
            <v>0</v>
          </cell>
          <cell r="O548">
            <v>359685</v>
          </cell>
          <cell r="P548" t="str">
            <v>2022/347-0031-01</v>
          </cell>
          <cell r="Q548" t="str">
            <v>EST VASO MATISSE II (TRANSPARENTE)</v>
          </cell>
          <cell r="R548"/>
          <cell r="S548"/>
          <cell r="T548">
            <v>0.16</v>
          </cell>
          <cell r="U548">
            <v>0.14000000000000001</v>
          </cell>
          <cell r="V548">
            <v>0.24</v>
          </cell>
          <cell r="W548">
            <v>0</v>
          </cell>
          <cell r="X548" t="str">
            <v>EST VASO MATISSE II (TRANSPARENTE) - 0,16x0,14x0,24H</v>
          </cell>
          <cell r="Y548">
            <v>492.8</v>
          </cell>
          <cell r="Z548">
            <v>0.5</v>
          </cell>
          <cell r="AA548">
            <v>246.4</v>
          </cell>
          <cell r="AB548"/>
        </row>
        <row r="549">
          <cell r="C549">
            <v>1</v>
          </cell>
          <cell r="D549">
            <v>1</v>
          </cell>
          <cell r="E549">
            <v>0</v>
          </cell>
          <cell r="F549">
            <v>1</v>
          </cell>
          <cell r="H549">
            <v>0</v>
          </cell>
          <cell r="O549">
            <v>359686</v>
          </cell>
          <cell r="P549" t="str">
            <v>2022/347-0035-01</v>
          </cell>
          <cell r="Q549" t="str">
            <v>EST VASO MATISSE III (TRANSPARENTE)</v>
          </cell>
          <cell r="R549"/>
          <cell r="S549"/>
          <cell r="T549">
            <v>0.15</v>
          </cell>
          <cell r="U549">
            <v>0.1</v>
          </cell>
          <cell r="V549">
            <v>0.16</v>
          </cell>
          <cell r="W549">
            <v>0</v>
          </cell>
          <cell r="X549" t="str">
            <v>EST VASO MATISSE III (TRANSPARENTE) - 0,15x0,1x0,16H</v>
          </cell>
          <cell r="Y549">
            <v>380.8</v>
          </cell>
          <cell r="Z549">
            <v>0.5</v>
          </cell>
          <cell r="AA549">
            <v>190.4</v>
          </cell>
          <cell r="AB549"/>
        </row>
        <row r="550">
          <cell r="C550">
            <v>1</v>
          </cell>
          <cell r="D550">
            <v>0</v>
          </cell>
          <cell r="E550">
            <v>0</v>
          </cell>
          <cell r="F550">
            <v>1</v>
          </cell>
          <cell r="H550">
            <v>1</v>
          </cell>
          <cell r="O550">
            <v>361311</v>
          </cell>
          <cell r="P550" t="str">
            <v>2023/033-0003-01</v>
          </cell>
          <cell r="Q550" t="str">
            <v>EST ACESSORIO VYS (MARMORE ROSA PARANA)</v>
          </cell>
          <cell r="R550"/>
          <cell r="S550"/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 t="str">
            <v>EST ACESSORIO VYS (MARMORE ROSA PARANA) - Ø0x0H</v>
          </cell>
          <cell r="Y550">
            <v>3537.18</v>
          </cell>
          <cell r="Z550">
            <v>0.5</v>
          </cell>
          <cell r="AA550">
            <v>1768.59</v>
          </cell>
          <cell r="AB550"/>
        </row>
        <row r="551">
          <cell r="C551">
            <v>0</v>
          </cell>
          <cell r="D551">
            <v>0</v>
          </cell>
          <cell r="E551">
            <v>0</v>
          </cell>
          <cell r="F551">
            <v>1</v>
          </cell>
          <cell r="H551">
            <v>0</v>
          </cell>
          <cell r="O551">
            <v>378474</v>
          </cell>
          <cell r="P551" t="str">
            <v>2024/075-0027-01</v>
          </cell>
          <cell r="Q551" t="str">
            <v>EST MESA LATERAL HIMALAYA (CLAS) (TP MARM ESP SAHR) (WALNUT)</v>
          </cell>
          <cell r="R551"/>
          <cell r="S551"/>
          <cell r="T551">
            <v>0.5</v>
          </cell>
          <cell r="U551">
            <v>0</v>
          </cell>
          <cell r="V551">
            <v>0.45</v>
          </cell>
          <cell r="W551">
            <v>0.5</v>
          </cell>
          <cell r="X551" t="str">
            <v>EST MESA LATERAL HIMALAYA (CLAS) (TP MARM ESP SAHR) (WALNUT) - Ø0,5x0,45H</v>
          </cell>
          <cell r="Y551">
            <v>16553.96</v>
          </cell>
          <cell r="Z551">
            <v>0.35</v>
          </cell>
          <cell r="AA551">
            <v>10760.074000000001</v>
          </cell>
          <cell r="AB551"/>
        </row>
        <row r="552">
          <cell r="C552">
            <v>0</v>
          </cell>
          <cell r="D552">
            <v>0</v>
          </cell>
          <cell r="E552">
            <v>0</v>
          </cell>
          <cell r="F552">
            <v>1</v>
          </cell>
          <cell r="H552">
            <v>0</v>
          </cell>
          <cell r="O552">
            <v>378483</v>
          </cell>
          <cell r="P552" t="str">
            <v>2024/075-0028-01</v>
          </cell>
          <cell r="Q552" t="str">
            <v>EST MESA CENTRO HIMALAYA (CLAS) (TP MARM SAHARA) (WALNUT)</v>
          </cell>
          <cell r="R552"/>
          <cell r="S552"/>
          <cell r="T552">
            <v>1.2</v>
          </cell>
          <cell r="U552">
            <v>0</v>
          </cell>
          <cell r="V552">
            <v>0.35</v>
          </cell>
          <cell r="W552">
            <v>1.2</v>
          </cell>
          <cell r="X552" t="str">
            <v>EST MESA CENTRO HIMALAYA (CLAS) (TP MARM SAHARA) (WALNUT) - Ø1,2x0,35H</v>
          </cell>
          <cell r="Y552">
            <v>55498.91</v>
          </cell>
          <cell r="Z552">
            <v>0.35</v>
          </cell>
          <cell r="AA552">
            <v>36074.291500000007</v>
          </cell>
          <cell r="AB552"/>
        </row>
        <row r="553">
          <cell r="C553">
            <v>3</v>
          </cell>
          <cell r="D553">
            <v>0</v>
          </cell>
          <cell r="E553">
            <v>0</v>
          </cell>
          <cell r="F553">
            <v>7</v>
          </cell>
          <cell r="H553">
            <v>0</v>
          </cell>
          <cell r="O553">
            <v>380350</v>
          </cell>
          <cell r="P553" t="str">
            <v>2024/065-0066-01</v>
          </cell>
          <cell r="Q553" t="str">
            <v>EST ALMOFADA DECORATIVA HIMALAYA (IMPRESSAO BOTANICA)</v>
          </cell>
          <cell r="R553"/>
          <cell r="S553"/>
          <cell r="T553">
            <v>0.6</v>
          </cell>
          <cell r="U553">
            <v>0.3</v>
          </cell>
          <cell r="V553">
            <v>0</v>
          </cell>
          <cell r="W553">
            <v>0</v>
          </cell>
          <cell r="X553" t="str">
            <v>EST ALMOFADA DECORATIVA HIMALAYA (IMPRESSAO BOTANICA) - 0,6x0,3x0H</v>
          </cell>
          <cell r="Y553">
            <v>1466.84</v>
          </cell>
          <cell r="Z553">
            <v>0.35</v>
          </cell>
          <cell r="AA553">
            <v>953.44600000000003</v>
          </cell>
          <cell r="AB553"/>
        </row>
        <row r="554">
          <cell r="C554">
            <v>3</v>
          </cell>
          <cell r="D554">
            <v>0</v>
          </cell>
          <cell r="E554">
            <v>0</v>
          </cell>
          <cell r="F554">
            <v>7</v>
          </cell>
          <cell r="H554">
            <v>0</v>
          </cell>
          <cell r="O554">
            <v>380350</v>
          </cell>
          <cell r="P554" t="str">
            <v>2024/065-0067-01</v>
          </cell>
          <cell r="Q554" t="str">
            <v>EST ALMOFADA DECORATIVA HIMALAYA (IMPRESSAO BOTANICA)</v>
          </cell>
          <cell r="R554"/>
          <cell r="S554"/>
          <cell r="T554">
            <v>0.6</v>
          </cell>
          <cell r="U554">
            <v>0.3</v>
          </cell>
          <cell r="V554">
            <v>0</v>
          </cell>
          <cell r="W554">
            <v>0</v>
          </cell>
          <cell r="X554" t="str">
            <v>EST ALMOFADA DECORATIVA HIMALAYA (IMPRESSAO BOTANICA) - 0,6x0,3x0H</v>
          </cell>
          <cell r="Y554">
            <v>1466.84</v>
          </cell>
          <cell r="Z554">
            <v>0.35</v>
          </cell>
          <cell r="AA554">
            <v>953.44600000000003</v>
          </cell>
          <cell r="AB554"/>
        </row>
        <row r="555">
          <cell r="C555">
            <v>3</v>
          </cell>
          <cell r="D555">
            <v>0</v>
          </cell>
          <cell r="E555">
            <v>0</v>
          </cell>
          <cell r="F555">
            <v>7</v>
          </cell>
          <cell r="H555">
            <v>0</v>
          </cell>
          <cell r="O555">
            <v>380350</v>
          </cell>
          <cell r="P555" t="str">
            <v>2024/065-0068-01</v>
          </cell>
          <cell r="Q555" t="str">
            <v>EST ALMOFADA DECORATIVA HIMALAYA (IMPRESSAO BOTANICA)</v>
          </cell>
          <cell r="R555"/>
          <cell r="S555"/>
          <cell r="T555">
            <v>0.6</v>
          </cell>
          <cell r="U555">
            <v>0.3</v>
          </cell>
          <cell r="V555">
            <v>0</v>
          </cell>
          <cell r="W555">
            <v>0</v>
          </cell>
          <cell r="X555" t="str">
            <v>EST ALMOFADA DECORATIVA HIMALAYA (IMPRESSAO BOTANICA) - 0,6x0,3x0H</v>
          </cell>
          <cell r="Y555">
            <v>1466.84</v>
          </cell>
          <cell r="Z555">
            <v>0.35</v>
          </cell>
          <cell r="AA555">
            <v>953.44600000000003</v>
          </cell>
          <cell r="AB555"/>
        </row>
        <row r="556">
          <cell r="C556">
            <v>3</v>
          </cell>
          <cell r="D556">
            <v>0</v>
          </cell>
          <cell r="E556">
            <v>0</v>
          </cell>
          <cell r="F556">
            <v>7</v>
          </cell>
          <cell r="H556">
            <v>0</v>
          </cell>
          <cell r="O556">
            <v>380350</v>
          </cell>
          <cell r="P556" t="str">
            <v>2024/065-0069-01</v>
          </cell>
          <cell r="Q556" t="str">
            <v>EST ALMOFADA DECORATIVA HIMALAYA (IMPRESSAO BOTANICA)</v>
          </cell>
          <cell r="R556"/>
          <cell r="S556"/>
          <cell r="T556">
            <v>0.6</v>
          </cell>
          <cell r="U556">
            <v>0.3</v>
          </cell>
          <cell r="V556">
            <v>0</v>
          </cell>
          <cell r="W556">
            <v>0</v>
          </cell>
          <cell r="X556" t="str">
            <v>EST ALMOFADA DECORATIVA HIMALAYA (IMPRESSAO BOTANICA) - 0,6x0,3x0H</v>
          </cell>
          <cell r="Y556">
            <v>1466.84</v>
          </cell>
          <cell r="Z556">
            <v>0.35</v>
          </cell>
          <cell r="AA556">
            <v>953.44600000000003</v>
          </cell>
          <cell r="AB556"/>
        </row>
        <row r="557">
          <cell r="C557">
            <v>3</v>
          </cell>
          <cell r="D557">
            <v>0</v>
          </cell>
          <cell r="E557">
            <v>0</v>
          </cell>
          <cell r="F557">
            <v>7</v>
          </cell>
          <cell r="H557">
            <v>0</v>
          </cell>
          <cell r="O557">
            <v>380350</v>
          </cell>
          <cell r="P557" t="str">
            <v>2024/065-0070-01</v>
          </cell>
          <cell r="Q557" t="str">
            <v>EST ALMOFADA DECORATIVA HIMALAYA (IMPRESSAO BOTANICA)</v>
          </cell>
          <cell r="R557"/>
          <cell r="S557"/>
          <cell r="T557">
            <v>0.6</v>
          </cell>
          <cell r="U557">
            <v>0.3</v>
          </cell>
          <cell r="V557">
            <v>0</v>
          </cell>
          <cell r="W557">
            <v>0</v>
          </cell>
          <cell r="X557" t="str">
            <v>EST ALMOFADA DECORATIVA HIMALAYA (IMPRESSAO BOTANICA) - 0,6x0,3x0H</v>
          </cell>
          <cell r="Y557">
            <v>1466.84</v>
          </cell>
          <cell r="Z557">
            <v>0.35</v>
          </cell>
          <cell r="AA557">
            <v>953.44600000000003</v>
          </cell>
          <cell r="AB557"/>
        </row>
        <row r="558">
          <cell r="C558">
            <v>3</v>
          </cell>
          <cell r="D558">
            <v>0</v>
          </cell>
          <cell r="E558">
            <v>0</v>
          </cell>
          <cell r="F558">
            <v>7</v>
          </cell>
          <cell r="H558">
            <v>0</v>
          </cell>
          <cell r="O558">
            <v>380350</v>
          </cell>
          <cell r="P558" t="str">
            <v>2024/065-0071-01</v>
          </cell>
          <cell r="Q558" t="str">
            <v>EST ALMOFADA DECORATIVA HIMALAYA (IMPRESSAO BOTANICA)</v>
          </cell>
          <cell r="R558"/>
          <cell r="S558"/>
          <cell r="T558">
            <v>0.6</v>
          </cell>
          <cell r="U558">
            <v>0.3</v>
          </cell>
          <cell r="V558">
            <v>0</v>
          </cell>
          <cell r="W558">
            <v>0</v>
          </cell>
          <cell r="X558" t="str">
            <v>EST ALMOFADA DECORATIVA HIMALAYA (IMPRESSAO BOTANICA) - 0,6x0,3x0H</v>
          </cell>
          <cell r="Y558">
            <v>1466.84</v>
          </cell>
          <cell r="Z558">
            <v>0.35</v>
          </cell>
          <cell r="AA558">
            <v>953.44600000000003</v>
          </cell>
          <cell r="AB558"/>
        </row>
        <row r="559">
          <cell r="C559">
            <v>3</v>
          </cell>
          <cell r="D559">
            <v>0</v>
          </cell>
          <cell r="E559">
            <v>0</v>
          </cell>
          <cell r="F559">
            <v>7</v>
          </cell>
          <cell r="H559">
            <v>0</v>
          </cell>
          <cell r="O559">
            <v>380350</v>
          </cell>
          <cell r="P559" t="str">
            <v>2024/065-0072-01</v>
          </cell>
          <cell r="Q559" t="str">
            <v>EST ALMOFADA DECORATIVA HIMALAYA (IMPRESSAO BOTANICA)</v>
          </cell>
          <cell r="R559"/>
          <cell r="S559"/>
          <cell r="T559">
            <v>0.6</v>
          </cell>
          <cell r="U559">
            <v>0.3</v>
          </cell>
          <cell r="V559">
            <v>0</v>
          </cell>
          <cell r="W559">
            <v>0</v>
          </cell>
          <cell r="X559" t="str">
            <v>EST ALMOFADA DECORATIVA HIMALAYA (IMPRESSAO BOTANICA) - 0,6x0,3x0H</v>
          </cell>
          <cell r="Y559">
            <v>1466.84</v>
          </cell>
          <cell r="Z559">
            <v>0.35</v>
          </cell>
          <cell r="AA559">
            <v>953.44600000000003</v>
          </cell>
          <cell r="AB559"/>
        </row>
        <row r="560">
          <cell r="C560">
            <v>1</v>
          </cell>
          <cell r="D560">
            <v>0</v>
          </cell>
          <cell r="E560">
            <v>2</v>
          </cell>
          <cell r="F560">
            <v>7</v>
          </cell>
          <cell r="H560">
            <v>0</v>
          </cell>
          <cell r="O560">
            <v>380352</v>
          </cell>
          <cell r="P560" t="str">
            <v>2024/065-0074-01</v>
          </cell>
          <cell r="Q560" t="str">
            <v>EST ALMOFADA DECORATIVA MONDRIAN (ITAJIME SHIBORI)</v>
          </cell>
          <cell r="R560"/>
          <cell r="S560"/>
          <cell r="T560">
            <v>0.6</v>
          </cell>
          <cell r="U560">
            <v>0.3</v>
          </cell>
          <cell r="V560">
            <v>0</v>
          </cell>
          <cell r="W560">
            <v>0</v>
          </cell>
          <cell r="X560" t="str">
            <v>EST ALMOFADA DECORATIVA MONDRIAN (ITAJIME SHIBORI) - 0,6x0,3x0H</v>
          </cell>
          <cell r="Y560">
            <v>1466.84</v>
          </cell>
          <cell r="Z560">
            <v>0.35</v>
          </cell>
          <cell r="AA560">
            <v>953.44600000000003</v>
          </cell>
          <cell r="AB560"/>
        </row>
        <row r="561">
          <cell r="C561">
            <v>1</v>
          </cell>
          <cell r="D561">
            <v>0</v>
          </cell>
          <cell r="E561">
            <v>2</v>
          </cell>
          <cell r="F561">
            <v>7</v>
          </cell>
          <cell r="H561">
            <v>0</v>
          </cell>
          <cell r="O561">
            <v>380352</v>
          </cell>
          <cell r="P561" t="str">
            <v>2024/065-0075-01</v>
          </cell>
          <cell r="Q561" t="str">
            <v>EST ALMOFADA DECORATIVA MONDRIAN (ITAJIME SHIBORI)</v>
          </cell>
          <cell r="R561"/>
          <cell r="S561"/>
          <cell r="T561">
            <v>0.6</v>
          </cell>
          <cell r="U561">
            <v>0.3</v>
          </cell>
          <cell r="V561">
            <v>0</v>
          </cell>
          <cell r="W561">
            <v>0</v>
          </cell>
          <cell r="X561" t="str">
            <v>EST ALMOFADA DECORATIVA MONDRIAN (ITAJIME SHIBORI) - 0,6x0,3x0H</v>
          </cell>
          <cell r="Y561">
            <v>1466.84</v>
          </cell>
          <cell r="Z561">
            <v>0.35</v>
          </cell>
          <cell r="AA561">
            <v>953.44600000000003</v>
          </cell>
          <cell r="AB561"/>
        </row>
        <row r="562">
          <cell r="C562">
            <v>1</v>
          </cell>
          <cell r="D562">
            <v>0</v>
          </cell>
          <cell r="E562">
            <v>2</v>
          </cell>
          <cell r="F562">
            <v>7</v>
          </cell>
          <cell r="H562">
            <v>0</v>
          </cell>
          <cell r="O562">
            <v>380352</v>
          </cell>
          <cell r="P562" t="str">
            <v>2024/065-0076-01</v>
          </cell>
          <cell r="Q562" t="str">
            <v>EST ALMOFADA DECORATIVA MONDRIAN (ITAJIME SHIBORI)</v>
          </cell>
          <cell r="R562"/>
          <cell r="S562"/>
          <cell r="T562">
            <v>0.6</v>
          </cell>
          <cell r="U562">
            <v>0.3</v>
          </cell>
          <cell r="V562">
            <v>0</v>
          </cell>
          <cell r="W562">
            <v>0</v>
          </cell>
          <cell r="X562" t="str">
            <v>EST ALMOFADA DECORATIVA MONDRIAN (ITAJIME SHIBORI) - 0,6x0,3x0H</v>
          </cell>
          <cell r="Y562">
            <v>1466.84</v>
          </cell>
          <cell r="Z562">
            <v>0.35</v>
          </cell>
          <cell r="AA562">
            <v>953.44600000000003</v>
          </cell>
          <cell r="AB562"/>
        </row>
        <row r="563">
          <cell r="C563">
            <v>1</v>
          </cell>
          <cell r="D563">
            <v>0</v>
          </cell>
          <cell r="E563">
            <v>2</v>
          </cell>
          <cell r="F563">
            <v>7</v>
          </cell>
          <cell r="H563">
            <v>0</v>
          </cell>
          <cell r="O563">
            <v>380352</v>
          </cell>
          <cell r="P563" t="str">
            <v>2024/065-0077-01</v>
          </cell>
          <cell r="Q563" t="str">
            <v>EST ALMOFADA DECORATIVA MONDRIAN (ITAJIME SHIBORI)</v>
          </cell>
          <cell r="R563"/>
          <cell r="S563"/>
          <cell r="T563">
            <v>0.6</v>
          </cell>
          <cell r="U563">
            <v>0.3</v>
          </cell>
          <cell r="V563">
            <v>0</v>
          </cell>
          <cell r="W563">
            <v>0</v>
          </cell>
          <cell r="X563" t="str">
            <v>EST ALMOFADA DECORATIVA MONDRIAN (ITAJIME SHIBORI) - 0,6x0,3x0H</v>
          </cell>
          <cell r="Y563">
            <v>1466.84</v>
          </cell>
          <cell r="Z563">
            <v>0.35</v>
          </cell>
          <cell r="AA563">
            <v>953.44600000000003</v>
          </cell>
          <cell r="AB563"/>
        </row>
        <row r="564">
          <cell r="C564">
            <v>1</v>
          </cell>
          <cell r="D564">
            <v>0</v>
          </cell>
          <cell r="E564">
            <v>2</v>
          </cell>
          <cell r="F564">
            <v>7</v>
          </cell>
          <cell r="H564">
            <v>0</v>
          </cell>
          <cell r="O564">
            <v>380352</v>
          </cell>
          <cell r="P564" t="str">
            <v>2024/065-0078-01</v>
          </cell>
          <cell r="Q564" t="str">
            <v>EST ALMOFADA DECORATIVA MONDRIAN (ITAJIME SHIBORI)</v>
          </cell>
          <cell r="R564"/>
          <cell r="S564"/>
          <cell r="T564">
            <v>0.6</v>
          </cell>
          <cell r="U564">
            <v>0.3</v>
          </cell>
          <cell r="V564">
            <v>0</v>
          </cell>
          <cell r="W564">
            <v>0</v>
          </cell>
          <cell r="X564" t="str">
            <v>EST ALMOFADA DECORATIVA MONDRIAN (ITAJIME SHIBORI) - 0,6x0,3x0H</v>
          </cell>
          <cell r="Y564">
            <v>1466.84</v>
          </cell>
          <cell r="Z564">
            <v>0.35</v>
          </cell>
          <cell r="AA564">
            <v>953.44600000000003</v>
          </cell>
          <cell r="AB564"/>
        </row>
        <row r="565">
          <cell r="C565">
            <v>1</v>
          </cell>
          <cell r="D565">
            <v>0</v>
          </cell>
          <cell r="E565">
            <v>2</v>
          </cell>
          <cell r="F565">
            <v>7</v>
          </cell>
          <cell r="H565">
            <v>0</v>
          </cell>
          <cell r="O565">
            <v>380352</v>
          </cell>
          <cell r="P565" t="str">
            <v>2024/065-0079-01</v>
          </cell>
          <cell r="Q565" t="str">
            <v>EST ALMOFADA DECORATIVA MONDRIAN (ITAJIME SHIBORI)</v>
          </cell>
          <cell r="R565"/>
          <cell r="S565"/>
          <cell r="T565">
            <v>0.6</v>
          </cell>
          <cell r="U565">
            <v>0.3</v>
          </cell>
          <cell r="V565">
            <v>0</v>
          </cell>
          <cell r="W565">
            <v>0</v>
          </cell>
          <cell r="X565" t="str">
            <v>EST ALMOFADA DECORATIVA MONDRIAN (ITAJIME SHIBORI) - 0,6x0,3x0H</v>
          </cell>
          <cell r="Y565">
            <v>1466.84</v>
          </cell>
          <cell r="Z565">
            <v>0.35</v>
          </cell>
          <cell r="AA565">
            <v>953.44600000000003</v>
          </cell>
          <cell r="AB565"/>
        </row>
        <row r="566">
          <cell r="C566">
            <v>1</v>
          </cell>
          <cell r="D566">
            <v>0</v>
          </cell>
          <cell r="E566">
            <v>2</v>
          </cell>
          <cell r="F566">
            <v>7</v>
          </cell>
          <cell r="H566">
            <v>0</v>
          </cell>
          <cell r="O566">
            <v>380352</v>
          </cell>
          <cell r="P566" t="str">
            <v>2024/065-0080-01</v>
          </cell>
          <cell r="Q566" t="str">
            <v>EST ALMOFADA DECORATIVA MONDRIAN (ITAJIME SHIBORI)</v>
          </cell>
          <cell r="R566"/>
          <cell r="S566"/>
          <cell r="T566">
            <v>0.6</v>
          </cell>
          <cell r="U566">
            <v>0.3</v>
          </cell>
          <cell r="V566">
            <v>0</v>
          </cell>
          <cell r="W566">
            <v>0</v>
          </cell>
          <cell r="X566" t="str">
            <v>EST ALMOFADA DECORATIVA MONDRIAN (ITAJIME SHIBORI) - 0,6x0,3x0H</v>
          </cell>
          <cell r="Y566">
            <v>1466.84</v>
          </cell>
          <cell r="Z566">
            <v>0.35</v>
          </cell>
          <cell r="AA566">
            <v>953.44600000000003</v>
          </cell>
          <cell r="AB566"/>
        </row>
        <row r="567">
          <cell r="C567">
            <v>6</v>
          </cell>
          <cell r="D567">
            <v>0</v>
          </cell>
          <cell r="E567">
            <v>0</v>
          </cell>
          <cell r="F567">
            <v>0</v>
          </cell>
          <cell r="H567">
            <v>2</v>
          </cell>
          <cell r="O567">
            <v>270562</v>
          </cell>
          <cell r="P567" t="str">
            <v>2020/350-0028-01</v>
          </cell>
          <cell r="Q567" t="str">
            <v>EST CADEIRA LUIZA C/BRACO COU 2 MARROM ENVELH/JEQ CAST CLARO</v>
          </cell>
          <cell r="R567"/>
          <cell r="S567"/>
          <cell r="T567">
            <v>0.59</v>
          </cell>
          <cell r="U567">
            <v>0.56000000000000005</v>
          </cell>
          <cell r="V567">
            <v>0.74</v>
          </cell>
          <cell r="W567">
            <v>0</v>
          </cell>
          <cell r="X567" t="str">
            <v>EST CADEIRA LUIZA C/BRACO COU 2 MARROM ENVELH/JEQ CAST CLARO - 0,59x0,56x0,74H</v>
          </cell>
          <cell r="Y567">
            <v>9433.94</v>
          </cell>
          <cell r="Z567">
            <v>0.35</v>
          </cell>
          <cell r="AA567">
            <v>6132.0610000000006</v>
          </cell>
          <cell r="AB567"/>
        </row>
        <row r="568">
          <cell r="C568">
            <v>0</v>
          </cell>
          <cell r="D568">
            <v>6</v>
          </cell>
          <cell r="E568">
            <v>0</v>
          </cell>
          <cell r="F568">
            <v>0</v>
          </cell>
          <cell r="H568">
            <v>0</v>
          </cell>
          <cell r="O568">
            <v>364294</v>
          </cell>
          <cell r="P568" t="str">
            <v>2023/152-0037-01</v>
          </cell>
          <cell r="Q568" t="str">
            <v>EST CADEIRA CACAU C/BRACO (CASTANHO) (LATAO) TC PREMIUM P016</v>
          </cell>
          <cell r="R568"/>
          <cell r="S568"/>
          <cell r="T568">
            <v>0.61</v>
          </cell>
          <cell r="U568">
            <v>0.61</v>
          </cell>
          <cell r="V568">
            <v>0.84</v>
          </cell>
          <cell r="W568">
            <v>0</v>
          </cell>
          <cell r="X568" t="str">
            <v>EST CADEIRA CACAU C/BRACO (CASTANHO) (LATAO) TC PREMIUM P016 - 0,61x0,61x0,84H</v>
          </cell>
          <cell r="Y568">
            <v>7275.88</v>
          </cell>
          <cell r="Z568">
            <v>0.35</v>
          </cell>
          <cell r="AA568">
            <v>4729.3220000000001</v>
          </cell>
          <cell r="AB568"/>
        </row>
        <row r="569">
          <cell r="C569">
            <v>0</v>
          </cell>
          <cell r="D569">
            <v>6</v>
          </cell>
          <cell r="E569">
            <v>0</v>
          </cell>
          <cell r="F569">
            <v>0</v>
          </cell>
          <cell r="H569">
            <v>0</v>
          </cell>
          <cell r="O569">
            <v>364294</v>
          </cell>
          <cell r="P569" t="str">
            <v>2023/152-0038-01</v>
          </cell>
          <cell r="Q569" t="str">
            <v>EST CADEIRA CACAU C/BRACO (CASTANHO) (LATAO) TC PREMIUM P016</v>
          </cell>
          <cell r="R569"/>
          <cell r="S569"/>
          <cell r="T569">
            <v>0.61</v>
          </cell>
          <cell r="U569">
            <v>0.61</v>
          </cell>
          <cell r="V569">
            <v>0.84</v>
          </cell>
          <cell r="W569">
            <v>0</v>
          </cell>
          <cell r="X569" t="str">
            <v>EST CADEIRA CACAU C/BRACO (CASTANHO) (LATAO) TC PREMIUM P016 - 0,61x0,61x0,84H</v>
          </cell>
          <cell r="Y569">
            <v>7275.88</v>
          </cell>
          <cell r="Z569">
            <v>0.35</v>
          </cell>
          <cell r="AA569">
            <v>4729.3220000000001</v>
          </cell>
          <cell r="AB569"/>
        </row>
        <row r="570">
          <cell r="C570">
            <v>0</v>
          </cell>
          <cell r="D570">
            <v>6</v>
          </cell>
          <cell r="E570">
            <v>0</v>
          </cell>
          <cell r="F570">
            <v>0</v>
          </cell>
          <cell r="H570">
            <v>0</v>
          </cell>
          <cell r="O570">
            <v>364294</v>
          </cell>
          <cell r="P570" t="str">
            <v>2023/152-0039-01</v>
          </cell>
          <cell r="Q570" t="str">
            <v>EST CADEIRA CACAU C/BRACO (CASTANHO) (LATAO) TC PREMIUM P016</v>
          </cell>
          <cell r="R570"/>
          <cell r="S570"/>
          <cell r="T570">
            <v>0.61</v>
          </cell>
          <cell r="U570">
            <v>0.61</v>
          </cell>
          <cell r="V570">
            <v>0.84</v>
          </cell>
          <cell r="W570">
            <v>0</v>
          </cell>
          <cell r="X570" t="str">
            <v>EST CADEIRA CACAU C/BRACO (CASTANHO) (LATAO) TC PREMIUM P016 - 0,61x0,61x0,84H</v>
          </cell>
          <cell r="Y570">
            <v>7275.88</v>
          </cell>
          <cell r="Z570">
            <v>0.35</v>
          </cell>
          <cell r="AA570">
            <v>4729.3220000000001</v>
          </cell>
          <cell r="AB570"/>
        </row>
        <row r="571">
          <cell r="C571">
            <v>0</v>
          </cell>
          <cell r="D571">
            <v>6</v>
          </cell>
          <cell r="E571">
            <v>0</v>
          </cell>
          <cell r="F571">
            <v>0</v>
          </cell>
          <cell r="H571">
            <v>0</v>
          </cell>
          <cell r="O571">
            <v>364294</v>
          </cell>
          <cell r="P571" t="str">
            <v>2023/152-0040-01</v>
          </cell>
          <cell r="Q571" t="str">
            <v>EST CADEIRA CACAU C/BRACO (CASTANHO) (LATAO) TC PREMIUM P016</v>
          </cell>
          <cell r="R571"/>
          <cell r="S571"/>
          <cell r="T571">
            <v>0.61</v>
          </cell>
          <cell r="U571">
            <v>0.61</v>
          </cell>
          <cell r="V571">
            <v>0.84</v>
          </cell>
          <cell r="W571">
            <v>0</v>
          </cell>
          <cell r="X571" t="str">
            <v>EST CADEIRA CACAU C/BRACO (CASTANHO) (LATAO) TC PREMIUM P016 - 0,61x0,61x0,84H</v>
          </cell>
          <cell r="Y571">
            <v>7275.88</v>
          </cell>
          <cell r="Z571">
            <v>0.35</v>
          </cell>
          <cell r="AA571">
            <v>4729.3220000000001</v>
          </cell>
          <cell r="AB571"/>
        </row>
        <row r="572">
          <cell r="C572">
            <v>0</v>
          </cell>
          <cell r="D572">
            <v>6</v>
          </cell>
          <cell r="E572">
            <v>0</v>
          </cell>
          <cell r="F572">
            <v>0</v>
          </cell>
          <cell r="H572">
            <v>0</v>
          </cell>
          <cell r="O572">
            <v>364294</v>
          </cell>
          <cell r="P572" t="str">
            <v>2023/152-0041-01</v>
          </cell>
          <cell r="Q572" t="str">
            <v>EST CADEIRA CACAU C/BRACO (CASTANHO) (LATAO) TC PREMIUM P016</v>
          </cell>
          <cell r="R572"/>
          <cell r="S572"/>
          <cell r="T572">
            <v>0.61</v>
          </cell>
          <cell r="U572">
            <v>0.61</v>
          </cell>
          <cell r="V572">
            <v>0.84</v>
          </cell>
          <cell r="W572">
            <v>0</v>
          </cell>
          <cell r="X572" t="str">
            <v>EST CADEIRA CACAU C/BRACO (CASTANHO) (LATAO) TC PREMIUM P016 - 0,61x0,61x0,84H</v>
          </cell>
          <cell r="Y572">
            <v>7275.88</v>
          </cell>
          <cell r="Z572">
            <v>0.35</v>
          </cell>
          <cell r="AA572">
            <v>4729.3220000000001</v>
          </cell>
          <cell r="AB572"/>
        </row>
        <row r="573">
          <cell r="C573">
            <v>0</v>
          </cell>
          <cell r="D573">
            <v>6</v>
          </cell>
          <cell r="E573">
            <v>0</v>
          </cell>
          <cell r="F573">
            <v>0</v>
          </cell>
          <cell r="H573">
            <v>0</v>
          </cell>
          <cell r="O573">
            <v>364294</v>
          </cell>
          <cell r="P573" t="str">
            <v>2023/152-0042-01</v>
          </cell>
          <cell r="Q573" t="str">
            <v>EST CADEIRA CACAU C/BRACO (CASTANHO) (LATAO) TC PREMIUM P016</v>
          </cell>
          <cell r="R573"/>
          <cell r="S573"/>
          <cell r="T573">
            <v>0.61</v>
          </cell>
          <cell r="U573">
            <v>0.61</v>
          </cell>
          <cell r="V573">
            <v>0.84</v>
          </cell>
          <cell r="W573">
            <v>0</v>
          </cell>
          <cell r="X573" t="str">
            <v>EST CADEIRA CACAU C/BRACO (CASTANHO) (LATAO) TC PREMIUM P016 - 0,61x0,61x0,84H</v>
          </cell>
          <cell r="Y573">
            <v>7275.88</v>
          </cell>
          <cell r="Z573">
            <v>0.35</v>
          </cell>
          <cell r="AA573">
            <v>4729.3220000000001</v>
          </cell>
          <cell r="AB573"/>
        </row>
        <row r="574">
          <cell r="C574">
            <v>0</v>
          </cell>
          <cell r="D574">
            <v>1</v>
          </cell>
          <cell r="E574">
            <v>0</v>
          </cell>
          <cell r="F574">
            <v>0</v>
          </cell>
          <cell r="H574">
            <v>0</v>
          </cell>
          <cell r="O574">
            <v>378172</v>
          </cell>
          <cell r="P574" t="str">
            <v>2024/023-0009-01</v>
          </cell>
          <cell r="Q574" t="str">
            <v>EST TAPETE SISAL CD (BARRA VIRADA)</v>
          </cell>
          <cell r="R574"/>
          <cell r="S574"/>
          <cell r="T574">
            <v>4</v>
          </cell>
          <cell r="U574">
            <v>0</v>
          </cell>
          <cell r="V574">
            <v>0</v>
          </cell>
          <cell r="W574">
            <v>4</v>
          </cell>
          <cell r="X574" t="str">
            <v>EST TAPETE SISAL CD (BARRA VIRADA) - Ø4x0H</v>
          </cell>
          <cell r="Y574">
            <v>7123.2</v>
          </cell>
          <cell r="Z574">
            <v>0.35</v>
          </cell>
          <cell r="AA574">
            <v>4630.08</v>
          </cell>
          <cell r="AB574"/>
        </row>
        <row r="575">
          <cell r="C575">
            <v>0</v>
          </cell>
          <cell r="D575">
            <v>1</v>
          </cell>
          <cell r="E575">
            <v>0</v>
          </cell>
          <cell r="F575">
            <v>0</v>
          </cell>
          <cell r="H575">
            <v>1</v>
          </cell>
          <cell r="O575">
            <v>378173</v>
          </cell>
          <cell r="P575" t="str">
            <v>2024/023-0011-01</v>
          </cell>
          <cell r="Q575" t="str">
            <v>EST TAPETE SISAL C44 (BARRA VIRADA)</v>
          </cell>
          <cell r="R575"/>
          <cell r="S575"/>
          <cell r="T575">
            <v>5</v>
          </cell>
          <cell r="U575">
            <v>4</v>
          </cell>
          <cell r="V575">
            <v>0</v>
          </cell>
          <cell r="W575">
            <v>0</v>
          </cell>
          <cell r="X575" t="str">
            <v>EST TAPETE SISAL C44 (BARRA VIRADA) - 5x4x0H</v>
          </cell>
          <cell r="Y575">
            <v>8892.7999999999993</v>
          </cell>
          <cell r="Z575">
            <v>0.35</v>
          </cell>
          <cell r="AA575">
            <v>5780.32</v>
          </cell>
          <cell r="AB575"/>
        </row>
        <row r="576">
          <cell r="C576">
            <v>0</v>
          </cell>
          <cell r="D576">
            <v>1</v>
          </cell>
          <cell r="E576">
            <v>0</v>
          </cell>
          <cell r="F576">
            <v>0</v>
          </cell>
          <cell r="H576">
            <v>0</v>
          </cell>
          <cell r="O576">
            <v>378454</v>
          </cell>
          <cell r="P576" t="str">
            <v>2024/075-0003-01</v>
          </cell>
          <cell r="Q576" t="str">
            <v>EST MESA LATERAL HIMALAYA (CLAS) (VD COMUM MTZ MOC) (WALNUT)</v>
          </cell>
          <cell r="R576"/>
          <cell r="S576"/>
          <cell r="T576">
            <v>0.7</v>
          </cell>
          <cell r="U576">
            <v>0</v>
          </cell>
          <cell r="V576">
            <v>0.55000000000000004</v>
          </cell>
          <cell r="W576">
            <v>0.7</v>
          </cell>
          <cell r="X576" t="str">
            <v>EST MESA LATERAL HIMALAYA (CLAS) (VD COMUM MTZ MOC) (WALNUT) - Ø0,7x0,55H</v>
          </cell>
          <cell r="Y576">
            <v>11816.76</v>
          </cell>
          <cell r="Z576">
            <v>0.35</v>
          </cell>
          <cell r="AA576">
            <v>7680.8940000000002</v>
          </cell>
          <cell r="AB576"/>
        </row>
        <row r="577">
          <cell r="C577">
            <v>0</v>
          </cell>
          <cell r="D577">
            <v>1</v>
          </cell>
          <cell r="E577">
            <v>0</v>
          </cell>
          <cell r="F577">
            <v>0</v>
          </cell>
          <cell r="H577">
            <v>0</v>
          </cell>
          <cell r="O577">
            <v>378479</v>
          </cell>
          <cell r="P577" t="str">
            <v>2024/075-0004-01</v>
          </cell>
          <cell r="Q577" t="str">
            <v>EST MESA CENTRO HIMALAYA (CLAS) (VD COMUM MTZ MOCC) (WALNUT)</v>
          </cell>
          <cell r="R577"/>
          <cell r="S577"/>
          <cell r="T577">
            <v>1.2</v>
          </cell>
          <cell r="U577">
            <v>0</v>
          </cell>
          <cell r="V577">
            <v>0.35</v>
          </cell>
          <cell r="W577">
            <v>1.2</v>
          </cell>
          <cell r="X577" t="str">
            <v>EST MESA CENTRO HIMALAYA (CLAS) (VD COMUM MTZ MOCC) (WALNUT) - Ø1,2x0,35H</v>
          </cell>
          <cell r="Y577">
            <v>19568.599999999999</v>
          </cell>
          <cell r="Z577">
            <v>0.35</v>
          </cell>
          <cell r="AA577">
            <v>12719.59</v>
          </cell>
          <cell r="AB577"/>
        </row>
        <row r="578">
          <cell r="C578">
            <v>0</v>
          </cell>
          <cell r="D578">
            <v>1</v>
          </cell>
          <cell r="E578">
            <v>0</v>
          </cell>
          <cell r="F578">
            <v>0</v>
          </cell>
          <cell r="H578">
            <v>0</v>
          </cell>
          <cell r="O578">
            <v>378482</v>
          </cell>
          <cell r="P578" t="str">
            <v>2024/079-0042-01</v>
          </cell>
          <cell r="Q578" t="str">
            <v>EST MESA CENTRO HIMALAYA (CLAS) (VD COMUM MTZ STRD) (WALNUT)</v>
          </cell>
          <cell r="R578"/>
          <cell r="S578"/>
          <cell r="T578">
            <v>1.2</v>
          </cell>
          <cell r="U578">
            <v>0</v>
          </cell>
          <cell r="V578">
            <v>0.35</v>
          </cell>
          <cell r="W578">
            <v>1.2</v>
          </cell>
          <cell r="X578" t="str">
            <v>EST MESA CENTRO HIMALAYA (CLAS) (VD COMUM MTZ STRD) (WALNUT) - Ø1,2x0,35H</v>
          </cell>
          <cell r="Y578">
            <v>19568.599999999999</v>
          </cell>
          <cell r="Z578">
            <v>0.35</v>
          </cell>
          <cell r="AA578">
            <v>12719.59</v>
          </cell>
          <cell r="AB578"/>
        </row>
        <row r="579">
          <cell r="C579">
            <v>0</v>
          </cell>
          <cell r="D579">
            <v>8</v>
          </cell>
          <cell r="E579">
            <v>0</v>
          </cell>
          <cell r="F579">
            <v>0</v>
          </cell>
          <cell r="H579">
            <v>0</v>
          </cell>
          <cell r="O579">
            <v>387659</v>
          </cell>
          <cell r="P579" t="str">
            <v>2024/206-0045-01</v>
          </cell>
          <cell r="Q579" t="str">
            <v>EST CADEIRA MIRIAM (NOGAL) TC 3000 - 3339</v>
          </cell>
          <cell r="R579"/>
          <cell r="S579"/>
          <cell r="T579">
            <v>0.55000000000000004</v>
          </cell>
          <cell r="U579">
            <v>0.51</v>
          </cell>
          <cell r="V579">
            <v>0.78</v>
          </cell>
          <cell r="W579">
            <v>0</v>
          </cell>
          <cell r="X579" t="str">
            <v>EST CADEIRA MIRIAM (NOGAL) TC 3000 - 3339 - 0,55x0,51x0,78H</v>
          </cell>
          <cell r="Y579">
            <v>3728.44</v>
          </cell>
          <cell r="Z579">
            <v>0.35</v>
          </cell>
          <cell r="AA579">
            <v>2423.4859999999999</v>
          </cell>
          <cell r="AB579"/>
        </row>
        <row r="580">
          <cell r="C580">
            <v>0</v>
          </cell>
          <cell r="D580">
            <v>8</v>
          </cell>
          <cell r="E580">
            <v>0</v>
          </cell>
          <cell r="F580">
            <v>0</v>
          </cell>
          <cell r="H580">
            <v>0</v>
          </cell>
          <cell r="O580">
            <v>387659</v>
          </cell>
          <cell r="P580" t="str">
            <v>2024/206-0046-01</v>
          </cell>
          <cell r="Q580" t="str">
            <v>EST CADEIRA MIRIAM (NOGAL) TC 3000 - 3339</v>
          </cell>
          <cell r="R580"/>
          <cell r="S580"/>
          <cell r="T580">
            <v>0.55000000000000004</v>
          </cell>
          <cell r="U580">
            <v>0.51</v>
          </cell>
          <cell r="V580">
            <v>0.78</v>
          </cell>
          <cell r="W580">
            <v>0</v>
          </cell>
          <cell r="X580" t="str">
            <v>EST CADEIRA MIRIAM (NOGAL) TC 3000 - 3339 - 0,55x0,51x0,78H</v>
          </cell>
          <cell r="Y580">
            <v>3728.44</v>
          </cell>
          <cell r="Z580">
            <v>0.35</v>
          </cell>
          <cell r="AA580">
            <v>2423.4859999999999</v>
          </cell>
          <cell r="AB580"/>
        </row>
        <row r="581">
          <cell r="C581">
            <v>0</v>
          </cell>
          <cell r="D581">
            <v>8</v>
          </cell>
          <cell r="E581">
            <v>0</v>
          </cell>
          <cell r="F581">
            <v>0</v>
          </cell>
          <cell r="H581">
            <v>0</v>
          </cell>
          <cell r="O581">
            <v>387659</v>
          </cell>
          <cell r="P581" t="str">
            <v>2024/206-0047-01</v>
          </cell>
          <cell r="Q581" t="str">
            <v>EST CADEIRA MIRIAM (NOGAL) TC 3000 - 3339</v>
          </cell>
          <cell r="R581"/>
          <cell r="S581"/>
          <cell r="T581">
            <v>0.55000000000000004</v>
          </cell>
          <cell r="U581">
            <v>0.51</v>
          </cell>
          <cell r="V581">
            <v>0.78</v>
          </cell>
          <cell r="W581">
            <v>0</v>
          </cell>
          <cell r="X581" t="str">
            <v>EST CADEIRA MIRIAM (NOGAL) TC 3000 - 3339 - 0,55x0,51x0,78H</v>
          </cell>
          <cell r="Y581">
            <v>3728.44</v>
          </cell>
          <cell r="Z581">
            <v>0.35</v>
          </cell>
          <cell r="AA581">
            <v>2423.4859999999999</v>
          </cell>
          <cell r="AB581"/>
        </row>
        <row r="582">
          <cell r="C582">
            <v>0</v>
          </cell>
          <cell r="D582">
            <v>8</v>
          </cell>
          <cell r="E582">
            <v>0</v>
          </cell>
          <cell r="F582">
            <v>0</v>
          </cell>
          <cell r="H582">
            <v>0</v>
          </cell>
          <cell r="O582">
            <v>387659</v>
          </cell>
          <cell r="P582" t="str">
            <v>2024/206-0048-01</v>
          </cell>
          <cell r="Q582" t="str">
            <v>EST CADEIRA MIRIAM (NOGAL) TC 3000 - 3339</v>
          </cell>
          <cell r="R582"/>
          <cell r="S582"/>
          <cell r="T582">
            <v>0.55000000000000004</v>
          </cell>
          <cell r="U582">
            <v>0.51</v>
          </cell>
          <cell r="V582">
            <v>0.78</v>
          </cell>
          <cell r="W582">
            <v>0</v>
          </cell>
          <cell r="X582" t="str">
            <v>EST CADEIRA MIRIAM (NOGAL) TC 3000 - 3339 - 0,55x0,51x0,78H</v>
          </cell>
          <cell r="Y582">
            <v>3728.44</v>
          </cell>
          <cell r="Z582">
            <v>0.35</v>
          </cell>
          <cell r="AA582">
            <v>2423.4859999999999</v>
          </cell>
          <cell r="AB582"/>
        </row>
        <row r="583">
          <cell r="C583">
            <v>0</v>
          </cell>
          <cell r="D583">
            <v>8</v>
          </cell>
          <cell r="E583">
            <v>0</v>
          </cell>
          <cell r="F583">
            <v>0</v>
          </cell>
          <cell r="H583">
            <v>0</v>
          </cell>
          <cell r="O583">
            <v>387659</v>
          </cell>
          <cell r="P583" t="str">
            <v>2024/206-0049-01</v>
          </cell>
          <cell r="Q583" t="str">
            <v>EST CADEIRA MIRIAM (NOGAL) TC 3000 - 3339</v>
          </cell>
          <cell r="R583"/>
          <cell r="S583"/>
          <cell r="T583">
            <v>0.55000000000000004</v>
          </cell>
          <cell r="U583">
            <v>0.51</v>
          </cell>
          <cell r="V583">
            <v>0.78</v>
          </cell>
          <cell r="W583">
            <v>0</v>
          </cell>
          <cell r="X583" t="str">
            <v>EST CADEIRA MIRIAM (NOGAL) TC 3000 - 3339 - 0,55x0,51x0,78H</v>
          </cell>
          <cell r="Y583">
            <v>3728.44</v>
          </cell>
          <cell r="Z583">
            <v>0.35</v>
          </cell>
          <cell r="AA583">
            <v>2423.4859999999999</v>
          </cell>
          <cell r="AB583"/>
        </row>
        <row r="584">
          <cell r="C584">
            <v>0</v>
          </cell>
          <cell r="D584">
            <v>8</v>
          </cell>
          <cell r="E584">
            <v>0</v>
          </cell>
          <cell r="F584">
            <v>0</v>
          </cell>
          <cell r="H584">
            <v>0</v>
          </cell>
          <cell r="O584">
            <v>387659</v>
          </cell>
          <cell r="P584" t="str">
            <v>2024/206-0050-01</v>
          </cell>
          <cell r="Q584" t="str">
            <v>EST CADEIRA MIRIAM (NOGAL) TC 3000 - 3339</v>
          </cell>
          <cell r="R584"/>
          <cell r="S584"/>
          <cell r="T584">
            <v>0.55000000000000004</v>
          </cell>
          <cell r="U584">
            <v>0.51</v>
          </cell>
          <cell r="V584">
            <v>0.78</v>
          </cell>
          <cell r="W584">
            <v>0</v>
          </cell>
          <cell r="X584" t="str">
            <v>EST CADEIRA MIRIAM (NOGAL) TC 3000 - 3339 - 0,55x0,51x0,78H</v>
          </cell>
          <cell r="Y584">
            <v>3728.44</v>
          </cell>
          <cell r="Z584">
            <v>0.35</v>
          </cell>
          <cell r="AA584">
            <v>2423.4859999999999</v>
          </cell>
          <cell r="AB584"/>
        </row>
        <row r="585">
          <cell r="C585">
            <v>0</v>
          </cell>
          <cell r="D585">
            <v>8</v>
          </cell>
          <cell r="E585">
            <v>0</v>
          </cell>
          <cell r="F585">
            <v>0</v>
          </cell>
          <cell r="H585">
            <v>0</v>
          </cell>
          <cell r="O585">
            <v>387659</v>
          </cell>
          <cell r="P585" t="str">
            <v>2024/206-0051-01</v>
          </cell>
          <cell r="Q585" t="str">
            <v>EST CADEIRA MIRIAM (NOGAL) TC 3000 - 3339</v>
          </cell>
          <cell r="R585"/>
          <cell r="S585"/>
          <cell r="T585">
            <v>0.55000000000000004</v>
          </cell>
          <cell r="U585">
            <v>0.51</v>
          </cell>
          <cell r="V585">
            <v>0.78</v>
          </cell>
          <cell r="W585">
            <v>0</v>
          </cell>
          <cell r="X585" t="str">
            <v>EST CADEIRA MIRIAM (NOGAL) TC 3000 - 3339 - 0,55x0,51x0,78H</v>
          </cell>
          <cell r="Y585">
            <v>3728.44</v>
          </cell>
          <cell r="Z585">
            <v>0.35</v>
          </cell>
          <cell r="AA585">
            <v>2423.4859999999999</v>
          </cell>
          <cell r="AB585"/>
        </row>
        <row r="586">
          <cell r="C586">
            <v>0</v>
          </cell>
          <cell r="D586">
            <v>8</v>
          </cell>
          <cell r="E586">
            <v>0</v>
          </cell>
          <cell r="F586">
            <v>0</v>
          </cell>
          <cell r="H586">
            <v>0</v>
          </cell>
          <cell r="O586">
            <v>387659</v>
          </cell>
          <cell r="P586" t="str">
            <v>2024/206-0052-01</v>
          </cell>
          <cell r="Q586" t="str">
            <v>EST CADEIRA MIRIAM (NOGAL) TC 3000 - 3339</v>
          </cell>
          <cell r="R586"/>
          <cell r="S586"/>
          <cell r="T586">
            <v>0.55000000000000004</v>
          </cell>
          <cell r="U586">
            <v>0.51</v>
          </cell>
          <cell r="V586">
            <v>0.78</v>
          </cell>
          <cell r="W586">
            <v>0</v>
          </cell>
          <cell r="X586" t="str">
            <v>EST CADEIRA MIRIAM (NOGAL) TC 3000 - 3339 - 0,55x0,51x0,78H</v>
          </cell>
          <cell r="Y586">
            <v>3728.44</v>
          </cell>
          <cell r="Z586">
            <v>0.35</v>
          </cell>
          <cell r="AA586">
            <v>2423.4859999999999</v>
          </cell>
          <cell r="AB586"/>
        </row>
        <row r="587">
          <cell r="C587">
            <v>0</v>
          </cell>
          <cell r="D587">
            <v>6</v>
          </cell>
          <cell r="E587">
            <v>0</v>
          </cell>
          <cell r="F587">
            <v>0</v>
          </cell>
          <cell r="H587">
            <v>0</v>
          </cell>
          <cell r="O587">
            <v>387662</v>
          </cell>
          <cell r="P587" t="str">
            <v>2024/206-0070-01</v>
          </cell>
          <cell r="Q587" t="str">
            <v>EST CADEIRA BLANCA (DAMASCO) TC 3000 - 3295</v>
          </cell>
          <cell r="R587"/>
          <cell r="S587"/>
          <cell r="T587">
            <v>0.54</v>
          </cell>
          <cell r="U587">
            <v>0.56000000000000005</v>
          </cell>
          <cell r="V587">
            <v>0.79</v>
          </cell>
          <cell r="W587">
            <v>0</v>
          </cell>
          <cell r="X587" t="str">
            <v>EST CADEIRA BLANCA (DAMASCO) TC 3000 - 3295 - 0,54x0,56x0,79H</v>
          </cell>
          <cell r="Y587">
            <v>3460.76</v>
          </cell>
          <cell r="Z587">
            <v>0.35</v>
          </cell>
          <cell r="AA587">
            <v>2249.4940000000001</v>
          </cell>
          <cell r="AB587"/>
        </row>
        <row r="588">
          <cell r="C588">
            <v>0</v>
          </cell>
          <cell r="D588">
            <v>6</v>
          </cell>
          <cell r="E588">
            <v>0</v>
          </cell>
          <cell r="F588">
            <v>0</v>
          </cell>
          <cell r="H588">
            <v>0</v>
          </cell>
          <cell r="O588">
            <v>387662</v>
          </cell>
          <cell r="P588" t="str">
            <v>2024/206-0065-01</v>
          </cell>
          <cell r="Q588" t="str">
            <v>EST CADEIRA BLANCA (DAMASCO) TC 3000 - 3295</v>
          </cell>
          <cell r="R588"/>
          <cell r="S588"/>
          <cell r="T588">
            <v>0.54</v>
          </cell>
          <cell r="U588">
            <v>0.56000000000000005</v>
          </cell>
          <cell r="V588">
            <v>0.79</v>
          </cell>
          <cell r="W588">
            <v>0</v>
          </cell>
          <cell r="X588" t="str">
            <v>EST CADEIRA BLANCA (DAMASCO) TC 3000 - 3295 - 0,54x0,56x0,79H</v>
          </cell>
          <cell r="Y588">
            <v>3460.76</v>
          </cell>
          <cell r="Z588">
            <v>0.35</v>
          </cell>
          <cell r="AA588">
            <v>2249.4940000000001</v>
          </cell>
          <cell r="AB588"/>
        </row>
        <row r="589">
          <cell r="C589">
            <v>0</v>
          </cell>
          <cell r="D589">
            <v>6</v>
          </cell>
          <cell r="E589">
            <v>0</v>
          </cell>
          <cell r="F589">
            <v>0</v>
          </cell>
          <cell r="H589">
            <v>0</v>
          </cell>
          <cell r="O589">
            <v>387662</v>
          </cell>
          <cell r="P589" t="str">
            <v>2024/206-0066-01</v>
          </cell>
          <cell r="Q589" t="str">
            <v>EST CADEIRA BLANCA (DAMASCO) TC 3000 - 3295</v>
          </cell>
          <cell r="R589"/>
          <cell r="S589"/>
          <cell r="T589">
            <v>0.54</v>
          </cell>
          <cell r="U589">
            <v>0.56000000000000005</v>
          </cell>
          <cell r="V589">
            <v>0.79</v>
          </cell>
          <cell r="W589">
            <v>0</v>
          </cell>
          <cell r="X589" t="str">
            <v>EST CADEIRA BLANCA (DAMASCO) TC 3000 - 3295 - 0,54x0,56x0,79H</v>
          </cell>
          <cell r="Y589">
            <v>3460.76</v>
          </cell>
          <cell r="Z589">
            <v>0.35</v>
          </cell>
          <cell r="AA589">
            <v>2249.4940000000001</v>
          </cell>
          <cell r="AB589"/>
        </row>
        <row r="590">
          <cell r="C590">
            <v>0</v>
          </cell>
          <cell r="D590">
            <v>6</v>
          </cell>
          <cell r="E590">
            <v>0</v>
          </cell>
          <cell r="F590">
            <v>0</v>
          </cell>
          <cell r="H590">
            <v>0</v>
          </cell>
          <cell r="O590">
            <v>387662</v>
          </cell>
          <cell r="P590" t="str">
            <v>2024/206-0067-01</v>
          </cell>
          <cell r="Q590" t="str">
            <v>EST CADEIRA BLANCA (DAMASCO) TC 3000 - 3295</v>
          </cell>
          <cell r="R590"/>
          <cell r="S590"/>
          <cell r="T590">
            <v>0.54</v>
          </cell>
          <cell r="U590">
            <v>0.56000000000000005</v>
          </cell>
          <cell r="V590">
            <v>0.79</v>
          </cell>
          <cell r="W590">
            <v>0</v>
          </cell>
          <cell r="X590" t="str">
            <v>EST CADEIRA BLANCA (DAMASCO) TC 3000 - 3295 - 0,54x0,56x0,79H</v>
          </cell>
          <cell r="Y590">
            <v>3460.76</v>
          </cell>
          <cell r="Z590">
            <v>0.35</v>
          </cell>
          <cell r="AA590">
            <v>2249.4940000000001</v>
          </cell>
          <cell r="AB590"/>
        </row>
        <row r="591">
          <cell r="C591">
            <v>0</v>
          </cell>
          <cell r="D591">
            <v>6</v>
          </cell>
          <cell r="E591">
            <v>0</v>
          </cell>
          <cell r="F591">
            <v>0</v>
          </cell>
          <cell r="H591">
            <v>0</v>
          </cell>
          <cell r="O591">
            <v>387662</v>
          </cell>
          <cell r="P591" t="str">
            <v>2024/206-0068-01</v>
          </cell>
          <cell r="Q591" t="str">
            <v>EST CADEIRA BLANCA (DAMASCO) TC 3000 - 3295</v>
          </cell>
          <cell r="R591"/>
          <cell r="S591"/>
          <cell r="T591">
            <v>0.54</v>
          </cell>
          <cell r="U591">
            <v>0.56000000000000005</v>
          </cell>
          <cell r="V591">
            <v>0.79</v>
          </cell>
          <cell r="W591">
            <v>0</v>
          </cell>
          <cell r="X591" t="str">
            <v>EST CADEIRA BLANCA (DAMASCO) TC 3000 - 3295 - 0,54x0,56x0,79H</v>
          </cell>
          <cell r="Y591">
            <v>3460.76</v>
          </cell>
          <cell r="Z591">
            <v>0.35</v>
          </cell>
          <cell r="AA591">
            <v>2249.4940000000001</v>
          </cell>
          <cell r="AB591"/>
        </row>
        <row r="592">
          <cell r="C592">
            <v>0</v>
          </cell>
          <cell r="D592">
            <v>6</v>
          </cell>
          <cell r="E592">
            <v>0</v>
          </cell>
          <cell r="F592">
            <v>0</v>
          </cell>
          <cell r="H592">
            <v>0</v>
          </cell>
          <cell r="O592">
            <v>387662</v>
          </cell>
          <cell r="P592" t="str">
            <v>2024/206-0069-01</v>
          </cell>
          <cell r="Q592" t="str">
            <v>EST CADEIRA BLANCA (DAMASCO) TC 3000 - 3295</v>
          </cell>
          <cell r="R592"/>
          <cell r="S592"/>
          <cell r="T592">
            <v>0.54</v>
          </cell>
          <cell r="U592">
            <v>0.56000000000000005</v>
          </cell>
          <cell r="V592">
            <v>0.79</v>
          </cell>
          <cell r="W592">
            <v>0</v>
          </cell>
          <cell r="X592" t="str">
            <v>EST CADEIRA BLANCA (DAMASCO) TC 3000 - 3295 - 0,54x0,56x0,79H</v>
          </cell>
          <cell r="Y592">
            <v>3460.76</v>
          </cell>
          <cell r="Z592">
            <v>0.35</v>
          </cell>
          <cell r="AA592">
            <v>2249.4940000000001</v>
          </cell>
          <cell r="AB592"/>
        </row>
        <row r="593">
          <cell r="C593">
            <v>0</v>
          </cell>
          <cell r="D593">
            <v>2</v>
          </cell>
          <cell r="E593">
            <v>0</v>
          </cell>
          <cell r="F593">
            <v>0</v>
          </cell>
          <cell r="H593">
            <v>0</v>
          </cell>
          <cell r="O593">
            <v>387685</v>
          </cell>
          <cell r="P593" t="str">
            <v>2024/194-0011-01</v>
          </cell>
          <cell r="Q593" t="str">
            <v>EST ESTANTE ABRIGO (AMENDOA) MTZ CAFE</v>
          </cell>
          <cell r="R593"/>
          <cell r="S593"/>
          <cell r="T593">
            <v>1.2</v>
          </cell>
          <cell r="U593">
            <v>0.4</v>
          </cell>
          <cell r="V593">
            <v>1.88</v>
          </cell>
          <cell r="W593">
            <v>0</v>
          </cell>
          <cell r="X593" t="str">
            <v>EST ESTANTE ABRIGO (AMENDOA) MTZ CAFE - 1,2x0,4x1,88H</v>
          </cell>
          <cell r="Y593">
            <v>8633.0499999999993</v>
          </cell>
          <cell r="Z593">
            <v>0.35</v>
          </cell>
          <cell r="AA593">
            <v>5611.4825000000001</v>
          </cell>
          <cell r="AB593"/>
        </row>
        <row r="594">
          <cell r="C594">
            <v>0</v>
          </cell>
          <cell r="D594">
            <v>2</v>
          </cell>
          <cell r="E594">
            <v>0</v>
          </cell>
          <cell r="F594">
            <v>0</v>
          </cell>
          <cell r="H594">
            <v>0</v>
          </cell>
          <cell r="O594">
            <v>387685</v>
          </cell>
          <cell r="P594" t="str">
            <v>2024/194-0012-01</v>
          </cell>
          <cell r="Q594" t="str">
            <v>EST ESTANTE ABRIGO (AMENDOA) MTZ CAFE</v>
          </cell>
          <cell r="R594"/>
          <cell r="S594"/>
          <cell r="T594">
            <v>1.2</v>
          </cell>
          <cell r="U594">
            <v>0.4</v>
          </cell>
          <cell r="V594">
            <v>1.88</v>
          </cell>
          <cell r="W594">
            <v>0</v>
          </cell>
          <cell r="X594" t="str">
            <v>EST ESTANTE ABRIGO (AMENDOA) MTZ CAFE - 1,2x0,4x1,88H</v>
          </cell>
          <cell r="Y594">
            <v>8633.0499999999993</v>
          </cell>
          <cell r="Z594">
            <v>0.35</v>
          </cell>
          <cell r="AA594">
            <v>5611.4825000000001</v>
          </cell>
          <cell r="AB594"/>
        </row>
        <row r="595">
          <cell r="C595">
            <v>0</v>
          </cell>
          <cell r="D595">
            <v>1</v>
          </cell>
          <cell r="E595">
            <v>0</v>
          </cell>
          <cell r="F595">
            <v>0</v>
          </cell>
          <cell r="H595">
            <v>0</v>
          </cell>
          <cell r="O595">
            <v>387700</v>
          </cell>
          <cell r="P595" t="str">
            <v>2024/194-0019-01</v>
          </cell>
          <cell r="Q595" t="str">
            <v>EST MESA CENTRO PLANALTO (TP/BS SEMI CAPUCCINO)</v>
          </cell>
          <cell r="R595"/>
          <cell r="S595"/>
          <cell r="T595">
            <v>0.95</v>
          </cell>
          <cell r="U595">
            <v>0.95</v>
          </cell>
          <cell r="V595">
            <v>0.25</v>
          </cell>
          <cell r="W595">
            <v>0</v>
          </cell>
          <cell r="X595" t="str">
            <v>EST MESA CENTRO PLANALTO (TP/BS SEMI CAPUCCINO) - 0,95x0,95x0,25H</v>
          </cell>
          <cell r="Y595">
            <v>6913.98</v>
          </cell>
          <cell r="Z595">
            <v>0.35</v>
          </cell>
          <cell r="AA595">
            <v>4494.0869999999995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387701</v>
          </cell>
          <cell r="P596" t="str">
            <v>2024/194-0020-01</v>
          </cell>
          <cell r="Q596" t="str">
            <v>EST MESA CENTRO PLANALTO (TP/BS LAMINA FREIJO)</v>
          </cell>
          <cell r="R596"/>
          <cell r="S596"/>
          <cell r="T596">
            <v>1.1499999999999999</v>
          </cell>
          <cell r="U596">
            <v>1.1499999999999999</v>
          </cell>
          <cell r="V596">
            <v>0.3</v>
          </cell>
          <cell r="W596">
            <v>0</v>
          </cell>
          <cell r="X596" t="str">
            <v>EST MESA CENTRO PLANALTO (TP/BS LAMINA FREIJO) - 1,15x1,15x0,3H</v>
          </cell>
          <cell r="Y596">
            <v>7551.08</v>
          </cell>
          <cell r="Z596">
            <v>0.35</v>
          </cell>
          <cell r="AA596">
            <v>4908.2020000000002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387710</v>
          </cell>
          <cell r="P597" t="str">
            <v>2024/194-0025-01</v>
          </cell>
          <cell r="Q597" t="str">
            <v>EST MESA LATERAL PLANALTO (TP LAM FREIJO) BS SEMI CAPUCCINO</v>
          </cell>
          <cell r="R597"/>
          <cell r="S597"/>
          <cell r="T597">
            <v>0.65</v>
          </cell>
          <cell r="U597">
            <v>0.65</v>
          </cell>
          <cell r="V597">
            <v>0.5</v>
          </cell>
          <cell r="W597">
            <v>0</v>
          </cell>
          <cell r="X597" t="str">
            <v>EST MESA LATERAL PLANALTO (TP LAM FREIJO) BS SEMI CAPUCCINO - 0,65x0,65x0,5H</v>
          </cell>
          <cell r="Y597">
            <v>5835.78</v>
          </cell>
          <cell r="Z597">
            <v>0.35</v>
          </cell>
          <cell r="AA597">
            <v>3793.2570000000001</v>
          </cell>
          <cell r="AB597"/>
        </row>
        <row r="598">
          <cell r="C598">
            <v>0</v>
          </cell>
          <cell r="D598">
            <v>1</v>
          </cell>
          <cell r="E598">
            <v>0</v>
          </cell>
          <cell r="F598">
            <v>1</v>
          </cell>
          <cell r="H598">
            <v>0</v>
          </cell>
          <cell r="O598">
            <v>387726</v>
          </cell>
          <cell r="P598" t="str">
            <v>2024/194-0027-01</v>
          </cell>
          <cell r="Q598" t="str">
            <v>EST MESA LATERAL COPA (TP/BS NOGAL) MTX CAFE</v>
          </cell>
          <cell r="R598"/>
          <cell r="S598"/>
          <cell r="T598">
            <v>0.37</v>
          </cell>
          <cell r="U598">
            <v>0.35</v>
          </cell>
          <cell r="V598">
            <v>0.45</v>
          </cell>
          <cell r="W598">
            <v>0</v>
          </cell>
          <cell r="X598" t="str">
            <v>EST MESA LATERAL COPA (TP/BS NOGAL) MTX CAFE - 0,37x0,35x0,45H</v>
          </cell>
          <cell r="Y598">
            <v>4753.82</v>
          </cell>
          <cell r="Z598">
            <v>0.35</v>
          </cell>
          <cell r="AA598">
            <v>3089.9830000000002</v>
          </cell>
          <cell r="AB598"/>
        </row>
        <row r="599">
          <cell r="C599">
            <v>0</v>
          </cell>
          <cell r="D599">
            <v>8</v>
          </cell>
          <cell r="E599">
            <v>0</v>
          </cell>
          <cell r="F599">
            <v>0</v>
          </cell>
          <cell r="H599">
            <v>0</v>
          </cell>
          <cell r="O599">
            <v>388124</v>
          </cell>
          <cell r="P599" t="str">
            <v>2024/192-0023-01</v>
          </cell>
          <cell r="Q599" t="str">
            <v>EST CADEIRA YASMIM (TELA AMENDOA) (DAMASCO) TC 1000 - 1316</v>
          </cell>
          <cell r="R599"/>
          <cell r="S599"/>
          <cell r="T599">
            <v>0.49</v>
          </cell>
          <cell r="U599">
            <v>0.6</v>
          </cell>
          <cell r="V599">
            <v>0.84</v>
          </cell>
          <cell r="W599">
            <v>0</v>
          </cell>
          <cell r="X599" t="str">
            <v>EST CADEIRA YASMIM (TELA AMENDOA) (DAMASCO) TC 1000 - 1316 - 0,49x0,6x0,84H</v>
          </cell>
          <cell r="Y599">
            <v>3592.69</v>
          </cell>
          <cell r="Z599">
            <v>0.35</v>
          </cell>
          <cell r="AA599">
            <v>2335.2485000000001</v>
          </cell>
          <cell r="AB599"/>
        </row>
        <row r="600">
          <cell r="C600">
            <v>0</v>
          </cell>
          <cell r="D600">
            <v>8</v>
          </cell>
          <cell r="E600">
            <v>0</v>
          </cell>
          <cell r="F600">
            <v>0</v>
          </cell>
          <cell r="H600">
            <v>0</v>
          </cell>
          <cell r="O600">
            <v>388124</v>
          </cell>
          <cell r="P600" t="str">
            <v>2024/192-0024-01</v>
          </cell>
          <cell r="Q600" t="str">
            <v>EST CADEIRA YASMIM (TELA AMENDOA) (DAMASCO) TC 1000 - 1316</v>
          </cell>
          <cell r="R600"/>
          <cell r="S600"/>
          <cell r="T600">
            <v>0.49</v>
          </cell>
          <cell r="U600">
            <v>0.6</v>
          </cell>
          <cell r="V600">
            <v>0.84</v>
          </cell>
          <cell r="W600">
            <v>0</v>
          </cell>
          <cell r="X600" t="str">
            <v>EST CADEIRA YASMIM (TELA AMENDOA) (DAMASCO) TC 1000 - 1316 - 0,49x0,6x0,84H</v>
          </cell>
          <cell r="Y600">
            <v>3592.69</v>
          </cell>
          <cell r="Z600">
            <v>0.35</v>
          </cell>
          <cell r="AA600">
            <v>2335.2485000000001</v>
          </cell>
          <cell r="AB600"/>
        </row>
        <row r="601">
          <cell r="C601">
            <v>0</v>
          </cell>
          <cell r="D601">
            <v>8</v>
          </cell>
          <cell r="E601">
            <v>0</v>
          </cell>
          <cell r="F601">
            <v>0</v>
          </cell>
          <cell r="H601">
            <v>0</v>
          </cell>
          <cell r="O601">
            <v>388124</v>
          </cell>
          <cell r="P601" t="str">
            <v>2024/192-0025-01</v>
          </cell>
          <cell r="Q601" t="str">
            <v>EST CADEIRA YASMIM (TELA AMENDOA) (DAMASCO) TC 1000 - 1316</v>
          </cell>
          <cell r="R601"/>
          <cell r="S601"/>
          <cell r="T601">
            <v>0.49</v>
          </cell>
          <cell r="U601">
            <v>0.6</v>
          </cell>
          <cell r="V601">
            <v>0.84</v>
          </cell>
          <cell r="W601">
            <v>0</v>
          </cell>
          <cell r="X601" t="str">
            <v>EST CADEIRA YASMIM (TELA AMENDOA) (DAMASCO) TC 1000 - 1316 - 0,49x0,6x0,84H</v>
          </cell>
          <cell r="Y601">
            <v>3592.69</v>
          </cell>
          <cell r="Z601">
            <v>0.35</v>
          </cell>
          <cell r="AA601">
            <v>2335.2485000000001</v>
          </cell>
          <cell r="AB601"/>
        </row>
        <row r="602">
          <cell r="C602">
            <v>0</v>
          </cell>
          <cell r="D602">
            <v>8</v>
          </cell>
          <cell r="E602">
            <v>0</v>
          </cell>
          <cell r="F602">
            <v>0</v>
          </cell>
          <cell r="H602">
            <v>0</v>
          </cell>
          <cell r="O602">
            <v>388124</v>
          </cell>
          <cell r="P602" t="str">
            <v>2024/192-0026-01</v>
          </cell>
          <cell r="Q602" t="str">
            <v>EST CADEIRA YASMIM (TELA AMENDOA) (DAMASCO) TC 1000 - 1316</v>
          </cell>
          <cell r="R602"/>
          <cell r="S602"/>
          <cell r="T602">
            <v>0.49</v>
          </cell>
          <cell r="U602">
            <v>0.6</v>
          </cell>
          <cell r="V602">
            <v>0.84</v>
          </cell>
          <cell r="W602">
            <v>0</v>
          </cell>
          <cell r="X602" t="str">
            <v>EST CADEIRA YASMIM (TELA AMENDOA) (DAMASCO) TC 1000 - 1316 - 0,49x0,6x0,84H</v>
          </cell>
          <cell r="Y602">
            <v>3592.69</v>
          </cell>
          <cell r="Z602">
            <v>0.35</v>
          </cell>
          <cell r="AA602">
            <v>2335.2485000000001</v>
          </cell>
          <cell r="AB602"/>
        </row>
        <row r="603">
          <cell r="C603">
            <v>0</v>
          </cell>
          <cell r="D603">
            <v>8</v>
          </cell>
          <cell r="E603">
            <v>0</v>
          </cell>
          <cell r="F603">
            <v>0</v>
          </cell>
          <cell r="H603">
            <v>0</v>
          </cell>
          <cell r="O603">
            <v>388124</v>
          </cell>
          <cell r="P603" t="str">
            <v>2024/192-0027-01</v>
          </cell>
          <cell r="Q603" t="str">
            <v>EST CADEIRA YASMIM (TELA AMENDOA) (DAMASCO) TC 1000 - 1316</v>
          </cell>
          <cell r="R603"/>
          <cell r="S603"/>
          <cell r="T603">
            <v>0.49</v>
          </cell>
          <cell r="U603">
            <v>0.6</v>
          </cell>
          <cell r="V603">
            <v>0.84</v>
          </cell>
          <cell r="W603">
            <v>0</v>
          </cell>
          <cell r="X603" t="str">
            <v>EST CADEIRA YASMIM (TELA AMENDOA) (DAMASCO) TC 1000 - 1316 - 0,49x0,6x0,84H</v>
          </cell>
          <cell r="Y603">
            <v>3592.69</v>
          </cell>
          <cell r="Z603">
            <v>0.35</v>
          </cell>
          <cell r="AA603">
            <v>2335.2485000000001</v>
          </cell>
          <cell r="AB603"/>
        </row>
        <row r="604">
          <cell r="C604">
            <v>0</v>
          </cell>
          <cell r="D604">
            <v>8</v>
          </cell>
          <cell r="E604">
            <v>0</v>
          </cell>
          <cell r="F604">
            <v>0</v>
          </cell>
          <cell r="H604">
            <v>0</v>
          </cell>
          <cell r="O604">
            <v>388124</v>
          </cell>
          <cell r="P604" t="str">
            <v>2024/192-0028-01</v>
          </cell>
          <cell r="Q604" t="str">
            <v>EST CADEIRA YASMIM (TELA AMENDOA) (DAMASCO) TC 1000 - 1316</v>
          </cell>
          <cell r="R604"/>
          <cell r="S604"/>
          <cell r="T604">
            <v>0.49</v>
          </cell>
          <cell r="U604">
            <v>0.6</v>
          </cell>
          <cell r="V604">
            <v>0.84</v>
          </cell>
          <cell r="W604">
            <v>0</v>
          </cell>
          <cell r="X604" t="str">
            <v>EST CADEIRA YASMIM (TELA AMENDOA) (DAMASCO) TC 1000 - 1316 - 0,49x0,6x0,84H</v>
          </cell>
          <cell r="Y604">
            <v>3592.69</v>
          </cell>
          <cell r="Z604">
            <v>0.35</v>
          </cell>
          <cell r="AA604">
            <v>2335.2485000000001</v>
          </cell>
          <cell r="AB604"/>
        </row>
        <row r="605">
          <cell r="C605">
            <v>0</v>
          </cell>
          <cell r="D605">
            <v>8</v>
          </cell>
          <cell r="E605">
            <v>0</v>
          </cell>
          <cell r="F605">
            <v>0</v>
          </cell>
          <cell r="H605">
            <v>0</v>
          </cell>
          <cell r="O605">
            <v>388124</v>
          </cell>
          <cell r="P605" t="str">
            <v>2024/192-0029-01</v>
          </cell>
          <cell r="Q605" t="str">
            <v>EST CADEIRA YASMIM (TELA AMENDOA) (DAMASCO) TC 1000 - 1316</v>
          </cell>
          <cell r="R605"/>
          <cell r="S605"/>
          <cell r="T605">
            <v>0.49</v>
          </cell>
          <cell r="U605">
            <v>0.6</v>
          </cell>
          <cell r="V605">
            <v>0.84</v>
          </cell>
          <cell r="W605">
            <v>0</v>
          </cell>
          <cell r="X605" t="str">
            <v>EST CADEIRA YASMIM (TELA AMENDOA) (DAMASCO) TC 1000 - 1316 - 0,49x0,6x0,84H</v>
          </cell>
          <cell r="Y605">
            <v>3592.69</v>
          </cell>
          <cell r="Z605">
            <v>0.35</v>
          </cell>
          <cell r="AA605">
            <v>2335.2485000000001</v>
          </cell>
          <cell r="AB605"/>
        </row>
        <row r="606">
          <cell r="C606">
            <v>0</v>
          </cell>
          <cell r="D606">
            <v>8</v>
          </cell>
          <cell r="E606">
            <v>0</v>
          </cell>
          <cell r="F606">
            <v>0</v>
          </cell>
          <cell r="H606">
            <v>0</v>
          </cell>
          <cell r="O606">
            <v>388124</v>
          </cell>
          <cell r="P606" t="str">
            <v>2024/192-0030-01</v>
          </cell>
          <cell r="Q606" t="str">
            <v>EST CADEIRA YASMIM (TELA AMENDOA) (DAMASCO) TC 1000 - 1316</v>
          </cell>
          <cell r="R606"/>
          <cell r="S606"/>
          <cell r="T606">
            <v>0.49</v>
          </cell>
          <cell r="U606">
            <v>0.6</v>
          </cell>
          <cell r="V606">
            <v>0.84</v>
          </cell>
          <cell r="W606">
            <v>0</v>
          </cell>
          <cell r="X606" t="str">
            <v>EST CADEIRA YASMIM (TELA AMENDOA) (DAMASCO) TC 1000 - 1316 - 0,49x0,6x0,84H</v>
          </cell>
          <cell r="Y606">
            <v>3592.69</v>
          </cell>
          <cell r="Z606">
            <v>0.35</v>
          </cell>
          <cell r="AA606">
            <v>2335.2485000000001</v>
          </cell>
          <cell r="AB606"/>
        </row>
        <row r="607">
          <cell r="C607">
            <v>1</v>
          </cell>
          <cell r="D607">
            <v>1</v>
          </cell>
          <cell r="E607">
            <v>0</v>
          </cell>
          <cell r="F607">
            <v>0</v>
          </cell>
          <cell r="H607">
            <v>0</v>
          </cell>
          <cell r="O607">
            <v>147544</v>
          </cell>
          <cell r="P607" t="str">
            <v>2014/099-0081-01</v>
          </cell>
          <cell r="Q607" t="str">
            <v>EST VASO TYLER G (COD.ZEA-3169A)</v>
          </cell>
          <cell r="R607"/>
          <cell r="S607"/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 t="str">
            <v>EST VASO TYLER G (COD.ZEA-3169A) - Ø0x0H</v>
          </cell>
          <cell r="Y607">
            <v>1613.83</v>
          </cell>
          <cell r="Z607">
            <v>0.5</v>
          </cell>
          <cell r="AA607">
            <v>806.91499999999996</v>
          </cell>
          <cell r="AB607"/>
        </row>
        <row r="608">
          <cell r="C608">
            <v>1</v>
          </cell>
          <cell r="D608">
            <v>1</v>
          </cell>
          <cell r="E608">
            <v>0</v>
          </cell>
          <cell r="F608">
            <v>0</v>
          </cell>
          <cell r="H608">
            <v>0</v>
          </cell>
          <cell r="O608">
            <v>147545</v>
          </cell>
          <cell r="P608" t="str">
            <v>2014/099-0085-01</v>
          </cell>
          <cell r="Q608" t="str">
            <v>EST VASO TYLER M (COD.ZEA-3169B)</v>
          </cell>
          <cell r="R608"/>
          <cell r="S608"/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 t="str">
            <v>EST VASO TYLER M (COD.ZEA-3169B) - Ø0x0H</v>
          </cell>
          <cell r="Y608">
            <v>1423.43</v>
          </cell>
          <cell r="Z608">
            <v>0.5</v>
          </cell>
          <cell r="AA608">
            <v>711.71500000000003</v>
          </cell>
          <cell r="AB608"/>
        </row>
        <row r="609">
          <cell r="C609">
            <v>3</v>
          </cell>
          <cell r="D609">
            <v>6</v>
          </cell>
          <cell r="E609">
            <v>0</v>
          </cell>
          <cell r="F609">
            <v>0</v>
          </cell>
          <cell r="H609">
            <v>0</v>
          </cell>
          <cell r="O609">
            <v>147930</v>
          </cell>
          <cell r="P609" t="str">
            <v>2014/262-0096-01</v>
          </cell>
          <cell r="Q609" t="str">
            <v>EST LUMINARIA PENDENTE DON SEM LAMPADA</v>
          </cell>
          <cell r="R609"/>
          <cell r="S609"/>
          <cell r="T609">
            <v>0.2</v>
          </cell>
          <cell r="U609">
            <v>0.2</v>
          </cell>
          <cell r="V609">
            <v>0.3</v>
          </cell>
          <cell r="W609">
            <v>0</v>
          </cell>
          <cell r="X609" t="str">
            <v>EST LUMINARIA PENDENTE DON SEM LAMPADA - 0,2x0,2x0,3H</v>
          </cell>
          <cell r="Y609">
            <v>5713.34</v>
          </cell>
          <cell r="Z609">
            <v>0.5</v>
          </cell>
          <cell r="AA609">
            <v>2856.67</v>
          </cell>
          <cell r="AB609"/>
        </row>
        <row r="610">
          <cell r="C610">
            <v>3</v>
          </cell>
          <cell r="D610">
            <v>6</v>
          </cell>
          <cell r="E610">
            <v>0</v>
          </cell>
          <cell r="F610">
            <v>0</v>
          </cell>
          <cell r="H610">
            <v>0</v>
          </cell>
          <cell r="O610">
            <v>147930</v>
          </cell>
          <cell r="P610" t="str">
            <v>2014/262-0097-01</v>
          </cell>
          <cell r="Q610" t="str">
            <v>EST LUMINARIA PENDENTE DON SEM LAMPADA</v>
          </cell>
          <cell r="R610"/>
          <cell r="S610"/>
          <cell r="T610">
            <v>0.2</v>
          </cell>
          <cell r="U610">
            <v>0.2</v>
          </cell>
          <cell r="V610">
            <v>0.3</v>
          </cell>
          <cell r="W610">
            <v>0</v>
          </cell>
          <cell r="X610" t="str">
            <v>EST LUMINARIA PENDENTE DON SEM LAMPADA - 0,2x0,2x0,3H</v>
          </cell>
          <cell r="Y610">
            <v>5713.34</v>
          </cell>
          <cell r="Z610">
            <v>0.5</v>
          </cell>
          <cell r="AA610">
            <v>2856.67</v>
          </cell>
          <cell r="AB610"/>
        </row>
        <row r="611">
          <cell r="C611">
            <v>3</v>
          </cell>
          <cell r="D611">
            <v>6</v>
          </cell>
          <cell r="E611">
            <v>0</v>
          </cell>
          <cell r="F611">
            <v>0</v>
          </cell>
          <cell r="H611">
            <v>0</v>
          </cell>
          <cell r="O611">
            <v>147930</v>
          </cell>
          <cell r="P611" t="str">
            <v>2014/262-0098-01</v>
          </cell>
          <cell r="Q611" t="str">
            <v>EST LUMINARIA PENDENTE DON SEM LAMPADA</v>
          </cell>
          <cell r="R611"/>
          <cell r="S611"/>
          <cell r="T611">
            <v>0.2</v>
          </cell>
          <cell r="U611">
            <v>0.2</v>
          </cell>
          <cell r="V611">
            <v>0.3</v>
          </cell>
          <cell r="W611">
            <v>0</v>
          </cell>
          <cell r="X611" t="str">
            <v>EST LUMINARIA PENDENTE DON SEM LAMPADA - 0,2x0,2x0,3H</v>
          </cell>
          <cell r="Y611">
            <v>5713.34</v>
          </cell>
          <cell r="Z611">
            <v>0.5</v>
          </cell>
          <cell r="AA611">
            <v>2856.67</v>
          </cell>
          <cell r="AB611"/>
        </row>
        <row r="612">
          <cell r="C612">
            <v>3</v>
          </cell>
          <cell r="D612">
            <v>6</v>
          </cell>
          <cell r="E612">
            <v>0</v>
          </cell>
          <cell r="F612">
            <v>0</v>
          </cell>
          <cell r="H612">
            <v>0</v>
          </cell>
          <cell r="O612">
            <v>147930</v>
          </cell>
          <cell r="P612" t="str">
            <v>2014/262-0099-01</v>
          </cell>
          <cell r="Q612" t="str">
            <v>EST LUMINARIA PENDENTE DON SEM LAMPADA</v>
          </cell>
          <cell r="R612"/>
          <cell r="S612"/>
          <cell r="T612">
            <v>0.2</v>
          </cell>
          <cell r="U612">
            <v>0.2</v>
          </cell>
          <cell r="V612">
            <v>0.3</v>
          </cell>
          <cell r="W612">
            <v>0</v>
          </cell>
          <cell r="X612" t="str">
            <v>EST LUMINARIA PENDENTE DON SEM LAMPADA - 0,2x0,2x0,3H</v>
          </cell>
          <cell r="Y612">
            <v>5713.34</v>
          </cell>
          <cell r="Z612">
            <v>0.5</v>
          </cell>
          <cell r="AA612">
            <v>2856.67</v>
          </cell>
          <cell r="AB612"/>
        </row>
        <row r="613">
          <cell r="C613">
            <v>3</v>
          </cell>
          <cell r="D613">
            <v>6</v>
          </cell>
          <cell r="E613">
            <v>0</v>
          </cell>
          <cell r="F613">
            <v>0</v>
          </cell>
          <cell r="H613">
            <v>0</v>
          </cell>
          <cell r="O613">
            <v>147930</v>
          </cell>
          <cell r="P613" t="str">
            <v>2014/262-0092-01</v>
          </cell>
          <cell r="Q613" t="str">
            <v>EST LUMINARIA PENDENTE DON SEM LAMPADA</v>
          </cell>
          <cell r="R613"/>
          <cell r="S613"/>
          <cell r="T613">
            <v>0.2</v>
          </cell>
          <cell r="U613">
            <v>0.2</v>
          </cell>
          <cell r="V613">
            <v>0.3</v>
          </cell>
          <cell r="W613">
            <v>0</v>
          </cell>
          <cell r="X613" t="str">
            <v>EST LUMINARIA PENDENTE DON SEM LAMPADA - 0,2x0,2x0,3H</v>
          </cell>
          <cell r="Y613">
            <v>5713.34</v>
          </cell>
          <cell r="Z613">
            <v>0.5</v>
          </cell>
          <cell r="AA613">
            <v>2856.67</v>
          </cell>
          <cell r="AB613"/>
        </row>
        <row r="614">
          <cell r="C614">
            <v>0</v>
          </cell>
          <cell r="D614">
            <v>1</v>
          </cell>
          <cell r="E614">
            <v>0</v>
          </cell>
          <cell r="F614">
            <v>0</v>
          </cell>
          <cell r="H614">
            <v>0</v>
          </cell>
          <cell r="O614">
            <v>190082</v>
          </cell>
          <cell r="P614" t="str">
            <v>2017/331-0014-01</v>
          </cell>
          <cell r="Q614" t="str">
            <v>EST LUMINARIA TENT (LATAO CENTRO/ACO PTO FSC) LAMP L008 HAL</v>
          </cell>
          <cell r="R614"/>
          <cell r="S614"/>
          <cell r="T614">
            <v>2.5299999999999998</v>
          </cell>
          <cell r="U614">
            <v>1.57</v>
          </cell>
          <cell r="V614">
            <v>0.47</v>
          </cell>
          <cell r="W614">
            <v>0</v>
          </cell>
          <cell r="X614" t="str">
            <v>EST LUMINARIA TENT (LATAO CENTRO/ACO PTO FSC) LAMP L008 HAL - 2,53x1,57x0,47H</v>
          </cell>
          <cell r="Y614">
            <v>22288</v>
          </cell>
          <cell r="Z614">
            <v>0.5</v>
          </cell>
          <cell r="AA614">
            <v>11144</v>
          </cell>
          <cell r="AB614"/>
        </row>
        <row r="615">
          <cell r="C615">
            <v>2</v>
          </cell>
          <cell r="D615">
            <v>1</v>
          </cell>
          <cell r="E615">
            <v>0</v>
          </cell>
          <cell r="F615">
            <v>0</v>
          </cell>
          <cell r="H615">
            <v>0</v>
          </cell>
          <cell r="O615">
            <v>224542</v>
          </cell>
          <cell r="P615" t="str">
            <v>2018/234-0016-01</v>
          </cell>
          <cell r="Q615" t="str">
            <v>EST BANDEJA MAXIXE (MARMORE CALACATA) (BASE ACRILICO)</v>
          </cell>
          <cell r="R615"/>
          <cell r="S615"/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 t="str">
            <v>EST BANDEJA MAXIXE (MARMORE CALACATA) (BASE ACRILICO) - Ø0x0H</v>
          </cell>
          <cell r="Y615">
            <v>4638.82</v>
          </cell>
          <cell r="Z615">
            <v>0.5</v>
          </cell>
          <cell r="AA615">
            <v>2319.41</v>
          </cell>
          <cell r="AB615"/>
        </row>
        <row r="616">
          <cell r="C616">
            <v>0</v>
          </cell>
          <cell r="D616">
            <v>1</v>
          </cell>
          <cell r="E616">
            <v>0</v>
          </cell>
          <cell r="F616">
            <v>0</v>
          </cell>
          <cell r="H616">
            <v>0</v>
          </cell>
          <cell r="O616">
            <v>231990</v>
          </cell>
          <cell r="P616" t="str">
            <v>2022/305-0016-01</v>
          </cell>
          <cell r="Q616" t="str">
            <v>EST MOVEL BAR SOFT FREIJO NAT/ESPELHO BRONZE INTERNO</v>
          </cell>
          <cell r="R616"/>
          <cell r="S616"/>
          <cell r="T616">
            <v>1.2</v>
          </cell>
          <cell r="U616">
            <v>0.4</v>
          </cell>
          <cell r="V616">
            <v>1.38</v>
          </cell>
          <cell r="W616">
            <v>0</v>
          </cell>
          <cell r="X616" t="str">
            <v>EST MOVEL BAR SOFT FREIJO NAT/ESPELHO BRONZE INTERNO - 1,2x0,4x1,38H</v>
          </cell>
          <cell r="Y616">
            <v>28498.53</v>
          </cell>
          <cell r="Z616">
            <v>0.5</v>
          </cell>
          <cell r="AA616">
            <v>14249.264999999999</v>
          </cell>
          <cell r="AB616"/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H617">
            <v>1</v>
          </cell>
          <cell r="O617">
            <v>250135</v>
          </cell>
          <cell r="P617" t="str">
            <v>2019/252-0109-01</v>
          </cell>
          <cell r="Q617" t="str">
            <v>EST MANTA PESEIRA MIA PONTO V (TERRACOTA COD 6096)</v>
          </cell>
          <cell r="R617"/>
          <cell r="S617"/>
          <cell r="T617">
            <v>1.8</v>
          </cell>
          <cell r="U617">
            <v>0.7</v>
          </cell>
          <cell r="V617">
            <v>0</v>
          </cell>
          <cell r="W617">
            <v>0</v>
          </cell>
          <cell r="X617" t="str">
            <v>EST MANTA PESEIRA MIA PONTO V (TERRACOTA COD 6096) - 1,8x0,7x0H</v>
          </cell>
          <cell r="Y617">
            <v>3865.88</v>
          </cell>
          <cell r="Z617">
            <v>0.5</v>
          </cell>
          <cell r="AA617">
            <v>1932.94</v>
          </cell>
          <cell r="AB617"/>
        </row>
        <row r="618">
          <cell r="C618">
            <v>0</v>
          </cell>
          <cell r="D618">
            <v>4</v>
          </cell>
          <cell r="E618">
            <v>0</v>
          </cell>
          <cell r="F618">
            <v>0</v>
          </cell>
          <cell r="H618">
            <v>0</v>
          </cell>
          <cell r="O618">
            <v>265896</v>
          </cell>
          <cell r="P618" t="str">
            <v>2020/237-0049-01</v>
          </cell>
          <cell r="Q618" t="str">
            <v>EST ALMOFADA FITA NEOPRENE (COR BEGE RAMI 4)</v>
          </cell>
          <cell r="R618"/>
          <cell r="S618"/>
          <cell r="T618">
            <v>0.5</v>
          </cell>
          <cell r="U618">
            <v>0.5</v>
          </cell>
          <cell r="V618">
            <v>0</v>
          </cell>
          <cell r="W618">
            <v>0</v>
          </cell>
          <cell r="X618" t="str">
            <v>EST ALMOFADA FITA NEOPRENE (COR BEGE RAMI 4) - 0,5x0,5x0H</v>
          </cell>
          <cell r="Y618">
            <v>985.6</v>
          </cell>
          <cell r="Z618">
            <v>0.5</v>
          </cell>
          <cell r="AA618">
            <v>492.8</v>
          </cell>
          <cell r="AB618"/>
        </row>
        <row r="619">
          <cell r="C619">
            <v>0</v>
          </cell>
          <cell r="D619">
            <v>4</v>
          </cell>
          <cell r="E619">
            <v>0</v>
          </cell>
          <cell r="F619">
            <v>0</v>
          </cell>
          <cell r="H619">
            <v>0</v>
          </cell>
          <cell r="O619">
            <v>265896</v>
          </cell>
          <cell r="P619" t="str">
            <v>2020/237-0050-01</v>
          </cell>
          <cell r="Q619" t="str">
            <v>EST ALMOFADA FITA NEOPRENE (COR BEGE RAMI 4)</v>
          </cell>
          <cell r="R619"/>
          <cell r="S619"/>
          <cell r="T619">
            <v>0.5</v>
          </cell>
          <cell r="U619">
            <v>0.5</v>
          </cell>
          <cell r="V619">
            <v>0</v>
          </cell>
          <cell r="W619">
            <v>0</v>
          </cell>
          <cell r="X619" t="str">
            <v>EST ALMOFADA FITA NEOPRENE (COR BEGE RAMI 4) - 0,5x0,5x0H</v>
          </cell>
          <cell r="Y619">
            <v>985.6</v>
          </cell>
          <cell r="Z619">
            <v>0.5</v>
          </cell>
          <cell r="AA619">
            <v>492.8</v>
          </cell>
          <cell r="AB619"/>
        </row>
        <row r="620">
          <cell r="C620">
            <v>0</v>
          </cell>
          <cell r="D620">
            <v>4</v>
          </cell>
          <cell r="E620">
            <v>0</v>
          </cell>
          <cell r="F620">
            <v>0</v>
          </cell>
          <cell r="H620">
            <v>0</v>
          </cell>
          <cell r="O620">
            <v>265896</v>
          </cell>
          <cell r="P620" t="str">
            <v>2020/237-0051-01</v>
          </cell>
          <cell r="Q620" t="str">
            <v>EST ALMOFADA FITA NEOPRENE (COR BEGE RAMI 4)</v>
          </cell>
          <cell r="R620"/>
          <cell r="S620"/>
          <cell r="T620">
            <v>0.5</v>
          </cell>
          <cell r="U620">
            <v>0.5</v>
          </cell>
          <cell r="V620">
            <v>0</v>
          </cell>
          <cell r="W620">
            <v>0</v>
          </cell>
          <cell r="X620" t="str">
            <v>EST ALMOFADA FITA NEOPRENE (COR BEGE RAMI 4) - 0,5x0,5x0H</v>
          </cell>
          <cell r="Y620">
            <v>985.6</v>
          </cell>
          <cell r="Z620">
            <v>0.5</v>
          </cell>
          <cell r="AA620">
            <v>492.8</v>
          </cell>
          <cell r="AB620"/>
        </row>
        <row r="621">
          <cell r="C621">
            <v>0</v>
          </cell>
          <cell r="D621">
            <v>4</v>
          </cell>
          <cell r="E621">
            <v>0</v>
          </cell>
          <cell r="F621">
            <v>0</v>
          </cell>
          <cell r="H621">
            <v>0</v>
          </cell>
          <cell r="O621">
            <v>265896</v>
          </cell>
          <cell r="P621" t="str">
            <v>2020/237-0052-01</v>
          </cell>
          <cell r="Q621" t="str">
            <v>EST ALMOFADA FITA NEOPRENE (COR BEGE RAMI 4)</v>
          </cell>
          <cell r="R621"/>
          <cell r="S621"/>
          <cell r="T621">
            <v>0.5</v>
          </cell>
          <cell r="U621">
            <v>0.5</v>
          </cell>
          <cell r="V621">
            <v>0</v>
          </cell>
          <cell r="W621">
            <v>0</v>
          </cell>
          <cell r="X621" t="str">
            <v>EST ALMOFADA FITA NEOPRENE (COR BEGE RAMI 4) - 0,5x0,5x0H</v>
          </cell>
          <cell r="Y621">
            <v>985.6</v>
          </cell>
          <cell r="Z621">
            <v>0.5</v>
          </cell>
          <cell r="AA621">
            <v>492.8</v>
          </cell>
          <cell r="AB621"/>
        </row>
        <row r="622">
          <cell r="C622">
            <v>0</v>
          </cell>
          <cell r="D622">
            <v>1</v>
          </cell>
          <cell r="E622">
            <v>0</v>
          </cell>
          <cell r="F622">
            <v>0</v>
          </cell>
          <cell r="H622">
            <v>0</v>
          </cell>
          <cell r="O622">
            <v>271426</v>
          </cell>
          <cell r="P622" t="str">
            <v>2020/343-0060-01</v>
          </cell>
          <cell r="Q622" t="str">
            <v>EST QUADRO MASSAI NUDE 02 X11 (1518) MO MD CX CRU</v>
          </cell>
          <cell r="R622"/>
          <cell r="S622"/>
          <cell r="T622">
            <v>1.2</v>
          </cell>
          <cell r="U622">
            <v>1.2</v>
          </cell>
          <cell r="V622">
            <v>0</v>
          </cell>
          <cell r="W622">
            <v>0</v>
          </cell>
          <cell r="X622" t="str">
            <v>EST QUADRO MASSAI NUDE 02 X11 (1518) MO MD CX CRU - 1,2x1,2x0H</v>
          </cell>
          <cell r="Y622">
            <v>4680.4799999999996</v>
          </cell>
          <cell r="Z622">
            <v>0.5</v>
          </cell>
          <cell r="AA622">
            <v>2340.2399999999998</v>
          </cell>
          <cell r="AB622"/>
        </row>
        <row r="623">
          <cell r="C623">
            <v>0</v>
          </cell>
          <cell r="D623">
            <v>1</v>
          </cell>
          <cell r="E623">
            <v>0</v>
          </cell>
          <cell r="F623">
            <v>0</v>
          </cell>
          <cell r="H623">
            <v>0</v>
          </cell>
          <cell r="O623">
            <v>274998</v>
          </cell>
          <cell r="P623" t="str">
            <v>2021/165-0079-01</v>
          </cell>
          <cell r="Q623" t="str">
            <v>EST MESA LATERAL BUZIOS 350 (TP/BS CONC CHANF SALMAO/HST PT)</v>
          </cell>
          <cell r="R623"/>
          <cell r="S623"/>
          <cell r="T623">
            <v>0.35</v>
          </cell>
          <cell r="U623">
            <v>0</v>
          </cell>
          <cell r="V623">
            <v>0.55000000000000004</v>
          </cell>
          <cell r="W623">
            <v>0.35</v>
          </cell>
          <cell r="X623" t="str">
            <v>EST MESA LATERAL BUZIOS 350 (TP/BS CONC CHANF SALMAO/HST PT) - Ø0,35x0,55H</v>
          </cell>
          <cell r="Y623">
            <v>5559.68</v>
          </cell>
          <cell r="Z623">
            <v>0.5</v>
          </cell>
          <cell r="AA623">
            <v>2779.84</v>
          </cell>
          <cell r="AB623"/>
        </row>
        <row r="624">
          <cell r="C624">
            <v>0</v>
          </cell>
          <cell r="D624">
            <v>1</v>
          </cell>
          <cell r="E624">
            <v>0</v>
          </cell>
          <cell r="F624">
            <v>0</v>
          </cell>
          <cell r="H624">
            <v>0</v>
          </cell>
          <cell r="O624">
            <v>312425</v>
          </cell>
          <cell r="P624" t="str">
            <v>2022/039-0013-01</v>
          </cell>
          <cell r="Q624" t="str">
            <v>EST QUADRO FLACK BLUE DIAGO (COD877)</v>
          </cell>
          <cell r="R624"/>
          <cell r="S624"/>
          <cell r="T624">
            <v>1.2</v>
          </cell>
          <cell r="U624">
            <v>1.2</v>
          </cell>
          <cell r="V624">
            <v>0</v>
          </cell>
          <cell r="W624">
            <v>0</v>
          </cell>
          <cell r="X624" t="str">
            <v>EST QUADRO FLACK BLUE DIAGO (COD877) - 1,2x1,2x0H</v>
          </cell>
          <cell r="Y624">
            <v>4351.2</v>
          </cell>
          <cell r="Z624">
            <v>0.5</v>
          </cell>
          <cell r="AA624">
            <v>2175.6</v>
          </cell>
          <cell r="AB624"/>
        </row>
        <row r="625">
          <cell r="C625">
            <v>0</v>
          </cell>
          <cell r="D625">
            <v>2</v>
          </cell>
          <cell r="E625">
            <v>0</v>
          </cell>
          <cell r="F625">
            <v>0</v>
          </cell>
          <cell r="H625">
            <v>0</v>
          </cell>
          <cell r="O625">
            <v>312426</v>
          </cell>
          <cell r="P625" t="str">
            <v>2022/039-0014-01</v>
          </cell>
          <cell r="Q625" t="str">
            <v>EST QUADRO FLACK BLUE VERTI (COD876)</v>
          </cell>
          <cell r="R625"/>
          <cell r="S625"/>
          <cell r="T625">
            <v>1.2</v>
          </cell>
          <cell r="U625">
            <v>1.2</v>
          </cell>
          <cell r="V625">
            <v>0</v>
          </cell>
          <cell r="W625">
            <v>0</v>
          </cell>
          <cell r="X625" t="str">
            <v>EST QUADRO FLACK BLUE VERTI (COD876) - 1,2x1,2x0H</v>
          </cell>
          <cell r="Y625">
            <v>4351.2</v>
          </cell>
          <cell r="Z625">
            <v>0.5</v>
          </cell>
          <cell r="AA625">
            <v>2175.6</v>
          </cell>
          <cell r="AB625"/>
        </row>
        <row r="626">
          <cell r="C626">
            <v>0</v>
          </cell>
          <cell r="D626">
            <v>2</v>
          </cell>
          <cell r="E626">
            <v>0</v>
          </cell>
          <cell r="F626">
            <v>0</v>
          </cell>
          <cell r="H626">
            <v>0</v>
          </cell>
          <cell r="O626">
            <v>312426</v>
          </cell>
          <cell r="P626" t="str">
            <v>2022/039-0015-01</v>
          </cell>
          <cell r="Q626" t="str">
            <v>EST QUADRO FLACK BLUE VERTI (COD876)</v>
          </cell>
          <cell r="R626"/>
          <cell r="S626"/>
          <cell r="T626">
            <v>1.2</v>
          </cell>
          <cell r="U626">
            <v>1.2</v>
          </cell>
          <cell r="V626">
            <v>0</v>
          </cell>
          <cell r="W626">
            <v>0</v>
          </cell>
          <cell r="X626" t="str">
            <v>EST QUADRO FLACK BLUE VERTI (COD876) - 1,2x1,2x0H</v>
          </cell>
          <cell r="Y626">
            <v>4351.2</v>
          </cell>
          <cell r="Z626">
            <v>0.5</v>
          </cell>
          <cell r="AA626">
            <v>2175.6</v>
          </cell>
          <cell r="AB626"/>
        </row>
        <row r="627">
          <cell r="C627">
            <v>1</v>
          </cell>
          <cell r="D627">
            <v>1</v>
          </cell>
          <cell r="E627">
            <v>0</v>
          </cell>
          <cell r="F627">
            <v>0</v>
          </cell>
          <cell r="H627">
            <v>0</v>
          </cell>
          <cell r="O627">
            <v>312429</v>
          </cell>
          <cell r="P627" t="str">
            <v>2022/039-0024-01</v>
          </cell>
          <cell r="Q627" t="str">
            <v>EST QUADRO MESA COLORS HORIZONTAL</v>
          </cell>
          <cell r="R627"/>
          <cell r="S627"/>
          <cell r="T627">
            <v>1.3</v>
          </cell>
          <cell r="U627">
            <v>0.9</v>
          </cell>
          <cell r="V627">
            <v>0</v>
          </cell>
          <cell r="W627">
            <v>0</v>
          </cell>
          <cell r="X627" t="str">
            <v>EST QUADRO MESA COLORS HORIZONTAL - 1,3x0,9x0H</v>
          </cell>
          <cell r="Y627">
            <v>3739.68</v>
          </cell>
          <cell r="Z627">
            <v>0.5</v>
          </cell>
          <cell r="AA627">
            <v>1869.84</v>
          </cell>
          <cell r="AB627"/>
        </row>
        <row r="628">
          <cell r="C628">
            <v>0</v>
          </cell>
          <cell r="D628">
            <v>2</v>
          </cell>
          <cell r="E628">
            <v>0</v>
          </cell>
          <cell r="F628">
            <v>0</v>
          </cell>
          <cell r="H628">
            <v>2</v>
          </cell>
          <cell r="O628">
            <v>312451</v>
          </cell>
          <cell r="P628" t="str">
            <v>2021/354-0020-01</v>
          </cell>
          <cell r="Q628" t="str">
            <v>EST LUMINARIA DE TETO STRETCH I (3111)</v>
          </cell>
          <cell r="R628"/>
          <cell r="S628"/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 t="str">
            <v>EST LUMINARIA DE TETO STRETCH I (3111) - Ø0x0H</v>
          </cell>
          <cell r="Y628">
            <v>2217.6</v>
          </cell>
          <cell r="Z628">
            <v>0.5</v>
          </cell>
          <cell r="AA628">
            <v>1108.8</v>
          </cell>
          <cell r="AB628"/>
        </row>
        <row r="629">
          <cell r="C629">
            <v>0</v>
          </cell>
          <cell r="D629">
            <v>2</v>
          </cell>
          <cell r="E629">
            <v>0</v>
          </cell>
          <cell r="F629">
            <v>0</v>
          </cell>
          <cell r="H629">
            <v>2</v>
          </cell>
          <cell r="O629">
            <v>312451</v>
          </cell>
          <cell r="P629" t="str">
            <v>2021/354-0021-01</v>
          </cell>
          <cell r="Q629" t="str">
            <v>EST LUMINARIA DE TETO STRETCH I (3111)</v>
          </cell>
          <cell r="R629"/>
          <cell r="S629"/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 t="str">
            <v>EST LUMINARIA DE TETO STRETCH I (3111) - Ø0x0H</v>
          </cell>
          <cell r="Y629">
            <v>2217.6</v>
          </cell>
          <cell r="Z629">
            <v>0.5</v>
          </cell>
          <cell r="AA629">
            <v>1108.8</v>
          </cell>
          <cell r="AB629"/>
        </row>
        <row r="630">
          <cell r="C630">
            <v>0</v>
          </cell>
          <cell r="D630">
            <v>2</v>
          </cell>
          <cell r="E630">
            <v>0</v>
          </cell>
          <cell r="F630">
            <v>0</v>
          </cell>
          <cell r="H630">
            <v>2</v>
          </cell>
          <cell r="O630">
            <v>312452</v>
          </cell>
          <cell r="P630" t="str">
            <v>2021/354-0025-01</v>
          </cell>
          <cell r="Q630" t="str">
            <v>EST LUMINARIA DE TETO STRETCH II (3112)</v>
          </cell>
          <cell r="R630"/>
          <cell r="S630"/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 t="str">
            <v>EST LUMINARIA DE TETO STRETCH II (3112) - Ø0x0H</v>
          </cell>
          <cell r="Y630">
            <v>2352</v>
          </cell>
          <cell r="Z630">
            <v>0.5</v>
          </cell>
          <cell r="AA630">
            <v>1176</v>
          </cell>
          <cell r="AB630"/>
        </row>
        <row r="631">
          <cell r="C631">
            <v>0</v>
          </cell>
          <cell r="D631">
            <v>2</v>
          </cell>
          <cell r="E631">
            <v>0</v>
          </cell>
          <cell r="F631">
            <v>0</v>
          </cell>
          <cell r="H631">
            <v>2</v>
          </cell>
          <cell r="O631">
            <v>312452</v>
          </cell>
          <cell r="P631" t="str">
            <v>2021/354-0026-01</v>
          </cell>
          <cell r="Q631" t="str">
            <v>EST LUMINARIA DE TETO STRETCH II (3112)</v>
          </cell>
          <cell r="R631"/>
          <cell r="S631"/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 t="str">
            <v>EST LUMINARIA DE TETO STRETCH II (3112) - Ø0x0H</v>
          </cell>
          <cell r="Y631">
            <v>2352</v>
          </cell>
          <cell r="Z631">
            <v>0.5</v>
          </cell>
          <cell r="AA631">
            <v>1176</v>
          </cell>
          <cell r="AB631"/>
        </row>
        <row r="632">
          <cell r="C632">
            <v>4</v>
          </cell>
          <cell r="D632">
            <v>6</v>
          </cell>
          <cell r="E632">
            <v>0</v>
          </cell>
          <cell r="F632">
            <v>0</v>
          </cell>
          <cell r="H632">
            <v>0</v>
          </cell>
          <cell r="O632">
            <v>314828</v>
          </cell>
          <cell r="P632" t="str">
            <v>2021/344-0049-01</v>
          </cell>
          <cell r="Q632" t="str">
            <v>EST ALMOFADA LIVERPOOL CROCO</v>
          </cell>
          <cell r="R632"/>
          <cell r="S632"/>
          <cell r="T632">
            <v>0.5</v>
          </cell>
          <cell r="U632">
            <v>0.5</v>
          </cell>
          <cell r="V632">
            <v>0</v>
          </cell>
          <cell r="W632">
            <v>0</v>
          </cell>
          <cell r="X632" t="str">
            <v>EST ALMOFADA LIVERPOOL CROCO - 0,5x0,5x0H</v>
          </cell>
          <cell r="Y632">
            <v>837.31</v>
          </cell>
          <cell r="Z632">
            <v>0.5</v>
          </cell>
          <cell r="AA632">
            <v>418.65499999999997</v>
          </cell>
          <cell r="AB632"/>
        </row>
        <row r="633">
          <cell r="C633">
            <v>4</v>
          </cell>
          <cell r="D633">
            <v>6</v>
          </cell>
          <cell r="E633">
            <v>0</v>
          </cell>
          <cell r="F633">
            <v>0</v>
          </cell>
          <cell r="H633">
            <v>0</v>
          </cell>
          <cell r="O633">
            <v>314828</v>
          </cell>
          <cell r="P633" t="str">
            <v>2021/344-0050-01</v>
          </cell>
          <cell r="Q633" t="str">
            <v>EST ALMOFADA LIVERPOOL CROCO</v>
          </cell>
          <cell r="R633"/>
          <cell r="S633"/>
          <cell r="T633">
            <v>0.5</v>
          </cell>
          <cell r="U633">
            <v>0.5</v>
          </cell>
          <cell r="V633">
            <v>0</v>
          </cell>
          <cell r="W633">
            <v>0</v>
          </cell>
          <cell r="X633" t="str">
            <v>EST ALMOFADA LIVERPOOL CROCO - 0,5x0,5x0H</v>
          </cell>
          <cell r="Y633">
            <v>837.31</v>
          </cell>
          <cell r="Z633">
            <v>0.5</v>
          </cell>
          <cell r="AA633">
            <v>418.65499999999997</v>
          </cell>
          <cell r="AB633"/>
        </row>
        <row r="634">
          <cell r="C634">
            <v>4</v>
          </cell>
          <cell r="D634">
            <v>6</v>
          </cell>
          <cell r="E634">
            <v>0</v>
          </cell>
          <cell r="F634">
            <v>0</v>
          </cell>
          <cell r="H634">
            <v>0</v>
          </cell>
          <cell r="O634">
            <v>314828</v>
          </cell>
          <cell r="P634" t="str">
            <v>2021/344-0051-01</v>
          </cell>
          <cell r="Q634" t="str">
            <v>EST ALMOFADA LIVERPOOL CROCO</v>
          </cell>
          <cell r="R634"/>
          <cell r="S634"/>
          <cell r="T634">
            <v>0.5</v>
          </cell>
          <cell r="U634">
            <v>0.5</v>
          </cell>
          <cell r="V634">
            <v>0</v>
          </cell>
          <cell r="W634">
            <v>0</v>
          </cell>
          <cell r="X634" t="str">
            <v>EST ALMOFADA LIVERPOOL CROCO - 0,5x0,5x0H</v>
          </cell>
          <cell r="Y634">
            <v>837.31</v>
          </cell>
          <cell r="Z634">
            <v>0.5</v>
          </cell>
          <cell r="AA634">
            <v>418.65499999999997</v>
          </cell>
          <cell r="AB634"/>
        </row>
        <row r="635">
          <cell r="C635">
            <v>4</v>
          </cell>
          <cell r="D635">
            <v>6</v>
          </cell>
          <cell r="E635">
            <v>0</v>
          </cell>
          <cell r="F635">
            <v>0</v>
          </cell>
          <cell r="H635">
            <v>0</v>
          </cell>
          <cell r="O635">
            <v>314828</v>
          </cell>
          <cell r="P635" t="str">
            <v>2021/344-0052-01</v>
          </cell>
          <cell r="Q635" t="str">
            <v>EST ALMOFADA LIVERPOOL CROCO</v>
          </cell>
          <cell r="R635"/>
          <cell r="S635"/>
          <cell r="T635">
            <v>0.5</v>
          </cell>
          <cell r="U635">
            <v>0.5</v>
          </cell>
          <cell r="V635">
            <v>0</v>
          </cell>
          <cell r="W635">
            <v>0</v>
          </cell>
          <cell r="X635" t="str">
            <v>EST ALMOFADA LIVERPOOL CROCO - 0,5x0,5x0H</v>
          </cell>
          <cell r="Y635">
            <v>837.31</v>
          </cell>
          <cell r="Z635">
            <v>0.5</v>
          </cell>
          <cell r="AA635">
            <v>418.65499999999997</v>
          </cell>
          <cell r="AB635"/>
        </row>
        <row r="636">
          <cell r="C636">
            <v>4</v>
          </cell>
          <cell r="D636">
            <v>6</v>
          </cell>
          <cell r="E636">
            <v>0</v>
          </cell>
          <cell r="F636">
            <v>0</v>
          </cell>
          <cell r="H636">
            <v>0</v>
          </cell>
          <cell r="O636">
            <v>314828</v>
          </cell>
          <cell r="P636" t="str">
            <v>2021/344-0053-01</v>
          </cell>
          <cell r="Q636" t="str">
            <v>EST ALMOFADA LIVERPOOL CROCO</v>
          </cell>
          <cell r="R636"/>
          <cell r="S636"/>
          <cell r="T636">
            <v>0.5</v>
          </cell>
          <cell r="U636">
            <v>0.5</v>
          </cell>
          <cell r="V636">
            <v>0</v>
          </cell>
          <cell r="W636">
            <v>0</v>
          </cell>
          <cell r="X636" t="str">
            <v>EST ALMOFADA LIVERPOOL CROCO - 0,5x0,5x0H</v>
          </cell>
          <cell r="Y636">
            <v>837.31</v>
          </cell>
          <cell r="Z636">
            <v>0.5</v>
          </cell>
          <cell r="AA636">
            <v>418.65499999999997</v>
          </cell>
          <cell r="AB636"/>
        </row>
        <row r="637">
          <cell r="C637">
            <v>4</v>
          </cell>
          <cell r="D637">
            <v>6</v>
          </cell>
          <cell r="E637">
            <v>0</v>
          </cell>
          <cell r="F637">
            <v>0</v>
          </cell>
          <cell r="H637">
            <v>0</v>
          </cell>
          <cell r="O637">
            <v>314828</v>
          </cell>
          <cell r="P637" t="str">
            <v>2021/344-0054-01</v>
          </cell>
          <cell r="Q637" t="str">
            <v>EST ALMOFADA LIVERPOOL CROCO</v>
          </cell>
          <cell r="R637"/>
          <cell r="S637"/>
          <cell r="T637">
            <v>0.5</v>
          </cell>
          <cell r="U637">
            <v>0.5</v>
          </cell>
          <cell r="V637">
            <v>0</v>
          </cell>
          <cell r="W637">
            <v>0</v>
          </cell>
          <cell r="X637" t="str">
            <v>EST ALMOFADA LIVERPOOL CROCO - 0,5x0,5x0H</v>
          </cell>
          <cell r="Y637">
            <v>837.31</v>
          </cell>
          <cell r="Z637">
            <v>0.5</v>
          </cell>
          <cell r="AA637">
            <v>418.65499999999997</v>
          </cell>
          <cell r="AB637"/>
        </row>
        <row r="638">
          <cell r="C638">
            <v>4</v>
          </cell>
          <cell r="D638">
            <v>6</v>
          </cell>
          <cell r="E638">
            <v>0</v>
          </cell>
          <cell r="F638">
            <v>0</v>
          </cell>
          <cell r="H638">
            <v>0</v>
          </cell>
          <cell r="O638">
            <v>314828</v>
          </cell>
          <cell r="P638" t="str">
            <v>2021/344-0055-01</v>
          </cell>
          <cell r="Q638" t="str">
            <v>EST ALMOFADA LIVERPOOL CROCO</v>
          </cell>
          <cell r="R638"/>
          <cell r="S638"/>
          <cell r="T638">
            <v>0.5</v>
          </cell>
          <cell r="U638">
            <v>0.5</v>
          </cell>
          <cell r="V638">
            <v>0</v>
          </cell>
          <cell r="W638">
            <v>0</v>
          </cell>
          <cell r="X638" t="str">
            <v>EST ALMOFADA LIVERPOOL CROCO - 0,5x0,5x0H</v>
          </cell>
          <cell r="Y638">
            <v>837.31</v>
          </cell>
          <cell r="Z638">
            <v>0.5</v>
          </cell>
          <cell r="AA638">
            <v>418.65499999999997</v>
          </cell>
          <cell r="AB638"/>
        </row>
        <row r="639">
          <cell r="C639">
            <v>4</v>
          </cell>
          <cell r="D639">
            <v>6</v>
          </cell>
          <cell r="E639">
            <v>0</v>
          </cell>
          <cell r="F639">
            <v>0</v>
          </cell>
          <cell r="H639">
            <v>0</v>
          </cell>
          <cell r="O639">
            <v>314828</v>
          </cell>
          <cell r="P639" t="str">
            <v>2021/344-0056-01</v>
          </cell>
          <cell r="Q639" t="str">
            <v>EST ALMOFADA LIVERPOOL CROCO</v>
          </cell>
          <cell r="R639"/>
          <cell r="S639"/>
          <cell r="T639">
            <v>0.5</v>
          </cell>
          <cell r="U639">
            <v>0.5</v>
          </cell>
          <cell r="V639">
            <v>0</v>
          </cell>
          <cell r="W639">
            <v>0</v>
          </cell>
          <cell r="X639" t="str">
            <v>EST ALMOFADA LIVERPOOL CROCO - 0,5x0,5x0H</v>
          </cell>
          <cell r="Y639">
            <v>837.31</v>
          </cell>
          <cell r="Z639">
            <v>0.5</v>
          </cell>
          <cell r="AA639">
            <v>418.65499999999997</v>
          </cell>
          <cell r="AB639"/>
        </row>
        <row r="640">
          <cell r="C640">
            <v>1</v>
          </cell>
          <cell r="D640">
            <v>4</v>
          </cell>
          <cell r="E640">
            <v>0</v>
          </cell>
          <cell r="F640">
            <v>0</v>
          </cell>
          <cell r="H640">
            <v>0</v>
          </cell>
          <cell r="O640">
            <v>314837</v>
          </cell>
          <cell r="P640" t="str">
            <v>2021/344-0122-01</v>
          </cell>
          <cell r="Q640" t="str">
            <v>EST ALMOFADA RET.LIVERPOOL CROCO PRETO</v>
          </cell>
          <cell r="R640"/>
          <cell r="S640"/>
          <cell r="T640">
            <v>0.6</v>
          </cell>
          <cell r="U640">
            <v>0.4</v>
          </cell>
          <cell r="V640">
            <v>0</v>
          </cell>
          <cell r="W640">
            <v>0</v>
          </cell>
          <cell r="X640" t="str">
            <v>EST ALMOFADA RET.LIVERPOOL CROCO PRETO - 0,6x0,4x0H</v>
          </cell>
          <cell r="Y640">
            <v>877.14</v>
          </cell>
          <cell r="Z640">
            <v>0.5</v>
          </cell>
          <cell r="AA640">
            <v>438.57</v>
          </cell>
          <cell r="AB640"/>
        </row>
        <row r="641">
          <cell r="C641">
            <v>1</v>
          </cell>
          <cell r="D641">
            <v>4</v>
          </cell>
          <cell r="E641">
            <v>0</v>
          </cell>
          <cell r="F641">
            <v>0</v>
          </cell>
          <cell r="H641">
            <v>0</v>
          </cell>
          <cell r="O641">
            <v>314837</v>
          </cell>
          <cell r="P641" t="str">
            <v>2022/150-0114-01</v>
          </cell>
          <cell r="Q641" t="str">
            <v>EST ALMOFADA RET.LIVERPOOL CROCO PRETO</v>
          </cell>
          <cell r="R641"/>
          <cell r="S641"/>
          <cell r="T641">
            <v>0.6</v>
          </cell>
          <cell r="U641">
            <v>0.4</v>
          </cell>
          <cell r="V641">
            <v>0</v>
          </cell>
          <cell r="W641">
            <v>0</v>
          </cell>
          <cell r="X641" t="str">
            <v>EST ALMOFADA RET.LIVERPOOL CROCO PRETO - 0,6x0,4x0H</v>
          </cell>
          <cell r="Y641">
            <v>877.14</v>
          </cell>
          <cell r="Z641">
            <v>0.5</v>
          </cell>
          <cell r="AA641">
            <v>438.57</v>
          </cell>
          <cell r="AB641"/>
        </row>
        <row r="642">
          <cell r="C642">
            <v>1</v>
          </cell>
          <cell r="D642">
            <v>4</v>
          </cell>
          <cell r="E642">
            <v>0</v>
          </cell>
          <cell r="F642">
            <v>0</v>
          </cell>
          <cell r="H642">
            <v>0</v>
          </cell>
          <cell r="O642">
            <v>314837</v>
          </cell>
          <cell r="P642" t="str">
            <v>2022/150-0115-01</v>
          </cell>
          <cell r="Q642" t="str">
            <v>EST ALMOFADA RET.LIVERPOOL CROCO PRETO</v>
          </cell>
          <cell r="R642"/>
          <cell r="S642"/>
          <cell r="T642">
            <v>0.6</v>
          </cell>
          <cell r="U642">
            <v>0.4</v>
          </cell>
          <cell r="V642">
            <v>0</v>
          </cell>
          <cell r="W642">
            <v>0</v>
          </cell>
          <cell r="X642" t="str">
            <v>EST ALMOFADA RET.LIVERPOOL CROCO PRETO - 0,6x0,4x0H</v>
          </cell>
          <cell r="Y642">
            <v>877.14</v>
          </cell>
          <cell r="Z642">
            <v>0.5</v>
          </cell>
          <cell r="AA642">
            <v>438.57</v>
          </cell>
          <cell r="AB642"/>
        </row>
        <row r="643">
          <cell r="C643">
            <v>1</v>
          </cell>
          <cell r="D643">
            <v>4</v>
          </cell>
          <cell r="E643">
            <v>0</v>
          </cell>
          <cell r="F643">
            <v>0</v>
          </cell>
          <cell r="H643">
            <v>0</v>
          </cell>
          <cell r="O643">
            <v>314837</v>
          </cell>
          <cell r="P643" t="str">
            <v>2021/344-0121-01</v>
          </cell>
          <cell r="Q643" t="str">
            <v>EST ALMOFADA RET.LIVERPOOL CROCO PRETO</v>
          </cell>
          <cell r="R643"/>
          <cell r="S643"/>
          <cell r="T643">
            <v>0.6</v>
          </cell>
          <cell r="U643">
            <v>0.4</v>
          </cell>
          <cell r="V643">
            <v>0</v>
          </cell>
          <cell r="W643">
            <v>0</v>
          </cell>
          <cell r="X643" t="str">
            <v>EST ALMOFADA RET.LIVERPOOL CROCO PRETO - 0,6x0,4x0H</v>
          </cell>
          <cell r="Y643">
            <v>877.14</v>
          </cell>
          <cell r="Z643">
            <v>0.5</v>
          </cell>
          <cell r="AA643">
            <v>438.57</v>
          </cell>
          <cell r="AB643"/>
        </row>
        <row r="644">
          <cell r="C644">
            <v>1</v>
          </cell>
          <cell r="D644">
            <v>4</v>
          </cell>
          <cell r="E644">
            <v>0</v>
          </cell>
          <cell r="F644">
            <v>0</v>
          </cell>
          <cell r="H644">
            <v>0</v>
          </cell>
          <cell r="O644">
            <v>314837</v>
          </cell>
          <cell r="P644" t="str">
            <v>2021/344-0123-01</v>
          </cell>
          <cell r="Q644" t="str">
            <v>EST ALMOFADA RET.LIVERPOOL CROCO PRETO</v>
          </cell>
          <cell r="R644"/>
          <cell r="S644"/>
          <cell r="T644">
            <v>0.6</v>
          </cell>
          <cell r="U644">
            <v>0.4</v>
          </cell>
          <cell r="V644">
            <v>0</v>
          </cell>
          <cell r="W644">
            <v>0</v>
          </cell>
          <cell r="X644" t="str">
            <v>EST ALMOFADA RET.LIVERPOOL CROCO PRETO - 0,6x0,4x0H</v>
          </cell>
          <cell r="Y644">
            <v>877.14</v>
          </cell>
          <cell r="Z644">
            <v>0.5</v>
          </cell>
          <cell r="AA644">
            <v>438.57</v>
          </cell>
          <cell r="AB644"/>
        </row>
        <row r="645">
          <cell r="C645">
            <v>1</v>
          </cell>
          <cell r="D645">
            <v>4</v>
          </cell>
          <cell r="E645">
            <v>1</v>
          </cell>
          <cell r="F645">
            <v>0</v>
          </cell>
          <cell r="H645">
            <v>0</v>
          </cell>
          <cell r="O645">
            <v>314838</v>
          </cell>
          <cell r="P645" t="str">
            <v>2025/055-0158-01</v>
          </cell>
          <cell r="Q645" t="str">
            <v>EST ALMOFADA RET.LIVERPOOL MATTE</v>
          </cell>
          <cell r="R645"/>
          <cell r="S645"/>
          <cell r="T645">
            <v>0.6</v>
          </cell>
          <cell r="U645">
            <v>0.4</v>
          </cell>
          <cell r="V645">
            <v>0</v>
          </cell>
          <cell r="W645">
            <v>0</v>
          </cell>
          <cell r="X645" t="str">
            <v>EST ALMOFADA RET.LIVERPOOL MATTE - 0,6x0,4x0H</v>
          </cell>
          <cell r="Y645">
            <v>877.14</v>
          </cell>
          <cell r="Z645">
            <v>0.49999897849736963</v>
          </cell>
          <cell r="AA645">
            <v>438.57089600081719</v>
          </cell>
          <cell r="AB645"/>
        </row>
        <row r="646">
          <cell r="C646">
            <v>1</v>
          </cell>
          <cell r="D646">
            <v>4</v>
          </cell>
          <cell r="E646">
            <v>1</v>
          </cell>
          <cell r="F646">
            <v>0</v>
          </cell>
          <cell r="H646">
            <v>0</v>
          </cell>
          <cell r="O646">
            <v>314838</v>
          </cell>
          <cell r="P646" t="str">
            <v>2025/055-0159-01</v>
          </cell>
          <cell r="Q646" t="str">
            <v>EST ALMOFADA RET.LIVERPOOL MATTE</v>
          </cell>
          <cell r="R646"/>
          <cell r="S646"/>
          <cell r="T646">
            <v>0.6</v>
          </cell>
          <cell r="U646">
            <v>0.4</v>
          </cell>
          <cell r="V646">
            <v>0</v>
          </cell>
          <cell r="W646">
            <v>0</v>
          </cell>
          <cell r="X646" t="str">
            <v>EST ALMOFADA RET.LIVERPOOL MATTE - 0,6x0,4x0H</v>
          </cell>
          <cell r="Y646">
            <v>877.14</v>
          </cell>
          <cell r="Z646">
            <v>0.49999897849736963</v>
          </cell>
          <cell r="AA646">
            <v>438.57089600081719</v>
          </cell>
          <cell r="AB646"/>
        </row>
        <row r="647">
          <cell r="C647">
            <v>1</v>
          </cell>
          <cell r="D647">
            <v>4</v>
          </cell>
          <cell r="E647">
            <v>1</v>
          </cell>
          <cell r="F647">
            <v>0</v>
          </cell>
          <cell r="H647">
            <v>0</v>
          </cell>
          <cell r="O647">
            <v>314838</v>
          </cell>
          <cell r="P647" t="str">
            <v>2025/055-0160-01</v>
          </cell>
          <cell r="Q647" t="str">
            <v>EST ALMOFADA RET.LIVERPOOL MATTE</v>
          </cell>
          <cell r="R647"/>
          <cell r="S647"/>
          <cell r="T647">
            <v>0.6</v>
          </cell>
          <cell r="U647">
            <v>0.4</v>
          </cell>
          <cell r="V647">
            <v>0</v>
          </cell>
          <cell r="W647">
            <v>0</v>
          </cell>
          <cell r="X647" t="str">
            <v>EST ALMOFADA RET.LIVERPOOL MATTE - 0,6x0,4x0H</v>
          </cell>
          <cell r="Y647">
            <v>877.14</v>
          </cell>
          <cell r="Z647">
            <v>0.49999897849736963</v>
          </cell>
          <cell r="AA647">
            <v>438.57089600081719</v>
          </cell>
          <cell r="AB647"/>
        </row>
        <row r="648">
          <cell r="C648">
            <v>1</v>
          </cell>
          <cell r="D648">
            <v>4</v>
          </cell>
          <cell r="E648">
            <v>1</v>
          </cell>
          <cell r="F648">
            <v>0</v>
          </cell>
          <cell r="H648">
            <v>0</v>
          </cell>
          <cell r="O648">
            <v>314838</v>
          </cell>
          <cell r="P648" t="str">
            <v>2025/055-0161-01</v>
          </cell>
          <cell r="Q648" t="str">
            <v>EST ALMOFADA RET.LIVERPOOL MATTE</v>
          </cell>
          <cell r="R648"/>
          <cell r="S648"/>
          <cell r="T648">
            <v>0.6</v>
          </cell>
          <cell r="U648">
            <v>0.4</v>
          </cell>
          <cell r="V648">
            <v>0</v>
          </cell>
          <cell r="W648">
            <v>0</v>
          </cell>
          <cell r="X648" t="str">
            <v>EST ALMOFADA RET.LIVERPOOL MATTE - 0,6x0,4x0H</v>
          </cell>
          <cell r="Y648">
            <v>877.14</v>
          </cell>
          <cell r="Z648">
            <v>0.49999897849736963</v>
          </cell>
          <cell r="AA648">
            <v>438.57089600081719</v>
          </cell>
          <cell r="AB648"/>
        </row>
        <row r="649">
          <cell r="C649">
            <v>0</v>
          </cell>
          <cell r="D649">
            <v>2</v>
          </cell>
          <cell r="E649">
            <v>4</v>
          </cell>
          <cell r="F649">
            <v>0</v>
          </cell>
          <cell r="H649">
            <v>0</v>
          </cell>
          <cell r="O649">
            <v>314841</v>
          </cell>
          <cell r="P649" t="str">
            <v>2021/344-0147-01</v>
          </cell>
          <cell r="Q649" t="str">
            <v>EST ALMOFADA TRESSE AZUL</v>
          </cell>
          <cell r="R649"/>
          <cell r="S649"/>
          <cell r="T649">
            <v>0.5</v>
          </cell>
          <cell r="U649">
            <v>0.5</v>
          </cell>
          <cell r="V649">
            <v>0</v>
          </cell>
          <cell r="W649">
            <v>0</v>
          </cell>
          <cell r="X649" t="str">
            <v>EST ALMOFADA TRESSE AZUL - 0,5x0,5x0H</v>
          </cell>
          <cell r="Y649">
            <v>1320.7</v>
          </cell>
          <cell r="Z649">
            <v>0.5</v>
          </cell>
          <cell r="AA649">
            <v>660.35</v>
          </cell>
          <cell r="AB649"/>
        </row>
        <row r="650">
          <cell r="C650">
            <v>0</v>
          </cell>
          <cell r="D650">
            <v>2</v>
          </cell>
          <cell r="E650">
            <v>4</v>
          </cell>
          <cell r="F650">
            <v>0</v>
          </cell>
          <cell r="H650">
            <v>0</v>
          </cell>
          <cell r="O650">
            <v>314841</v>
          </cell>
          <cell r="P650" t="str">
            <v>2021/344-0148-01</v>
          </cell>
          <cell r="Q650" t="str">
            <v>EST ALMOFADA TRESSE AZUL</v>
          </cell>
          <cell r="R650"/>
          <cell r="S650"/>
          <cell r="T650">
            <v>0.5</v>
          </cell>
          <cell r="U650">
            <v>0.5</v>
          </cell>
          <cell r="V650">
            <v>0</v>
          </cell>
          <cell r="W650">
            <v>0</v>
          </cell>
          <cell r="X650" t="str">
            <v>EST ALMOFADA TRESSE AZUL - 0,5x0,5x0H</v>
          </cell>
          <cell r="Y650">
            <v>1320.7</v>
          </cell>
          <cell r="Z650">
            <v>0.5</v>
          </cell>
          <cell r="AA650">
            <v>660.35</v>
          </cell>
          <cell r="AB650"/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334698</v>
          </cell>
          <cell r="P651" t="str">
            <v>2022/185-0015-01</v>
          </cell>
          <cell r="Q651" t="str">
            <v>EST MESA LATERAL LURI H60 (TP TS NERO/BS LC FSC PRETA)</v>
          </cell>
          <cell r="R651"/>
          <cell r="S651"/>
          <cell r="T651">
            <v>0.6</v>
          </cell>
          <cell r="U651">
            <v>0</v>
          </cell>
          <cell r="V651">
            <v>0.6</v>
          </cell>
          <cell r="W651">
            <v>0.6</v>
          </cell>
          <cell r="X651" t="str">
            <v>EST MESA LATERAL LURI H60 (TP TS NERO/BS LC FSC PRETA) - Ø0,6x0,6H</v>
          </cell>
          <cell r="Y651">
            <v>2692.66</v>
          </cell>
          <cell r="Z651">
            <v>0.5</v>
          </cell>
          <cell r="AA651">
            <v>1346.33</v>
          </cell>
          <cell r="AB651"/>
        </row>
        <row r="652">
          <cell r="C652">
            <v>1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359584</v>
          </cell>
          <cell r="P652" t="str">
            <v>2022/347-0003-01</v>
          </cell>
          <cell r="Q652" t="str">
            <v>EST VASO MATISSE I (OURO VELHO)</v>
          </cell>
          <cell r="R652"/>
          <cell r="S652"/>
          <cell r="T652">
            <v>0.19</v>
          </cell>
          <cell r="U652">
            <v>0.17</v>
          </cell>
          <cell r="V652">
            <v>0.28000000000000003</v>
          </cell>
          <cell r="W652">
            <v>0</v>
          </cell>
          <cell r="X652" t="str">
            <v>EST VASO MATISSE I (OURO VELHO) - 0,19x0,17x0,28H</v>
          </cell>
          <cell r="Y652">
            <v>582.4</v>
          </cell>
          <cell r="Z652">
            <v>0.5</v>
          </cell>
          <cell r="AA652">
            <v>291.2</v>
          </cell>
          <cell r="AB652"/>
        </row>
        <row r="653">
          <cell r="C653">
            <v>1</v>
          </cell>
          <cell r="D653">
            <v>1</v>
          </cell>
          <cell r="E653">
            <v>1</v>
          </cell>
          <cell r="F653">
            <v>1</v>
          </cell>
          <cell r="H653">
            <v>0</v>
          </cell>
          <cell r="O653">
            <v>359585</v>
          </cell>
          <cell r="P653" t="str">
            <v>2022/347-0005-01</v>
          </cell>
          <cell r="Q653" t="str">
            <v>EST VASO MATISSE I (AREIA)</v>
          </cell>
          <cell r="R653"/>
          <cell r="S653"/>
          <cell r="T653">
            <v>0.19</v>
          </cell>
          <cell r="U653">
            <v>0.17</v>
          </cell>
          <cell r="V653">
            <v>0.28000000000000003</v>
          </cell>
          <cell r="W653">
            <v>0</v>
          </cell>
          <cell r="X653" t="str">
            <v>EST VASO MATISSE I (AREIA) - 0,19x0,17x0,28H</v>
          </cell>
          <cell r="Y653">
            <v>582.4</v>
          </cell>
          <cell r="Z653">
            <v>0.5</v>
          </cell>
          <cell r="AA653">
            <v>291.2</v>
          </cell>
          <cell r="AB653"/>
        </row>
        <row r="654">
          <cell r="C654">
            <v>1</v>
          </cell>
          <cell r="D654">
            <v>1</v>
          </cell>
          <cell r="E654">
            <v>1</v>
          </cell>
          <cell r="F654">
            <v>1</v>
          </cell>
          <cell r="H654">
            <v>0</v>
          </cell>
          <cell r="O654">
            <v>359586</v>
          </cell>
          <cell r="P654" t="str">
            <v>2022/347-0011-01</v>
          </cell>
          <cell r="Q654" t="str">
            <v>EST VASO MATISSE II (AREIA)</v>
          </cell>
          <cell r="R654"/>
          <cell r="S654"/>
          <cell r="T654">
            <v>0.16</v>
          </cell>
          <cell r="U654">
            <v>0.14000000000000001</v>
          </cell>
          <cell r="V654">
            <v>0.24</v>
          </cell>
          <cell r="W654">
            <v>0</v>
          </cell>
          <cell r="X654" t="str">
            <v>EST VASO MATISSE II (AREIA) - 0,16x0,14x0,24H</v>
          </cell>
          <cell r="Y654">
            <v>492.8</v>
          </cell>
          <cell r="Z654">
            <v>0.5</v>
          </cell>
          <cell r="AA654">
            <v>246.4</v>
          </cell>
          <cell r="AB654"/>
        </row>
        <row r="655">
          <cell r="C655">
            <v>1</v>
          </cell>
          <cell r="D655">
            <v>1</v>
          </cell>
          <cell r="E655">
            <v>1</v>
          </cell>
          <cell r="F655">
            <v>1</v>
          </cell>
          <cell r="H655">
            <v>0</v>
          </cell>
          <cell r="O655">
            <v>359588</v>
          </cell>
          <cell r="P655" t="str">
            <v>2022/347-0015-01</v>
          </cell>
          <cell r="Q655" t="str">
            <v>EST VASO MATISSE II (OURO VELHO)</v>
          </cell>
          <cell r="R655"/>
          <cell r="S655"/>
          <cell r="T655">
            <v>0.16</v>
          </cell>
          <cell r="U655">
            <v>0.14000000000000001</v>
          </cell>
          <cell r="V655">
            <v>0.24</v>
          </cell>
          <cell r="W655">
            <v>0</v>
          </cell>
          <cell r="X655" t="str">
            <v>EST VASO MATISSE II (OURO VELHO) - 0,16x0,14x0,24H</v>
          </cell>
          <cell r="Y655">
            <v>492.8</v>
          </cell>
          <cell r="Z655">
            <v>0.5</v>
          </cell>
          <cell r="AA655">
            <v>246.4</v>
          </cell>
          <cell r="AB655"/>
        </row>
        <row r="656">
          <cell r="C656">
            <v>1</v>
          </cell>
          <cell r="D656">
            <v>1</v>
          </cell>
          <cell r="E656">
            <v>1</v>
          </cell>
          <cell r="F656">
            <v>1</v>
          </cell>
          <cell r="H656">
            <v>0</v>
          </cell>
          <cell r="O656">
            <v>359589</v>
          </cell>
          <cell r="P656" t="str">
            <v>2022/347-0020-01</v>
          </cell>
          <cell r="Q656" t="str">
            <v>EST VASO MATISSE III (AREIA)</v>
          </cell>
          <cell r="R656"/>
          <cell r="S656"/>
          <cell r="T656">
            <v>0.15</v>
          </cell>
          <cell r="U656">
            <v>0.1</v>
          </cell>
          <cell r="V656">
            <v>0.16</v>
          </cell>
          <cell r="W656">
            <v>0</v>
          </cell>
          <cell r="X656" t="str">
            <v>EST VASO MATISSE III (AREIA) - 0,15x0,1x0,16H</v>
          </cell>
          <cell r="Y656">
            <v>380.8</v>
          </cell>
          <cell r="Z656">
            <v>0.5</v>
          </cell>
          <cell r="AA656">
            <v>190.4</v>
          </cell>
          <cell r="AB656"/>
        </row>
        <row r="657">
          <cell r="C657">
            <v>1</v>
          </cell>
          <cell r="D657">
            <v>1</v>
          </cell>
          <cell r="E657">
            <v>1</v>
          </cell>
          <cell r="F657">
            <v>0</v>
          </cell>
          <cell r="H657">
            <v>0</v>
          </cell>
          <cell r="O657">
            <v>359591</v>
          </cell>
          <cell r="P657" t="str">
            <v>2022/347-0021-01</v>
          </cell>
          <cell r="Q657" t="str">
            <v>EST VASO MATISSE III (OURO VELHO)</v>
          </cell>
          <cell r="R657"/>
          <cell r="S657"/>
          <cell r="T657">
            <v>0.15</v>
          </cell>
          <cell r="U657">
            <v>0.1</v>
          </cell>
          <cell r="V657">
            <v>0.16</v>
          </cell>
          <cell r="W657">
            <v>0</v>
          </cell>
          <cell r="X657" t="str">
            <v>EST VASO MATISSE III (OURO VELHO) - 0,15x0,1x0,16H</v>
          </cell>
          <cell r="Y657">
            <v>380.8</v>
          </cell>
          <cell r="Z657">
            <v>0.5</v>
          </cell>
          <cell r="AA657">
            <v>190.4</v>
          </cell>
          <cell r="AB657"/>
        </row>
        <row r="658">
          <cell r="C658">
            <v>1</v>
          </cell>
          <cell r="D658">
            <v>1</v>
          </cell>
          <cell r="E658">
            <v>0</v>
          </cell>
          <cell r="F658">
            <v>1</v>
          </cell>
          <cell r="H658">
            <v>0</v>
          </cell>
          <cell r="O658">
            <v>359685</v>
          </cell>
          <cell r="P658" t="str">
            <v>2022/347-0029-01</v>
          </cell>
          <cell r="Q658" t="str">
            <v>EST VASO MATISSE II (TRANSPARENTE)</v>
          </cell>
          <cell r="R658"/>
          <cell r="S658"/>
          <cell r="T658">
            <v>0.16</v>
          </cell>
          <cell r="U658">
            <v>0.14000000000000001</v>
          </cell>
          <cell r="V658">
            <v>0.24</v>
          </cell>
          <cell r="W658">
            <v>0</v>
          </cell>
          <cell r="X658" t="str">
            <v>EST VASO MATISSE II (TRANSPARENTE) - 0,16x0,14x0,24H</v>
          </cell>
          <cell r="Y658">
            <v>492.8</v>
          </cell>
          <cell r="Z658">
            <v>0.5</v>
          </cell>
          <cell r="AA658">
            <v>246.4</v>
          </cell>
          <cell r="AB658"/>
        </row>
        <row r="659">
          <cell r="C659">
            <v>1</v>
          </cell>
          <cell r="D659">
            <v>1</v>
          </cell>
          <cell r="E659">
            <v>0</v>
          </cell>
          <cell r="F659">
            <v>1</v>
          </cell>
          <cell r="H659">
            <v>0</v>
          </cell>
          <cell r="O659">
            <v>359686</v>
          </cell>
          <cell r="P659" t="str">
            <v>2022/347-0033-01</v>
          </cell>
          <cell r="Q659" t="str">
            <v>EST VASO MATISSE III (TRANSPARENTE)</v>
          </cell>
          <cell r="R659"/>
          <cell r="S659"/>
          <cell r="T659">
            <v>0.15</v>
          </cell>
          <cell r="U659">
            <v>0.1</v>
          </cell>
          <cell r="V659">
            <v>0.16</v>
          </cell>
          <cell r="W659">
            <v>0</v>
          </cell>
          <cell r="X659" t="str">
            <v>EST VASO MATISSE III (TRANSPARENTE) - 0,15x0,1x0,16H</v>
          </cell>
          <cell r="Y659">
            <v>380.8</v>
          </cell>
          <cell r="Z659">
            <v>0.5</v>
          </cell>
          <cell r="AA659">
            <v>190.4</v>
          </cell>
          <cell r="AB659"/>
        </row>
        <row r="660">
          <cell r="C660">
            <v>1</v>
          </cell>
          <cell r="D660">
            <v>0</v>
          </cell>
          <cell r="E660">
            <v>0</v>
          </cell>
          <cell r="F660">
            <v>0</v>
          </cell>
          <cell r="H660">
            <v>0</v>
          </cell>
          <cell r="O660">
            <v>91205</v>
          </cell>
          <cell r="P660" t="str">
            <v>2013/189-0148-01</v>
          </cell>
          <cell r="Q660" t="str">
            <v>EST CADEIRA PLATTA (TAUARI NATURAL) (TC M9750)</v>
          </cell>
          <cell r="R660"/>
          <cell r="S660"/>
          <cell r="T660">
            <v>0.48</v>
          </cell>
          <cell r="U660">
            <v>0.52</v>
          </cell>
          <cell r="V660">
            <v>0.8</v>
          </cell>
          <cell r="W660">
            <v>0</v>
          </cell>
          <cell r="X660" t="str">
            <v>EST CADEIRA PLATTA (TAUARI NATURAL) (TC M9750) - 0,48x0,52x0,8H</v>
          </cell>
          <cell r="Y660">
            <v>2486.4</v>
          </cell>
          <cell r="Z660">
            <v>0.5</v>
          </cell>
          <cell r="AA660">
            <v>1243.2</v>
          </cell>
          <cell r="AB660"/>
        </row>
        <row r="661">
          <cell r="C661">
            <v>1</v>
          </cell>
          <cell r="D661">
            <v>0</v>
          </cell>
          <cell r="E661">
            <v>0</v>
          </cell>
          <cell r="F661">
            <v>0</v>
          </cell>
          <cell r="H661">
            <v>0</v>
          </cell>
          <cell r="O661">
            <v>94055</v>
          </cell>
          <cell r="P661" t="str">
            <v>2016/055-0017-01</v>
          </cell>
          <cell r="Q661" t="str">
            <v>EST BUFFET SAGRA (TPO ESPELHO CARV MEL C/GAV LC FSC BRANCA)</v>
          </cell>
          <cell r="R661"/>
          <cell r="S661"/>
          <cell r="T661">
            <v>2.48</v>
          </cell>
          <cell r="U661">
            <v>0.45</v>
          </cell>
          <cell r="V661">
            <v>0.7</v>
          </cell>
          <cell r="W661">
            <v>0</v>
          </cell>
          <cell r="X661" t="str">
            <v>EST BUFFET SAGRA (TPO ESPELHO CARV MEL C/GAV LC FSC BRANCA) - 2,48x0,45x0,7H</v>
          </cell>
          <cell r="Y661">
            <v>24235.77</v>
          </cell>
          <cell r="Z661">
            <v>0.5</v>
          </cell>
          <cell r="AA661">
            <v>12117.885</v>
          </cell>
          <cell r="AB661"/>
        </row>
        <row r="662">
          <cell r="C662">
            <v>1</v>
          </cell>
          <cell r="D662">
            <v>1</v>
          </cell>
          <cell r="E662">
            <v>0</v>
          </cell>
          <cell r="F662">
            <v>0</v>
          </cell>
          <cell r="H662">
            <v>0</v>
          </cell>
          <cell r="O662">
            <v>147544</v>
          </cell>
          <cell r="P662" t="str">
            <v>2014/099-0082-01</v>
          </cell>
          <cell r="Q662" t="str">
            <v>EST VASO TYLER G (COD.ZEA-3169A)</v>
          </cell>
          <cell r="R662"/>
          <cell r="S662"/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 t="str">
            <v>EST VASO TYLER G (COD.ZEA-3169A) - Ø0x0H</v>
          </cell>
          <cell r="Y662">
            <v>1613.83</v>
          </cell>
          <cell r="Z662">
            <v>0.5</v>
          </cell>
          <cell r="AA662">
            <v>806.91499999999996</v>
          </cell>
          <cell r="AB662"/>
        </row>
        <row r="663">
          <cell r="C663">
            <v>1</v>
          </cell>
          <cell r="D663">
            <v>1</v>
          </cell>
          <cell r="E663">
            <v>0</v>
          </cell>
          <cell r="F663">
            <v>0</v>
          </cell>
          <cell r="H663">
            <v>0</v>
          </cell>
          <cell r="O663">
            <v>147545</v>
          </cell>
          <cell r="P663" t="str">
            <v>2014/099-0083-01</v>
          </cell>
          <cell r="Q663" t="str">
            <v>EST VASO TYLER M (COD.ZEA-3169B)</v>
          </cell>
          <cell r="R663"/>
          <cell r="S663"/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 t="str">
            <v>EST VASO TYLER M (COD.ZEA-3169B) - Ø0x0H</v>
          </cell>
          <cell r="Y663">
            <v>1423.43</v>
          </cell>
          <cell r="Z663">
            <v>0.5</v>
          </cell>
          <cell r="AA663">
            <v>711.71500000000003</v>
          </cell>
          <cell r="AB663"/>
        </row>
        <row r="664">
          <cell r="C664">
            <v>3</v>
          </cell>
          <cell r="D664">
            <v>6</v>
          </cell>
          <cell r="E664">
            <v>0</v>
          </cell>
          <cell r="F664">
            <v>0</v>
          </cell>
          <cell r="H664">
            <v>0</v>
          </cell>
          <cell r="O664">
            <v>147930</v>
          </cell>
          <cell r="P664" t="str">
            <v>2014/262-0094-01</v>
          </cell>
          <cell r="Q664" t="str">
            <v>EST LUMINARIA PENDENTE DON SEM LAMPADA</v>
          </cell>
          <cell r="R664"/>
          <cell r="S664"/>
          <cell r="T664">
            <v>0.2</v>
          </cell>
          <cell r="U664">
            <v>0.2</v>
          </cell>
          <cell r="V664">
            <v>0.3</v>
          </cell>
          <cell r="W664">
            <v>0</v>
          </cell>
          <cell r="X664" t="str">
            <v>EST LUMINARIA PENDENTE DON SEM LAMPADA - 0,2x0,2x0,3H</v>
          </cell>
          <cell r="Y664">
            <v>5713.34</v>
          </cell>
          <cell r="Z664">
            <v>0.5</v>
          </cell>
          <cell r="AA664">
            <v>2856.67</v>
          </cell>
          <cell r="AB664"/>
        </row>
        <row r="665">
          <cell r="C665">
            <v>3</v>
          </cell>
          <cell r="D665">
            <v>6</v>
          </cell>
          <cell r="E665">
            <v>0</v>
          </cell>
          <cell r="F665">
            <v>0</v>
          </cell>
          <cell r="H665">
            <v>0</v>
          </cell>
          <cell r="O665">
            <v>147930</v>
          </cell>
          <cell r="P665" t="str">
            <v>2014/262-0093-01</v>
          </cell>
          <cell r="Q665" t="str">
            <v>EST LUMINARIA PENDENTE DON SEM LAMPADA</v>
          </cell>
          <cell r="R665"/>
          <cell r="S665"/>
          <cell r="T665">
            <v>0.2</v>
          </cell>
          <cell r="U665">
            <v>0.2</v>
          </cell>
          <cell r="V665">
            <v>0.3</v>
          </cell>
          <cell r="W665">
            <v>0</v>
          </cell>
          <cell r="X665" t="str">
            <v>EST LUMINARIA PENDENTE DON SEM LAMPADA - 0,2x0,2x0,3H</v>
          </cell>
          <cell r="Y665">
            <v>5713.34</v>
          </cell>
          <cell r="Z665">
            <v>0.5</v>
          </cell>
          <cell r="AA665">
            <v>2856.67</v>
          </cell>
          <cell r="AB665"/>
        </row>
        <row r="666">
          <cell r="C666">
            <v>3</v>
          </cell>
          <cell r="D666">
            <v>6</v>
          </cell>
          <cell r="E666">
            <v>0</v>
          </cell>
          <cell r="F666">
            <v>0</v>
          </cell>
          <cell r="H666">
            <v>0</v>
          </cell>
          <cell r="O666">
            <v>147930</v>
          </cell>
          <cell r="P666" t="str">
            <v>2014/262-0095-01</v>
          </cell>
          <cell r="Q666" t="str">
            <v>EST LUMINARIA PENDENTE DON SEM LAMPADA</v>
          </cell>
          <cell r="R666"/>
          <cell r="S666"/>
          <cell r="T666">
            <v>0.2</v>
          </cell>
          <cell r="U666">
            <v>0.2</v>
          </cell>
          <cell r="V666">
            <v>0.3</v>
          </cell>
          <cell r="W666">
            <v>0</v>
          </cell>
          <cell r="X666" t="str">
            <v>EST LUMINARIA PENDENTE DON SEM LAMPADA - 0,2x0,2x0,3H</v>
          </cell>
          <cell r="Y666">
            <v>5713.34</v>
          </cell>
          <cell r="Z666">
            <v>0.5</v>
          </cell>
          <cell r="AA666">
            <v>2856.67</v>
          </cell>
          <cell r="AB666"/>
        </row>
        <row r="667">
          <cell r="C667">
            <v>4</v>
          </cell>
          <cell r="D667">
            <v>0</v>
          </cell>
          <cell r="E667">
            <v>0</v>
          </cell>
          <cell r="F667">
            <v>0</v>
          </cell>
          <cell r="H667">
            <v>0</v>
          </cell>
          <cell r="O667">
            <v>151383</v>
          </cell>
          <cell r="P667" t="str">
            <v>2014/219-0297-01</v>
          </cell>
          <cell r="Q667" t="str">
            <v>EST CADEIRA TIBET (FITA 10MM) ARGILA RASPADO</v>
          </cell>
          <cell r="R667"/>
          <cell r="S667"/>
          <cell r="T667">
            <v>0.44</v>
          </cell>
          <cell r="U667">
            <v>0.55000000000000004</v>
          </cell>
          <cell r="V667">
            <v>0.9</v>
          </cell>
          <cell r="W667">
            <v>0</v>
          </cell>
          <cell r="X667" t="str">
            <v>EST CADEIRA TIBET (FITA 10MM) ARGILA RASPADO - 0,44x0,55x0,9H</v>
          </cell>
          <cell r="Y667">
            <v>4704</v>
          </cell>
          <cell r="Z667">
            <v>0.5</v>
          </cell>
          <cell r="AA667">
            <v>2352</v>
          </cell>
          <cell r="AB667"/>
        </row>
        <row r="668">
          <cell r="C668">
            <v>4</v>
          </cell>
          <cell r="D668">
            <v>0</v>
          </cell>
          <cell r="E668">
            <v>0</v>
          </cell>
          <cell r="F668">
            <v>0</v>
          </cell>
          <cell r="H668">
            <v>0</v>
          </cell>
          <cell r="O668">
            <v>151383</v>
          </cell>
          <cell r="P668" t="str">
            <v>2014/219-0298-01</v>
          </cell>
          <cell r="Q668" t="str">
            <v>EST CADEIRA TIBET (FITA 10MM) ARGILA RASPADO</v>
          </cell>
          <cell r="R668"/>
          <cell r="S668"/>
          <cell r="T668">
            <v>0.44</v>
          </cell>
          <cell r="U668">
            <v>0.55000000000000004</v>
          </cell>
          <cell r="V668">
            <v>0.9</v>
          </cell>
          <cell r="W668">
            <v>0</v>
          </cell>
          <cell r="X668" t="str">
            <v>EST CADEIRA TIBET (FITA 10MM) ARGILA RASPADO - 0,44x0,55x0,9H</v>
          </cell>
          <cell r="Y668">
            <v>4704</v>
          </cell>
          <cell r="Z668">
            <v>0.5</v>
          </cell>
          <cell r="AA668">
            <v>2352</v>
          </cell>
          <cell r="AB668"/>
        </row>
        <row r="669">
          <cell r="C669">
            <v>4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151383</v>
          </cell>
          <cell r="P669" t="str">
            <v>2014/219-0353-01</v>
          </cell>
          <cell r="Q669" t="str">
            <v>EST CADEIRA TIBET (FITA 10MM) ARGILA RASPADO</v>
          </cell>
          <cell r="R669"/>
          <cell r="S669"/>
          <cell r="T669">
            <v>0.44</v>
          </cell>
          <cell r="U669">
            <v>0.55000000000000004</v>
          </cell>
          <cell r="V669">
            <v>0.9</v>
          </cell>
          <cell r="W669">
            <v>0</v>
          </cell>
          <cell r="X669" t="str">
            <v>EST CADEIRA TIBET (FITA 10MM) ARGILA RASPADO - 0,44x0,55x0,9H</v>
          </cell>
          <cell r="Y669">
            <v>4704</v>
          </cell>
          <cell r="Z669">
            <v>0.5</v>
          </cell>
          <cell r="AA669">
            <v>2352</v>
          </cell>
          <cell r="AB669"/>
        </row>
        <row r="670">
          <cell r="C670">
            <v>4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151383</v>
          </cell>
          <cell r="P670" t="str">
            <v>2014/219-0354-01</v>
          </cell>
          <cell r="Q670" t="str">
            <v>EST CADEIRA TIBET (FITA 10MM) ARGILA RASPADO</v>
          </cell>
          <cell r="R670"/>
          <cell r="S670"/>
          <cell r="T670">
            <v>0.44</v>
          </cell>
          <cell r="U670">
            <v>0.55000000000000004</v>
          </cell>
          <cell r="V670">
            <v>0.9</v>
          </cell>
          <cell r="W670">
            <v>0</v>
          </cell>
          <cell r="X670" t="str">
            <v>EST CADEIRA TIBET (FITA 10MM) ARGILA RASPADO - 0,44x0,55x0,9H</v>
          </cell>
          <cell r="Y670">
            <v>4704</v>
          </cell>
          <cell r="Z670">
            <v>0.5</v>
          </cell>
          <cell r="AA670">
            <v>2352</v>
          </cell>
          <cell r="AB670"/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2</v>
          </cell>
          <cell r="O671">
            <v>151387</v>
          </cell>
          <cell r="P671" t="str">
            <v>2014/219-0303-01</v>
          </cell>
          <cell r="Q671" t="str">
            <v>EST PUFF BRISTOL (C/ALCA) (FIBRA 10MM) OURO PRETO RASPADO</v>
          </cell>
          <cell r="R671"/>
          <cell r="S671"/>
          <cell r="T671">
            <v>0.4</v>
          </cell>
          <cell r="U671">
            <v>0.4</v>
          </cell>
          <cell r="V671">
            <v>0.4</v>
          </cell>
          <cell r="W671">
            <v>0</v>
          </cell>
          <cell r="X671" t="str">
            <v>EST PUFF BRISTOL (C/ALCA) (FIBRA 10MM) OURO PRETO RASPADO - 0,4x0,4x0,4H</v>
          </cell>
          <cell r="Y671">
            <v>3551.52</v>
          </cell>
          <cell r="Z671">
            <v>0.5</v>
          </cell>
          <cell r="AA671">
            <v>1775.76</v>
          </cell>
          <cell r="AB671"/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151429</v>
          </cell>
          <cell r="P672" t="str">
            <v>2014/238-0054-01</v>
          </cell>
          <cell r="Q672" t="str">
            <v>EST MESA LATERAL DIOR LACA BRILHO GRIS ESPELHO FUME</v>
          </cell>
          <cell r="R672"/>
          <cell r="S672"/>
          <cell r="T672">
            <v>0.9</v>
          </cell>
          <cell r="U672">
            <v>0</v>
          </cell>
          <cell r="V672">
            <v>0.74</v>
          </cell>
          <cell r="W672">
            <v>0.9</v>
          </cell>
          <cell r="X672" t="str">
            <v>EST MESA LATERAL DIOR LACA BRILHO GRIS ESPELHO FUME - Ø0,9x0,74H</v>
          </cell>
          <cell r="Y672">
            <v>8393.06</v>
          </cell>
          <cell r="Z672">
            <v>0.5</v>
          </cell>
          <cell r="AA672">
            <v>4196.53</v>
          </cell>
          <cell r="AB672"/>
        </row>
        <row r="673">
          <cell r="C673">
            <v>2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151508</v>
          </cell>
          <cell r="P673" t="str">
            <v>2014/251-0086-01</v>
          </cell>
          <cell r="Q673" t="str">
            <v>EST POLTRONA FRANCISCO (FIBRA ECOWOOD) TC TAUPE</v>
          </cell>
          <cell r="R673"/>
          <cell r="S673"/>
          <cell r="T673">
            <v>0.56000000000000005</v>
          </cell>
          <cell r="U673">
            <v>0.56000000000000005</v>
          </cell>
          <cell r="V673">
            <v>0.87</v>
          </cell>
          <cell r="W673">
            <v>0</v>
          </cell>
          <cell r="X673" t="str">
            <v>EST POLTRONA FRANCISCO (FIBRA ECOWOOD) TC TAUPE - 0,56x0,56x0,87H</v>
          </cell>
          <cell r="Y673">
            <v>5760.03</v>
          </cell>
          <cell r="Z673">
            <v>0.5</v>
          </cell>
          <cell r="AA673">
            <v>2880.0149999999999</v>
          </cell>
          <cell r="AB673"/>
        </row>
        <row r="674">
          <cell r="C674">
            <v>2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151508</v>
          </cell>
          <cell r="P674" t="str">
            <v>2014/251-0087-01</v>
          </cell>
          <cell r="Q674" t="str">
            <v>EST POLTRONA FRANCISCO (FIBRA ECOWOOD) TC TAUPE</v>
          </cell>
          <cell r="R674"/>
          <cell r="S674"/>
          <cell r="T674">
            <v>0.56000000000000005</v>
          </cell>
          <cell r="U674">
            <v>0.56000000000000005</v>
          </cell>
          <cell r="V674">
            <v>0.87</v>
          </cell>
          <cell r="W674">
            <v>0</v>
          </cell>
          <cell r="X674" t="str">
            <v>EST POLTRONA FRANCISCO (FIBRA ECOWOOD) TC TAUPE - 0,56x0,56x0,87H</v>
          </cell>
          <cell r="Y674">
            <v>5760.03</v>
          </cell>
          <cell r="Z674">
            <v>0.5</v>
          </cell>
          <cell r="AA674">
            <v>2880.0149999999999</v>
          </cell>
          <cell r="AB674"/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163716</v>
          </cell>
          <cell r="P675" t="str">
            <v>2015/154-0077-01</v>
          </cell>
          <cell r="Q675" t="str">
            <v>EST LUMINARIA SAULO (QUAD) TELA NATURAL</v>
          </cell>
          <cell r="R675"/>
          <cell r="S675"/>
          <cell r="T675">
            <v>1.7</v>
          </cell>
          <cell r="U675">
            <v>0.5</v>
          </cell>
          <cell r="V675">
            <v>0.5</v>
          </cell>
          <cell r="W675">
            <v>0</v>
          </cell>
          <cell r="X675" t="str">
            <v>EST LUMINARIA SAULO (QUAD) TELA NATURAL - 1,7x0,5x0,5H</v>
          </cell>
          <cell r="Y675">
            <v>9887.36</v>
          </cell>
          <cell r="Z675">
            <v>0.5</v>
          </cell>
          <cell r="AA675">
            <v>4943.68</v>
          </cell>
          <cell r="AB675"/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182611</v>
          </cell>
          <cell r="P676" t="str">
            <v>2016/019-0060-01</v>
          </cell>
          <cell r="Q676" t="str">
            <v>EST MESA JANTAR ALECRIM (FIBRA ESTONADO TABACO)</v>
          </cell>
          <cell r="R676"/>
          <cell r="S676"/>
          <cell r="T676">
            <v>1.4</v>
          </cell>
          <cell r="U676">
            <v>0</v>
          </cell>
          <cell r="V676">
            <v>0.72</v>
          </cell>
          <cell r="W676">
            <v>1.4</v>
          </cell>
          <cell r="X676" t="str">
            <v>EST MESA JANTAR ALECRIM (FIBRA ESTONADO TABACO) - Ø1,4x0,72H</v>
          </cell>
          <cell r="Y676">
            <v>8601.6</v>
          </cell>
          <cell r="Z676">
            <v>0.5</v>
          </cell>
          <cell r="AA676">
            <v>4300.8</v>
          </cell>
          <cell r="AB676"/>
        </row>
        <row r="677">
          <cell r="C677">
            <v>2</v>
          </cell>
          <cell r="D677">
            <v>1</v>
          </cell>
          <cell r="E677">
            <v>0</v>
          </cell>
          <cell r="F677">
            <v>0</v>
          </cell>
          <cell r="H677">
            <v>0</v>
          </cell>
          <cell r="O677">
            <v>224542</v>
          </cell>
          <cell r="P677" t="str">
            <v>2018/204-0098-01</v>
          </cell>
          <cell r="Q677" t="str">
            <v>EST BANDEJA MAXIXE (MARMORE CALACATA) (BASE ACRILICO)</v>
          </cell>
          <cell r="R677"/>
          <cell r="S677"/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 t="str">
            <v>EST BANDEJA MAXIXE (MARMORE CALACATA) (BASE ACRILICO) - Ø0x0H</v>
          </cell>
          <cell r="Y677">
            <v>4638.82</v>
          </cell>
          <cell r="Z677">
            <v>0.5</v>
          </cell>
          <cell r="AA677">
            <v>2319.41</v>
          </cell>
          <cell r="AB677"/>
        </row>
        <row r="678">
          <cell r="C678">
            <v>2</v>
          </cell>
          <cell r="D678">
            <v>1</v>
          </cell>
          <cell r="E678">
            <v>0</v>
          </cell>
          <cell r="F678">
            <v>0</v>
          </cell>
          <cell r="H678">
            <v>0</v>
          </cell>
          <cell r="O678">
            <v>224542</v>
          </cell>
          <cell r="P678" t="str">
            <v>2018/204-0099-01</v>
          </cell>
          <cell r="Q678" t="str">
            <v>EST BANDEJA MAXIXE (MARMORE CALACATA) (BASE ACRILICO)</v>
          </cell>
          <cell r="R678"/>
          <cell r="S678"/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 t="str">
            <v>EST BANDEJA MAXIXE (MARMORE CALACATA) (BASE ACRILICO) - Ø0x0H</v>
          </cell>
          <cell r="Y678">
            <v>4638.82</v>
          </cell>
          <cell r="Z678">
            <v>0.5</v>
          </cell>
          <cell r="AA678">
            <v>2319.41</v>
          </cell>
          <cell r="AB678"/>
        </row>
        <row r="679">
          <cell r="C679">
            <v>2</v>
          </cell>
          <cell r="D679">
            <v>1</v>
          </cell>
          <cell r="E679">
            <v>0</v>
          </cell>
          <cell r="F679">
            <v>0</v>
          </cell>
          <cell r="H679">
            <v>0</v>
          </cell>
          <cell r="O679">
            <v>229324</v>
          </cell>
          <cell r="P679" t="str">
            <v>2019/060-0048-01</v>
          </cell>
          <cell r="Q679" t="str">
            <v>EST MESA LATERAL SUN FREIJO EBANIZ/LATAO POLIDO</v>
          </cell>
          <cell r="R679"/>
          <cell r="S679"/>
          <cell r="T679">
            <v>0.36</v>
          </cell>
          <cell r="U679">
            <v>0</v>
          </cell>
          <cell r="V679">
            <v>0.55000000000000004</v>
          </cell>
          <cell r="W679">
            <v>0.36</v>
          </cell>
          <cell r="X679" t="str">
            <v>EST MESA LATERAL SUN FREIJO EBANIZ/LATAO POLIDO - Ø0,36x0,55H</v>
          </cell>
          <cell r="Y679">
            <v>10564.78</v>
          </cell>
          <cell r="Z679">
            <v>0.5</v>
          </cell>
          <cell r="AA679">
            <v>5282.39</v>
          </cell>
          <cell r="AB679"/>
        </row>
        <row r="680">
          <cell r="C680">
            <v>2</v>
          </cell>
          <cell r="D680">
            <v>1</v>
          </cell>
          <cell r="E680">
            <v>0</v>
          </cell>
          <cell r="F680">
            <v>0</v>
          </cell>
          <cell r="H680">
            <v>0</v>
          </cell>
          <cell r="O680">
            <v>229324</v>
          </cell>
          <cell r="P680" t="str">
            <v>2019/070-0053-01</v>
          </cell>
          <cell r="Q680" t="str">
            <v>EST MESA LATERAL SUN FREIJO EBANIZ/LATAO POLIDO</v>
          </cell>
          <cell r="R680"/>
          <cell r="S680"/>
          <cell r="T680">
            <v>0.36</v>
          </cell>
          <cell r="U680">
            <v>0</v>
          </cell>
          <cell r="V680">
            <v>0.55000000000000004</v>
          </cell>
          <cell r="W680">
            <v>0.36</v>
          </cell>
          <cell r="X680" t="str">
            <v>EST MESA LATERAL SUN FREIJO EBANIZ/LATAO POLIDO - Ø0,36x0,55H</v>
          </cell>
          <cell r="Y680">
            <v>10564.78</v>
          </cell>
          <cell r="Z680">
            <v>0.5</v>
          </cell>
          <cell r="AA680">
            <v>5282.39</v>
          </cell>
          <cell r="AB680"/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252842</v>
          </cell>
          <cell r="P681" t="str">
            <v>2020/227-0127-01</v>
          </cell>
          <cell r="Q681" t="str">
            <v>EST MESA LATERAL ANELAR (A) Ø38 (TP G3 CARVALHO/GOF PRETO)</v>
          </cell>
          <cell r="R681"/>
          <cell r="S681"/>
          <cell r="T681">
            <v>0.38</v>
          </cell>
          <cell r="U681">
            <v>0</v>
          </cell>
          <cell r="V681">
            <v>0.47</v>
          </cell>
          <cell r="W681">
            <v>0.38</v>
          </cell>
          <cell r="X681" t="str">
            <v>EST MESA LATERAL ANELAR (A) Ø38 (TP G3 CARVALHO/GOF PRETO) - Ø0,38x0,47H</v>
          </cell>
          <cell r="Y681">
            <v>5730.77</v>
          </cell>
          <cell r="Z681">
            <v>0.5</v>
          </cell>
          <cell r="AA681">
            <v>2865.3850000000002</v>
          </cell>
          <cell r="AB681"/>
        </row>
        <row r="682">
          <cell r="C682">
            <v>1</v>
          </cell>
          <cell r="D682">
            <v>0</v>
          </cell>
          <cell r="E682">
            <v>0</v>
          </cell>
          <cell r="F682">
            <v>0</v>
          </cell>
          <cell r="H682">
            <v>0</v>
          </cell>
          <cell r="O682">
            <v>252844</v>
          </cell>
          <cell r="P682" t="str">
            <v>2019/322-0051-01</v>
          </cell>
          <cell r="Q682" t="str">
            <v>EST MESA LATERAL ANELAR (C) Ø48 (TP G3 CARVALHO/GOF PRETO)</v>
          </cell>
          <cell r="R682"/>
          <cell r="S682"/>
          <cell r="T682">
            <v>0.48</v>
          </cell>
          <cell r="U682">
            <v>0</v>
          </cell>
          <cell r="V682">
            <v>0.56999999999999995</v>
          </cell>
          <cell r="W682">
            <v>0.48</v>
          </cell>
          <cell r="X682" t="str">
            <v>EST MESA LATERAL ANELAR (C) Ø48 (TP G3 CARVALHO/GOF PRETO) - Ø0,48x0,57H</v>
          </cell>
          <cell r="Y682">
            <v>6244.63</v>
          </cell>
          <cell r="Z682">
            <v>0.5</v>
          </cell>
          <cell r="AA682">
            <v>3122.3150000000001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255067</v>
          </cell>
          <cell r="P683" t="str">
            <v>2020/051-0047-01</v>
          </cell>
          <cell r="Q683" t="str">
            <v>EST HOME ARCHI (FREIJO CLARO)</v>
          </cell>
          <cell r="R683"/>
          <cell r="S683"/>
          <cell r="T683">
            <v>2.6</v>
          </cell>
          <cell r="U683">
            <v>0.51</v>
          </cell>
          <cell r="V683">
            <v>0.55000000000000004</v>
          </cell>
          <cell r="W683">
            <v>0</v>
          </cell>
          <cell r="X683" t="str">
            <v>EST HOME ARCHI (FREIJO CLARO) - 2,6x0,51x0,55H</v>
          </cell>
          <cell r="Y683">
            <v>43217.57</v>
          </cell>
          <cell r="Z683">
            <v>0.5</v>
          </cell>
          <cell r="AA683">
            <v>21608.785</v>
          </cell>
          <cell r="AB683"/>
        </row>
        <row r="684">
          <cell r="C684">
            <v>1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255071</v>
          </cell>
          <cell r="P684" t="str">
            <v>2020/051-0050-01</v>
          </cell>
          <cell r="Q684" t="str">
            <v>EST MESA CENTRO ARCHI (FREIJO CLARO)</v>
          </cell>
          <cell r="R684"/>
          <cell r="S684"/>
          <cell r="T684">
            <v>1.8</v>
          </cell>
          <cell r="U684">
            <v>0.9</v>
          </cell>
          <cell r="V684">
            <v>0.35</v>
          </cell>
          <cell r="W684">
            <v>0</v>
          </cell>
          <cell r="X684" t="str">
            <v>EST MESA CENTRO ARCHI (FREIJO CLARO) - 1,8x0,9x0,35H</v>
          </cell>
          <cell r="Y684">
            <v>28191.74</v>
          </cell>
          <cell r="Z684">
            <v>0.5</v>
          </cell>
          <cell r="AA684">
            <v>14095.87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257389</v>
          </cell>
          <cell r="P685" t="str">
            <v>2020/105-0025-01</v>
          </cell>
          <cell r="Q685" t="str">
            <v>EST MESA LATERAL CONECT TAMPO CARVALHO PRETO/DET LATAO</v>
          </cell>
          <cell r="R685"/>
          <cell r="S685"/>
          <cell r="T685">
            <v>0.6</v>
          </cell>
          <cell r="U685">
            <v>0</v>
          </cell>
          <cell r="V685">
            <v>0.6</v>
          </cell>
          <cell r="W685">
            <v>0.6</v>
          </cell>
          <cell r="X685" t="str">
            <v>EST MESA LATERAL CONECT TAMPO CARVALHO PRETO/DET LATAO - Ø0,6x0,6H</v>
          </cell>
          <cell r="Y685">
            <v>11019.19</v>
          </cell>
          <cell r="Z685">
            <v>0.5</v>
          </cell>
          <cell r="AA685">
            <v>5509.5950000000003</v>
          </cell>
          <cell r="AB685"/>
        </row>
        <row r="686">
          <cell r="C686">
            <v>6</v>
          </cell>
          <cell r="D686">
            <v>0</v>
          </cell>
          <cell r="E686">
            <v>0</v>
          </cell>
          <cell r="F686">
            <v>0</v>
          </cell>
          <cell r="H686">
            <v>2</v>
          </cell>
          <cell r="O686">
            <v>270562</v>
          </cell>
          <cell r="P686" t="str">
            <v>2020/350-0023-01</v>
          </cell>
          <cell r="Q686" t="str">
            <v>EST CADEIRA LUIZA C/BRACO COU 2 MARROM ENVELH/JEQ CAST CLARO</v>
          </cell>
          <cell r="R686"/>
          <cell r="S686"/>
          <cell r="T686">
            <v>0.59</v>
          </cell>
          <cell r="U686">
            <v>0.56000000000000005</v>
          </cell>
          <cell r="V686">
            <v>0.74</v>
          </cell>
          <cell r="W686">
            <v>0</v>
          </cell>
          <cell r="X686" t="str">
            <v>EST CADEIRA LUIZA C/BRACO COU 2 MARROM ENVELH/JEQ CAST CLARO - 0,59x0,56x0,74H</v>
          </cell>
          <cell r="Y686">
            <v>9433.94</v>
          </cell>
          <cell r="Z686">
            <v>0.5</v>
          </cell>
          <cell r="AA686">
            <v>4716.97</v>
          </cell>
          <cell r="AB686"/>
        </row>
        <row r="687">
          <cell r="C687">
            <v>6</v>
          </cell>
          <cell r="D687">
            <v>0</v>
          </cell>
          <cell r="E687">
            <v>0</v>
          </cell>
          <cell r="F687">
            <v>0</v>
          </cell>
          <cell r="H687">
            <v>2</v>
          </cell>
          <cell r="O687">
            <v>270562</v>
          </cell>
          <cell r="P687" t="str">
            <v>2020/352-0042-01</v>
          </cell>
          <cell r="Q687" t="str">
            <v>EST CADEIRA LUIZA C/BRACO COU 2 MARROM ENVELH/JEQ CAST CLARO</v>
          </cell>
          <cell r="R687"/>
          <cell r="S687"/>
          <cell r="T687">
            <v>0.59</v>
          </cell>
          <cell r="U687">
            <v>0.56000000000000005</v>
          </cell>
          <cell r="V687">
            <v>0.74</v>
          </cell>
          <cell r="W687">
            <v>0</v>
          </cell>
          <cell r="X687" t="str">
            <v>EST CADEIRA LUIZA C/BRACO COU 2 MARROM ENVELH/JEQ CAST CLARO - 0,59x0,56x0,74H</v>
          </cell>
          <cell r="Y687">
            <v>9433.94</v>
          </cell>
          <cell r="Z687">
            <v>0.5</v>
          </cell>
          <cell r="AA687">
            <v>4716.97</v>
          </cell>
          <cell r="AB687"/>
        </row>
        <row r="688">
          <cell r="C688">
            <v>6</v>
          </cell>
          <cell r="D688">
            <v>0</v>
          </cell>
          <cell r="E688">
            <v>0</v>
          </cell>
          <cell r="F688">
            <v>0</v>
          </cell>
          <cell r="H688">
            <v>2</v>
          </cell>
          <cell r="O688">
            <v>270562</v>
          </cell>
          <cell r="P688" t="str">
            <v>2020/352-0044-01</v>
          </cell>
          <cell r="Q688" t="str">
            <v>EST CADEIRA LUIZA C/BRACO COU 2 MARROM ENVELH/JEQ CAST CLARO</v>
          </cell>
          <cell r="R688"/>
          <cell r="S688"/>
          <cell r="T688">
            <v>0.59</v>
          </cell>
          <cell r="U688">
            <v>0.56000000000000005</v>
          </cell>
          <cell r="V688">
            <v>0.74</v>
          </cell>
          <cell r="W688">
            <v>0</v>
          </cell>
          <cell r="X688" t="str">
            <v>EST CADEIRA LUIZA C/BRACO COU 2 MARROM ENVELH/JEQ CAST CLARO - 0,59x0,56x0,74H</v>
          </cell>
          <cell r="Y688">
            <v>9433.94</v>
          </cell>
          <cell r="Z688">
            <v>0.5</v>
          </cell>
          <cell r="AA688">
            <v>4716.97</v>
          </cell>
          <cell r="AB688"/>
        </row>
        <row r="689">
          <cell r="C689">
            <v>6</v>
          </cell>
          <cell r="D689">
            <v>0</v>
          </cell>
          <cell r="E689">
            <v>0</v>
          </cell>
          <cell r="F689">
            <v>0</v>
          </cell>
          <cell r="H689">
            <v>2</v>
          </cell>
          <cell r="O689">
            <v>270562</v>
          </cell>
          <cell r="P689" t="str">
            <v>2020/352-0045-01</v>
          </cell>
          <cell r="Q689" t="str">
            <v>EST CADEIRA LUIZA C/BRACO COU 2 MARROM ENVELH/JEQ CAST CLARO</v>
          </cell>
          <cell r="R689"/>
          <cell r="S689"/>
          <cell r="T689">
            <v>0.59</v>
          </cell>
          <cell r="U689">
            <v>0.56000000000000005</v>
          </cell>
          <cell r="V689">
            <v>0.74</v>
          </cell>
          <cell r="W689">
            <v>0</v>
          </cell>
          <cell r="X689" t="str">
            <v>EST CADEIRA LUIZA C/BRACO COU 2 MARROM ENVELH/JEQ CAST CLARO - 0,59x0,56x0,74H</v>
          </cell>
          <cell r="Y689">
            <v>9433.94</v>
          </cell>
          <cell r="Z689">
            <v>0.5</v>
          </cell>
          <cell r="AA689">
            <v>4716.97</v>
          </cell>
          <cell r="AB689"/>
        </row>
        <row r="690">
          <cell r="C690">
            <v>6</v>
          </cell>
          <cell r="D690">
            <v>0</v>
          </cell>
          <cell r="E690">
            <v>0</v>
          </cell>
          <cell r="F690">
            <v>0</v>
          </cell>
          <cell r="H690">
            <v>2</v>
          </cell>
          <cell r="O690">
            <v>270562</v>
          </cell>
          <cell r="P690" t="str">
            <v>2020/352-0046-01</v>
          </cell>
          <cell r="Q690" t="str">
            <v>EST CADEIRA LUIZA C/BRACO COU 2 MARROM ENVELH/JEQ CAST CLARO</v>
          </cell>
          <cell r="R690"/>
          <cell r="S690"/>
          <cell r="T690">
            <v>0.59</v>
          </cell>
          <cell r="U690">
            <v>0.56000000000000005</v>
          </cell>
          <cell r="V690">
            <v>0.74</v>
          </cell>
          <cell r="W690">
            <v>0</v>
          </cell>
          <cell r="X690" t="str">
            <v>EST CADEIRA LUIZA C/BRACO COU 2 MARROM ENVELH/JEQ CAST CLARO - 0,59x0,56x0,74H</v>
          </cell>
          <cell r="Y690">
            <v>9433.94</v>
          </cell>
          <cell r="Z690">
            <v>0.5</v>
          </cell>
          <cell r="AA690">
            <v>4716.97</v>
          </cell>
          <cell r="AB690"/>
        </row>
        <row r="691">
          <cell r="C691">
            <v>6</v>
          </cell>
          <cell r="D691">
            <v>0</v>
          </cell>
          <cell r="E691">
            <v>0</v>
          </cell>
          <cell r="F691">
            <v>0</v>
          </cell>
          <cell r="H691">
            <v>2</v>
          </cell>
          <cell r="O691">
            <v>270562</v>
          </cell>
          <cell r="P691" t="str">
            <v>2020/352-0043-01</v>
          </cell>
          <cell r="Q691" t="str">
            <v>EST CADEIRA LUIZA C/BRACO COU 2 MARROM ENVELH/JEQ CAST CLARO</v>
          </cell>
          <cell r="R691"/>
          <cell r="S691"/>
          <cell r="T691">
            <v>0.59</v>
          </cell>
          <cell r="U691">
            <v>0.56000000000000005</v>
          </cell>
          <cell r="V691">
            <v>0.74</v>
          </cell>
          <cell r="W691">
            <v>0</v>
          </cell>
          <cell r="X691" t="str">
            <v>EST CADEIRA LUIZA C/BRACO COU 2 MARROM ENVELH/JEQ CAST CLARO - 0,59x0,56x0,74H</v>
          </cell>
          <cell r="Y691">
            <v>9433.94</v>
          </cell>
          <cell r="Z691">
            <v>0.5</v>
          </cell>
          <cell r="AA691">
            <v>4716.97</v>
          </cell>
          <cell r="AB691"/>
        </row>
        <row r="692">
          <cell r="C692">
            <v>1</v>
          </cell>
          <cell r="D692">
            <v>0</v>
          </cell>
          <cell r="E692">
            <v>1</v>
          </cell>
          <cell r="F692">
            <v>0</v>
          </cell>
          <cell r="H692">
            <v>0</v>
          </cell>
          <cell r="O692">
            <v>271719</v>
          </cell>
          <cell r="P692" t="str">
            <v>2021/013-0043-01</v>
          </cell>
          <cell r="Q692" t="str">
            <v>EST ABATJOUR DUE INOX BOWL METAL</v>
          </cell>
          <cell r="R692"/>
          <cell r="S692"/>
          <cell r="T692">
            <v>0.19</v>
          </cell>
          <cell r="U692">
            <v>0.19</v>
          </cell>
          <cell r="V692">
            <v>0.67</v>
          </cell>
          <cell r="W692">
            <v>0</v>
          </cell>
          <cell r="X692" t="str">
            <v>EST ABATJOUR DUE INOX BOWL METAL - 0,19x0,19x0,67H</v>
          </cell>
          <cell r="Y692">
            <v>3609.63</v>
          </cell>
          <cell r="Z692">
            <v>0.5</v>
          </cell>
          <cell r="AA692">
            <v>1804.8150000000001</v>
          </cell>
          <cell r="AB692"/>
        </row>
        <row r="693">
          <cell r="C693">
            <v>2</v>
          </cell>
          <cell r="D693">
            <v>0</v>
          </cell>
          <cell r="E693">
            <v>2</v>
          </cell>
          <cell r="F693">
            <v>0</v>
          </cell>
          <cell r="H693">
            <v>0</v>
          </cell>
          <cell r="O693">
            <v>271720</v>
          </cell>
          <cell r="P693" t="str">
            <v>2020/353-0064-01</v>
          </cell>
          <cell r="Q693" t="str">
            <v>EST ABATJOUR UNO INOX BS MAD PTO REDOMA VD</v>
          </cell>
          <cell r="R693"/>
          <cell r="S693"/>
          <cell r="T693">
            <v>0.21</v>
          </cell>
          <cell r="U693">
            <v>0.15</v>
          </cell>
          <cell r="V693">
            <v>0.59</v>
          </cell>
          <cell r="W693">
            <v>0</v>
          </cell>
          <cell r="X693" t="str">
            <v>EST ABATJOUR UNO INOX BS MAD PTO REDOMA VD - 0,21x0,15x0,59H</v>
          </cell>
          <cell r="Y693">
            <v>2862.81</v>
          </cell>
          <cell r="Z693">
            <v>0.5</v>
          </cell>
          <cell r="AA693">
            <v>1431.405</v>
          </cell>
          <cell r="AB693"/>
        </row>
        <row r="694">
          <cell r="C694">
            <v>2</v>
          </cell>
          <cell r="D694">
            <v>0</v>
          </cell>
          <cell r="E694">
            <v>2</v>
          </cell>
          <cell r="F694">
            <v>0</v>
          </cell>
          <cell r="H694">
            <v>0</v>
          </cell>
          <cell r="O694">
            <v>271720</v>
          </cell>
          <cell r="P694" t="str">
            <v>2021/013-0045-01</v>
          </cell>
          <cell r="Q694" t="str">
            <v>EST ABATJOUR UNO INOX BS MAD PTO REDOMA VD</v>
          </cell>
          <cell r="R694"/>
          <cell r="S694"/>
          <cell r="T694">
            <v>0.21</v>
          </cell>
          <cell r="U694">
            <v>0.15</v>
          </cell>
          <cell r="V694">
            <v>0.59</v>
          </cell>
          <cell r="W694">
            <v>0</v>
          </cell>
          <cell r="X694" t="str">
            <v>EST ABATJOUR UNO INOX BS MAD PTO REDOMA VD - 0,21x0,15x0,59H</v>
          </cell>
          <cell r="Y694">
            <v>2862.81</v>
          </cell>
          <cell r="Z694">
            <v>0.5</v>
          </cell>
          <cell r="AA694">
            <v>1431.405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274928</v>
          </cell>
          <cell r="P695" t="str">
            <v>2021/078-0040-01</v>
          </cell>
          <cell r="Q695" t="str">
            <v>EST BUFFET X (FREIJO NATURAL)</v>
          </cell>
          <cell r="R695"/>
          <cell r="S695"/>
          <cell r="T695">
            <v>2</v>
          </cell>
          <cell r="U695">
            <v>0.48</v>
          </cell>
          <cell r="V695">
            <v>0.75</v>
          </cell>
          <cell r="W695">
            <v>0</v>
          </cell>
          <cell r="X695" t="str">
            <v>EST BUFFET X (FREIJO NATURAL) - 2x0,48x0,75H</v>
          </cell>
          <cell r="Y695">
            <v>46274.68</v>
          </cell>
          <cell r="Z695">
            <v>0.5</v>
          </cell>
          <cell r="AA695">
            <v>23137.34</v>
          </cell>
          <cell r="AB695"/>
        </row>
        <row r="696">
          <cell r="C696">
            <v>1</v>
          </cell>
          <cell r="D696">
            <v>0</v>
          </cell>
          <cell r="E696">
            <v>0</v>
          </cell>
          <cell r="F696">
            <v>0</v>
          </cell>
          <cell r="H696">
            <v>1</v>
          </cell>
          <cell r="O696">
            <v>275006</v>
          </cell>
          <cell r="P696" t="str">
            <v>2021/165-0083-01</v>
          </cell>
          <cell r="Q696" t="str">
            <v>EST BUFFET BRELL (CORPO CARV OAK ESTN/PT LAMINA) PES MTZ OXI</v>
          </cell>
          <cell r="R696"/>
          <cell r="S696"/>
          <cell r="T696">
            <v>2</v>
          </cell>
          <cell r="U696">
            <v>0.5</v>
          </cell>
          <cell r="V696">
            <v>0.75</v>
          </cell>
          <cell r="W696">
            <v>0</v>
          </cell>
          <cell r="X696" t="str">
            <v>EST BUFFET BRELL (CORPO CARV OAK ESTN/PT LAMINA) PES MTZ OXI - 2x0,5x0,75H</v>
          </cell>
          <cell r="Y696">
            <v>38551.879999999997</v>
          </cell>
          <cell r="Z696">
            <v>0.5</v>
          </cell>
          <cell r="AA696">
            <v>19275.939999999999</v>
          </cell>
          <cell r="AB696"/>
        </row>
        <row r="697">
          <cell r="C697">
            <v>1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275014</v>
          </cell>
          <cell r="P697" t="str">
            <v>2021/162-0037-01</v>
          </cell>
          <cell r="Q697" t="str">
            <v>EST CARRINHO BAR SAVASSI (LAMINADO NOGUEIRA/MTZ OXI)</v>
          </cell>
          <cell r="R697"/>
          <cell r="S697"/>
          <cell r="T697">
            <v>1.5</v>
          </cell>
          <cell r="U697">
            <v>0.45</v>
          </cell>
          <cell r="V697">
            <v>0.8</v>
          </cell>
          <cell r="W697">
            <v>0</v>
          </cell>
          <cell r="X697" t="str">
            <v>EST CARRINHO BAR SAVASSI (LAMINADO NOGUEIRA/MTZ OXI) - 1,5x0,45x0,8H</v>
          </cell>
          <cell r="Y697">
            <v>28016.22</v>
          </cell>
          <cell r="Z697">
            <v>0.5</v>
          </cell>
          <cell r="AA697">
            <v>14008.11</v>
          </cell>
          <cell r="AB697"/>
        </row>
        <row r="698">
          <cell r="C698">
            <v>2</v>
          </cell>
          <cell r="D698">
            <v>0</v>
          </cell>
          <cell r="E698">
            <v>0</v>
          </cell>
          <cell r="F698">
            <v>0</v>
          </cell>
          <cell r="H698">
            <v>0</v>
          </cell>
          <cell r="O698">
            <v>275034</v>
          </cell>
          <cell r="P698" t="str">
            <v>2021/162-0051-01</v>
          </cell>
          <cell r="Q698" t="str">
            <v>EST POLTRONA NORD GIRATORIA (BC FREIJO/MTX PRETO) COUR PRETO</v>
          </cell>
          <cell r="R698"/>
          <cell r="S698"/>
          <cell r="T698">
            <v>0.71</v>
          </cell>
          <cell r="U698">
            <v>0.78</v>
          </cell>
          <cell r="V698">
            <v>0.65</v>
          </cell>
          <cell r="W698">
            <v>0</v>
          </cell>
          <cell r="X698" t="str">
            <v>EST POLTRONA NORD GIRATORIA (BC FREIJO/MTX PRETO) COUR PRETO - 0,71x0,78x0,65H</v>
          </cell>
          <cell r="Y698">
            <v>20610.2</v>
          </cell>
          <cell r="Z698">
            <v>0.5</v>
          </cell>
          <cell r="AA698">
            <v>10305.1</v>
          </cell>
          <cell r="AB698"/>
        </row>
        <row r="699">
          <cell r="C699">
            <v>2</v>
          </cell>
          <cell r="D699">
            <v>0</v>
          </cell>
          <cell r="E699">
            <v>0</v>
          </cell>
          <cell r="F699">
            <v>0</v>
          </cell>
          <cell r="H699">
            <v>0</v>
          </cell>
          <cell r="O699">
            <v>275034</v>
          </cell>
          <cell r="P699" t="str">
            <v>2021/162-0052-01</v>
          </cell>
          <cell r="Q699" t="str">
            <v>EST POLTRONA NORD GIRATORIA (BC FREIJO/MTX PRETO) COUR PRETO</v>
          </cell>
          <cell r="R699"/>
          <cell r="S699"/>
          <cell r="T699">
            <v>0.71</v>
          </cell>
          <cell r="U699">
            <v>0.78</v>
          </cell>
          <cell r="V699">
            <v>0.65</v>
          </cell>
          <cell r="W699">
            <v>0</v>
          </cell>
          <cell r="X699" t="str">
            <v>EST POLTRONA NORD GIRATORIA (BC FREIJO/MTX PRETO) COUR PRETO - 0,71x0,78x0,65H</v>
          </cell>
          <cell r="Y699">
            <v>20610.2</v>
          </cell>
          <cell r="Z699">
            <v>0.5</v>
          </cell>
          <cell r="AA699">
            <v>10305.1</v>
          </cell>
          <cell r="AB699"/>
        </row>
        <row r="700">
          <cell r="C700">
            <v>1</v>
          </cell>
          <cell r="D700">
            <v>1</v>
          </cell>
          <cell r="E700">
            <v>0</v>
          </cell>
          <cell r="F700">
            <v>0</v>
          </cell>
          <cell r="H700">
            <v>0</v>
          </cell>
          <cell r="O700">
            <v>312429</v>
          </cell>
          <cell r="P700" t="str">
            <v>2022/039-0023-01</v>
          </cell>
          <cell r="Q700" t="str">
            <v>EST QUADRO MESA COLORS HORIZONTAL</v>
          </cell>
          <cell r="R700"/>
          <cell r="S700"/>
          <cell r="T700">
            <v>1.3</v>
          </cell>
          <cell r="U700">
            <v>0.9</v>
          </cell>
          <cell r="V700">
            <v>0</v>
          </cell>
          <cell r="W700">
            <v>0</v>
          </cell>
          <cell r="X700" t="str">
            <v>EST QUADRO MESA COLORS HORIZONTAL - 1,3x0,9x0H</v>
          </cell>
          <cell r="Y700">
            <v>3739.68</v>
          </cell>
          <cell r="Z700">
            <v>0.5</v>
          </cell>
          <cell r="AA700">
            <v>1869.84</v>
          </cell>
          <cell r="AB700"/>
        </row>
        <row r="701">
          <cell r="C701">
            <v>1</v>
          </cell>
          <cell r="D701">
            <v>0</v>
          </cell>
          <cell r="E701">
            <v>0</v>
          </cell>
          <cell r="F701">
            <v>0</v>
          </cell>
          <cell r="H701">
            <v>0</v>
          </cell>
          <cell r="O701">
            <v>312430</v>
          </cell>
          <cell r="P701" t="str">
            <v>2022/039-0027-01</v>
          </cell>
          <cell r="Q701" t="str">
            <v>EST QUADRO MESA COLORS VERTICAL</v>
          </cell>
          <cell r="R701"/>
          <cell r="S701"/>
          <cell r="T701">
            <v>1.3</v>
          </cell>
          <cell r="U701">
            <v>0.9</v>
          </cell>
          <cell r="V701">
            <v>0</v>
          </cell>
          <cell r="W701">
            <v>0</v>
          </cell>
          <cell r="X701" t="str">
            <v>EST QUADRO MESA COLORS VERTICAL - 1,3x0,9x0H</v>
          </cell>
          <cell r="Y701">
            <v>3739.68</v>
          </cell>
          <cell r="Z701">
            <v>0.5</v>
          </cell>
          <cell r="AA701">
            <v>1869.84</v>
          </cell>
          <cell r="AB701"/>
        </row>
        <row r="702">
          <cell r="C702">
            <v>1</v>
          </cell>
          <cell r="D702">
            <v>0</v>
          </cell>
          <cell r="E702">
            <v>0</v>
          </cell>
          <cell r="F702">
            <v>0</v>
          </cell>
          <cell r="H702">
            <v>0</v>
          </cell>
          <cell r="O702">
            <v>312431</v>
          </cell>
          <cell r="P702" t="str">
            <v>2022/039-0029-01</v>
          </cell>
          <cell r="Q702" t="str">
            <v>EST QUADRO SAVANA ONCA (LADO DIREITO)</v>
          </cell>
          <cell r="R702"/>
          <cell r="S702"/>
          <cell r="T702">
            <v>1</v>
          </cell>
          <cell r="U702">
            <v>0.7</v>
          </cell>
          <cell r="V702">
            <v>0</v>
          </cell>
          <cell r="W702">
            <v>0</v>
          </cell>
          <cell r="X702" t="str">
            <v>EST QUADRO SAVANA ONCA (LADO DIREITO) - 1x0,7x0H</v>
          </cell>
          <cell r="Y702">
            <v>2676.58</v>
          </cell>
          <cell r="Z702">
            <v>0.5</v>
          </cell>
          <cell r="AA702">
            <v>1338.29</v>
          </cell>
          <cell r="AB702"/>
        </row>
        <row r="703">
          <cell r="C703">
            <v>1</v>
          </cell>
          <cell r="D703">
            <v>0</v>
          </cell>
          <cell r="E703">
            <v>0</v>
          </cell>
          <cell r="F703">
            <v>0</v>
          </cell>
          <cell r="H703">
            <v>0</v>
          </cell>
          <cell r="O703">
            <v>312432</v>
          </cell>
          <cell r="P703" t="str">
            <v>2022/039-0033-01</v>
          </cell>
          <cell r="Q703" t="str">
            <v>EST QUADRO SAVANA ONCA (LADO ESQUERDO)</v>
          </cell>
          <cell r="R703"/>
          <cell r="S703"/>
          <cell r="T703">
            <v>1</v>
          </cell>
          <cell r="U703">
            <v>0.7</v>
          </cell>
          <cell r="V703">
            <v>0</v>
          </cell>
          <cell r="W703">
            <v>0</v>
          </cell>
          <cell r="X703" t="str">
            <v>EST QUADRO SAVANA ONCA (LADO ESQUERDO) - 1x0,7x0H</v>
          </cell>
          <cell r="Y703">
            <v>2676.58</v>
          </cell>
          <cell r="Z703">
            <v>0.5</v>
          </cell>
          <cell r="AA703">
            <v>1338.29</v>
          </cell>
          <cell r="AB703"/>
        </row>
        <row r="704">
          <cell r="C704">
            <v>1</v>
          </cell>
          <cell r="D704">
            <v>0</v>
          </cell>
          <cell r="E704">
            <v>0</v>
          </cell>
          <cell r="F704">
            <v>0</v>
          </cell>
          <cell r="H704">
            <v>1</v>
          </cell>
          <cell r="O704">
            <v>312433</v>
          </cell>
          <cell r="P704" t="str">
            <v>2022/039-0035-01</v>
          </cell>
          <cell r="Q704" t="str">
            <v>EST QUADRO SAVANA TARTARUGA (LADO DIREITO)</v>
          </cell>
          <cell r="R704"/>
          <cell r="S704"/>
          <cell r="T704">
            <v>1</v>
          </cell>
          <cell r="U704">
            <v>0.7</v>
          </cell>
          <cell r="V704">
            <v>0</v>
          </cell>
          <cell r="W704">
            <v>0</v>
          </cell>
          <cell r="X704" t="str">
            <v>EST QUADRO SAVANA TARTARUGA (LADO DIREITO) - 1x0,7x0H</v>
          </cell>
          <cell r="Y704">
            <v>2676.58</v>
          </cell>
          <cell r="Z704">
            <v>0.5</v>
          </cell>
          <cell r="AA704">
            <v>1338.29</v>
          </cell>
          <cell r="AB704"/>
        </row>
        <row r="705">
          <cell r="C705">
            <v>1</v>
          </cell>
          <cell r="D705">
            <v>0</v>
          </cell>
          <cell r="E705">
            <v>0</v>
          </cell>
          <cell r="F705">
            <v>0</v>
          </cell>
          <cell r="H705">
            <v>0</v>
          </cell>
          <cell r="O705">
            <v>312434</v>
          </cell>
          <cell r="P705" t="str">
            <v>2022/039-0038-01</v>
          </cell>
          <cell r="Q705" t="str">
            <v>EST QUADRO SAVANA TARTARUGA (LADO ESQUERDO)</v>
          </cell>
          <cell r="R705"/>
          <cell r="S705"/>
          <cell r="T705">
            <v>1</v>
          </cell>
          <cell r="U705">
            <v>0.7</v>
          </cell>
          <cell r="V705">
            <v>0</v>
          </cell>
          <cell r="W705">
            <v>0</v>
          </cell>
          <cell r="X705" t="str">
            <v>EST QUADRO SAVANA TARTARUGA (LADO ESQUERDO) - 1x0,7x0H</v>
          </cell>
          <cell r="Y705">
            <v>2676.58</v>
          </cell>
          <cell r="Z705">
            <v>0.5</v>
          </cell>
          <cell r="AA705">
            <v>1338.29</v>
          </cell>
          <cell r="AB705"/>
        </row>
        <row r="706">
          <cell r="C706">
            <v>3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312446</v>
          </cell>
          <cell r="P706" t="str">
            <v>2021/354-0006-01</v>
          </cell>
          <cell r="Q706" t="str">
            <v>EST LUMINARIA DE TETO BELL II (3114)</v>
          </cell>
          <cell r="R706"/>
          <cell r="S706"/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 t="str">
            <v>EST LUMINARIA DE TETO BELL II (3114) - Ø0x0H</v>
          </cell>
          <cell r="Y706">
            <v>1904</v>
          </cell>
          <cell r="Z706">
            <v>0.5</v>
          </cell>
          <cell r="AA706">
            <v>952</v>
          </cell>
          <cell r="AB706"/>
        </row>
        <row r="707">
          <cell r="C707">
            <v>3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312446</v>
          </cell>
          <cell r="P707" t="str">
            <v>2021/354-0009-01</v>
          </cell>
          <cell r="Q707" t="str">
            <v>EST LUMINARIA DE TETO BELL II (3114)</v>
          </cell>
          <cell r="R707"/>
          <cell r="S707"/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 t="str">
            <v>EST LUMINARIA DE TETO BELL II (3114) - Ø0x0H</v>
          </cell>
          <cell r="Y707">
            <v>1904</v>
          </cell>
          <cell r="Z707">
            <v>0.5</v>
          </cell>
          <cell r="AA707">
            <v>952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2021/354-0008-01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2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312447</v>
          </cell>
          <cell r="P709" t="str">
            <v>2021/354-0017-01</v>
          </cell>
          <cell r="Q709" t="str">
            <v>EST LUMINARIA DE TETO ORB (3121)</v>
          </cell>
          <cell r="R709"/>
          <cell r="S709"/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 t="str">
            <v>EST LUMINARIA DE TETO ORB (3121) - Ø0x0H</v>
          </cell>
          <cell r="Y709">
            <v>1120</v>
          </cell>
          <cell r="Z709">
            <v>0.5</v>
          </cell>
          <cell r="AA709">
            <v>560</v>
          </cell>
          <cell r="AB709"/>
        </row>
        <row r="710">
          <cell r="C710">
            <v>2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312447</v>
          </cell>
          <cell r="P710" t="str">
            <v>2021/354-0018-01</v>
          </cell>
          <cell r="Q710" t="str">
            <v>EST LUMINARIA DE TETO ORB (3121)</v>
          </cell>
          <cell r="R710"/>
          <cell r="S710"/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 t="str">
            <v>EST LUMINARIA DE TETO ORB (3121) - Ø0x0H</v>
          </cell>
          <cell r="Y710">
            <v>1120</v>
          </cell>
          <cell r="Z710">
            <v>0.5</v>
          </cell>
          <cell r="AA710">
            <v>560</v>
          </cell>
          <cell r="AB710"/>
        </row>
        <row r="711">
          <cell r="C711">
            <v>1</v>
          </cell>
          <cell r="D711">
            <v>4</v>
          </cell>
          <cell r="E711">
            <v>0</v>
          </cell>
          <cell r="F711">
            <v>0</v>
          </cell>
          <cell r="H711">
            <v>0</v>
          </cell>
          <cell r="O711">
            <v>314837</v>
          </cell>
          <cell r="P711" t="str">
            <v>2021/344-0124-01</v>
          </cell>
          <cell r="Q711" t="str">
            <v>EST ALMOFADA RET.LIVERPOOL CROCO PRETO</v>
          </cell>
          <cell r="R711"/>
          <cell r="S711"/>
          <cell r="T711">
            <v>0.6</v>
          </cell>
          <cell r="U711">
            <v>0.4</v>
          </cell>
          <cell r="V711">
            <v>0</v>
          </cell>
          <cell r="W711">
            <v>0</v>
          </cell>
          <cell r="X711" t="str">
            <v>EST ALMOFADA RET.LIVERPOOL CROCO PRETO - 0,6x0,4x0H</v>
          </cell>
          <cell r="Y711">
            <v>877.14</v>
          </cell>
          <cell r="Z711">
            <v>0.5</v>
          </cell>
          <cell r="AA711">
            <v>438.57</v>
          </cell>
          <cell r="AB711"/>
        </row>
        <row r="712">
          <cell r="C712">
            <v>1</v>
          </cell>
          <cell r="D712">
            <v>4</v>
          </cell>
          <cell r="E712">
            <v>1</v>
          </cell>
          <cell r="F712">
            <v>0</v>
          </cell>
          <cell r="H712">
            <v>0</v>
          </cell>
          <cell r="O712">
            <v>314838</v>
          </cell>
          <cell r="P712"/>
          <cell r="Q712" t="str">
            <v>EST ALMOFADA RET.LIVERPOOL MATTE</v>
          </cell>
          <cell r="R712"/>
          <cell r="S712"/>
          <cell r="T712">
            <v>0.6</v>
          </cell>
          <cell r="U712">
            <v>0.4</v>
          </cell>
          <cell r="V712">
            <v>0</v>
          </cell>
          <cell r="W712">
            <v>0</v>
          </cell>
          <cell r="X712" t="str">
            <v>EST ALMOFADA RET.LIVERPOOL MATTE - 0,6x0,4x0H</v>
          </cell>
          <cell r="Y712">
            <v>877.14</v>
          </cell>
          <cell r="Z712">
            <v>0.49999897849736963</v>
          </cell>
          <cell r="AA712">
            <v>438.57089600081719</v>
          </cell>
          <cell r="AB712"/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H713">
            <v>3</v>
          </cell>
          <cell r="O713">
            <v>316487</v>
          </cell>
          <cell r="P713" t="str">
            <v>2022/041-0023-01</v>
          </cell>
          <cell r="Q713" t="str">
            <v>EST POLTRONA 164 (ASS/ENC TELA SEXTAVADA) (FREIJO NATURAL)</v>
          </cell>
          <cell r="R713"/>
          <cell r="S713"/>
          <cell r="T713">
            <v>0.74</v>
          </cell>
          <cell r="U713">
            <v>0.72</v>
          </cell>
          <cell r="V713">
            <v>0.73</v>
          </cell>
          <cell r="W713">
            <v>0</v>
          </cell>
          <cell r="X713" t="str">
            <v>EST POLTRONA 164 (ASS/ENC TELA SEXTAVADA) (FREIJO NATURAL) - 0,74x0,72x0,73H</v>
          </cell>
          <cell r="Y713">
            <v>14511.88</v>
          </cell>
          <cell r="Z713">
            <v>0.5</v>
          </cell>
          <cell r="AA713">
            <v>7255.94</v>
          </cell>
          <cell r="AB713"/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H714">
            <v>3</v>
          </cell>
          <cell r="O714">
            <v>316487</v>
          </cell>
          <cell r="P714" t="str">
            <v>2022/041-0024-01</v>
          </cell>
          <cell r="Q714" t="str">
            <v>EST POLTRONA 164 (ASS/ENC TELA SEXTAVADA) (FREIJO NATURAL)</v>
          </cell>
          <cell r="R714"/>
          <cell r="S714"/>
          <cell r="T714">
            <v>0.74</v>
          </cell>
          <cell r="U714">
            <v>0.72</v>
          </cell>
          <cell r="V714">
            <v>0.73</v>
          </cell>
          <cell r="W714">
            <v>0</v>
          </cell>
          <cell r="X714" t="str">
            <v>EST POLTRONA 164 (ASS/ENC TELA SEXTAVADA) (FREIJO NATURAL) - 0,74x0,72x0,73H</v>
          </cell>
          <cell r="Y714">
            <v>14511.88</v>
          </cell>
          <cell r="Z714">
            <v>0.5</v>
          </cell>
          <cell r="AA714">
            <v>7255.94</v>
          </cell>
          <cell r="AB714"/>
        </row>
        <row r="715">
          <cell r="C715">
            <v>4</v>
          </cell>
          <cell r="D715">
            <v>0</v>
          </cell>
          <cell r="E715">
            <v>0</v>
          </cell>
          <cell r="F715">
            <v>0</v>
          </cell>
          <cell r="H715">
            <v>0</v>
          </cell>
          <cell r="O715">
            <v>317428</v>
          </cell>
          <cell r="P715" t="str">
            <v>2023/156-0020-01</v>
          </cell>
          <cell r="Q715" t="str">
            <v>EST CADEIRA EVO C/BRACO (TAP DISTRESS 20363) (TABACO)</v>
          </cell>
          <cell r="R715"/>
          <cell r="S715"/>
          <cell r="T715">
            <v>0.53</v>
          </cell>
          <cell r="U715">
            <v>0.47</v>
          </cell>
          <cell r="V715">
            <v>0.82</v>
          </cell>
          <cell r="W715">
            <v>0</v>
          </cell>
          <cell r="X715" t="str">
            <v>EST CADEIRA EVO C/BRACO (TAP DISTRESS 20363) (TABACO) - 0,53x0,47x0,82H</v>
          </cell>
          <cell r="Y715">
            <v>6988.67</v>
          </cell>
          <cell r="Z715">
            <v>0.5</v>
          </cell>
          <cell r="AA715">
            <v>3494.335</v>
          </cell>
          <cell r="AB715"/>
        </row>
        <row r="716">
          <cell r="C716">
            <v>4</v>
          </cell>
          <cell r="D716">
            <v>0</v>
          </cell>
          <cell r="E716">
            <v>0</v>
          </cell>
          <cell r="F716">
            <v>0</v>
          </cell>
          <cell r="H716">
            <v>0</v>
          </cell>
          <cell r="O716">
            <v>317428</v>
          </cell>
          <cell r="P716" t="str">
            <v>2023/156-0021-01</v>
          </cell>
          <cell r="Q716" t="str">
            <v>EST CADEIRA EVO C/BRACO (TAP DISTRESS 20363) (TABACO)</v>
          </cell>
          <cell r="R716"/>
          <cell r="S716"/>
          <cell r="T716">
            <v>0.53</v>
          </cell>
          <cell r="U716">
            <v>0.47</v>
          </cell>
          <cell r="V716">
            <v>0.82</v>
          </cell>
          <cell r="W716">
            <v>0</v>
          </cell>
          <cell r="X716" t="str">
            <v>EST CADEIRA EVO C/BRACO (TAP DISTRESS 20363) (TABACO) - 0,53x0,47x0,82H</v>
          </cell>
          <cell r="Y716">
            <v>6988.67</v>
          </cell>
          <cell r="Z716">
            <v>0.5</v>
          </cell>
          <cell r="AA716">
            <v>3494.335</v>
          </cell>
          <cell r="AB716"/>
        </row>
        <row r="717">
          <cell r="C717">
            <v>4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317428</v>
          </cell>
          <cell r="P717" t="str">
            <v>2023/156-0022-01</v>
          </cell>
          <cell r="Q717" t="str">
            <v>EST CADEIRA EVO C/BRACO (TAP DISTRESS 20363) (TABACO)</v>
          </cell>
          <cell r="R717"/>
          <cell r="S717"/>
          <cell r="T717">
            <v>0.53</v>
          </cell>
          <cell r="U717">
            <v>0.47</v>
          </cell>
          <cell r="V717">
            <v>0.82</v>
          </cell>
          <cell r="W717">
            <v>0</v>
          </cell>
          <cell r="X717" t="str">
            <v>EST CADEIRA EVO C/BRACO (TAP DISTRESS 20363) (TABACO) - 0,53x0,47x0,82H</v>
          </cell>
          <cell r="Y717">
            <v>6988.67</v>
          </cell>
          <cell r="Z717">
            <v>0.5</v>
          </cell>
          <cell r="AA717">
            <v>3494.335</v>
          </cell>
          <cell r="AB717"/>
        </row>
        <row r="718">
          <cell r="C718">
            <v>4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317428</v>
          </cell>
          <cell r="P718" t="str">
            <v>2023/156-0023-01</v>
          </cell>
          <cell r="Q718" t="str">
            <v>EST CADEIRA EVO C/BRACO (TAP DISTRESS 20363) (TABACO)</v>
          </cell>
          <cell r="R718"/>
          <cell r="S718"/>
          <cell r="T718">
            <v>0.53</v>
          </cell>
          <cell r="U718">
            <v>0.47</v>
          </cell>
          <cell r="V718">
            <v>0.82</v>
          </cell>
          <cell r="W718">
            <v>0</v>
          </cell>
          <cell r="X718" t="str">
            <v>EST CADEIRA EVO C/BRACO (TAP DISTRESS 20363) (TABACO) - 0,53x0,47x0,82H</v>
          </cell>
          <cell r="Y718">
            <v>6988.67</v>
          </cell>
          <cell r="Z718">
            <v>0.5</v>
          </cell>
          <cell r="AA718">
            <v>3494.335</v>
          </cell>
          <cell r="AB718"/>
        </row>
        <row r="719">
          <cell r="C719">
            <v>1</v>
          </cell>
          <cell r="D719">
            <v>0</v>
          </cell>
          <cell r="E719">
            <v>0</v>
          </cell>
          <cell r="F719">
            <v>0</v>
          </cell>
          <cell r="H719">
            <v>1</v>
          </cell>
          <cell r="O719">
            <v>334354</v>
          </cell>
          <cell r="P719" t="str">
            <v>2022/193-0023-01</v>
          </cell>
          <cell r="Q719" t="str">
            <v>EST POLTRONA 164 (ASS/ENC TELA RETA) (FREIJO ESCURO)</v>
          </cell>
          <cell r="R719"/>
          <cell r="S719"/>
          <cell r="T719">
            <v>0.74</v>
          </cell>
          <cell r="U719">
            <v>0.72</v>
          </cell>
          <cell r="V719">
            <v>0.73</v>
          </cell>
          <cell r="W719">
            <v>0</v>
          </cell>
          <cell r="X719" t="str">
            <v>EST POLTRONA 164 (ASS/ENC TELA RETA) (FREIJO ESCURO) - 0,74x0,72x0,73H</v>
          </cell>
          <cell r="Y719">
            <v>14511.88</v>
          </cell>
          <cell r="Z719">
            <v>0.5</v>
          </cell>
          <cell r="AA719">
            <v>7255.94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1</v>
          </cell>
          <cell r="O720">
            <v>334354</v>
          </cell>
          <cell r="P720" t="str">
            <v>2022/193-0024-01</v>
          </cell>
          <cell r="Q720" t="str">
            <v>EST POLTRONA 164 (ASS/ENC TELA RETA) (FREIJO ESCURO)</v>
          </cell>
          <cell r="R720"/>
          <cell r="S720"/>
          <cell r="T720">
            <v>0.74</v>
          </cell>
          <cell r="U720">
            <v>0.72</v>
          </cell>
          <cell r="V720">
            <v>0.73</v>
          </cell>
          <cell r="W720">
            <v>0</v>
          </cell>
          <cell r="X720" t="str">
            <v>EST POLTRONA 164 (ASS/ENC TELA RETA) (FREIJO ESCURO) - 0,74x0,72x0,73H</v>
          </cell>
          <cell r="Y720">
            <v>14511.88</v>
          </cell>
          <cell r="Z720">
            <v>0.5</v>
          </cell>
          <cell r="AA720">
            <v>7255.94</v>
          </cell>
          <cell r="AB720"/>
        </row>
        <row r="721">
          <cell r="C721">
            <v>1</v>
          </cell>
          <cell r="D721">
            <v>0</v>
          </cell>
          <cell r="E721">
            <v>1</v>
          </cell>
          <cell r="F721">
            <v>0</v>
          </cell>
          <cell r="H721">
            <v>1</v>
          </cell>
          <cell r="O721">
            <v>335084</v>
          </cell>
          <cell r="P721" t="str">
            <v>2022/145-0063-01</v>
          </cell>
          <cell r="Q721" t="str">
            <v>EST LUMINARIA PISO TROY (2101) ACO/JEQ NT/CUP LIN OFF WHITE</v>
          </cell>
          <cell r="R721"/>
          <cell r="S721"/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 t="str">
            <v>EST LUMINARIA PISO TROY (2101) ACO/JEQ NT/CUP LIN OFF WHITE - Ø0x0H</v>
          </cell>
          <cell r="Y721">
            <v>5152</v>
          </cell>
          <cell r="Z721">
            <v>0.5</v>
          </cell>
          <cell r="AA721">
            <v>2576</v>
          </cell>
          <cell r="AB721"/>
        </row>
        <row r="722">
          <cell r="C722">
            <v>1</v>
          </cell>
          <cell r="D722">
            <v>1</v>
          </cell>
          <cell r="E722">
            <v>0</v>
          </cell>
          <cell r="F722">
            <v>0</v>
          </cell>
          <cell r="H722">
            <v>0</v>
          </cell>
          <cell r="O722">
            <v>359584</v>
          </cell>
          <cell r="P722" t="str">
            <v>2022/347-0004-01</v>
          </cell>
          <cell r="Q722" t="str">
            <v>EST VASO MATISSE I (OURO VELHO)</v>
          </cell>
          <cell r="R722"/>
          <cell r="S722"/>
          <cell r="T722">
            <v>0.19</v>
          </cell>
          <cell r="U722">
            <v>0.17</v>
          </cell>
          <cell r="V722">
            <v>0.28000000000000003</v>
          </cell>
          <cell r="W722">
            <v>0</v>
          </cell>
          <cell r="X722" t="str">
            <v>EST VASO MATISSE I (OURO VELHO) - 0,19x0,17x0,28H</v>
          </cell>
          <cell r="Y722">
            <v>582.4</v>
          </cell>
          <cell r="Z722">
            <v>0.5</v>
          </cell>
          <cell r="AA722">
            <v>291.2</v>
          </cell>
          <cell r="AB722"/>
        </row>
        <row r="723">
          <cell r="C723">
            <v>1</v>
          </cell>
          <cell r="D723">
            <v>1</v>
          </cell>
          <cell r="E723">
            <v>1</v>
          </cell>
          <cell r="F723">
            <v>1</v>
          </cell>
          <cell r="H723">
            <v>0</v>
          </cell>
          <cell r="O723">
            <v>359585</v>
          </cell>
          <cell r="P723" t="str">
            <v>2022/3470-008-01</v>
          </cell>
          <cell r="Q723" t="str">
            <v>EST VASO MATISSE I (AREIA)</v>
          </cell>
          <cell r="R723"/>
          <cell r="S723"/>
          <cell r="T723">
            <v>0.19</v>
          </cell>
          <cell r="U723">
            <v>0.17</v>
          </cell>
          <cell r="V723">
            <v>0.28000000000000003</v>
          </cell>
          <cell r="W723">
            <v>0</v>
          </cell>
          <cell r="X723" t="str">
            <v>EST VASO MATISSE I (AREIA) - 0,19x0,17x0,28H</v>
          </cell>
          <cell r="Y723">
            <v>582.4</v>
          </cell>
          <cell r="Z723">
            <v>0.5</v>
          </cell>
          <cell r="AA723">
            <v>291.2</v>
          </cell>
          <cell r="AB723"/>
        </row>
        <row r="724">
          <cell r="C724">
            <v>1</v>
          </cell>
          <cell r="D724">
            <v>1</v>
          </cell>
          <cell r="E724">
            <v>1</v>
          </cell>
          <cell r="F724">
            <v>1</v>
          </cell>
          <cell r="H724">
            <v>0</v>
          </cell>
          <cell r="O724">
            <v>359586</v>
          </cell>
          <cell r="P724" t="str">
            <v>2022/3470-012-01</v>
          </cell>
          <cell r="Q724" t="str">
            <v>EST VASO MATISSE II (AREIA)</v>
          </cell>
          <cell r="R724"/>
          <cell r="S724"/>
          <cell r="T724">
            <v>0.16</v>
          </cell>
          <cell r="U724">
            <v>0.14000000000000001</v>
          </cell>
          <cell r="V724">
            <v>0.24</v>
          </cell>
          <cell r="W724">
            <v>0</v>
          </cell>
          <cell r="X724" t="str">
            <v>EST VASO MATISSE II (AREIA) - 0,16x0,14x0,24H</v>
          </cell>
          <cell r="Y724">
            <v>492.8</v>
          </cell>
          <cell r="Z724">
            <v>0.5</v>
          </cell>
          <cell r="AA724">
            <v>246.4</v>
          </cell>
          <cell r="AB724"/>
        </row>
        <row r="725">
          <cell r="C725">
            <v>1</v>
          </cell>
          <cell r="D725">
            <v>1</v>
          </cell>
          <cell r="E725">
            <v>1</v>
          </cell>
          <cell r="F725">
            <v>1</v>
          </cell>
          <cell r="H725">
            <v>0</v>
          </cell>
          <cell r="O725">
            <v>359588</v>
          </cell>
          <cell r="P725" t="str">
            <v>2022/3470-015-01</v>
          </cell>
          <cell r="Q725" t="str">
            <v>EST VASO MATISSE II (OURO VELHO)</v>
          </cell>
          <cell r="R725"/>
          <cell r="S725"/>
          <cell r="T725">
            <v>0.16</v>
          </cell>
          <cell r="U725">
            <v>0.14000000000000001</v>
          </cell>
          <cell r="V725">
            <v>0.24</v>
          </cell>
          <cell r="W725">
            <v>0</v>
          </cell>
          <cell r="X725" t="str">
            <v>EST VASO MATISSE II (OURO VELHO) - 0,16x0,14x0,24H</v>
          </cell>
          <cell r="Y725">
            <v>492.8</v>
          </cell>
          <cell r="Z725">
            <v>0.5</v>
          </cell>
          <cell r="AA725">
            <v>246.4</v>
          </cell>
          <cell r="AB725"/>
        </row>
        <row r="726">
          <cell r="C726">
            <v>1</v>
          </cell>
          <cell r="D726">
            <v>1</v>
          </cell>
          <cell r="E726">
            <v>1</v>
          </cell>
          <cell r="F726">
            <v>1</v>
          </cell>
          <cell r="H726">
            <v>0</v>
          </cell>
          <cell r="O726">
            <v>359589</v>
          </cell>
          <cell r="P726" t="str">
            <v>2022/3470-020-01</v>
          </cell>
          <cell r="Q726" t="str">
            <v>EST VASO MATISSE III (AREIA)</v>
          </cell>
          <cell r="R726"/>
          <cell r="S726"/>
          <cell r="T726">
            <v>0.15</v>
          </cell>
          <cell r="U726">
            <v>0.1</v>
          </cell>
          <cell r="V726">
            <v>0.16</v>
          </cell>
          <cell r="W726">
            <v>0</v>
          </cell>
          <cell r="X726" t="str">
            <v>EST VASO MATISSE III (AREIA) - 0,15x0,1x0,16H</v>
          </cell>
          <cell r="Y726">
            <v>380.8</v>
          </cell>
          <cell r="Z726">
            <v>0.5</v>
          </cell>
          <cell r="AA726">
            <v>190.4</v>
          </cell>
          <cell r="AB726"/>
        </row>
        <row r="727">
          <cell r="C727">
            <v>1</v>
          </cell>
          <cell r="D727">
            <v>1</v>
          </cell>
          <cell r="E727">
            <v>1</v>
          </cell>
          <cell r="F727">
            <v>0</v>
          </cell>
          <cell r="H727">
            <v>0</v>
          </cell>
          <cell r="O727">
            <v>359591</v>
          </cell>
          <cell r="P727" t="str">
            <v>2022/3470-024-01</v>
          </cell>
          <cell r="Q727" t="str">
            <v>EST VASO MATISSE III (OURO VELHO)</v>
          </cell>
          <cell r="R727"/>
          <cell r="S727"/>
          <cell r="T727">
            <v>0.15</v>
          </cell>
          <cell r="U727">
            <v>0.1</v>
          </cell>
          <cell r="V727">
            <v>0.16</v>
          </cell>
          <cell r="W727">
            <v>0</v>
          </cell>
          <cell r="X727" t="str">
            <v>EST VASO MATISSE III (OURO VELHO) - 0,15x0,1x0,16H</v>
          </cell>
          <cell r="Y727">
            <v>380.8</v>
          </cell>
          <cell r="Z727">
            <v>0.5</v>
          </cell>
          <cell r="AA727">
            <v>190.4</v>
          </cell>
          <cell r="AB727"/>
        </row>
        <row r="728">
          <cell r="C728">
            <v>1</v>
          </cell>
          <cell r="D728">
            <v>0</v>
          </cell>
          <cell r="E728">
            <v>0</v>
          </cell>
          <cell r="F728">
            <v>1</v>
          </cell>
          <cell r="H728">
            <v>0</v>
          </cell>
          <cell r="O728">
            <v>359684</v>
          </cell>
          <cell r="P728" t="str">
            <v>2022/3470-028-01</v>
          </cell>
          <cell r="Q728" t="str">
            <v>EST VASO MATISSE I (TRANSPARENTE)</v>
          </cell>
          <cell r="R728"/>
          <cell r="S728"/>
          <cell r="T728">
            <v>0.19</v>
          </cell>
          <cell r="U728">
            <v>0.17</v>
          </cell>
          <cell r="V728">
            <v>0.28000000000000003</v>
          </cell>
          <cell r="W728">
            <v>0</v>
          </cell>
          <cell r="X728" t="str">
            <v>EST VASO MATISSE I (TRANSPARENTE) - 0,19x0,17x0,28H</v>
          </cell>
          <cell r="Y728">
            <v>582.4</v>
          </cell>
          <cell r="Z728">
            <v>0.5</v>
          </cell>
          <cell r="AA728">
            <v>291.2</v>
          </cell>
          <cell r="AB728"/>
        </row>
        <row r="729">
          <cell r="C729">
            <v>1</v>
          </cell>
          <cell r="D729">
            <v>1</v>
          </cell>
          <cell r="E729">
            <v>0</v>
          </cell>
          <cell r="F729">
            <v>1</v>
          </cell>
          <cell r="H729">
            <v>0</v>
          </cell>
          <cell r="O729">
            <v>359685</v>
          </cell>
          <cell r="P729" t="str">
            <v>2022/3470-032-01</v>
          </cell>
          <cell r="Q729" t="str">
            <v>EST VASO MATISSE II (TRANSPARENTE)</v>
          </cell>
          <cell r="R729"/>
          <cell r="S729"/>
          <cell r="T729">
            <v>0.16</v>
          </cell>
          <cell r="U729">
            <v>0.14000000000000001</v>
          </cell>
          <cell r="V729">
            <v>0.24</v>
          </cell>
          <cell r="W729">
            <v>0</v>
          </cell>
          <cell r="X729" t="str">
            <v>EST VASO MATISSE II (TRANSPARENTE) - 0,16x0,14x0,24H</v>
          </cell>
          <cell r="Y729">
            <v>492.8</v>
          </cell>
          <cell r="Z729">
            <v>0.5</v>
          </cell>
          <cell r="AA729">
            <v>246.4</v>
          </cell>
          <cell r="AB729"/>
        </row>
        <row r="730">
          <cell r="C730">
            <v>1</v>
          </cell>
          <cell r="D730">
            <v>1</v>
          </cell>
          <cell r="E730">
            <v>0</v>
          </cell>
          <cell r="F730">
            <v>1</v>
          </cell>
          <cell r="H730">
            <v>0</v>
          </cell>
          <cell r="O730">
            <v>359686</v>
          </cell>
          <cell r="P730" t="str">
            <v>2022/3470-034-01</v>
          </cell>
          <cell r="Q730" t="str">
            <v>EST VASO MATISSE III (TRANSPARENTE)</v>
          </cell>
          <cell r="R730"/>
          <cell r="S730"/>
          <cell r="T730">
            <v>0.15</v>
          </cell>
          <cell r="U730">
            <v>0.1</v>
          </cell>
          <cell r="V730">
            <v>0.16</v>
          </cell>
          <cell r="W730">
            <v>0</v>
          </cell>
          <cell r="X730" t="str">
            <v>EST VASO MATISSE III (TRANSPARENTE) - 0,15x0,1x0,16H</v>
          </cell>
          <cell r="Y730">
            <v>380.8</v>
          </cell>
          <cell r="Z730">
            <v>0.5</v>
          </cell>
          <cell r="AA730">
            <v>190.4</v>
          </cell>
          <cell r="AB730"/>
        </row>
        <row r="731">
          <cell r="C731">
            <v>1</v>
          </cell>
          <cell r="D731">
            <v>0</v>
          </cell>
          <cell r="E731">
            <v>0</v>
          </cell>
          <cell r="F731">
            <v>1</v>
          </cell>
          <cell r="H731">
            <v>1</v>
          </cell>
          <cell r="O731">
            <v>361311</v>
          </cell>
          <cell r="P731" t="str">
            <v>2023/033-0004-01</v>
          </cell>
          <cell r="Q731" t="str">
            <v>EST ACESSORIO VYS (MARMORE ROSA PARANA)</v>
          </cell>
          <cell r="R731"/>
          <cell r="S731"/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 t="str">
            <v>EST ACESSORIO VYS (MARMORE ROSA PARANA) - Ø0x0H</v>
          </cell>
          <cell r="Y731">
            <v>3537.18</v>
          </cell>
          <cell r="Z731">
            <v>0.5</v>
          </cell>
          <cell r="AA731">
            <v>1768.59</v>
          </cell>
          <cell r="AB731"/>
        </row>
        <row r="732">
          <cell r="C732">
            <v>1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361816</v>
          </cell>
          <cell r="P732" t="str">
            <v>2023/033-0005-01</v>
          </cell>
          <cell r="Q732" t="str">
            <v>EST SOFA VYS KNIT 004 (ENC ESQ)</v>
          </cell>
          <cell r="R732"/>
          <cell r="S732"/>
          <cell r="T732">
            <v>2.78</v>
          </cell>
          <cell r="U732">
            <v>1.18</v>
          </cell>
          <cell r="V732">
            <v>0.85</v>
          </cell>
          <cell r="W732">
            <v>0</v>
          </cell>
          <cell r="X732" t="str">
            <v>EST SOFA VYS KNIT 004 (ENC ESQ) - 2,78x1,18x0,85H</v>
          </cell>
          <cell r="Y732">
            <v>34157.58</v>
          </cell>
          <cell r="Z732">
            <v>0.5</v>
          </cell>
          <cell r="AA732">
            <v>17078.79</v>
          </cell>
          <cell r="AB732"/>
        </row>
        <row r="733">
          <cell r="C733">
            <v>1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378150</v>
          </cell>
          <cell r="P733" t="str">
            <v>2023/327-0033-01</v>
          </cell>
          <cell r="Q733" t="str">
            <v>EST LUMINARIA DE TETO SLIM (3131)</v>
          </cell>
          <cell r="R733"/>
          <cell r="S733"/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 t="str">
            <v>EST LUMINARIA DE TETO SLIM (3131) - Ø0x0H</v>
          </cell>
          <cell r="Y733">
            <v>8288</v>
          </cell>
          <cell r="Z733">
            <v>0.5</v>
          </cell>
          <cell r="AA733">
            <v>4144</v>
          </cell>
          <cell r="AB733"/>
        </row>
        <row r="734">
          <cell r="C734">
            <v>1</v>
          </cell>
          <cell r="D734">
            <v>1</v>
          </cell>
          <cell r="E734">
            <v>1</v>
          </cell>
          <cell r="F734">
            <v>0</v>
          </cell>
          <cell r="H734">
            <v>0</v>
          </cell>
          <cell r="O734">
            <v>186566</v>
          </cell>
          <cell r="P734" t="str">
            <v>2017/023-0137-01</v>
          </cell>
          <cell r="Q734" t="str">
            <v>EST MESA LATERAL CANCUN (MAD LAM CARVALHO NT) (AUT SAND)</v>
          </cell>
          <cell r="R734"/>
          <cell r="S734"/>
          <cell r="T734">
            <v>0.55000000000000004</v>
          </cell>
          <cell r="U734">
            <v>0</v>
          </cell>
          <cell r="V734">
            <v>0.52</v>
          </cell>
          <cell r="W734">
            <v>0.55000000000000004</v>
          </cell>
          <cell r="X734" t="str">
            <v>EST MESA LATERAL CANCUN (MAD LAM CARVALHO NT) (AUT SAND) - Ø0,55x0,52H</v>
          </cell>
          <cell r="Y734">
            <v>8089.85</v>
          </cell>
          <cell r="Z734">
            <v>0.35</v>
          </cell>
          <cell r="AA734">
            <v>5258.4025000000001</v>
          </cell>
          <cell r="AB734"/>
        </row>
        <row r="735">
          <cell r="C735">
            <v>1</v>
          </cell>
          <cell r="D735">
            <v>2</v>
          </cell>
          <cell r="E735">
            <v>0</v>
          </cell>
          <cell r="F735">
            <v>0</v>
          </cell>
          <cell r="H735">
            <v>0</v>
          </cell>
          <cell r="O735">
            <v>186567</v>
          </cell>
          <cell r="P735" t="str">
            <v>2017/023-0138-01</v>
          </cell>
          <cell r="Q735" t="str">
            <v>EST MESA LATERAL CANCUN (MAD PINT AUT SAND) (AUT SAND)</v>
          </cell>
          <cell r="R735"/>
          <cell r="S735"/>
          <cell r="T735">
            <v>0.48</v>
          </cell>
          <cell r="U735">
            <v>0</v>
          </cell>
          <cell r="V735">
            <v>0.56999999999999995</v>
          </cell>
          <cell r="W735">
            <v>0.48</v>
          </cell>
          <cell r="X735" t="str">
            <v>EST MESA LATERAL CANCUN (MAD PINT AUT SAND) (AUT SAND) - Ø0,48x0,57H</v>
          </cell>
          <cell r="Y735">
            <v>7729.66</v>
          </cell>
          <cell r="Z735">
            <v>0.35</v>
          </cell>
          <cell r="AA735">
            <v>5024.2790000000005</v>
          </cell>
          <cell r="AB735"/>
        </row>
        <row r="736">
          <cell r="C736">
            <v>1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273277</v>
          </cell>
          <cell r="P736" t="str">
            <v>2021/084-0011-01</v>
          </cell>
          <cell r="Q736" t="str">
            <v>EST POLTRONA YUMI (JEQ IMBUIA ESCURO) COURO CH ENV 32</v>
          </cell>
          <cell r="R736"/>
          <cell r="S736"/>
          <cell r="T736">
            <v>1.1599999999999999</v>
          </cell>
          <cell r="U736">
            <v>0.86</v>
          </cell>
          <cell r="V736">
            <v>0.84</v>
          </cell>
          <cell r="W736">
            <v>0</v>
          </cell>
          <cell r="X736" t="str">
            <v>EST POLTRONA YUMI (JEQ IMBUIA ESCURO) COURO CH ENV 32 - 1,16x0,86x0,84H</v>
          </cell>
          <cell r="Y736">
            <v>23801.3</v>
          </cell>
          <cell r="Z736">
            <v>0.35</v>
          </cell>
          <cell r="AA736">
            <v>15470.844999999999</v>
          </cell>
          <cell r="AB736"/>
        </row>
        <row r="737">
          <cell r="C737">
            <v>1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273278</v>
          </cell>
          <cell r="P737" t="str">
            <v>2021/084-0010-01</v>
          </cell>
          <cell r="Q737" t="str">
            <v>EST BANQUETA YUMI (JEQ IMBUIA ESCURO) COURO CH ENV 32</v>
          </cell>
          <cell r="R737"/>
          <cell r="S737"/>
          <cell r="T737">
            <v>0.69</v>
          </cell>
          <cell r="U737">
            <v>0.53</v>
          </cell>
          <cell r="V737">
            <v>0.4</v>
          </cell>
          <cell r="W737">
            <v>0</v>
          </cell>
          <cell r="X737" t="str">
            <v>EST BANQUETA YUMI (JEQ IMBUIA ESCURO) COURO CH ENV 32 - 0,69x0,53x0,4H</v>
          </cell>
          <cell r="Y737">
            <v>8417.25</v>
          </cell>
          <cell r="Z737">
            <v>0.35</v>
          </cell>
          <cell r="AA737">
            <v>5471.2124999999996</v>
          </cell>
          <cell r="AB737"/>
        </row>
        <row r="738">
          <cell r="C738">
            <v>1</v>
          </cell>
          <cell r="D738">
            <v>0</v>
          </cell>
          <cell r="E738">
            <v>0</v>
          </cell>
          <cell r="F738">
            <v>0</v>
          </cell>
          <cell r="H738">
            <v>0</v>
          </cell>
          <cell r="O738">
            <v>299331</v>
          </cell>
          <cell r="P738" t="str">
            <v>2022/018-0042-01</v>
          </cell>
          <cell r="Q738" t="str">
            <v>EST PUFF OLY H45 FX F6001/HASTE METAL PRETO</v>
          </cell>
          <cell r="R738"/>
          <cell r="S738"/>
          <cell r="T738">
            <v>0.6</v>
          </cell>
          <cell r="U738">
            <v>0</v>
          </cell>
          <cell r="V738">
            <v>0.45</v>
          </cell>
          <cell r="W738">
            <v>0.6</v>
          </cell>
          <cell r="X738" t="str">
            <v>EST PUFF OLY H45 FX F6001/HASTE METAL PRETO - Ø0,6x0,45H</v>
          </cell>
          <cell r="Y738">
            <v>7494.64</v>
          </cell>
          <cell r="Z738">
            <v>0.35</v>
          </cell>
          <cell r="AA738">
            <v>4871.5160000000005</v>
          </cell>
          <cell r="AB738"/>
        </row>
        <row r="739">
          <cell r="C739">
            <v>1</v>
          </cell>
          <cell r="D739">
            <v>0</v>
          </cell>
          <cell r="E739">
            <v>0</v>
          </cell>
          <cell r="F739">
            <v>0</v>
          </cell>
          <cell r="H739">
            <v>0</v>
          </cell>
          <cell r="O739">
            <v>299331</v>
          </cell>
          <cell r="P739" t="str">
            <v>2022/018-0043-01</v>
          </cell>
          <cell r="Q739" t="str">
            <v>EST PUFF OLY H45 FX F6001/HASTE METAL PRETO</v>
          </cell>
          <cell r="R739"/>
          <cell r="S739"/>
          <cell r="T739">
            <v>0.6</v>
          </cell>
          <cell r="U739">
            <v>0</v>
          </cell>
          <cell r="V739">
            <v>0.45</v>
          </cell>
          <cell r="W739">
            <v>0.6</v>
          </cell>
          <cell r="X739" t="str">
            <v>EST PUFF OLY H45 FX F6001/HASTE METAL PRETO - Ø0,6x0,45H</v>
          </cell>
          <cell r="Y739">
            <v>7494.64</v>
          </cell>
          <cell r="Z739">
            <v>0.35</v>
          </cell>
          <cell r="AA739">
            <v>4871.5160000000005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326739</v>
          </cell>
          <cell r="P740" t="str">
            <v>2023/045-0010-01</v>
          </cell>
          <cell r="Q740" t="str">
            <v>EST POLTRONA KAZZ FX B2002/REC 7440/ESTRUTURA PRETA</v>
          </cell>
          <cell r="R740"/>
          <cell r="S740"/>
          <cell r="T740">
            <v>0.85</v>
          </cell>
          <cell r="U740">
            <v>0.85</v>
          </cell>
          <cell r="V740">
            <v>0.75</v>
          </cell>
          <cell r="W740">
            <v>0</v>
          </cell>
          <cell r="X740" t="str">
            <v>EST POLTRONA KAZZ FX B2002/REC 7440/ESTRUTURA PRETA - 0,85x0,85x0,75H</v>
          </cell>
          <cell r="Y740">
            <v>18360.2</v>
          </cell>
          <cell r="Z740">
            <v>0.35</v>
          </cell>
          <cell r="AA740">
            <v>11934.130000000001</v>
          </cell>
          <cell r="AB740"/>
        </row>
        <row r="741">
          <cell r="C741" t="e">
            <v>#N/A</v>
          </cell>
          <cell r="D741" t="e">
            <v>#N/A</v>
          </cell>
          <cell r="E741" t="e">
            <v>#N/A</v>
          </cell>
          <cell r="F741" t="e">
            <v>#N/A</v>
          </cell>
          <cell r="H741" t="e">
            <v>#N/A</v>
          </cell>
          <cell r="O741">
            <v>336740</v>
          </cell>
          <cell r="P741" t="str">
            <v>2022/223-0057-01</v>
          </cell>
          <cell r="Q741" t="e">
            <v>#N/A</v>
          </cell>
          <cell r="R741"/>
          <cell r="S741"/>
          <cell r="T741" t="e">
            <v>#N/A</v>
          </cell>
          <cell r="U741" t="e">
            <v>#N/A</v>
          </cell>
          <cell r="V741" t="e">
            <v>#N/A</v>
          </cell>
          <cell r="W741" t="e">
            <v>#N/A</v>
          </cell>
          <cell r="X741" t="e">
            <v>#N/A</v>
          </cell>
          <cell r="Y741">
            <v>12538.94</v>
          </cell>
          <cell r="Z741">
            <v>0.35</v>
          </cell>
          <cell r="AA741">
            <v>8150.3110000000006</v>
          </cell>
          <cell r="AB741"/>
        </row>
        <row r="742">
          <cell r="C742">
            <v>2</v>
          </cell>
          <cell r="D742">
            <v>0</v>
          </cell>
          <cell r="E742">
            <v>0</v>
          </cell>
          <cell r="F742">
            <v>0</v>
          </cell>
          <cell r="H742">
            <v>0</v>
          </cell>
          <cell r="O742">
            <v>351706</v>
          </cell>
          <cell r="P742" t="str">
            <v>2022/242-0053-01</v>
          </cell>
          <cell r="Q742" t="str">
            <v>EST ALMOFADA CLAMI 3 (PENA GANSO) (BISTROL NUVEM/CINZA)</v>
          </cell>
          <cell r="R742"/>
          <cell r="S742"/>
          <cell r="T742">
            <v>0.9</v>
          </cell>
          <cell r="U742">
            <v>0.7</v>
          </cell>
          <cell r="V742">
            <v>0.15</v>
          </cell>
          <cell r="W742">
            <v>0</v>
          </cell>
          <cell r="X742" t="str">
            <v>EST ALMOFADA CLAMI 3 (PENA GANSO) (BISTROL NUVEM/CINZA) - 0,9x0,7x0,15H</v>
          </cell>
          <cell r="Y742">
            <v>2746.2</v>
          </cell>
          <cell r="Z742">
            <v>0.35</v>
          </cell>
          <cell r="AA742">
            <v>1785.03</v>
          </cell>
          <cell r="AB742"/>
        </row>
        <row r="743">
          <cell r="C743">
            <v>2</v>
          </cell>
          <cell r="D743">
            <v>0</v>
          </cell>
          <cell r="E743">
            <v>0</v>
          </cell>
          <cell r="F743">
            <v>0</v>
          </cell>
          <cell r="H743">
            <v>0</v>
          </cell>
          <cell r="O743">
            <v>351706</v>
          </cell>
          <cell r="P743" t="str">
            <v>2022/242-0054-01</v>
          </cell>
          <cell r="Q743" t="str">
            <v>EST ALMOFADA CLAMI 3 (PENA GANSO) (BISTROL NUVEM/CINZA)</v>
          </cell>
          <cell r="R743"/>
          <cell r="S743"/>
          <cell r="T743">
            <v>0.9</v>
          </cell>
          <cell r="U743">
            <v>0.7</v>
          </cell>
          <cell r="V743">
            <v>0.15</v>
          </cell>
          <cell r="W743">
            <v>0</v>
          </cell>
          <cell r="X743" t="str">
            <v>EST ALMOFADA CLAMI 3 (PENA GANSO) (BISTROL NUVEM/CINZA) - 0,9x0,7x0,15H</v>
          </cell>
          <cell r="Y743">
            <v>2746.2</v>
          </cell>
          <cell r="Z743">
            <v>0.35</v>
          </cell>
          <cell r="AA743">
            <v>1785.03</v>
          </cell>
          <cell r="AB743"/>
        </row>
        <row r="744">
          <cell r="C744">
            <v>2</v>
          </cell>
          <cell r="D744">
            <v>0</v>
          </cell>
          <cell r="E744">
            <v>0</v>
          </cell>
          <cell r="F744">
            <v>0</v>
          </cell>
          <cell r="H744">
            <v>0</v>
          </cell>
          <cell r="O744">
            <v>351714</v>
          </cell>
          <cell r="P744" t="str">
            <v>2022/242-0063-01</v>
          </cell>
          <cell r="Q744" t="str">
            <v>EST ALMOFADA CLAMI 3 (PENA GANSO) (MAQUINETADO CRU/PRETO)</v>
          </cell>
          <cell r="R744"/>
          <cell r="S744"/>
          <cell r="T744">
            <v>0.9</v>
          </cell>
          <cell r="U744">
            <v>0.7</v>
          </cell>
          <cell r="V744">
            <v>0.15</v>
          </cell>
          <cell r="W744">
            <v>0</v>
          </cell>
          <cell r="X744" t="str">
            <v>EST ALMOFADA CLAMI 3 (PENA GANSO) (MAQUINETADO CRU/PRETO) - 0,9x0,7x0,15H</v>
          </cell>
          <cell r="Y744">
            <v>2746.2</v>
          </cell>
          <cell r="Z744">
            <v>0.35</v>
          </cell>
          <cell r="AA744">
            <v>1785.03</v>
          </cell>
          <cell r="AB744"/>
        </row>
        <row r="745">
          <cell r="C745">
            <v>2</v>
          </cell>
          <cell r="D745">
            <v>0</v>
          </cell>
          <cell r="E745">
            <v>0</v>
          </cell>
          <cell r="F745">
            <v>0</v>
          </cell>
          <cell r="H745">
            <v>0</v>
          </cell>
          <cell r="O745">
            <v>351714</v>
          </cell>
          <cell r="P745" t="str">
            <v>2022/242-0064-01</v>
          </cell>
          <cell r="Q745" t="str">
            <v>EST ALMOFADA CLAMI 3 (PENA GANSO) (MAQUINETADO CRU/PRETO)</v>
          </cell>
          <cell r="R745"/>
          <cell r="S745"/>
          <cell r="T745">
            <v>0.9</v>
          </cell>
          <cell r="U745">
            <v>0.7</v>
          </cell>
          <cell r="V745">
            <v>0.15</v>
          </cell>
          <cell r="W745">
            <v>0</v>
          </cell>
          <cell r="X745" t="str">
            <v>EST ALMOFADA CLAMI 3 (PENA GANSO) (MAQUINETADO CRU/PRETO) - 0,9x0,7x0,15H</v>
          </cell>
          <cell r="Y745">
            <v>2746.2</v>
          </cell>
          <cell r="Z745">
            <v>0.35</v>
          </cell>
          <cell r="AA745">
            <v>1785.03</v>
          </cell>
          <cell r="AB745"/>
        </row>
        <row r="746">
          <cell r="C746">
            <v>1</v>
          </cell>
          <cell r="D746">
            <v>0</v>
          </cell>
          <cell r="E746">
            <v>0</v>
          </cell>
          <cell r="F746">
            <v>0</v>
          </cell>
          <cell r="H746">
            <v>0</v>
          </cell>
          <cell r="O746">
            <v>363891</v>
          </cell>
          <cell r="P746" t="str">
            <v>2023/152-0023-01</v>
          </cell>
          <cell r="Q746" t="str">
            <v>EST MESA JANTAR BELIZE (MADEIRA) TP/BS LAMINA CARV DAMASCO</v>
          </cell>
          <cell r="R746"/>
          <cell r="S746"/>
          <cell r="T746">
            <v>3</v>
          </cell>
          <cell r="U746">
            <v>1.4</v>
          </cell>
          <cell r="V746">
            <v>0.76</v>
          </cell>
          <cell r="W746">
            <v>0</v>
          </cell>
          <cell r="X746" t="str">
            <v>EST MESA JANTAR BELIZE (MADEIRA) TP/BS LAMINA CARV DAMASCO - 3x1,4x0,76H</v>
          </cell>
          <cell r="Y746">
            <v>27097.95</v>
          </cell>
          <cell r="Z746">
            <v>0.35</v>
          </cell>
          <cell r="AA746">
            <v>17613.667500000003</v>
          </cell>
          <cell r="AB746"/>
        </row>
        <row r="747">
          <cell r="C747">
            <v>1</v>
          </cell>
          <cell r="D747">
            <v>0</v>
          </cell>
          <cell r="E747">
            <v>0</v>
          </cell>
          <cell r="F747">
            <v>1</v>
          </cell>
          <cell r="H747">
            <v>0</v>
          </cell>
          <cell r="O747">
            <v>371329</v>
          </cell>
          <cell r="P747" t="str">
            <v>2023/282-0039-01</v>
          </cell>
          <cell r="Q747" t="str">
            <v>EST BANQUETA BAR CAVALETTA H78 (JEQUITIBA IMBUIA CLARO)</v>
          </cell>
          <cell r="R747"/>
          <cell r="S747"/>
          <cell r="T747">
            <v>0.43</v>
          </cell>
          <cell r="U747">
            <v>0.5</v>
          </cell>
          <cell r="V747">
            <v>0.78</v>
          </cell>
          <cell r="W747">
            <v>0</v>
          </cell>
          <cell r="X747" t="str">
            <v>EST BANQUETA BAR CAVALETTA H78 (JEQUITIBA IMBUIA CLARO) - 0,43x0,5x0,78H</v>
          </cell>
          <cell r="Y747">
            <v>6595.55</v>
          </cell>
          <cell r="Z747">
            <v>0.35</v>
          </cell>
          <cell r="AA747">
            <v>4287.1075000000001</v>
          </cell>
          <cell r="AB747"/>
        </row>
        <row r="748">
          <cell r="C748">
            <v>1</v>
          </cell>
          <cell r="D748">
            <v>0</v>
          </cell>
          <cell r="E748">
            <v>0</v>
          </cell>
          <cell r="F748">
            <v>0</v>
          </cell>
          <cell r="H748">
            <v>0</v>
          </cell>
          <cell r="O748">
            <v>378448</v>
          </cell>
          <cell r="P748" t="str">
            <v>2024/075-0023-01</v>
          </cell>
          <cell r="Q748" t="str">
            <v>EST MESA LATERAL HIMALAYA (CLAS) (TP MARM ARMANI) (WALNUT)</v>
          </cell>
          <cell r="R748"/>
          <cell r="S748"/>
          <cell r="T748">
            <v>0.7</v>
          </cell>
          <cell r="U748">
            <v>0</v>
          </cell>
          <cell r="V748">
            <v>0.55000000000000004</v>
          </cell>
          <cell r="W748">
            <v>0.7</v>
          </cell>
          <cell r="X748" t="str">
            <v>EST MESA LATERAL HIMALAYA (CLAS) (TP MARM ARMANI) (WALNUT) - Ø0,7x0,55H</v>
          </cell>
          <cell r="Y748">
            <v>11816.76</v>
          </cell>
          <cell r="Z748">
            <v>0.35</v>
          </cell>
          <cell r="AA748">
            <v>7680.8940000000002</v>
          </cell>
          <cell r="AB748"/>
        </row>
        <row r="749">
          <cell r="C749">
            <v>1</v>
          </cell>
          <cell r="D749">
            <v>0</v>
          </cell>
          <cell r="E749">
            <v>0</v>
          </cell>
          <cell r="F749">
            <v>0</v>
          </cell>
          <cell r="H749">
            <v>0</v>
          </cell>
          <cell r="O749">
            <v>378487</v>
          </cell>
          <cell r="P749" t="str">
            <v>2024/079-0043-01</v>
          </cell>
          <cell r="Q749" t="str">
            <v>EST MESA JANTAR HIMALAYA (CLAS) (TP MARM SAHARA) (WALNUT)</v>
          </cell>
          <cell r="R749"/>
          <cell r="S749"/>
          <cell r="T749">
            <v>3</v>
          </cell>
          <cell r="U749">
            <v>1.1000000000000001</v>
          </cell>
          <cell r="V749">
            <v>0.75</v>
          </cell>
          <cell r="W749">
            <v>0</v>
          </cell>
          <cell r="X749" t="str">
            <v>EST MESA JANTAR HIMALAYA (CLAS) (TP MARM SAHARA) (WALNUT) - 3x1,1x0,75H</v>
          </cell>
          <cell r="Y749">
            <v>126055.64</v>
          </cell>
          <cell r="Z749">
            <v>0.35</v>
          </cell>
          <cell r="AA749">
            <v>81936.165999999997</v>
          </cell>
          <cell r="AB749"/>
        </row>
        <row r="750">
          <cell r="C750">
            <v>3</v>
          </cell>
          <cell r="D750">
            <v>0</v>
          </cell>
          <cell r="E750">
            <v>0</v>
          </cell>
          <cell r="F750">
            <v>7</v>
          </cell>
          <cell r="H750">
            <v>0</v>
          </cell>
          <cell r="O750">
            <v>380350</v>
          </cell>
          <cell r="P750" t="str">
            <v>2024/065-0063-01</v>
          </cell>
          <cell r="Q750" t="str">
            <v>EST ALMOFADA DECORATIVA HIMALAYA (IMPRESSAO BOTANICA)</v>
          </cell>
          <cell r="R750"/>
          <cell r="S750"/>
          <cell r="T750">
            <v>0.6</v>
          </cell>
          <cell r="U750">
            <v>0.3</v>
          </cell>
          <cell r="V750">
            <v>0</v>
          </cell>
          <cell r="W750">
            <v>0</v>
          </cell>
          <cell r="X750" t="str">
            <v>EST ALMOFADA DECORATIVA HIMALAYA (IMPRESSAO BOTANICA) - 0,6x0,3x0H</v>
          </cell>
          <cell r="Y750">
            <v>1466.84</v>
          </cell>
          <cell r="Z750">
            <v>0.35</v>
          </cell>
          <cell r="AA750">
            <v>953.44600000000003</v>
          </cell>
          <cell r="AB750"/>
        </row>
        <row r="751">
          <cell r="C751">
            <v>3</v>
          </cell>
          <cell r="D751">
            <v>0</v>
          </cell>
          <cell r="E751">
            <v>0</v>
          </cell>
          <cell r="F751">
            <v>7</v>
          </cell>
          <cell r="H751">
            <v>0</v>
          </cell>
          <cell r="O751">
            <v>380350</v>
          </cell>
          <cell r="P751" t="str">
            <v>2024/065-0064-01</v>
          </cell>
          <cell r="Q751" t="str">
            <v>EST ALMOFADA DECORATIVA HIMALAYA (IMPRESSAO BOTANICA)</v>
          </cell>
          <cell r="R751"/>
          <cell r="S751"/>
          <cell r="T751">
            <v>0.6</v>
          </cell>
          <cell r="U751">
            <v>0.3</v>
          </cell>
          <cell r="V751">
            <v>0</v>
          </cell>
          <cell r="W751">
            <v>0</v>
          </cell>
          <cell r="X751" t="str">
            <v>EST ALMOFADA DECORATIVA HIMALAYA (IMPRESSAO BOTANICA) - 0,6x0,3x0H</v>
          </cell>
          <cell r="Y751">
            <v>1466.84</v>
          </cell>
          <cell r="Z751">
            <v>0.35</v>
          </cell>
          <cell r="AA751">
            <v>953.44600000000003</v>
          </cell>
          <cell r="AB751"/>
        </row>
        <row r="752">
          <cell r="C752">
            <v>3</v>
          </cell>
          <cell r="D752">
            <v>0</v>
          </cell>
          <cell r="E752">
            <v>0</v>
          </cell>
          <cell r="F752">
            <v>7</v>
          </cell>
          <cell r="H752">
            <v>0</v>
          </cell>
          <cell r="O752">
            <v>380350</v>
          </cell>
          <cell r="P752" t="str">
            <v>2024/065-0065-01</v>
          </cell>
          <cell r="Q752" t="str">
            <v>EST ALMOFADA DECORATIVA HIMALAYA (IMPRESSAO BOTANICA)</v>
          </cell>
          <cell r="R752"/>
          <cell r="S752"/>
          <cell r="T752">
            <v>0.6</v>
          </cell>
          <cell r="U752">
            <v>0.3</v>
          </cell>
          <cell r="V752">
            <v>0</v>
          </cell>
          <cell r="W752">
            <v>0</v>
          </cell>
          <cell r="X752" t="str">
            <v>EST ALMOFADA DECORATIVA HIMALAYA (IMPRESSAO BOTANICA) - 0,6x0,3x0H</v>
          </cell>
          <cell r="Y752">
            <v>1466.84</v>
          </cell>
          <cell r="Z752">
            <v>0.35</v>
          </cell>
          <cell r="AA752">
            <v>953.44600000000003</v>
          </cell>
          <cell r="AB752"/>
        </row>
        <row r="753">
          <cell r="C753">
            <v>2</v>
          </cell>
          <cell r="D753">
            <v>0</v>
          </cell>
          <cell r="E753">
            <v>0</v>
          </cell>
          <cell r="F753">
            <v>0</v>
          </cell>
          <cell r="H753">
            <v>0</v>
          </cell>
          <cell r="O753">
            <v>387674</v>
          </cell>
          <cell r="P753" t="str">
            <v>2024/206-0085-01</v>
          </cell>
          <cell r="Q753" t="str">
            <v>EST POLTRONA ANGELINA (AMENDOA) TC PREMIUM P018</v>
          </cell>
          <cell r="R753"/>
          <cell r="S753"/>
          <cell r="T753">
            <v>0.79</v>
          </cell>
          <cell r="U753">
            <v>0.57999999999999996</v>
          </cell>
          <cell r="V753">
            <v>0.79</v>
          </cell>
          <cell r="W753">
            <v>0</v>
          </cell>
          <cell r="X753" t="str">
            <v>EST POLTRONA ANGELINA (AMENDOA) TC PREMIUM P018 - 0,79x0,58x0,79H</v>
          </cell>
          <cell r="Y753">
            <v>16323.6</v>
          </cell>
          <cell r="Z753">
            <v>0.35</v>
          </cell>
          <cell r="AA753">
            <v>10610.34</v>
          </cell>
          <cell r="AB753"/>
        </row>
        <row r="754">
          <cell r="C754">
            <v>2</v>
          </cell>
          <cell r="D754">
            <v>0</v>
          </cell>
          <cell r="E754">
            <v>0</v>
          </cell>
          <cell r="F754">
            <v>0</v>
          </cell>
          <cell r="H754">
            <v>0</v>
          </cell>
          <cell r="O754">
            <v>387674</v>
          </cell>
          <cell r="P754" t="str">
            <v>2024/206-0086-01</v>
          </cell>
          <cell r="Q754" t="str">
            <v>EST POLTRONA ANGELINA (AMENDOA) TC PREMIUM P018</v>
          </cell>
          <cell r="R754"/>
          <cell r="S754"/>
          <cell r="T754">
            <v>0.79</v>
          </cell>
          <cell r="U754">
            <v>0.57999999999999996</v>
          </cell>
          <cell r="V754">
            <v>0.79</v>
          </cell>
          <cell r="W754">
            <v>0</v>
          </cell>
          <cell r="X754" t="str">
            <v>EST POLTRONA ANGELINA (AMENDOA) TC PREMIUM P018 - 0,79x0,58x0,79H</v>
          </cell>
          <cell r="Y754">
            <v>16323.6</v>
          </cell>
          <cell r="Z754">
            <v>0.35</v>
          </cell>
          <cell r="AA754">
            <v>10610.34</v>
          </cell>
          <cell r="AB754"/>
        </row>
        <row r="755">
          <cell r="C755">
            <v>2</v>
          </cell>
          <cell r="D755">
            <v>0</v>
          </cell>
          <cell r="E755">
            <v>0</v>
          </cell>
          <cell r="F755">
            <v>0</v>
          </cell>
          <cell r="H755">
            <v>0</v>
          </cell>
          <cell r="O755">
            <v>387683</v>
          </cell>
          <cell r="P755" t="str">
            <v>2024/194-0007-01</v>
          </cell>
          <cell r="Q755" t="str">
            <v>EST ESTANTE ABRIGO (TEKA CASTANHO) SEMI CAFÉ</v>
          </cell>
          <cell r="R755"/>
          <cell r="S755"/>
          <cell r="T755">
            <v>1.2</v>
          </cell>
          <cell r="U755">
            <v>0.4</v>
          </cell>
          <cell r="V755">
            <v>1.88</v>
          </cell>
          <cell r="W755">
            <v>0</v>
          </cell>
          <cell r="X755" t="str">
            <v>EST ESTANTE ABRIGO (TEKA CASTANHO) SEMI CAFÉ - 1,2x0,4x1,88H</v>
          </cell>
          <cell r="Y755">
            <v>8633.0499999999993</v>
          </cell>
          <cell r="Z755">
            <v>0.35</v>
          </cell>
          <cell r="AA755">
            <v>5611.4825000000001</v>
          </cell>
          <cell r="AB755"/>
        </row>
        <row r="756">
          <cell r="C756">
            <v>2</v>
          </cell>
          <cell r="D756">
            <v>0</v>
          </cell>
          <cell r="E756">
            <v>0</v>
          </cell>
          <cell r="F756">
            <v>0</v>
          </cell>
          <cell r="H756">
            <v>0</v>
          </cell>
          <cell r="O756">
            <v>387683</v>
          </cell>
          <cell r="P756" t="str">
            <v>2024/194-0008-01</v>
          </cell>
          <cell r="Q756" t="str">
            <v>EST ESTANTE ABRIGO (TEKA CASTANHO) SEMI CAFÉ</v>
          </cell>
          <cell r="R756"/>
          <cell r="S756"/>
          <cell r="T756">
            <v>1.2</v>
          </cell>
          <cell r="U756">
            <v>0.4</v>
          </cell>
          <cell r="V756">
            <v>1.88</v>
          </cell>
          <cell r="W756">
            <v>0</v>
          </cell>
          <cell r="X756" t="str">
            <v>EST ESTANTE ABRIGO (TEKA CASTANHO) SEMI CAFÉ - 1,2x0,4x1,88H</v>
          </cell>
          <cell r="Y756">
            <v>8633.0499999999993</v>
          </cell>
          <cell r="Z756">
            <v>0.35</v>
          </cell>
          <cell r="AA756">
            <v>5611.4825000000001</v>
          </cell>
          <cell r="AB756"/>
        </row>
        <row r="757">
          <cell r="C757">
            <v>1</v>
          </cell>
          <cell r="D757">
            <v>0</v>
          </cell>
          <cell r="E757">
            <v>0</v>
          </cell>
          <cell r="F757">
            <v>0</v>
          </cell>
          <cell r="H757">
            <v>0</v>
          </cell>
          <cell r="O757">
            <v>387687</v>
          </cell>
          <cell r="P757" t="str">
            <v>2024/194-0015-01</v>
          </cell>
          <cell r="Q757" t="str">
            <v>EST MESA CENTRO PLANALTO (LAMINA CARV CASTANHO) MTZ CAFE</v>
          </cell>
          <cell r="R757"/>
          <cell r="S757"/>
          <cell r="T757">
            <v>0.95</v>
          </cell>
          <cell r="U757">
            <v>0.95</v>
          </cell>
          <cell r="V757">
            <v>0.25</v>
          </cell>
          <cell r="W757">
            <v>0</v>
          </cell>
          <cell r="X757" t="str">
            <v>EST MESA CENTRO PLANALTO (LAMINA CARV CASTANHO) MTZ CAFE - 0,95x0,95x0,25H</v>
          </cell>
          <cell r="Y757">
            <v>6913.98</v>
          </cell>
          <cell r="Z757">
            <v>0.35</v>
          </cell>
          <cell r="AA757">
            <v>4494.0869999999995</v>
          </cell>
          <cell r="AB757"/>
        </row>
        <row r="758">
          <cell r="C758">
            <v>1</v>
          </cell>
          <cell r="D758">
            <v>0</v>
          </cell>
          <cell r="E758">
            <v>0</v>
          </cell>
          <cell r="F758">
            <v>0</v>
          </cell>
          <cell r="H758">
            <v>0</v>
          </cell>
          <cell r="O758">
            <v>387688</v>
          </cell>
          <cell r="P758" t="str">
            <v>2024/194-0016-01</v>
          </cell>
          <cell r="Q758" t="str">
            <v>EST MESA CENTRO PLANALTO (LAMINA CARV CASTANHO) MTZ CAFE</v>
          </cell>
          <cell r="R758"/>
          <cell r="S758"/>
          <cell r="T758">
            <v>1.1499999999999999</v>
          </cell>
          <cell r="U758">
            <v>1.1499999999999999</v>
          </cell>
          <cell r="V758">
            <v>0.3</v>
          </cell>
          <cell r="W758">
            <v>0</v>
          </cell>
          <cell r="X758" t="str">
            <v>EST MESA CENTRO PLANALTO (LAMINA CARV CASTANHO) MTZ CAFE - 1,15x1,15x0,3H</v>
          </cell>
          <cell r="Y758">
            <v>7551.08</v>
          </cell>
          <cell r="Z758">
            <v>0.35</v>
          </cell>
          <cell r="AA758">
            <v>4908.2020000000002</v>
          </cell>
          <cell r="AB758"/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H759">
            <v>1</v>
          </cell>
          <cell r="O759">
            <v>387722</v>
          </cell>
          <cell r="P759" t="str">
            <v>2024/206-0094-01</v>
          </cell>
          <cell r="Q759" t="str">
            <v>EST MESA JANTAR ORIENTE (TP/BS LAM CAST) SEMI CAFE</v>
          </cell>
          <cell r="R759"/>
          <cell r="S759"/>
          <cell r="T759">
            <v>2.78</v>
          </cell>
          <cell r="U759">
            <v>1.2</v>
          </cell>
          <cell r="V759">
            <v>0.76</v>
          </cell>
          <cell r="W759">
            <v>0</v>
          </cell>
          <cell r="X759" t="str">
            <v>EST MESA JANTAR ORIENTE (TP/BS LAM CAST) SEMI CAFE - 2,78x1,2x0,76H</v>
          </cell>
          <cell r="Y759">
            <v>24289.4</v>
          </cell>
          <cell r="Z759">
            <v>0.35</v>
          </cell>
          <cell r="AA759">
            <v>15788.11</v>
          </cell>
          <cell r="AB759"/>
        </row>
        <row r="760">
          <cell r="C760">
            <v>1</v>
          </cell>
          <cell r="D760">
            <v>0</v>
          </cell>
          <cell r="E760">
            <v>0</v>
          </cell>
          <cell r="F760">
            <v>0</v>
          </cell>
          <cell r="H760">
            <v>0</v>
          </cell>
          <cell r="O760">
            <v>387731</v>
          </cell>
          <cell r="P760" t="str">
            <v>2024/194-0029-01</v>
          </cell>
          <cell r="Q760" t="str">
            <v>EST MESA LATERAL COPA (TP/BS AMENDOA) SEMI CAPUCCINO</v>
          </cell>
          <cell r="R760"/>
          <cell r="S760"/>
          <cell r="T760">
            <v>0.37</v>
          </cell>
          <cell r="U760">
            <v>0.35</v>
          </cell>
          <cell r="V760">
            <v>0.45</v>
          </cell>
          <cell r="W760">
            <v>0</v>
          </cell>
          <cell r="X760" t="str">
            <v>EST MESA LATERAL COPA (TP/BS AMENDOA) SEMI CAPUCCINO - 0,37x0,35x0,45H</v>
          </cell>
          <cell r="Y760">
            <v>4753.82</v>
          </cell>
          <cell r="Z760">
            <v>0.35</v>
          </cell>
          <cell r="AA760">
            <v>3089.9830000000002</v>
          </cell>
          <cell r="AB760"/>
        </row>
        <row r="761">
          <cell r="C761">
            <v>2</v>
          </cell>
          <cell r="D761">
            <v>3</v>
          </cell>
          <cell r="E761">
            <v>0</v>
          </cell>
          <cell r="F761">
            <v>0</v>
          </cell>
          <cell r="H761">
            <v>0</v>
          </cell>
          <cell r="O761">
            <v>260994</v>
          </cell>
          <cell r="P761" t="str">
            <v>2020/184-0049-01</v>
          </cell>
          <cell r="Q761" t="str">
            <v>EST ALMOFADA DECORATIVA (COURO T4 CAMURCA MUSGO)</v>
          </cell>
          <cell r="R761"/>
          <cell r="S761"/>
          <cell r="T761">
            <v>0.6</v>
          </cell>
          <cell r="U761">
            <v>0.6</v>
          </cell>
          <cell r="V761">
            <v>0</v>
          </cell>
          <cell r="W761">
            <v>0</v>
          </cell>
          <cell r="X761" t="str">
            <v>EST ALMOFADA DECORATIVA (COURO T4 CAMURCA MUSGO) - 0,6x0,6x0H</v>
          </cell>
          <cell r="Y761">
            <v>2252.0100000000002</v>
          </cell>
          <cell r="Z761">
            <v>0.35</v>
          </cell>
          <cell r="AA761">
            <v>1463.8065000000001</v>
          </cell>
          <cell r="AB761"/>
        </row>
        <row r="762">
          <cell r="C762">
            <v>2</v>
          </cell>
          <cell r="D762">
            <v>3</v>
          </cell>
          <cell r="E762">
            <v>0</v>
          </cell>
          <cell r="F762">
            <v>0</v>
          </cell>
          <cell r="H762">
            <v>0</v>
          </cell>
          <cell r="O762">
            <v>260994</v>
          </cell>
          <cell r="P762" t="str">
            <v>2020/184-0039-01</v>
          </cell>
          <cell r="Q762" t="str">
            <v>EST ALMOFADA DECORATIVA (COURO T4 CAMURCA MUSGO)</v>
          </cell>
          <cell r="R762"/>
          <cell r="S762"/>
          <cell r="T762">
            <v>0.6</v>
          </cell>
          <cell r="U762">
            <v>0.6</v>
          </cell>
          <cell r="V762">
            <v>0</v>
          </cell>
          <cell r="W762">
            <v>0</v>
          </cell>
          <cell r="X762" t="str">
            <v>EST ALMOFADA DECORATIVA (COURO T4 CAMURCA MUSGO) - 0,6x0,6x0H</v>
          </cell>
          <cell r="Y762">
            <v>2252.0100000000002</v>
          </cell>
          <cell r="Z762">
            <v>0.35</v>
          </cell>
          <cell r="AA762">
            <v>1463.8065000000001</v>
          </cell>
          <cell r="AB762"/>
        </row>
        <row r="763">
          <cell r="C763">
            <v>1</v>
          </cell>
          <cell r="D763">
            <v>0</v>
          </cell>
          <cell r="E763">
            <v>0</v>
          </cell>
          <cell r="F763">
            <v>0</v>
          </cell>
          <cell r="H763">
            <v>0</v>
          </cell>
          <cell r="O763">
            <v>373812</v>
          </cell>
          <cell r="P763" t="str">
            <v>2023/283-0002-01</v>
          </cell>
          <cell r="Q763" t="str">
            <v>EST ALMOFADA CLAMI 3 (PLUMA SINT) (TC FORN INIFITY STRING)</v>
          </cell>
          <cell r="R763"/>
          <cell r="S763"/>
          <cell r="T763">
            <v>0.9</v>
          </cell>
          <cell r="U763">
            <v>0.7</v>
          </cell>
          <cell r="V763">
            <v>0.15</v>
          </cell>
          <cell r="W763">
            <v>0</v>
          </cell>
          <cell r="X763" t="str">
            <v>EST ALMOFADA CLAMI 3 (PLUMA SINT) (TC FORN INIFITY STRING) - 0,9x0,7x0,15H</v>
          </cell>
          <cell r="Y763">
            <v>4284.09</v>
          </cell>
          <cell r="Z763">
            <v>0.35</v>
          </cell>
          <cell r="AA763">
            <v>2784.6585000000005</v>
          </cell>
          <cell r="AB763"/>
        </row>
        <row r="764">
          <cell r="C764">
            <v>1</v>
          </cell>
          <cell r="D764">
            <v>0</v>
          </cell>
          <cell r="E764">
            <v>0</v>
          </cell>
          <cell r="F764">
            <v>0</v>
          </cell>
          <cell r="H764">
            <v>0</v>
          </cell>
          <cell r="O764">
            <v>373813</v>
          </cell>
          <cell r="P764" t="str">
            <v>2023/283-0001-01</v>
          </cell>
          <cell r="Q764" t="str">
            <v>EST ALMOFADA CLAMI 3 (PLUMA SINT) TC CRAFTED GLAZE</v>
          </cell>
          <cell r="R764"/>
          <cell r="S764"/>
          <cell r="T764">
            <v>0.9</v>
          </cell>
          <cell r="U764">
            <v>0.7</v>
          </cell>
          <cell r="V764">
            <v>0.15</v>
          </cell>
          <cell r="W764">
            <v>0</v>
          </cell>
          <cell r="X764" t="str">
            <v>EST ALMOFADA CLAMI 3 (PLUMA SINT) TC CRAFTED GLAZE - 0,9x0,7x0,15H</v>
          </cell>
          <cell r="Y764">
            <v>3522.49</v>
          </cell>
          <cell r="Z764">
            <v>0.35</v>
          </cell>
          <cell r="AA764">
            <v>2289.6185</v>
          </cell>
          <cell r="AB764"/>
        </row>
        <row r="765">
          <cell r="C765">
            <v>0</v>
          </cell>
          <cell r="D765">
            <v>1</v>
          </cell>
          <cell r="E765">
            <v>0</v>
          </cell>
          <cell r="F765">
            <v>0</v>
          </cell>
          <cell r="H765">
            <v>0</v>
          </cell>
          <cell r="O765">
            <v>399496</v>
          </cell>
          <cell r="P765" t="str">
            <v>2025/028-0008-01</v>
          </cell>
          <cell r="Q765" t="str">
            <v>EST MESA JANTAR BELIZE (ORGANICA) (MADEIRA LAMINA FREIJO)</v>
          </cell>
          <cell r="R765"/>
          <cell r="S765"/>
          <cell r="T765">
            <v>3</v>
          </cell>
          <cell r="U765">
            <v>1.4</v>
          </cell>
          <cell r="V765">
            <v>0.76</v>
          </cell>
          <cell r="W765">
            <v>0</v>
          </cell>
          <cell r="X765" t="str">
            <v>EST MESA JANTAR BELIZE (ORGANICA) (MADEIRA LAMINA FREIJO) - 3x1,4x0,76H</v>
          </cell>
          <cell r="Y765">
            <v>27097.95</v>
          </cell>
          <cell r="Z765">
            <v>0.35</v>
          </cell>
          <cell r="AA765">
            <v>17613.667500000003</v>
          </cell>
          <cell r="AB765"/>
        </row>
        <row r="766">
          <cell r="C766">
            <v>2</v>
          </cell>
          <cell r="D766">
            <v>0</v>
          </cell>
          <cell r="E766">
            <v>0</v>
          </cell>
          <cell r="F766">
            <v>0</v>
          </cell>
          <cell r="H766">
            <v>0</v>
          </cell>
          <cell r="O766">
            <v>147428</v>
          </cell>
          <cell r="P766"/>
          <cell r="Q766" t="str">
            <v>EST MANTA TOSCANA FLAMINGO (COD 6312)</v>
          </cell>
          <cell r="R766"/>
          <cell r="S766"/>
          <cell r="T766">
            <v>1.9</v>
          </cell>
          <cell r="U766">
            <v>1.3</v>
          </cell>
          <cell r="V766">
            <v>0.01</v>
          </cell>
          <cell r="W766">
            <v>0</v>
          </cell>
          <cell r="X766" t="str">
            <v>EST MANTA TOSCANA FLAMINGO (COD 6312) - 1,9x1,3x0,01H</v>
          </cell>
          <cell r="Y766">
            <v>500</v>
          </cell>
          <cell r="Z766">
            <v>0.5</v>
          </cell>
          <cell r="AA766">
            <v>250</v>
          </cell>
          <cell r="AB766"/>
        </row>
        <row r="767">
          <cell r="C767">
            <v>2</v>
          </cell>
          <cell r="D767">
            <v>0</v>
          </cell>
          <cell r="E767">
            <v>0</v>
          </cell>
          <cell r="F767">
            <v>0</v>
          </cell>
          <cell r="H767">
            <v>0</v>
          </cell>
          <cell r="O767">
            <v>147428</v>
          </cell>
          <cell r="P767"/>
          <cell r="Q767" t="str">
            <v>EST MANTA TOSCANA FLAMINGO (COD 6312)</v>
          </cell>
          <cell r="R767"/>
          <cell r="S767"/>
          <cell r="T767">
            <v>1.9</v>
          </cell>
          <cell r="U767">
            <v>1.3</v>
          </cell>
          <cell r="V767">
            <v>0.01</v>
          </cell>
          <cell r="W767">
            <v>0</v>
          </cell>
          <cell r="X767" t="str">
            <v>EST MANTA TOSCANA FLAMINGO (COD 6312) - 1,9x1,3x0,01H</v>
          </cell>
          <cell r="Y767">
            <v>500</v>
          </cell>
          <cell r="Z767">
            <v>0.5</v>
          </cell>
          <cell r="AA767">
            <v>250</v>
          </cell>
          <cell r="AB767"/>
        </row>
        <row r="768">
          <cell r="C768">
            <v>2</v>
          </cell>
          <cell r="D768">
            <v>2</v>
          </cell>
          <cell r="E768">
            <v>2</v>
          </cell>
          <cell r="F768">
            <v>0</v>
          </cell>
          <cell r="H768">
            <v>0</v>
          </cell>
          <cell r="O768">
            <v>234033</v>
          </cell>
          <cell r="P768"/>
          <cell r="Q768" t="str">
            <v>EST ALMOFADA (GREEN COMPLIMENT 2 ED) (COD 120550128)</v>
          </cell>
          <cell r="R768"/>
          <cell r="S768"/>
          <cell r="T768">
            <v>0.5</v>
          </cell>
          <cell r="U768">
            <v>0.5</v>
          </cell>
          <cell r="V768">
            <v>0.15</v>
          </cell>
          <cell r="W768">
            <v>0</v>
          </cell>
          <cell r="X768" t="str">
            <v>EST ALMOFADA (GREEN COMPLIMENT 2 ED) (COD 120550128) - 0,5x0,5x0,15H</v>
          </cell>
          <cell r="Y768">
            <v>500</v>
          </cell>
          <cell r="Z768">
            <v>0.5</v>
          </cell>
          <cell r="AA768">
            <v>250</v>
          </cell>
          <cell r="AB768"/>
        </row>
        <row r="769">
          <cell r="C769">
            <v>2</v>
          </cell>
          <cell r="D769">
            <v>2</v>
          </cell>
          <cell r="E769">
            <v>2</v>
          </cell>
          <cell r="F769">
            <v>0</v>
          </cell>
          <cell r="H769">
            <v>0</v>
          </cell>
          <cell r="O769">
            <v>234033</v>
          </cell>
          <cell r="P769"/>
          <cell r="Q769" t="str">
            <v>EST ALMOFADA (GREEN COMPLIMENT 2 ED) (COD 120550128)</v>
          </cell>
          <cell r="R769"/>
          <cell r="S769"/>
          <cell r="T769">
            <v>0.5</v>
          </cell>
          <cell r="U769">
            <v>0.5</v>
          </cell>
          <cell r="V769">
            <v>0.15</v>
          </cell>
          <cell r="W769">
            <v>0</v>
          </cell>
          <cell r="X769" t="str">
            <v>EST ALMOFADA (GREEN COMPLIMENT 2 ED) (COD 120550128) - 0,5x0,5x0,15H</v>
          </cell>
          <cell r="Y769">
            <v>500</v>
          </cell>
          <cell r="Z769">
            <v>0.5</v>
          </cell>
          <cell r="AA769">
            <v>250</v>
          </cell>
          <cell r="AB769"/>
        </row>
        <row r="770">
          <cell r="C770">
            <v>2</v>
          </cell>
          <cell r="D770">
            <v>2</v>
          </cell>
          <cell r="E770">
            <v>2</v>
          </cell>
          <cell r="F770">
            <v>0</v>
          </cell>
          <cell r="H770">
            <v>0</v>
          </cell>
          <cell r="O770">
            <v>234033</v>
          </cell>
          <cell r="P770"/>
          <cell r="Q770" t="str">
            <v>EST ALMOFADA (GREEN COMPLIMENT 2 ED) (COD 120550128)</v>
          </cell>
          <cell r="R770"/>
          <cell r="S770"/>
          <cell r="T770">
            <v>0.5</v>
          </cell>
          <cell r="U770">
            <v>0.5</v>
          </cell>
          <cell r="V770">
            <v>0.15</v>
          </cell>
          <cell r="W770">
            <v>0</v>
          </cell>
          <cell r="X770" t="str">
            <v>EST ALMOFADA (GREEN COMPLIMENT 2 ED) (COD 120550128) - 0,5x0,5x0,15H</v>
          </cell>
          <cell r="Y770">
            <v>500</v>
          </cell>
          <cell r="Z770">
            <v>0.5</v>
          </cell>
          <cell r="AA770">
            <v>250</v>
          </cell>
          <cell r="AB770"/>
        </row>
        <row r="771">
          <cell r="C771">
            <v>2</v>
          </cell>
          <cell r="D771">
            <v>2</v>
          </cell>
          <cell r="E771">
            <v>2</v>
          </cell>
          <cell r="F771">
            <v>0</v>
          </cell>
          <cell r="H771">
            <v>0</v>
          </cell>
          <cell r="O771">
            <v>234033</v>
          </cell>
          <cell r="P771"/>
          <cell r="Q771" t="str">
            <v>EST ALMOFADA (GREEN COMPLIMENT 2 ED) (COD 120550128)</v>
          </cell>
          <cell r="R771"/>
          <cell r="S771"/>
          <cell r="T771">
            <v>0.5</v>
          </cell>
          <cell r="U771">
            <v>0.5</v>
          </cell>
          <cell r="V771">
            <v>0.15</v>
          </cell>
          <cell r="W771">
            <v>0</v>
          </cell>
          <cell r="X771" t="str">
            <v>EST ALMOFADA (GREEN COMPLIMENT 2 ED) (COD 120550128) - 0,5x0,5x0,15H</v>
          </cell>
          <cell r="Y771">
            <v>500</v>
          </cell>
          <cell r="Z771">
            <v>0.5</v>
          </cell>
          <cell r="AA771">
            <v>250</v>
          </cell>
          <cell r="AB771"/>
        </row>
        <row r="772">
          <cell r="C772">
            <v>2</v>
          </cell>
          <cell r="D772">
            <v>2</v>
          </cell>
          <cell r="E772">
            <v>2</v>
          </cell>
          <cell r="F772">
            <v>0</v>
          </cell>
          <cell r="H772">
            <v>0</v>
          </cell>
          <cell r="O772">
            <v>234033</v>
          </cell>
          <cell r="P772"/>
          <cell r="Q772" t="str">
            <v>EST ALMOFADA (GREEN COMPLIMENT 2 ED) (COD 120550128)</v>
          </cell>
          <cell r="R772"/>
          <cell r="S772"/>
          <cell r="T772">
            <v>0.5</v>
          </cell>
          <cell r="U772">
            <v>0.5</v>
          </cell>
          <cell r="V772">
            <v>0.15</v>
          </cell>
          <cell r="W772">
            <v>0</v>
          </cell>
          <cell r="X772" t="str">
            <v>EST ALMOFADA (GREEN COMPLIMENT 2 ED) (COD 120550128) - 0,5x0,5x0,15H</v>
          </cell>
          <cell r="Y772">
            <v>500</v>
          </cell>
          <cell r="Z772">
            <v>0.5</v>
          </cell>
          <cell r="AA772">
            <v>250</v>
          </cell>
          <cell r="AB772"/>
        </row>
        <row r="773">
          <cell r="C773">
            <v>2</v>
          </cell>
          <cell r="D773">
            <v>2</v>
          </cell>
          <cell r="E773">
            <v>2</v>
          </cell>
          <cell r="F773">
            <v>0</v>
          </cell>
          <cell r="H773">
            <v>0</v>
          </cell>
          <cell r="O773">
            <v>234033</v>
          </cell>
          <cell r="P773"/>
          <cell r="Q773" t="str">
            <v>EST ALMOFADA (GREEN COMPLIMENT 2 ED) (COD 120550128)</v>
          </cell>
          <cell r="R773"/>
          <cell r="S773"/>
          <cell r="T773">
            <v>0.5</v>
          </cell>
          <cell r="U773">
            <v>0.5</v>
          </cell>
          <cell r="V773">
            <v>0.15</v>
          </cell>
          <cell r="W773">
            <v>0</v>
          </cell>
          <cell r="X773" t="str">
            <v>EST ALMOFADA (GREEN COMPLIMENT 2 ED) (COD 120550128) - 0,5x0,5x0,15H</v>
          </cell>
          <cell r="Y773">
            <v>500</v>
          </cell>
          <cell r="Z773">
            <v>0.5</v>
          </cell>
          <cell r="AA773">
            <v>250</v>
          </cell>
          <cell r="AB773"/>
        </row>
        <row r="774">
          <cell r="C774">
            <v>1</v>
          </cell>
          <cell r="D774">
            <v>0</v>
          </cell>
          <cell r="E774">
            <v>0</v>
          </cell>
          <cell r="F774">
            <v>0</v>
          </cell>
          <cell r="H774">
            <v>0</v>
          </cell>
          <cell r="O774">
            <v>234035</v>
          </cell>
          <cell r="P774"/>
          <cell r="Q774" t="str">
            <v>EST ALMOFADA (PITANGA) (120550064)</v>
          </cell>
          <cell r="R774"/>
          <cell r="S774"/>
          <cell r="T774">
            <v>0.5</v>
          </cell>
          <cell r="U774">
            <v>0.5</v>
          </cell>
          <cell r="V774">
            <v>0.15</v>
          </cell>
          <cell r="W774">
            <v>0</v>
          </cell>
          <cell r="X774" t="str">
            <v>EST ALMOFADA (PITANGA) (120550064) - 0,5x0,5x0,15H</v>
          </cell>
          <cell r="Y774">
            <v>500</v>
          </cell>
          <cell r="Z774">
            <v>0.5</v>
          </cell>
          <cell r="AA774">
            <v>250</v>
          </cell>
          <cell r="AB774"/>
        </row>
        <row r="775">
          <cell r="C775">
            <v>1</v>
          </cell>
          <cell r="D775">
            <v>0</v>
          </cell>
          <cell r="E775">
            <v>0</v>
          </cell>
          <cell r="F775">
            <v>0</v>
          </cell>
          <cell r="H775">
            <v>0</v>
          </cell>
          <cell r="O775">
            <v>234035</v>
          </cell>
          <cell r="P775"/>
          <cell r="Q775" t="str">
            <v>EST ALMOFADA (PITANGA) (120550064)</v>
          </cell>
          <cell r="R775"/>
          <cell r="S775"/>
          <cell r="T775">
            <v>0.5</v>
          </cell>
          <cell r="U775">
            <v>0.5</v>
          </cell>
          <cell r="V775">
            <v>0.15</v>
          </cell>
          <cell r="W775">
            <v>0</v>
          </cell>
          <cell r="X775" t="str">
            <v>EST ALMOFADA (PITANGA) (120550064) - 0,5x0,5x0,15H</v>
          </cell>
          <cell r="Y775">
            <v>500</v>
          </cell>
          <cell r="Z775">
            <v>0.5</v>
          </cell>
          <cell r="AA775">
            <v>250</v>
          </cell>
          <cell r="AB775"/>
        </row>
        <row r="776">
          <cell r="C776">
            <v>1</v>
          </cell>
          <cell r="D776">
            <v>0</v>
          </cell>
          <cell r="E776">
            <v>0</v>
          </cell>
          <cell r="F776">
            <v>0</v>
          </cell>
          <cell r="H776">
            <v>0</v>
          </cell>
          <cell r="O776">
            <v>234035</v>
          </cell>
          <cell r="P776"/>
          <cell r="Q776" t="str">
            <v>EST ALMOFADA (PITANGA) (120550064)</v>
          </cell>
          <cell r="R776"/>
          <cell r="S776"/>
          <cell r="T776">
            <v>0.5</v>
          </cell>
          <cell r="U776">
            <v>0.5</v>
          </cell>
          <cell r="V776">
            <v>0.15</v>
          </cell>
          <cell r="W776">
            <v>0</v>
          </cell>
          <cell r="X776" t="str">
            <v>EST ALMOFADA (PITANGA) (120550064) - 0,5x0,5x0,15H</v>
          </cell>
          <cell r="Y776">
            <v>500</v>
          </cell>
          <cell r="Z776">
            <v>0.5</v>
          </cell>
          <cell r="AA776">
            <v>250</v>
          </cell>
          <cell r="AB776"/>
        </row>
        <row r="777">
          <cell r="C777">
            <v>2</v>
          </cell>
          <cell r="D777">
            <v>0</v>
          </cell>
          <cell r="E777">
            <v>0</v>
          </cell>
          <cell r="F777">
            <v>0</v>
          </cell>
          <cell r="H777">
            <v>0</v>
          </cell>
          <cell r="O777">
            <v>234039</v>
          </cell>
          <cell r="P777"/>
          <cell r="Q777" t="str">
            <v>EST ALMOFADA (GREY LINEN) (COR 110350039)</v>
          </cell>
          <cell r="R777"/>
          <cell r="S777"/>
          <cell r="T777">
            <v>0.5</v>
          </cell>
          <cell r="U777">
            <v>0.5</v>
          </cell>
          <cell r="V777">
            <v>0.15</v>
          </cell>
          <cell r="W777">
            <v>0</v>
          </cell>
          <cell r="X777" t="str">
            <v>EST ALMOFADA (GREY LINEN) (COR 110350039) - 0,5x0,5x0,15H</v>
          </cell>
          <cell r="Y777">
            <v>500</v>
          </cell>
          <cell r="Z777">
            <v>0.5</v>
          </cell>
          <cell r="AA777">
            <v>250</v>
          </cell>
          <cell r="AB777"/>
        </row>
        <row r="778">
          <cell r="C778">
            <v>2</v>
          </cell>
          <cell r="D778">
            <v>0</v>
          </cell>
          <cell r="E778">
            <v>0</v>
          </cell>
          <cell r="F778">
            <v>0</v>
          </cell>
          <cell r="H778">
            <v>0</v>
          </cell>
          <cell r="O778">
            <v>234039</v>
          </cell>
          <cell r="P778"/>
          <cell r="Q778" t="str">
            <v>EST ALMOFADA (GREY LINEN) (COR 110350039)</v>
          </cell>
          <cell r="R778"/>
          <cell r="S778"/>
          <cell r="T778">
            <v>0.5</v>
          </cell>
          <cell r="U778">
            <v>0.5</v>
          </cell>
          <cell r="V778">
            <v>0.15</v>
          </cell>
          <cell r="W778">
            <v>0</v>
          </cell>
          <cell r="X778" t="str">
            <v>EST ALMOFADA (GREY LINEN) (COR 110350039) - 0,5x0,5x0,15H</v>
          </cell>
          <cell r="Y778">
            <v>500</v>
          </cell>
          <cell r="Z778">
            <v>0.5</v>
          </cell>
          <cell r="AA778">
            <v>250</v>
          </cell>
          <cell r="AB778"/>
        </row>
        <row r="779">
          <cell r="C779">
            <v>2</v>
          </cell>
          <cell r="D779">
            <v>0</v>
          </cell>
          <cell r="E779">
            <v>0</v>
          </cell>
          <cell r="F779">
            <v>0</v>
          </cell>
          <cell r="H779">
            <v>0</v>
          </cell>
          <cell r="O779">
            <v>234039</v>
          </cell>
          <cell r="P779"/>
          <cell r="Q779" t="str">
            <v>EST ALMOFADA (GREY LINEN) (COR 110350039)</v>
          </cell>
          <cell r="R779"/>
          <cell r="S779"/>
          <cell r="T779">
            <v>0.5</v>
          </cell>
          <cell r="U779">
            <v>0.5</v>
          </cell>
          <cell r="V779">
            <v>0.15</v>
          </cell>
          <cell r="W779">
            <v>0</v>
          </cell>
          <cell r="X779" t="str">
            <v>EST ALMOFADA (GREY LINEN) (COR 110350039) - 0,5x0,5x0,15H</v>
          </cell>
          <cell r="Y779">
            <v>500</v>
          </cell>
          <cell r="Z779">
            <v>0.5</v>
          </cell>
          <cell r="AA779">
            <v>250</v>
          </cell>
          <cell r="AB779"/>
        </row>
        <row r="780">
          <cell r="C780">
            <v>2</v>
          </cell>
          <cell r="D780">
            <v>0</v>
          </cell>
          <cell r="E780">
            <v>0</v>
          </cell>
          <cell r="F780">
            <v>0</v>
          </cell>
          <cell r="H780">
            <v>0</v>
          </cell>
          <cell r="O780">
            <v>234039</v>
          </cell>
          <cell r="P780"/>
          <cell r="Q780" t="str">
            <v>EST ALMOFADA (GREY LINEN) (COR 110350039)</v>
          </cell>
          <cell r="R780"/>
          <cell r="S780"/>
          <cell r="T780">
            <v>0.5</v>
          </cell>
          <cell r="U780">
            <v>0.5</v>
          </cell>
          <cell r="V780">
            <v>0.15</v>
          </cell>
          <cell r="W780">
            <v>0</v>
          </cell>
          <cell r="X780" t="str">
            <v>EST ALMOFADA (GREY LINEN) (COR 110350039) - 0,5x0,5x0,15H</v>
          </cell>
          <cell r="Y780">
            <v>500</v>
          </cell>
          <cell r="Z780">
            <v>0.5</v>
          </cell>
          <cell r="AA780">
            <v>250</v>
          </cell>
          <cell r="AB780"/>
        </row>
        <row r="781">
          <cell r="C781">
            <v>1</v>
          </cell>
          <cell r="D781">
            <v>0</v>
          </cell>
          <cell r="E781">
            <v>0</v>
          </cell>
          <cell r="F781">
            <v>0</v>
          </cell>
          <cell r="H781">
            <v>0</v>
          </cell>
          <cell r="O781">
            <v>234045</v>
          </cell>
          <cell r="P781"/>
          <cell r="Q781" t="str">
            <v>EST ALMOFADA (FASHION DUMMY) (COD 110450007)</v>
          </cell>
          <cell r="R781"/>
          <cell r="S781"/>
          <cell r="T781">
            <v>0.5</v>
          </cell>
          <cell r="U781">
            <v>0.5</v>
          </cell>
          <cell r="V781">
            <v>0.15</v>
          </cell>
          <cell r="W781">
            <v>0</v>
          </cell>
          <cell r="X781" t="str">
            <v>EST ALMOFADA (FASHION DUMMY) (COD 110450007) - 0,5x0,5x0,15H</v>
          </cell>
          <cell r="Y781">
            <v>500</v>
          </cell>
          <cell r="Z781">
            <v>0.5</v>
          </cell>
          <cell r="AA781">
            <v>250</v>
          </cell>
          <cell r="AB781"/>
        </row>
        <row r="782">
          <cell r="C782">
            <v>4</v>
          </cell>
          <cell r="D782">
            <v>0</v>
          </cell>
          <cell r="E782">
            <v>0</v>
          </cell>
          <cell r="F782">
            <v>0</v>
          </cell>
          <cell r="H782">
            <v>0</v>
          </cell>
          <cell r="O782">
            <v>234048</v>
          </cell>
          <cell r="P782"/>
          <cell r="Q782" t="str">
            <v>EST ALMOFADA (TEXT B&amp;W LADO AVESSO) (COD 110650002)</v>
          </cell>
          <cell r="R782"/>
          <cell r="S782"/>
          <cell r="T782">
            <v>0.5</v>
          </cell>
          <cell r="U782">
            <v>0.5</v>
          </cell>
          <cell r="V782">
            <v>0.15</v>
          </cell>
          <cell r="W782">
            <v>0</v>
          </cell>
          <cell r="X782" t="str">
            <v>EST ALMOFADA (TEXT B&amp;W LADO AVESSO) (COD 110650002) - 0,5x0,5x0,15H</v>
          </cell>
          <cell r="Y782">
            <v>500</v>
          </cell>
          <cell r="Z782">
            <v>0.5</v>
          </cell>
          <cell r="AA782">
            <v>250</v>
          </cell>
          <cell r="AB782"/>
        </row>
        <row r="783">
          <cell r="C783">
            <v>4</v>
          </cell>
          <cell r="D783">
            <v>0</v>
          </cell>
          <cell r="E783">
            <v>0</v>
          </cell>
          <cell r="F783">
            <v>0</v>
          </cell>
          <cell r="H783">
            <v>0</v>
          </cell>
          <cell r="O783">
            <v>234048</v>
          </cell>
          <cell r="P783"/>
          <cell r="Q783" t="str">
            <v>EST ALMOFADA (TEXT B&amp;W LADO AVESSO) (COD 110650002)</v>
          </cell>
          <cell r="R783"/>
          <cell r="S783"/>
          <cell r="T783">
            <v>0.5</v>
          </cell>
          <cell r="U783">
            <v>0.5</v>
          </cell>
          <cell r="V783">
            <v>0.15</v>
          </cell>
          <cell r="W783">
            <v>0</v>
          </cell>
          <cell r="X783" t="str">
            <v>EST ALMOFADA (TEXT B&amp;W LADO AVESSO) (COD 110650002) - 0,5x0,5x0,15H</v>
          </cell>
          <cell r="Y783">
            <v>500</v>
          </cell>
          <cell r="Z783">
            <v>0.5</v>
          </cell>
          <cell r="AA783">
            <v>250</v>
          </cell>
          <cell r="AB783"/>
        </row>
        <row r="784">
          <cell r="C784">
            <v>4</v>
          </cell>
          <cell r="D784">
            <v>0</v>
          </cell>
          <cell r="E784">
            <v>0</v>
          </cell>
          <cell r="F784">
            <v>0</v>
          </cell>
          <cell r="H784">
            <v>0</v>
          </cell>
          <cell r="O784">
            <v>234048</v>
          </cell>
          <cell r="P784"/>
          <cell r="Q784" t="str">
            <v>EST ALMOFADA (TEXT B&amp;W LADO AVESSO) (COD 110650002)</v>
          </cell>
          <cell r="R784"/>
          <cell r="S784"/>
          <cell r="T784">
            <v>0.5</v>
          </cell>
          <cell r="U784">
            <v>0.5</v>
          </cell>
          <cell r="V784">
            <v>0.15</v>
          </cell>
          <cell r="W784">
            <v>0</v>
          </cell>
          <cell r="X784" t="str">
            <v>EST ALMOFADA (TEXT B&amp;W LADO AVESSO) (COD 110650002) - 0,5x0,5x0,15H</v>
          </cell>
          <cell r="Y784">
            <v>500</v>
          </cell>
          <cell r="Z784">
            <v>0.5</v>
          </cell>
          <cell r="AA784">
            <v>250</v>
          </cell>
          <cell r="AB784"/>
        </row>
        <row r="785">
          <cell r="C785">
            <v>4</v>
          </cell>
          <cell r="D785">
            <v>0</v>
          </cell>
          <cell r="E785">
            <v>0</v>
          </cell>
          <cell r="F785">
            <v>0</v>
          </cell>
          <cell r="H785">
            <v>0</v>
          </cell>
          <cell r="O785">
            <v>234048</v>
          </cell>
          <cell r="P785"/>
          <cell r="Q785" t="str">
            <v>EST ALMOFADA (TEXT B&amp;W LADO AVESSO) (COD 110650002)</v>
          </cell>
          <cell r="R785"/>
          <cell r="S785"/>
          <cell r="T785">
            <v>0.5</v>
          </cell>
          <cell r="U785">
            <v>0.5</v>
          </cell>
          <cell r="V785">
            <v>0.15</v>
          </cell>
          <cell r="W785">
            <v>0</v>
          </cell>
          <cell r="X785" t="str">
            <v>EST ALMOFADA (TEXT B&amp;W LADO AVESSO) (COD 110650002) - 0,5x0,5x0,15H</v>
          </cell>
          <cell r="Y785">
            <v>500</v>
          </cell>
          <cell r="Z785">
            <v>0.5</v>
          </cell>
          <cell r="AA785">
            <v>250</v>
          </cell>
          <cell r="AB785"/>
        </row>
        <row r="786">
          <cell r="C786">
            <v>5</v>
          </cell>
          <cell r="D786">
            <v>0</v>
          </cell>
          <cell r="E786">
            <v>0</v>
          </cell>
          <cell r="F786">
            <v>0</v>
          </cell>
          <cell r="H786">
            <v>0</v>
          </cell>
          <cell r="O786">
            <v>250139</v>
          </cell>
          <cell r="P786"/>
          <cell r="Q786" t="str">
            <v>EST ALMOFADA ONDAS (PONTO 31) (CINZA) (COD 4006)</v>
          </cell>
          <cell r="R786"/>
          <cell r="S786"/>
          <cell r="T786">
            <v>0.5</v>
          </cell>
          <cell r="U786">
            <v>0.5</v>
          </cell>
          <cell r="V786">
            <v>0.15</v>
          </cell>
          <cell r="W786">
            <v>0</v>
          </cell>
          <cell r="X786" t="str">
            <v>EST ALMOFADA ONDAS (PONTO 31) (CINZA) (COD 4006) - 0,5x0,5x0,15H</v>
          </cell>
          <cell r="Y786">
            <v>1200</v>
          </cell>
          <cell r="Z786">
            <v>0.5</v>
          </cell>
          <cell r="AA786">
            <v>600</v>
          </cell>
          <cell r="AB786"/>
        </row>
        <row r="787">
          <cell r="C787">
            <v>5</v>
          </cell>
          <cell r="D787">
            <v>0</v>
          </cell>
          <cell r="E787">
            <v>0</v>
          </cell>
          <cell r="F787">
            <v>0</v>
          </cell>
          <cell r="H787">
            <v>0</v>
          </cell>
          <cell r="O787">
            <v>250139</v>
          </cell>
          <cell r="P787"/>
          <cell r="Q787" t="str">
            <v>EST ALMOFADA ONDAS (PONTO 31) (CINZA) (COD 4006)</v>
          </cell>
          <cell r="R787"/>
          <cell r="S787"/>
          <cell r="T787">
            <v>0.5</v>
          </cell>
          <cell r="U787">
            <v>0.5</v>
          </cell>
          <cell r="V787">
            <v>0.15</v>
          </cell>
          <cell r="W787">
            <v>0</v>
          </cell>
          <cell r="X787" t="str">
            <v>EST ALMOFADA ONDAS (PONTO 31) (CINZA) (COD 4006) - 0,5x0,5x0,15H</v>
          </cell>
          <cell r="Y787">
            <v>1200</v>
          </cell>
          <cell r="Z787">
            <v>0.5</v>
          </cell>
          <cell r="AA787">
            <v>600</v>
          </cell>
          <cell r="AB787"/>
        </row>
        <row r="788">
          <cell r="C788">
            <v>4</v>
          </cell>
          <cell r="D788">
            <v>0</v>
          </cell>
          <cell r="E788">
            <v>0</v>
          </cell>
          <cell r="F788">
            <v>0</v>
          </cell>
          <cell r="H788">
            <v>0</v>
          </cell>
          <cell r="O788">
            <v>250140</v>
          </cell>
          <cell r="P788"/>
          <cell r="Q788" t="str">
            <v>EST ALMOFADA ONDAS (PONTO X) (ROSE) (COD 4006)</v>
          </cell>
          <cell r="R788"/>
          <cell r="S788"/>
          <cell r="T788">
            <v>0.5</v>
          </cell>
          <cell r="U788">
            <v>0.5</v>
          </cell>
          <cell r="V788">
            <v>0.15</v>
          </cell>
          <cell r="W788">
            <v>0</v>
          </cell>
          <cell r="X788" t="str">
            <v>EST ALMOFADA ONDAS (PONTO X) (ROSE) (COD 4006) - 0,5x0,5x0,15H</v>
          </cell>
          <cell r="Y788">
            <v>1200</v>
          </cell>
          <cell r="Z788">
            <v>0.5</v>
          </cell>
          <cell r="AA788">
            <v>600</v>
          </cell>
          <cell r="AB788"/>
        </row>
        <row r="789">
          <cell r="C789">
            <v>4</v>
          </cell>
          <cell r="D789">
            <v>0</v>
          </cell>
          <cell r="E789">
            <v>0</v>
          </cell>
          <cell r="F789">
            <v>0</v>
          </cell>
          <cell r="H789">
            <v>0</v>
          </cell>
          <cell r="O789">
            <v>250140</v>
          </cell>
          <cell r="P789"/>
          <cell r="Q789" t="str">
            <v>EST ALMOFADA ONDAS (PONTO X) (ROSE) (COD 4006)</v>
          </cell>
          <cell r="R789"/>
          <cell r="S789"/>
          <cell r="T789">
            <v>0.5</v>
          </cell>
          <cell r="U789">
            <v>0.5</v>
          </cell>
          <cell r="V789">
            <v>0.15</v>
          </cell>
          <cell r="W789">
            <v>0</v>
          </cell>
          <cell r="X789" t="str">
            <v>EST ALMOFADA ONDAS (PONTO X) (ROSE) (COD 4006) - 0,5x0,5x0,15H</v>
          </cell>
          <cell r="Y789">
            <v>1200</v>
          </cell>
          <cell r="Z789">
            <v>0.5</v>
          </cell>
          <cell r="AA789">
            <v>600</v>
          </cell>
          <cell r="AB789"/>
        </row>
        <row r="790">
          <cell r="C790">
            <v>4</v>
          </cell>
          <cell r="D790">
            <v>0</v>
          </cell>
          <cell r="E790">
            <v>0</v>
          </cell>
          <cell r="F790">
            <v>0</v>
          </cell>
          <cell r="H790">
            <v>0</v>
          </cell>
          <cell r="O790">
            <v>250140</v>
          </cell>
          <cell r="P790"/>
          <cell r="Q790" t="str">
            <v>EST ALMOFADA ONDAS (PONTO X) (ROSE) (COD 4006)</v>
          </cell>
          <cell r="R790"/>
          <cell r="S790"/>
          <cell r="T790">
            <v>0.5</v>
          </cell>
          <cell r="U790">
            <v>0.5</v>
          </cell>
          <cell r="V790">
            <v>0.15</v>
          </cell>
          <cell r="W790">
            <v>0</v>
          </cell>
          <cell r="X790" t="str">
            <v>EST ALMOFADA ONDAS (PONTO X) (ROSE) (COD 4006) - 0,5x0,5x0,15H</v>
          </cell>
          <cell r="Y790">
            <v>1200</v>
          </cell>
          <cell r="Z790">
            <v>0.5</v>
          </cell>
          <cell r="AA790">
            <v>600</v>
          </cell>
          <cell r="AB790"/>
        </row>
        <row r="791">
          <cell r="C791">
            <v>4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250140</v>
          </cell>
          <cell r="P791"/>
          <cell r="Q791" t="str">
            <v>EST ALMOFADA ONDAS (PONTO X) (ROSE) (COD 4006)</v>
          </cell>
          <cell r="R791"/>
          <cell r="S791"/>
          <cell r="T791">
            <v>0.5</v>
          </cell>
          <cell r="U791">
            <v>0.5</v>
          </cell>
          <cell r="V791">
            <v>0.15</v>
          </cell>
          <cell r="W791">
            <v>0</v>
          </cell>
          <cell r="X791" t="str">
            <v>EST ALMOFADA ONDAS (PONTO X) (ROSE) (COD 4006) - 0,5x0,5x0,15H</v>
          </cell>
          <cell r="Y791">
            <v>1200</v>
          </cell>
          <cell r="Z791">
            <v>0.5</v>
          </cell>
          <cell r="AA791">
            <v>600</v>
          </cell>
          <cell r="AB791"/>
        </row>
        <row r="792">
          <cell r="C792">
            <v>1</v>
          </cell>
          <cell r="D792">
            <v>0</v>
          </cell>
          <cell r="E792">
            <v>0</v>
          </cell>
          <cell r="F792">
            <v>0</v>
          </cell>
          <cell r="H792">
            <v>0</v>
          </cell>
          <cell r="O792">
            <v>252450</v>
          </cell>
          <cell r="P792"/>
          <cell r="Q792" t="str">
            <v>EST MANTA DOHA (AZUL)</v>
          </cell>
          <cell r="R792"/>
          <cell r="S792"/>
          <cell r="T792">
            <v>1.7</v>
          </cell>
          <cell r="U792">
            <v>1.3</v>
          </cell>
          <cell r="V792">
            <v>0.01</v>
          </cell>
          <cell r="W792">
            <v>0</v>
          </cell>
          <cell r="X792" t="str">
            <v>EST MANTA DOHA (AZUL) - 1,7x1,3x0,01H</v>
          </cell>
          <cell r="Y792">
            <v>500</v>
          </cell>
          <cell r="Z792">
            <v>0.5</v>
          </cell>
          <cell r="AA792">
            <v>250</v>
          </cell>
          <cell r="AB792"/>
        </row>
        <row r="793">
          <cell r="C793">
            <v>1</v>
          </cell>
          <cell r="D793">
            <v>0</v>
          </cell>
          <cell r="E793">
            <v>0</v>
          </cell>
          <cell r="F793">
            <v>0</v>
          </cell>
          <cell r="H793">
            <v>0</v>
          </cell>
          <cell r="O793">
            <v>252450</v>
          </cell>
          <cell r="P793"/>
          <cell r="Q793" t="str">
            <v>EST MANTA DOHA (AZUL)</v>
          </cell>
          <cell r="R793"/>
          <cell r="S793"/>
          <cell r="T793">
            <v>1.7</v>
          </cell>
          <cell r="U793">
            <v>1.3</v>
          </cell>
          <cell r="V793">
            <v>0.01</v>
          </cell>
          <cell r="W793">
            <v>0</v>
          </cell>
          <cell r="X793" t="str">
            <v>EST MANTA DOHA (AZUL) - 1,7x1,3x0,01H</v>
          </cell>
          <cell r="Y793">
            <v>500</v>
          </cell>
          <cell r="Z793">
            <v>0.5</v>
          </cell>
          <cell r="AA793">
            <v>250</v>
          </cell>
          <cell r="AB793"/>
        </row>
        <row r="794">
          <cell r="C794">
            <v>4</v>
          </cell>
          <cell r="D794">
            <v>0</v>
          </cell>
          <cell r="E794">
            <v>0</v>
          </cell>
          <cell r="F794">
            <v>0</v>
          </cell>
          <cell r="H794">
            <v>0</v>
          </cell>
          <cell r="O794">
            <v>252451</v>
          </cell>
          <cell r="P794"/>
          <cell r="Q794" t="str">
            <v>EST MANTA DOHA (LARANJA)</v>
          </cell>
          <cell r="R794"/>
          <cell r="S794"/>
          <cell r="T794">
            <v>1.7</v>
          </cell>
          <cell r="U794">
            <v>1.3</v>
          </cell>
          <cell r="V794">
            <v>0.01</v>
          </cell>
          <cell r="W794">
            <v>0</v>
          </cell>
          <cell r="X794" t="str">
            <v>EST MANTA DOHA (LARANJA) - 1,7x1,3x0,01H</v>
          </cell>
          <cell r="Y794">
            <v>500</v>
          </cell>
          <cell r="Z794">
            <v>0.5</v>
          </cell>
          <cell r="AA794">
            <v>250</v>
          </cell>
          <cell r="AB794"/>
        </row>
        <row r="795">
          <cell r="C795">
            <v>4</v>
          </cell>
          <cell r="D795">
            <v>0</v>
          </cell>
          <cell r="E795">
            <v>0</v>
          </cell>
          <cell r="F795">
            <v>0</v>
          </cell>
          <cell r="H795">
            <v>0</v>
          </cell>
          <cell r="O795">
            <v>252451</v>
          </cell>
          <cell r="P795"/>
          <cell r="Q795" t="str">
            <v>EST MANTA DOHA (LARANJA)</v>
          </cell>
          <cell r="R795"/>
          <cell r="S795"/>
          <cell r="T795">
            <v>1.7</v>
          </cell>
          <cell r="U795">
            <v>1.3</v>
          </cell>
          <cell r="V795">
            <v>0.01</v>
          </cell>
          <cell r="W795">
            <v>0</v>
          </cell>
          <cell r="X795" t="str">
            <v>EST MANTA DOHA (LARANJA) - 1,7x1,3x0,01H</v>
          </cell>
          <cell r="Y795">
            <v>500</v>
          </cell>
          <cell r="Z795">
            <v>0.5</v>
          </cell>
          <cell r="AA795">
            <v>250</v>
          </cell>
          <cell r="AB795"/>
        </row>
        <row r="796">
          <cell r="C796">
            <v>4</v>
          </cell>
          <cell r="D796">
            <v>0</v>
          </cell>
          <cell r="E796">
            <v>0</v>
          </cell>
          <cell r="F796">
            <v>0</v>
          </cell>
          <cell r="H796">
            <v>0</v>
          </cell>
          <cell r="O796">
            <v>252451</v>
          </cell>
          <cell r="P796"/>
          <cell r="Q796" t="str">
            <v>EST MANTA DOHA (LARANJA)</v>
          </cell>
          <cell r="R796"/>
          <cell r="S796"/>
          <cell r="T796">
            <v>1.7</v>
          </cell>
          <cell r="U796">
            <v>1.3</v>
          </cell>
          <cell r="V796">
            <v>0.01</v>
          </cell>
          <cell r="W796">
            <v>0</v>
          </cell>
          <cell r="X796" t="str">
            <v>EST MANTA DOHA (LARANJA) - 1,7x1,3x0,01H</v>
          </cell>
          <cell r="Y796">
            <v>500</v>
          </cell>
          <cell r="Z796">
            <v>0.5</v>
          </cell>
          <cell r="AA796">
            <v>250</v>
          </cell>
          <cell r="AB796"/>
        </row>
        <row r="797">
          <cell r="C797">
            <v>4</v>
          </cell>
          <cell r="D797">
            <v>0</v>
          </cell>
          <cell r="E797">
            <v>0</v>
          </cell>
          <cell r="F797">
            <v>0</v>
          </cell>
          <cell r="H797">
            <v>0</v>
          </cell>
          <cell r="O797">
            <v>252451</v>
          </cell>
          <cell r="P797"/>
          <cell r="Q797" t="str">
            <v>EST MANTA DOHA (LARANJA)</v>
          </cell>
          <cell r="R797"/>
          <cell r="S797"/>
          <cell r="T797">
            <v>1.7</v>
          </cell>
          <cell r="U797">
            <v>1.3</v>
          </cell>
          <cell r="V797">
            <v>0.01</v>
          </cell>
          <cell r="W797">
            <v>0</v>
          </cell>
          <cell r="X797" t="str">
            <v>EST MANTA DOHA (LARANJA) - 1,7x1,3x0,01H</v>
          </cell>
          <cell r="Y797">
            <v>500</v>
          </cell>
          <cell r="Z797">
            <v>0.5</v>
          </cell>
          <cell r="AA797">
            <v>250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0</v>
          </cell>
          <cell r="H798">
            <v>0</v>
          </cell>
          <cell r="O798">
            <v>252451</v>
          </cell>
          <cell r="P798"/>
          <cell r="Q798" t="str">
            <v>EST MANTA DOHA (LARANJA)</v>
          </cell>
          <cell r="R798"/>
          <cell r="S798"/>
          <cell r="T798">
            <v>1.7</v>
          </cell>
          <cell r="U798">
            <v>1.3</v>
          </cell>
          <cell r="V798">
            <v>0.01</v>
          </cell>
          <cell r="W798">
            <v>0</v>
          </cell>
          <cell r="X798" t="str">
            <v>EST MANTA DOHA (LARANJA) - 1,7x1,3x0,01H</v>
          </cell>
          <cell r="Y798">
            <v>500</v>
          </cell>
          <cell r="Z798">
            <v>0.5</v>
          </cell>
          <cell r="AA798">
            <v>250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0</v>
          </cell>
          <cell r="H799">
            <v>0</v>
          </cell>
          <cell r="O799">
            <v>252451</v>
          </cell>
          <cell r="P799"/>
          <cell r="Q799" t="str">
            <v>EST MANTA DOHA (LARANJA)</v>
          </cell>
          <cell r="R799"/>
          <cell r="S799"/>
          <cell r="T799">
            <v>1.7</v>
          </cell>
          <cell r="U799">
            <v>1.3</v>
          </cell>
          <cell r="V799">
            <v>0.01</v>
          </cell>
          <cell r="W799">
            <v>0</v>
          </cell>
          <cell r="X799" t="str">
            <v>EST MANTA DOHA (LARANJA) - 1,7x1,3x0,01H</v>
          </cell>
          <cell r="Y799">
            <v>500</v>
          </cell>
          <cell r="Z799">
            <v>0.5</v>
          </cell>
          <cell r="AA799">
            <v>250</v>
          </cell>
          <cell r="AB799"/>
        </row>
        <row r="800">
          <cell r="C800">
            <v>2</v>
          </cell>
          <cell r="D800">
            <v>0</v>
          </cell>
          <cell r="E800">
            <v>0</v>
          </cell>
          <cell r="F800">
            <v>0</v>
          </cell>
          <cell r="H800">
            <v>0</v>
          </cell>
          <cell r="O800">
            <v>265897</v>
          </cell>
          <cell r="P800"/>
          <cell r="Q800" t="str">
            <v>EST ALMOFADA MACRAME (MARINHO)</v>
          </cell>
          <cell r="R800"/>
          <cell r="S800"/>
          <cell r="T800">
            <v>0.5</v>
          </cell>
          <cell r="U800">
            <v>0.5</v>
          </cell>
          <cell r="V800">
            <v>0.15</v>
          </cell>
          <cell r="W800">
            <v>0</v>
          </cell>
          <cell r="X800" t="str">
            <v>EST ALMOFADA MACRAME (MARINHO) - 0,5x0,5x0,15H</v>
          </cell>
          <cell r="Y800">
            <v>1200</v>
          </cell>
          <cell r="Z800">
            <v>0.5</v>
          </cell>
          <cell r="AA800">
            <v>600</v>
          </cell>
          <cell r="AB800"/>
        </row>
        <row r="801">
          <cell r="C801">
            <v>2</v>
          </cell>
          <cell r="D801">
            <v>0</v>
          </cell>
          <cell r="E801">
            <v>0</v>
          </cell>
          <cell r="F801">
            <v>0</v>
          </cell>
          <cell r="H801">
            <v>0</v>
          </cell>
          <cell r="O801">
            <v>265897</v>
          </cell>
          <cell r="P801"/>
          <cell r="Q801" t="str">
            <v>EST ALMOFADA MACRAME (MARINHO)</v>
          </cell>
          <cell r="R801"/>
          <cell r="S801"/>
          <cell r="T801">
            <v>0.5</v>
          </cell>
          <cell r="U801">
            <v>0.5</v>
          </cell>
          <cell r="V801">
            <v>0.15</v>
          </cell>
          <cell r="W801">
            <v>0</v>
          </cell>
          <cell r="X801" t="str">
            <v>EST ALMOFADA MACRAME (MARINHO) - 0,5x0,5x0,15H</v>
          </cell>
          <cell r="Y801">
            <v>1200</v>
          </cell>
          <cell r="Z801">
            <v>0.5</v>
          </cell>
          <cell r="AA801">
            <v>600</v>
          </cell>
          <cell r="AB801"/>
        </row>
        <row r="802">
          <cell r="C802">
            <v>1</v>
          </cell>
          <cell r="D802">
            <v>0</v>
          </cell>
          <cell r="E802">
            <v>0</v>
          </cell>
          <cell r="F802">
            <v>0</v>
          </cell>
          <cell r="H802">
            <v>0</v>
          </cell>
          <cell r="O802">
            <v>265899</v>
          </cell>
          <cell r="P802"/>
          <cell r="Q802" t="str">
            <v>EST ALMOFADA PLAIN (TELHA)</v>
          </cell>
          <cell r="R802"/>
          <cell r="S802"/>
          <cell r="T802">
            <v>0.5</v>
          </cell>
          <cell r="U802">
            <v>0.5</v>
          </cell>
          <cell r="V802">
            <v>0.15</v>
          </cell>
          <cell r="W802">
            <v>0</v>
          </cell>
          <cell r="X802" t="str">
            <v>EST ALMOFADA PLAIN (TELHA) - 0,5x0,5x0,15H</v>
          </cell>
          <cell r="Y802">
            <v>500</v>
          </cell>
          <cell r="Z802">
            <v>0.5</v>
          </cell>
          <cell r="AA802">
            <v>250</v>
          </cell>
          <cell r="AB802"/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H803">
            <v>0</v>
          </cell>
          <cell r="O803">
            <v>271503</v>
          </cell>
          <cell r="P803"/>
          <cell r="Q803" t="str">
            <v>EST MANTA AGAR (ALGODAO) (CAMELO)</v>
          </cell>
          <cell r="R803"/>
          <cell r="S803"/>
          <cell r="T803">
            <v>1.87</v>
          </cell>
          <cell r="U803">
            <v>1.3</v>
          </cell>
          <cell r="V803">
            <v>0.01</v>
          </cell>
          <cell r="W803">
            <v>0</v>
          </cell>
          <cell r="X803" t="str">
            <v>EST MANTA AGAR (ALGODAO) (CAMELO) - 1,87x1,3x0,01H</v>
          </cell>
          <cell r="Y803">
            <v>500</v>
          </cell>
          <cell r="Z803">
            <v>0.5</v>
          </cell>
          <cell r="AA803">
            <v>250</v>
          </cell>
          <cell r="AB803"/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H804">
            <v>0</v>
          </cell>
          <cell r="O804">
            <v>271503</v>
          </cell>
          <cell r="P804"/>
          <cell r="Q804" t="str">
            <v>EST MANTA AGAR (ALGODAO) (CAMELO)</v>
          </cell>
          <cell r="R804"/>
          <cell r="S804"/>
          <cell r="T804">
            <v>1.87</v>
          </cell>
          <cell r="U804">
            <v>1.3</v>
          </cell>
          <cell r="V804">
            <v>0.01</v>
          </cell>
          <cell r="W804">
            <v>0</v>
          </cell>
          <cell r="X804" t="str">
            <v>EST MANTA AGAR (ALGODAO) (CAMELO) - 1,87x1,3x0,01H</v>
          </cell>
          <cell r="Y804">
            <v>500</v>
          </cell>
          <cell r="Z804">
            <v>0.5</v>
          </cell>
          <cell r="AA804">
            <v>250</v>
          </cell>
          <cell r="AB804"/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H805">
            <v>0</v>
          </cell>
          <cell r="O805">
            <v>271503</v>
          </cell>
          <cell r="P805"/>
          <cell r="Q805" t="str">
            <v>EST MANTA AGAR (ALGODAO) (CAMELO)</v>
          </cell>
          <cell r="R805"/>
          <cell r="S805"/>
          <cell r="T805">
            <v>1.87</v>
          </cell>
          <cell r="U805">
            <v>1.3</v>
          </cell>
          <cell r="V805">
            <v>0.01</v>
          </cell>
          <cell r="W805">
            <v>0</v>
          </cell>
          <cell r="X805" t="str">
            <v>EST MANTA AGAR (ALGODAO) (CAMELO) - 1,87x1,3x0,01H</v>
          </cell>
          <cell r="Y805">
            <v>500</v>
          </cell>
          <cell r="Z805">
            <v>0.5</v>
          </cell>
          <cell r="AA805">
            <v>250</v>
          </cell>
          <cell r="AB805"/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H806">
            <v>0</v>
          </cell>
          <cell r="O806">
            <v>271503</v>
          </cell>
          <cell r="P806"/>
          <cell r="Q806" t="str">
            <v>EST MANTA AGAR (ALGODAO) (CAMELO)</v>
          </cell>
          <cell r="R806"/>
          <cell r="S806"/>
          <cell r="T806">
            <v>1.87</v>
          </cell>
          <cell r="U806">
            <v>1.3</v>
          </cell>
          <cell r="V806">
            <v>0.01</v>
          </cell>
          <cell r="W806">
            <v>0</v>
          </cell>
          <cell r="X806" t="str">
            <v>EST MANTA AGAR (ALGODAO) (CAMELO) - 1,87x1,3x0,01H</v>
          </cell>
          <cell r="Y806">
            <v>500</v>
          </cell>
          <cell r="Z806">
            <v>0.5</v>
          </cell>
          <cell r="AA806">
            <v>250</v>
          </cell>
          <cell r="AB806"/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271503</v>
          </cell>
          <cell r="P807"/>
          <cell r="Q807" t="str">
            <v>EST MANTA AGAR (ALGODAO) (CAMELO)</v>
          </cell>
          <cell r="R807"/>
          <cell r="S807"/>
          <cell r="T807">
            <v>1.87</v>
          </cell>
          <cell r="U807">
            <v>1.3</v>
          </cell>
          <cell r="V807">
            <v>0.01</v>
          </cell>
          <cell r="W807">
            <v>0</v>
          </cell>
          <cell r="X807" t="str">
            <v>EST MANTA AGAR (ALGODAO) (CAMELO) - 1,87x1,3x0,01H</v>
          </cell>
          <cell r="Y807">
            <v>500</v>
          </cell>
          <cell r="Z807">
            <v>0.5</v>
          </cell>
          <cell r="AA807">
            <v>250</v>
          </cell>
          <cell r="AB807"/>
        </row>
        <row r="808">
          <cell r="C808">
            <v>5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271504</v>
          </cell>
          <cell r="P808"/>
          <cell r="Q808" t="str">
            <v>EST MANTA TAHIN (ALGODAO) (VERDE)</v>
          </cell>
          <cell r="R808"/>
          <cell r="S808"/>
          <cell r="T808">
            <v>1.7</v>
          </cell>
          <cell r="U808">
            <v>1.3</v>
          </cell>
          <cell r="V808">
            <v>0.01</v>
          </cell>
          <cell r="W808">
            <v>0</v>
          </cell>
          <cell r="X808" t="str">
            <v>EST MANTA TAHIN (ALGODAO) (VERDE) - 1,7x1,3x0,01H</v>
          </cell>
          <cell r="Y808">
            <v>500</v>
          </cell>
          <cell r="Z808">
            <v>0.5</v>
          </cell>
          <cell r="AA808">
            <v>250</v>
          </cell>
          <cell r="AB808"/>
        </row>
        <row r="809">
          <cell r="C809">
            <v>5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271504</v>
          </cell>
          <cell r="P809"/>
          <cell r="Q809" t="str">
            <v>EST MANTA TAHIN (ALGODAO) (VERDE)</v>
          </cell>
          <cell r="R809"/>
          <cell r="S809"/>
          <cell r="T809">
            <v>1.7</v>
          </cell>
          <cell r="U809">
            <v>1.3</v>
          </cell>
          <cell r="V809">
            <v>0.01</v>
          </cell>
          <cell r="W809">
            <v>0</v>
          </cell>
          <cell r="X809" t="str">
            <v>EST MANTA TAHIN (ALGODAO) (VERDE) - 1,7x1,3x0,01H</v>
          </cell>
          <cell r="Y809">
            <v>500</v>
          </cell>
          <cell r="Z809">
            <v>0.5</v>
          </cell>
          <cell r="AA809">
            <v>250</v>
          </cell>
          <cell r="AB809"/>
        </row>
        <row r="810">
          <cell r="C810">
            <v>5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271504</v>
          </cell>
          <cell r="P810"/>
          <cell r="Q810" t="str">
            <v>EST MANTA TAHIN (ALGODAO) (VERDE)</v>
          </cell>
          <cell r="R810"/>
          <cell r="S810"/>
          <cell r="T810">
            <v>1.7</v>
          </cell>
          <cell r="U810">
            <v>1.3</v>
          </cell>
          <cell r="V810">
            <v>0.01</v>
          </cell>
          <cell r="W810">
            <v>0</v>
          </cell>
          <cell r="X810" t="str">
            <v>EST MANTA TAHIN (ALGODAO) (VERDE) - 1,7x1,3x0,01H</v>
          </cell>
          <cell r="Y810">
            <v>500</v>
          </cell>
          <cell r="Z810">
            <v>0.5</v>
          </cell>
          <cell r="AA810">
            <v>250</v>
          </cell>
          <cell r="AB810"/>
        </row>
        <row r="811">
          <cell r="C811">
            <v>5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271504</v>
          </cell>
          <cell r="P811"/>
          <cell r="Q811" t="str">
            <v>EST MANTA TAHIN (ALGODAO) (VERDE)</v>
          </cell>
          <cell r="R811"/>
          <cell r="S811"/>
          <cell r="T811">
            <v>1.7</v>
          </cell>
          <cell r="U811">
            <v>1.3</v>
          </cell>
          <cell r="V811">
            <v>0.01</v>
          </cell>
          <cell r="W811">
            <v>0</v>
          </cell>
          <cell r="X811" t="str">
            <v>EST MANTA TAHIN (ALGODAO) (VERDE) - 1,7x1,3x0,01H</v>
          </cell>
          <cell r="Y811">
            <v>500</v>
          </cell>
          <cell r="Z811">
            <v>0.5</v>
          </cell>
          <cell r="AA811">
            <v>250</v>
          </cell>
          <cell r="AB811"/>
        </row>
        <row r="812">
          <cell r="C812">
            <v>5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271504</v>
          </cell>
          <cell r="P812"/>
          <cell r="Q812" t="str">
            <v>EST MANTA TAHIN (ALGODAO) (VERDE)</v>
          </cell>
          <cell r="R812"/>
          <cell r="S812"/>
          <cell r="T812">
            <v>1.7</v>
          </cell>
          <cell r="U812">
            <v>1.3</v>
          </cell>
          <cell r="V812">
            <v>0.01</v>
          </cell>
          <cell r="W812">
            <v>0</v>
          </cell>
          <cell r="X812" t="str">
            <v>EST MANTA TAHIN (ALGODAO) (VERDE) - 1,7x1,3x0,01H</v>
          </cell>
          <cell r="Y812">
            <v>500</v>
          </cell>
          <cell r="Z812">
            <v>0.5</v>
          </cell>
          <cell r="AA812">
            <v>250</v>
          </cell>
          <cell r="AB812"/>
        </row>
        <row r="813">
          <cell r="C813">
            <v>4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271505</v>
          </cell>
          <cell r="P813"/>
          <cell r="Q813" t="str">
            <v>EST MANTA DOHA (ALGODAO) (AMARELO)</v>
          </cell>
          <cell r="R813"/>
          <cell r="S813"/>
          <cell r="T813">
            <v>1.7</v>
          </cell>
          <cell r="U813">
            <v>1.3</v>
          </cell>
          <cell r="V813">
            <v>0.01</v>
          </cell>
          <cell r="W813">
            <v>0</v>
          </cell>
          <cell r="X813" t="str">
            <v>EST MANTA DOHA (ALGODAO) (AMARELO) - 1,7x1,3x0,01H</v>
          </cell>
          <cell r="Y813">
            <v>500</v>
          </cell>
          <cell r="Z813">
            <v>0.5</v>
          </cell>
          <cell r="AA813">
            <v>250</v>
          </cell>
          <cell r="AB813"/>
        </row>
        <row r="814">
          <cell r="C814">
            <v>4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271505</v>
          </cell>
          <cell r="P814"/>
          <cell r="Q814" t="str">
            <v>EST MANTA DOHA (ALGODAO) (AMARELO)</v>
          </cell>
          <cell r="R814"/>
          <cell r="S814"/>
          <cell r="T814">
            <v>1.7</v>
          </cell>
          <cell r="U814">
            <v>1.3</v>
          </cell>
          <cell r="V814">
            <v>0.01</v>
          </cell>
          <cell r="W814">
            <v>0</v>
          </cell>
          <cell r="X814" t="str">
            <v>EST MANTA DOHA (ALGODAO) (AMARELO) - 1,7x1,3x0,01H</v>
          </cell>
          <cell r="Y814">
            <v>500</v>
          </cell>
          <cell r="Z814">
            <v>0.5</v>
          </cell>
          <cell r="AA814">
            <v>250</v>
          </cell>
          <cell r="AB814"/>
        </row>
        <row r="815">
          <cell r="C815">
            <v>4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271505</v>
          </cell>
          <cell r="P815"/>
          <cell r="Q815" t="str">
            <v>EST MANTA DOHA (ALGODAO) (AMARELO)</v>
          </cell>
          <cell r="R815"/>
          <cell r="S815"/>
          <cell r="T815">
            <v>1.7</v>
          </cell>
          <cell r="U815">
            <v>1.3</v>
          </cell>
          <cell r="V815">
            <v>0.01</v>
          </cell>
          <cell r="W815">
            <v>0</v>
          </cell>
          <cell r="X815" t="str">
            <v>EST MANTA DOHA (ALGODAO) (AMARELO) - 1,7x1,3x0,01H</v>
          </cell>
          <cell r="Y815">
            <v>500</v>
          </cell>
          <cell r="Z815">
            <v>0.5</v>
          </cell>
          <cell r="AA815">
            <v>250</v>
          </cell>
          <cell r="AB815"/>
        </row>
        <row r="816">
          <cell r="C816">
            <v>4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271505</v>
          </cell>
          <cell r="P816"/>
          <cell r="Q816" t="str">
            <v>EST MANTA DOHA (ALGODAO) (AMARELO)</v>
          </cell>
          <cell r="R816"/>
          <cell r="S816"/>
          <cell r="T816">
            <v>1.7</v>
          </cell>
          <cell r="U816">
            <v>1.3</v>
          </cell>
          <cell r="V816">
            <v>0.01</v>
          </cell>
          <cell r="W816">
            <v>0</v>
          </cell>
          <cell r="X816" t="str">
            <v>EST MANTA DOHA (ALGODAO) (AMARELO) - 1,7x1,3x0,01H</v>
          </cell>
          <cell r="Y816">
            <v>500</v>
          </cell>
          <cell r="Z816">
            <v>0.5</v>
          </cell>
          <cell r="AA816">
            <v>250</v>
          </cell>
          <cell r="AB816"/>
        </row>
        <row r="817">
          <cell r="C817">
            <v>4</v>
          </cell>
          <cell r="D817">
            <v>0</v>
          </cell>
          <cell r="E817">
            <v>0</v>
          </cell>
          <cell r="F817">
            <v>0</v>
          </cell>
          <cell r="H817">
            <v>0</v>
          </cell>
          <cell r="O817">
            <v>271505</v>
          </cell>
          <cell r="P817"/>
          <cell r="Q817" t="str">
            <v>EST MANTA DOHA (ALGODAO) (AMARELO)</v>
          </cell>
          <cell r="R817"/>
          <cell r="S817"/>
          <cell r="T817">
            <v>1.7</v>
          </cell>
          <cell r="U817">
            <v>1.3</v>
          </cell>
          <cell r="V817">
            <v>0.01</v>
          </cell>
          <cell r="W817">
            <v>0</v>
          </cell>
          <cell r="X817" t="str">
            <v>EST MANTA DOHA (ALGODAO) (AMARELO) - 1,7x1,3x0,01H</v>
          </cell>
          <cell r="Y817">
            <v>500</v>
          </cell>
          <cell r="Z817">
            <v>0.5</v>
          </cell>
          <cell r="AA817">
            <v>250</v>
          </cell>
          <cell r="AB817"/>
        </row>
        <row r="818">
          <cell r="C818">
            <v>2</v>
          </cell>
          <cell r="D818">
            <v>2</v>
          </cell>
          <cell r="E818">
            <v>0</v>
          </cell>
          <cell r="F818">
            <v>0</v>
          </cell>
          <cell r="H818">
            <v>0</v>
          </cell>
          <cell r="O818">
            <v>271506</v>
          </cell>
          <cell r="P818"/>
          <cell r="Q818" t="str">
            <v>EST MANTA ZARGA (ALGODAO) (NATURAL E CINZA)</v>
          </cell>
          <cell r="R818"/>
          <cell r="S818"/>
          <cell r="T818">
            <v>1.97</v>
          </cell>
          <cell r="U818">
            <v>1.4</v>
          </cell>
          <cell r="V818">
            <v>0.01</v>
          </cell>
          <cell r="W818">
            <v>0</v>
          </cell>
          <cell r="X818" t="str">
            <v>EST MANTA ZARGA (ALGODAO) (NATURAL E CINZA) - 1,97x1,4x0,01H</v>
          </cell>
          <cell r="Y818">
            <v>500</v>
          </cell>
          <cell r="Z818">
            <v>0.5</v>
          </cell>
          <cell r="AA818">
            <v>250</v>
          </cell>
          <cell r="AB818"/>
        </row>
        <row r="819">
          <cell r="C819">
            <v>2</v>
          </cell>
          <cell r="D819">
            <v>2</v>
          </cell>
          <cell r="E819">
            <v>0</v>
          </cell>
          <cell r="F819">
            <v>0</v>
          </cell>
          <cell r="H819">
            <v>0</v>
          </cell>
          <cell r="O819">
            <v>271506</v>
          </cell>
          <cell r="P819"/>
          <cell r="Q819" t="str">
            <v>EST MANTA ZARGA (ALGODAO) (NATURAL E CINZA)</v>
          </cell>
          <cell r="R819"/>
          <cell r="S819"/>
          <cell r="T819">
            <v>1.97</v>
          </cell>
          <cell r="U819">
            <v>1.4</v>
          </cell>
          <cell r="V819">
            <v>0.01</v>
          </cell>
          <cell r="W819">
            <v>0</v>
          </cell>
          <cell r="X819" t="str">
            <v>EST MANTA ZARGA (ALGODAO) (NATURAL E CINZA) - 1,97x1,4x0,01H</v>
          </cell>
          <cell r="Y819">
            <v>500</v>
          </cell>
          <cell r="Z819">
            <v>0.5</v>
          </cell>
          <cell r="AA819">
            <v>250</v>
          </cell>
          <cell r="AB819"/>
        </row>
        <row r="820">
          <cell r="C820">
            <v>2</v>
          </cell>
          <cell r="D820">
            <v>2</v>
          </cell>
          <cell r="E820">
            <v>0</v>
          </cell>
          <cell r="F820">
            <v>0</v>
          </cell>
          <cell r="H820">
            <v>0</v>
          </cell>
          <cell r="O820">
            <v>271506</v>
          </cell>
          <cell r="P820"/>
          <cell r="Q820" t="str">
            <v>EST MANTA ZARGA (ALGODAO) (NATURAL E CINZA)</v>
          </cell>
          <cell r="R820"/>
          <cell r="S820"/>
          <cell r="T820">
            <v>1.97</v>
          </cell>
          <cell r="U820">
            <v>1.4</v>
          </cell>
          <cell r="V820">
            <v>0.01</v>
          </cell>
          <cell r="W820">
            <v>0</v>
          </cell>
          <cell r="X820" t="str">
            <v>EST MANTA ZARGA (ALGODAO) (NATURAL E CINZA) - 1,97x1,4x0,01H</v>
          </cell>
          <cell r="Y820">
            <v>500</v>
          </cell>
          <cell r="Z820">
            <v>0.5</v>
          </cell>
          <cell r="AA820">
            <v>250</v>
          </cell>
          <cell r="AB820"/>
        </row>
        <row r="821">
          <cell r="C821">
            <v>2</v>
          </cell>
          <cell r="D821">
            <v>2</v>
          </cell>
          <cell r="E821">
            <v>0</v>
          </cell>
          <cell r="F821">
            <v>0</v>
          </cell>
          <cell r="H821">
            <v>0</v>
          </cell>
          <cell r="O821">
            <v>271506</v>
          </cell>
          <cell r="P821"/>
          <cell r="Q821" t="str">
            <v>EST MANTA ZARGA (ALGODAO) (NATURAL E CINZA)</v>
          </cell>
          <cell r="R821"/>
          <cell r="S821"/>
          <cell r="T821">
            <v>1.97</v>
          </cell>
          <cell r="U821">
            <v>1.4</v>
          </cell>
          <cell r="V821">
            <v>0.01</v>
          </cell>
          <cell r="W821">
            <v>0</v>
          </cell>
          <cell r="X821" t="str">
            <v>EST MANTA ZARGA (ALGODAO) (NATURAL E CINZA) - 1,97x1,4x0,01H</v>
          </cell>
          <cell r="Y821">
            <v>500</v>
          </cell>
          <cell r="Z821">
            <v>0.5</v>
          </cell>
          <cell r="AA821">
            <v>250</v>
          </cell>
          <cell r="AB821"/>
        </row>
        <row r="822">
          <cell r="C822">
            <v>2</v>
          </cell>
          <cell r="D822">
            <v>2</v>
          </cell>
          <cell r="E822">
            <v>0</v>
          </cell>
          <cell r="F822">
            <v>0</v>
          </cell>
          <cell r="H822">
            <v>0</v>
          </cell>
          <cell r="O822">
            <v>271506</v>
          </cell>
          <cell r="P822"/>
          <cell r="Q822" t="str">
            <v>EST MANTA ZARGA (ALGODAO) (NATURAL E CINZA)</v>
          </cell>
          <cell r="R822"/>
          <cell r="S822"/>
          <cell r="T822">
            <v>1.97</v>
          </cell>
          <cell r="U822">
            <v>1.4</v>
          </cell>
          <cell r="V822">
            <v>0.01</v>
          </cell>
          <cell r="W822">
            <v>0</v>
          </cell>
          <cell r="X822" t="str">
            <v>EST MANTA ZARGA (ALGODAO) (NATURAL E CINZA) - 1,97x1,4x0,01H</v>
          </cell>
          <cell r="Y822">
            <v>500</v>
          </cell>
          <cell r="Z822">
            <v>0.5</v>
          </cell>
          <cell r="AA822">
            <v>250</v>
          </cell>
          <cell r="AB822"/>
        </row>
        <row r="823">
          <cell r="C823">
            <v>2</v>
          </cell>
          <cell r="D823">
            <v>2</v>
          </cell>
          <cell r="E823">
            <v>0</v>
          </cell>
          <cell r="F823">
            <v>0</v>
          </cell>
          <cell r="H823">
            <v>0</v>
          </cell>
          <cell r="O823">
            <v>271506</v>
          </cell>
          <cell r="P823"/>
          <cell r="Q823" t="str">
            <v>EST MANTA ZARGA (ALGODAO) (NATURAL E CINZA)</v>
          </cell>
          <cell r="R823"/>
          <cell r="S823"/>
          <cell r="T823">
            <v>1.97</v>
          </cell>
          <cell r="U823">
            <v>1.4</v>
          </cell>
          <cell r="V823">
            <v>0.01</v>
          </cell>
          <cell r="W823">
            <v>0</v>
          </cell>
          <cell r="X823" t="str">
            <v>EST MANTA ZARGA (ALGODAO) (NATURAL E CINZA) - 1,97x1,4x0,01H</v>
          </cell>
          <cell r="Y823">
            <v>500</v>
          </cell>
          <cell r="Z823">
            <v>0.5</v>
          </cell>
          <cell r="AA823">
            <v>250</v>
          </cell>
          <cell r="AB823"/>
        </row>
        <row r="824">
          <cell r="C824">
            <v>1</v>
          </cell>
          <cell r="D824">
            <v>2</v>
          </cell>
          <cell r="E824">
            <v>0</v>
          </cell>
          <cell r="F824">
            <v>0</v>
          </cell>
          <cell r="H824">
            <v>0</v>
          </cell>
          <cell r="O824">
            <v>271508</v>
          </cell>
          <cell r="P824"/>
          <cell r="Q824" t="str">
            <v>EST MANTA TURK (ALGODAO) (BEGE)</v>
          </cell>
          <cell r="R824"/>
          <cell r="S824"/>
          <cell r="T824">
            <v>1.2</v>
          </cell>
          <cell r="U824">
            <v>1.2</v>
          </cell>
          <cell r="V824">
            <v>0.01</v>
          </cell>
          <cell r="W824">
            <v>0</v>
          </cell>
          <cell r="X824" t="str">
            <v>EST MANTA TURK (ALGODAO) (BEGE) - 1,2x1,2x0,01H</v>
          </cell>
          <cell r="Y824">
            <v>500</v>
          </cell>
          <cell r="Z824">
            <v>0.5</v>
          </cell>
          <cell r="AA824">
            <v>250</v>
          </cell>
          <cell r="AB824"/>
        </row>
        <row r="825">
          <cell r="C825">
            <v>1</v>
          </cell>
          <cell r="D825">
            <v>2</v>
          </cell>
          <cell r="E825">
            <v>0</v>
          </cell>
          <cell r="F825">
            <v>0</v>
          </cell>
          <cell r="H825">
            <v>0</v>
          </cell>
          <cell r="O825">
            <v>271508</v>
          </cell>
          <cell r="P825" t="str">
            <v>2020/303-0212-01</v>
          </cell>
          <cell r="Q825" t="str">
            <v>EST MANTA TURK (ALGODAO) (BEGE)</v>
          </cell>
          <cell r="R825"/>
          <cell r="S825"/>
          <cell r="T825">
            <v>1.2</v>
          </cell>
          <cell r="U825">
            <v>1.2</v>
          </cell>
          <cell r="V825">
            <v>0.01</v>
          </cell>
          <cell r="W825">
            <v>0</v>
          </cell>
          <cell r="X825" t="str">
            <v>EST MANTA TURK (ALGODAO) (BEGE) - 1,2x1,2x0,01H</v>
          </cell>
          <cell r="Y825">
            <v>500</v>
          </cell>
          <cell r="Z825">
            <v>0.5</v>
          </cell>
          <cell r="AA825">
            <v>250</v>
          </cell>
          <cell r="AB825"/>
        </row>
        <row r="826">
          <cell r="C826">
            <v>1</v>
          </cell>
          <cell r="D826">
            <v>2</v>
          </cell>
          <cell r="E826">
            <v>0</v>
          </cell>
          <cell r="F826">
            <v>0</v>
          </cell>
          <cell r="H826">
            <v>0</v>
          </cell>
          <cell r="O826">
            <v>271508</v>
          </cell>
          <cell r="P826" t="str">
            <v>2020/303-0213-01</v>
          </cell>
          <cell r="Q826" t="str">
            <v>EST MANTA TURK (ALGODAO) (BEGE)</v>
          </cell>
          <cell r="R826"/>
          <cell r="S826"/>
          <cell r="T826">
            <v>1.2</v>
          </cell>
          <cell r="U826">
            <v>1.2</v>
          </cell>
          <cell r="V826">
            <v>0.01</v>
          </cell>
          <cell r="W826">
            <v>0</v>
          </cell>
          <cell r="X826" t="str">
            <v>EST MANTA TURK (ALGODAO) (BEGE) - 1,2x1,2x0,01H</v>
          </cell>
          <cell r="Y826">
            <v>500</v>
          </cell>
          <cell r="Z826">
            <v>0.5</v>
          </cell>
          <cell r="AA826">
            <v>250</v>
          </cell>
          <cell r="AB826"/>
        </row>
        <row r="827">
          <cell r="C827">
            <v>1</v>
          </cell>
          <cell r="D827">
            <v>2</v>
          </cell>
          <cell r="E827">
            <v>0</v>
          </cell>
          <cell r="F827">
            <v>0</v>
          </cell>
          <cell r="H827">
            <v>0</v>
          </cell>
          <cell r="O827">
            <v>271508</v>
          </cell>
          <cell r="P827"/>
          <cell r="Q827" t="str">
            <v>EST MANTA TURK (ALGODAO) (BEGE)</v>
          </cell>
          <cell r="R827"/>
          <cell r="S827"/>
          <cell r="T827">
            <v>1.2</v>
          </cell>
          <cell r="U827">
            <v>1.2</v>
          </cell>
          <cell r="V827">
            <v>0.01</v>
          </cell>
          <cell r="W827">
            <v>0</v>
          </cell>
          <cell r="X827" t="str">
            <v>EST MANTA TURK (ALGODAO) (BEGE) - 1,2x1,2x0,01H</v>
          </cell>
          <cell r="Y827">
            <v>500</v>
          </cell>
          <cell r="Z827">
            <v>0.5</v>
          </cell>
          <cell r="AA827">
            <v>250</v>
          </cell>
          <cell r="AB827"/>
        </row>
        <row r="828">
          <cell r="C828">
            <v>1</v>
          </cell>
          <cell r="D828">
            <v>2</v>
          </cell>
          <cell r="E828">
            <v>0</v>
          </cell>
          <cell r="F828">
            <v>0</v>
          </cell>
          <cell r="H828">
            <v>0</v>
          </cell>
          <cell r="O828">
            <v>271508</v>
          </cell>
          <cell r="P828"/>
          <cell r="Q828" t="str">
            <v>EST MANTA TURK (ALGODAO) (BEGE)</v>
          </cell>
          <cell r="R828"/>
          <cell r="S828"/>
          <cell r="T828">
            <v>1.2</v>
          </cell>
          <cell r="U828">
            <v>1.2</v>
          </cell>
          <cell r="V828">
            <v>0.01</v>
          </cell>
          <cell r="W828">
            <v>0</v>
          </cell>
          <cell r="X828" t="str">
            <v>EST MANTA TURK (ALGODAO) (BEGE) - 1,2x1,2x0,01H</v>
          </cell>
          <cell r="Y828">
            <v>500</v>
          </cell>
          <cell r="Z828">
            <v>0.5</v>
          </cell>
          <cell r="AA828">
            <v>250</v>
          </cell>
          <cell r="AB828"/>
        </row>
        <row r="829">
          <cell r="C829">
            <v>6</v>
          </cell>
          <cell r="D829">
            <v>0</v>
          </cell>
          <cell r="E829">
            <v>0</v>
          </cell>
          <cell r="F829">
            <v>0</v>
          </cell>
          <cell r="H829">
            <v>0</v>
          </cell>
          <cell r="O829">
            <v>271509</v>
          </cell>
          <cell r="P829"/>
          <cell r="Q829" t="str">
            <v>EST ALMOFADA SAND (ALGODAO) (AMARELA)</v>
          </cell>
          <cell r="R829"/>
          <cell r="S829"/>
          <cell r="T829">
            <v>0.45</v>
          </cell>
          <cell r="U829">
            <v>0.45</v>
          </cell>
          <cell r="V829">
            <v>0.15</v>
          </cell>
          <cell r="W829">
            <v>0</v>
          </cell>
          <cell r="X829" t="str">
            <v>EST ALMOFADA SAND (ALGODAO) (AMARELA) - 0,45x0,45x0,15H</v>
          </cell>
          <cell r="Y829">
            <v>500</v>
          </cell>
          <cell r="Z829">
            <v>0.5</v>
          </cell>
          <cell r="AA829">
            <v>250</v>
          </cell>
          <cell r="AB829"/>
        </row>
        <row r="830">
          <cell r="C830">
            <v>6</v>
          </cell>
          <cell r="D830">
            <v>0</v>
          </cell>
          <cell r="E830">
            <v>0</v>
          </cell>
          <cell r="F830">
            <v>0</v>
          </cell>
          <cell r="H830">
            <v>0</v>
          </cell>
          <cell r="O830">
            <v>271509</v>
          </cell>
          <cell r="P830"/>
          <cell r="Q830" t="str">
            <v>EST ALMOFADA SAND (ALGODAO) (AMARELA)</v>
          </cell>
          <cell r="R830"/>
          <cell r="S830"/>
          <cell r="T830">
            <v>0.45</v>
          </cell>
          <cell r="U830">
            <v>0.45</v>
          </cell>
          <cell r="V830">
            <v>0.15</v>
          </cell>
          <cell r="W830">
            <v>0</v>
          </cell>
          <cell r="X830" t="str">
            <v>EST ALMOFADA SAND (ALGODAO) (AMARELA) - 0,45x0,45x0,15H</v>
          </cell>
          <cell r="Y830">
            <v>500</v>
          </cell>
          <cell r="Z830">
            <v>0.5</v>
          </cell>
          <cell r="AA830">
            <v>250</v>
          </cell>
          <cell r="AB830"/>
        </row>
        <row r="831">
          <cell r="C831">
            <v>6</v>
          </cell>
          <cell r="D831">
            <v>0</v>
          </cell>
          <cell r="E831">
            <v>0</v>
          </cell>
          <cell r="F831">
            <v>0</v>
          </cell>
          <cell r="H831">
            <v>0</v>
          </cell>
          <cell r="O831">
            <v>271509</v>
          </cell>
          <cell r="P831"/>
          <cell r="Q831" t="str">
            <v>EST ALMOFADA SAND (ALGODAO) (AMARELA)</v>
          </cell>
          <cell r="R831"/>
          <cell r="S831"/>
          <cell r="T831">
            <v>0.45</v>
          </cell>
          <cell r="U831">
            <v>0.45</v>
          </cell>
          <cell r="V831">
            <v>0.15</v>
          </cell>
          <cell r="W831">
            <v>0</v>
          </cell>
          <cell r="X831" t="str">
            <v>EST ALMOFADA SAND (ALGODAO) (AMARELA) - 0,45x0,45x0,15H</v>
          </cell>
          <cell r="Y831">
            <v>500</v>
          </cell>
          <cell r="Z831">
            <v>0.5</v>
          </cell>
          <cell r="AA831">
            <v>250</v>
          </cell>
          <cell r="AB831"/>
        </row>
        <row r="832">
          <cell r="C832">
            <v>6</v>
          </cell>
          <cell r="D832">
            <v>0</v>
          </cell>
          <cell r="E832">
            <v>0</v>
          </cell>
          <cell r="F832">
            <v>0</v>
          </cell>
          <cell r="H832">
            <v>0</v>
          </cell>
          <cell r="O832">
            <v>271509</v>
          </cell>
          <cell r="P832"/>
          <cell r="Q832" t="str">
            <v>EST ALMOFADA SAND (ALGODAO) (AMARELA)</v>
          </cell>
          <cell r="R832"/>
          <cell r="S832"/>
          <cell r="T832">
            <v>0.45</v>
          </cell>
          <cell r="U832">
            <v>0.45</v>
          </cell>
          <cell r="V832">
            <v>0.15</v>
          </cell>
          <cell r="W832">
            <v>0</v>
          </cell>
          <cell r="X832" t="str">
            <v>EST ALMOFADA SAND (ALGODAO) (AMARELA) - 0,45x0,45x0,15H</v>
          </cell>
          <cell r="Y832">
            <v>500</v>
          </cell>
          <cell r="Z832">
            <v>0.5</v>
          </cell>
          <cell r="AA832">
            <v>250</v>
          </cell>
          <cell r="AB832"/>
        </row>
        <row r="833">
          <cell r="C833">
            <v>6</v>
          </cell>
          <cell r="D833">
            <v>0</v>
          </cell>
          <cell r="E833">
            <v>0</v>
          </cell>
          <cell r="F833">
            <v>0</v>
          </cell>
          <cell r="H833">
            <v>0</v>
          </cell>
          <cell r="O833">
            <v>271509</v>
          </cell>
          <cell r="P833"/>
          <cell r="Q833" t="str">
            <v>EST ALMOFADA SAND (ALGODAO) (AMARELA)</v>
          </cell>
          <cell r="R833"/>
          <cell r="S833"/>
          <cell r="T833">
            <v>0.45</v>
          </cell>
          <cell r="U833">
            <v>0.45</v>
          </cell>
          <cell r="V833">
            <v>0.15</v>
          </cell>
          <cell r="W833">
            <v>0</v>
          </cell>
          <cell r="X833" t="str">
            <v>EST ALMOFADA SAND (ALGODAO) (AMARELA) - 0,45x0,45x0,15H</v>
          </cell>
          <cell r="Y833">
            <v>500</v>
          </cell>
          <cell r="Z833">
            <v>0.5</v>
          </cell>
          <cell r="AA833">
            <v>250</v>
          </cell>
          <cell r="AB833"/>
        </row>
        <row r="834">
          <cell r="C834">
            <v>6</v>
          </cell>
          <cell r="D834">
            <v>0</v>
          </cell>
          <cell r="E834">
            <v>0</v>
          </cell>
          <cell r="F834">
            <v>0</v>
          </cell>
          <cell r="H834">
            <v>0</v>
          </cell>
          <cell r="O834">
            <v>271509</v>
          </cell>
          <cell r="P834"/>
          <cell r="Q834" t="str">
            <v>EST ALMOFADA SAND (ALGODAO) (AMARELA)</v>
          </cell>
          <cell r="R834"/>
          <cell r="S834"/>
          <cell r="T834">
            <v>0.45</v>
          </cell>
          <cell r="U834">
            <v>0.45</v>
          </cell>
          <cell r="V834">
            <v>0.15</v>
          </cell>
          <cell r="W834">
            <v>0</v>
          </cell>
          <cell r="X834" t="str">
            <v>EST ALMOFADA SAND (ALGODAO) (AMARELA) - 0,45x0,45x0,15H</v>
          </cell>
          <cell r="Y834">
            <v>500</v>
          </cell>
          <cell r="Z834">
            <v>0.5</v>
          </cell>
          <cell r="AA834">
            <v>250</v>
          </cell>
          <cell r="AB834"/>
        </row>
        <row r="835">
          <cell r="C835">
            <v>7</v>
          </cell>
          <cell r="D835">
            <v>0</v>
          </cell>
          <cell r="E835">
            <v>0</v>
          </cell>
          <cell r="F835">
            <v>0</v>
          </cell>
          <cell r="H835">
            <v>0</v>
          </cell>
          <cell r="O835">
            <v>271510</v>
          </cell>
          <cell r="P835"/>
          <cell r="Q835" t="str">
            <v>EST ALMOFADA SAND BURGUNDY (ALGODAO) (LARANJA)</v>
          </cell>
          <cell r="R835"/>
          <cell r="S835"/>
          <cell r="T835">
            <v>0.45</v>
          </cell>
          <cell r="U835">
            <v>0.45</v>
          </cell>
          <cell r="V835">
            <v>0.1</v>
          </cell>
          <cell r="W835">
            <v>0</v>
          </cell>
          <cell r="X835" t="str">
            <v>EST ALMOFADA SAND BURGUNDY (ALGODAO) (LARANJA) - 0,45x0,45x0,1H</v>
          </cell>
          <cell r="Y835">
            <v>500</v>
          </cell>
          <cell r="Z835">
            <v>0.5</v>
          </cell>
          <cell r="AA835">
            <v>250</v>
          </cell>
          <cell r="AB835"/>
        </row>
        <row r="836">
          <cell r="C836">
            <v>7</v>
          </cell>
          <cell r="D836">
            <v>0</v>
          </cell>
          <cell r="E836">
            <v>0</v>
          </cell>
          <cell r="F836">
            <v>0</v>
          </cell>
          <cell r="H836">
            <v>0</v>
          </cell>
          <cell r="O836">
            <v>271510</v>
          </cell>
          <cell r="P836"/>
          <cell r="Q836" t="str">
            <v>EST ALMOFADA SAND BURGUNDY (ALGODAO) (LARANJA)</v>
          </cell>
          <cell r="R836"/>
          <cell r="S836"/>
          <cell r="T836">
            <v>0.45</v>
          </cell>
          <cell r="U836">
            <v>0.45</v>
          </cell>
          <cell r="V836">
            <v>0.1</v>
          </cell>
          <cell r="W836">
            <v>0</v>
          </cell>
          <cell r="X836" t="str">
            <v>EST ALMOFADA SAND BURGUNDY (ALGODAO) (LARANJA) - 0,45x0,45x0,1H</v>
          </cell>
          <cell r="Y836">
            <v>500</v>
          </cell>
          <cell r="Z836">
            <v>0.5</v>
          </cell>
          <cell r="AA836">
            <v>250</v>
          </cell>
          <cell r="AB836"/>
        </row>
        <row r="837">
          <cell r="C837">
            <v>7</v>
          </cell>
          <cell r="D837">
            <v>0</v>
          </cell>
          <cell r="E837">
            <v>0</v>
          </cell>
          <cell r="F837">
            <v>0</v>
          </cell>
          <cell r="H837">
            <v>0</v>
          </cell>
          <cell r="O837">
            <v>271510</v>
          </cell>
          <cell r="P837"/>
          <cell r="Q837" t="str">
            <v>EST ALMOFADA SAND BURGUNDY (ALGODAO) (LARANJA)</v>
          </cell>
          <cell r="R837"/>
          <cell r="S837"/>
          <cell r="T837">
            <v>0.45</v>
          </cell>
          <cell r="U837">
            <v>0.45</v>
          </cell>
          <cell r="V837">
            <v>0.1</v>
          </cell>
          <cell r="W837">
            <v>0</v>
          </cell>
          <cell r="X837" t="str">
            <v>EST ALMOFADA SAND BURGUNDY (ALGODAO) (LARANJA) - 0,45x0,45x0,1H</v>
          </cell>
          <cell r="Y837">
            <v>500</v>
          </cell>
          <cell r="Z837">
            <v>0.5</v>
          </cell>
          <cell r="AA837">
            <v>250</v>
          </cell>
          <cell r="AB837"/>
        </row>
        <row r="838">
          <cell r="C838">
            <v>7</v>
          </cell>
          <cell r="D838">
            <v>0</v>
          </cell>
          <cell r="E838">
            <v>0</v>
          </cell>
          <cell r="F838">
            <v>0</v>
          </cell>
          <cell r="H838">
            <v>0</v>
          </cell>
          <cell r="O838">
            <v>271510</v>
          </cell>
          <cell r="P838"/>
          <cell r="Q838" t="str">
            <v>EST ALMOFADA SAND BURGUNDY (ALGODAO) (LARANJA)</v>
          </cell>
          <cell r="R838"/>
          <cell r="S838"/>
          <cell r="T838">
            <v>0.45</v>
          </cell>
          <cell r="U838">
            <v>0.45</v>
          </cell>
          <cell r="V838">
            <v>0.1</v>
          </cell>
          <cell r="W838">
            <v>0</v>
          </cell>
          <cell r="X838" t="str">
            <v>EST ALMOFADA SAND BURGUNDY (ALGODAO) (LARANJA) - 0,45x0,45x0,1H</v>
          </cell>
          <cell r="Y838">
            <v>500</v>
          </cell>
          <cell r="Z838">
            <v>0.5</v>
          </cell>
          <cell r="AA838">
            <v>250</v>
          </cell>
          <cell r="AB838"/>
        </row>
        <row r="839">
          <cell r="C839">
            <v>7</v>
          </cell>
          <cell r="D839">
            <v>0</v>
          </cell>
          <cell r="E839">
            <v>0</v>
          </cell>
          <cell r="F839">
            <v>0</v>
          </cell>
          <cell r="H839">
            <v>0</v>
          </cell>
          <cell r="O839">
            <v>271510</v>
          </cell>
          <cell r="P839"/>
          <cell r="Q839" t="str">
            <v>EST ALMOFADA SAND BURGUNDY (ALGODAO) (LARANJA)</v>
          </cell>
          <cell r="R839"/>
          <cell r="S839"/>
          <cell r="T839">
            <v>0.45</v>
          </cell>
          <cell r="U839">
            <v>0.45</v>
          </cell>
          <cell r="V839">
            <v>0.1</v>
          </cell>
          <cell r="W839">
            <v>0</v>
          </cell>
          <cell r="X839" t="str">
            <v>EST ALMOFADA SAND BURGUNDY (ALGODAO) (LARANJA) - 0,45x0,45x0,1H</v>
          </cell>
          <cell r="Y839">
            <v>500</v>
          </cell>
          <cell r="Z839">
            <v>0.5</v>
          </cell>
          <cell r="AA839">
            <v>250</v>
          </cell>
          <cell r="AB839"/>
        </row>
        <row r="840">
          <cell r="C840">
            <v>7</v>
          </cell>
          <cell r="D840">
            <v>0</v>
          </cell>
          <cell r="E840">
            <v>0</v>
          </cell>
          <cell r="F840">
            <v>0</v>
          </cell>
          <cell r="H840">
            <v>0</v>
          </cell>
          <cell r="O840">
            <v>271510</v>
          </cell>
          <cell r="P840"/>
          <cell r="Q840" t="str">
            <v>EST ALMOFADA SAND BURGUNDY (ALGODAO) (LARANJA)</v>
          </cell>
          <cell r="R840"/>
          <cell r="S840"/>
          <cell r="T840">
            <v>0.45</v>
          </cell>
          <cell r="U840">
            <v>0.45</v>
          </cell>
          <cell r="V840">
            <v>0.1</v>
          </cell>
          <cell r="W840">
            <v>0</v>
          </cell>
          <cell r="X840" t="str">
            <v>EST ALMOFADA SAND BURGUNDY (ALGODAO) (LARANJA) - 0,45x0,45x0,1H</v>
          </cell>
          <cell r="Y840">
            <v>500</v>
          </cell>
          <cell r="Z840">
            <v>0.5</v>
          </cell>
          <cell r="AA840">
            <v>250</v>
          </cell>
          <cell r="AB840"/>
        </row>
        <row r="841">
          <cell r="C841">
            <v>7</v>
          </cell>
          <cell r="D841">
            <v>0</v>
          </cell>
          <cell r="E841">
            <v>0</v>
          </cell>
          <cell r="F841">
            <v>0</v>
          </cell>
          <cell r="H841">
            <v>0</v>
          </cell>
          <cell r="O841">
            <v>271510</v>
          </cell>
          <cell r="P841"/>
          <cell r="Q841" t="str">
            <v>EST ALMOFADA SAND BURGUNDY (ALGODAO) (LARANJA)</v>
          </cell>
          <cell r="R841"/>
          <cell r="S841"/>
          <cell r="T841">
            <v>0.45</v>
          </cell>
          <cell r="U841">
            <v>0.45</v>
          </cell>
          <cell r="V841">
            <v>0.1</v>
          </cell>
          <cell r="W841">
            <v>0</v>
          </cell>
          <cell r="X841" t="str">
            <v>EST ALMOFADA SAND BURGUNDY (ALGODAO) (LARANJA) - 0,45x0,45x0,1H</v>
          </cell>
          <cell r="Y841">
            <v>500</v>
          </cell>
          <cell r="Z841">
            <v>0.5</v>
          </cell>
          <cell r="AA841">
            <v>250</v>
          </cell>
          <cell r="AB841"/>
        </row>
        <row r="842">
          <cell r="C842">
            <v>7</v>
          </cell>
          <cell r="D842">
            <v>0</v>
          </cell>
          <cell r="E842">
            <v>0</v>
          </cell>
          <cell r="F842">
            <v>0</v>
          </cell>
          <cell r="H842">
            <v>0</v>
          </cell>
          <cell r="O842">
            <v>271510</v>
          </cell>
          <cell r="P842"/>
          <cell r="Q842" t="str">
            <v>EST ALMOFADA SAND BURGUNDY (ALGODAO) (LARANJA)</v>
          </cell>
          <cell r="R842"/>
          <cell r="S842"/>
          <cell r="T842">
            <v>0.45</v>
          </cell>
          <cell r="U842">
            <v>0.45</v>
          </cell>
          <cell r="V842">
            <v>0.1</v>
          </cell>
          <cell r="W842">
            <v>0</v>
          </cell>
          <cell r="X842" t="str">
            <v>EST ALMOFADA SAND BURGUNDY (ALGODAO) (LARANJA) - 0,45x0,45x0,1H</v>
          </cell>
          <cell r="Y842">
            <v>500</v>
          </cell>
          <cell r="Z842">
            <v>0.5</v>
          </cell>
          <cell r="AA842">
            <v>250</v>
          </cell>
          <cell r="AB842"/>
        </row>
        <row r="843">
          <cell r="C843">
            <v>7</v>
          </cell>
          <cell r="D843">
            <v>0</v>
          </cell>
          <cell r="E843">
            <v>0</v>
          </cell>
          <cell r="F843">
            <v>0</v>
          </cell>
          <cell r="H843">
            <v>0</v>
          </cell>
          <cell r="O843">
            <v>271510</v>
          </cell>
          <cell r="P843"/>
          <cell r="Q843" t="str">
            <v>EST ALMOFADA SAND BURGUNDY (ALGODAO) (LARANJA)</v>
          </cell>
          <cell r="R843"/>
          <cell r="S843"/>
          <cell r="T843">
            <v>0.45</v>
          </cell>
          <cell r="U843">
            <v>0.45</v>
          </cell>
          <cell r="V843">
            <v>0.1</v>
          </cell>
          <cell r="W843">
            <v>0</v>
          </cell>
          <cell r="X843" t="str">
            <v>EST ALMOFADA SAND BURGUNDY (ALGODAO) (LARANJA) - 0,45x0,45x0,1H</v>
          </cell>
          <cell r="Y843">
            <v>500</v>
          </cell>
          <cell r="Z843">
            <v>0.5</v>
          </cell>
          <cell r="AA843">
            <v>250</v>
          </cell>
          <cell r="AB843"/>
        </row>
        <row r="844">
          <cell r="C844">
            <v>7</v>
          </cell>
          <cell r="D844">
            <v>0</v>
          </cell>
          <cell r="E844">
            <v>0</v>
          </cell>
          <cell r="F844">
            <v>0</v>
          </cell>
          <cell r="H844">
            <v>0</v>
          </cell>
          <cell r="O844">
            <v>271510</v>
          </cell>
          <cell r="P844"/>
          <cell r="Q844" t="str">
            <v>EST ALMOFADA SAND BURGUNDY (ALGODAO) (LARANJA)</v>
          </cell>
          <cell r="R844"/>
          <cell r="S844"/>
          <cell r="T844">
            <v>0.45</v>
          </cell>
          <cell r="U844">
            <v>0.45</v>
          </cell>
          <cell r="V844">
            <v>0.1</v>
          </cell>
          <cell r="W844">
            <v>0</v>
          </cell>
          <cell r="X844" t="str">
            <v>EST ALMOFADA SAND BURGUNDY (ALGODAO) (LARANJA) - 0,45x0,45x0,1H</v>
          </cell>
          <cell r="Y844">
            <v>500</v>
          </cell>
          <cell r="Z844">
            <v>0.5</v>
          </cell>
          <cell r="AA844">
            <v>250</v>
          </cell>
          <cell r="AB844"/>
        </row>
        <row r="845">
          <cell r="C845">
            <v>7</v>
          </cell>
          <cell r="D845">
            <v>0</v>
          </cell>
          <cell r="E845">
            <v>0</v>
          </cell>
          <cell r="F845">
            <v>0</v>
          </cell>
          <cell r="H845">
            <v>0</v>
          </cell>
          <cell r="O845">
            <v>271510</v>
          </cell>
          <cell r="P845"/>
          <cell r="Q845" t="str">
            <v>EST ALMOFADA SAND BURGUNDY (ALGODAO) (LARANJA)</v>
          </cell>
          <cell r="R845"/>
          <cell r="S845"/>
          <cell r="T845">
            <v>0.45</v>
          </cell>
          <cell r="U845">
            <v>0.45</v>
          </cell>
          <cell r="V845">
            <v>0.1</v>
          </cell>
          <cell r="W845">
            <v>0</v>
          </cell>
          <cell r="X845" t="str">
            <v>EST ALMOFADA SAND BURGUNDY (ALGODAO) (LARANJA) - 0,45x0,45x0,1H</v>
          </cell>
          <cell r="Y845">
            <v>500</v>
          </cell>
          <cell r="Z845">
            <v>0.5</v>
          </cell>
          <cell r="AA845">
            <v>250</v>
          </cell>
          <cell r="AB845"/>
        </row>
        <row r="846">
          <cell r="C846">
            <v>7</v>
          </cell>
          <cell r="D846">
            <v>0</v>
          </cell>
          <cell r="E846">
            <v>0</v>
          </cell>
          <cell r="F846">
            <v>0</v>
          </cell>
          <cell r="H846">
            <v>0</v>
          </cell>
          <cell r="O846">
            <v>271510</v>
          </cell>
          <cell r="P846"/>
          <cell r="Q846" t="str">
            <v>EST ALMOFADA SAND BURGUNDY (ALGODAO) (LARANJA)</v>
          </cell>
          <cell r="R846"/>
          <cell r="S846"/>
          <cell r="T846">
            <v>0.45</v>
          </cell>
          <cell r="U846">
            <v>0.45</v>
          </cell>
          <cell r="V846">
            <v>0.1</v>
          </cell>
          <cell r="W846">
            <v>0</v>
          </cell>
          <cell r="X846" t="str">
            <v>EST ALMOFADA SAND BURGUNDY (ALGODAO) (LARANJA) - 0,45x0,45x0,1H</v>
          </cell>
          <cell r="Y846">
            <v>500</v>
          </cell>
          <cell r="Z846">
            <v>0.5</v>
          </cell>
          <cell r="AA846">
            <v>250</v>
          </cell>
          <cell r="AB846"/>
        </row>
        <row r="847">
          <cell r="C847">
            <v>6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271511</v>
          </cell>
          <cell r="P847"/>
          <cell r="Q847" t="str">
            <v>EST ALMOFADA ANCARA (ALGODAO) (CINZA ESCURO)</v>
          </cell>
          <cell r="R847"/>
          <cell r="S847"/>
          <cell r="T847">
            <v>0.45</v>
          </cell>
          <cell r="U847">
            <v>0.45</v>
          </cell>
          <cell r="V847">
            <v>0.15</v>
          </cell>
          <cell r="W847">
            <v>0</v>
          </cell>
          <cell r="X847" t="str">
            <v>EST ALMOFADA ANCARA (ALGODAO) (CINZA ESCURO) - 0,45x0,45x0,15H</v>
          </cell>
          <cell r="Y847">
            <v>500</v>
          </cell>
          <cell r="Z847">
            <v>0.5</v>
          </cell>
          <cell r="AA847">
            <v>250</v>
          </cell>
          <cell r="AB847"/>
        </row>
        <row r="848">
          <cell r="C848">
            <v>6</v>
          </cell>
          <cell r="D848">
            <v>1</v>
          </cell>
          <cell r="E848">
            <v>0</v>
          </cell>
          <cell r="F848">
            <v>0</v>
          </cell>
          <cell r="H848">
            <v>0</v>
          </cell>
          <cell r="O848">
            <v>271511</v>
          </cell>
          <cell r="P848"/>
          <cell r="Q848" t="str">
            <v>EST ALMOFADA ANCARA (ALGODAO) (CINZA ESCURO)</v>
          </cell>
          <cell r="R848"/>
          <cell r="S848"/>
          <cell r="T848">
            <v>0.45</v>
          </cell>
          <cell r="U848">
            <v>0.45</v>
          </cell>
          <cell r="V848">
            <v>0.15</v>
          </cell>
          <cell r="W848">
            <v>0</v>
          </cell>
          <cell r="X848" t="str">
            <v>EST ALMOFADA ANCARA (ALGODAO) (CINZA ESCURO) - 0,45x0,45x0,15H</v>
          </cell>
          <cell r="Y848">
            <v>500</v>
          </cell>
          <cell r="Z848">
            <v>0.5</v>
          </cell>
          <cell r="AA848">
            <v>250</v>
          </cell>
          <cell r="AB848"/>
        </row>
        <row r="849">
          <cell r="C849">
            <v>6</v>
          </cell>
          <cell r="D849">
            <v>1</v>
          </cell>
          <cell r="E849">
            <v>0</v>
          </cell>
          <cell r="F849">
            <v>0</v>
          </cell>
          <cell r="H849">
            <v>0</v>
          </cell>
          <cell r="O849">
            <v>271511</v>
          </cell>
          <cell r="P849"/>
          <cell r="Q849" t="str">
            <v>EST ALMOFADA ANCARA (ALGODAO) (CINZA ESCURO)</v>
          </cell>
          <cell r="R849"/>
          <cell r="S849"/>
          <cell r="T849">
            <v>0.45</v>
          </cell>
          <cell r="U849">
            <v>0.45</v>
          </cell>
          <cell r="V849">
            <v>0.15</v>
          </cell>
          <cell r="W849">
            <v>0</v>
          </cell>
          <cell r="X849" t="str">
            <v>EST ALMOFADA ANCARA (ALGODAO) (CINZA ESCURO) - 0,45x0,45x0,15H</v>
          </cell>
          <cell r="Y849">
            <v>500</v>
          </cell>
          <cell r="Z849">
            <v>0.5</v>
          </cell>
          <cell r="AA849">
            <v>250</v>
          </cell>
          <cell r="AB849"/>
        </row>
        <row r="850">
          <cell r="C850">
            <v>6</v>
          </cell>
          <cell r="D850">
            <v>1</v>
          </cell>
          <cell r="E850">
            <v>0</v>
          </cell>
          <cell r="F850">
            <v>0</v>
          </cell>
          <cell r="H850">
            <v>0</v>
          </cell>
          <cell r="O850">
            <v>271511</v>
          </cell>
          <cell r="P850"/>
          <cell r="Q850" t="str">
            <v>EST ALMOFADA ANCARA (ALGODAO) (CINZA ESCURO)</v>
          </cell>
          <cell r="R850"/>
          <cell r="S850"/>
          <cell r="T850">
            <v>0.45</v>
          </cell>
          <cell r="U850">
            <v>0.45</v>
          </cell>
          <cell r="V850">
            <v>0.15</v>
          </cell>
          <cell r="W850">
            <v>0</v>
          </cell>
          <cell r="X850" t="str">
            <v>EST ALMOFADA ANCARA (ALGODAO) (CINZA ESCURO) - 0,45x0,45x0,15H</v>
          </cell>
          <cell r="Y850">
            <v>500</v>
          </cell>
          <cell r="Z850">
            <v>0.5</v>
          </cell>
          <cell r="AA850">
            <v>250</v>
          </cell>
          <cell r="AB850"/>
        </row>
        <row r="851">
          <cell r="C851">
            <v>6</v>
          </cell>
          <cell r="D851">
            <v>1</v>
          </cell>
          <cell r="E851">
            <v>0</v>
          </cell>
          <cell r="F851">
            <v>0</v>
          </cell>
          <cell r="H851">
            <v>0</v>
          </cell>
          <cell r="O851">
            <v>271511</v>
          </cell>
          <cell r="P851"/>
          <cell r="Q851" t="str">
            <v>EST ALMOFADA ANCARA (ALGODAO) (CINZA ESCURO)</v>
          </cell>
          <cell r="R851"/>
          <cell r="S851"/>
          <cell r="T851">
            <v>0.45</v>
          </cell>
          <cell r="U851">
            <v>0.45</v>
          </cell>
          <cell r="V851">
            <v>0.15</v>
          </cell>
          <cell r="W851">
            <v>0</v>
          </cell>
          <cell r="X851" t="str">
            <v>EST ALMOFADA ANCARA (ALGODAO) (CINZA ESCURO) - 0,45x0,45x0,15H</v>
          </cell>
          <cell r="Y851">
            <v>500</v>
          </cell>
          <cell r="Z851">
            <v>0.5</v>
          </cell>
          <cell r="AA851">
            <v>250</v>
          </cell>
          <cell r="AB851"/>
        </row>
        <row r="852">
          <cell r="C852">
            <v>6</v>
          </cell>
          <cell r="D852">
            <v>1</v>
          </cell>
          <cell r="E852">
            <v>0</v>
          </cell>
          <cell r="F852">
            <v>0</v>
          </cell>
          <cell r="H852">
            <v>0</v>
          </cell>
          <cell r="O852">
            <v>271511</v>
          </cell>
          <cell r="P852"/>
          <cell r="Q852" t="str">
            <v>EST ALMOFADA ANCARA (ALGODAO) (CINZA ESCURO)</v>
          </cell>
          <cell r="R852"/>
          <cell r="S852"/>
          <cell r="T852">
            <v>0.45</v>
          </cell>
          <cell r="U852">
            <v>0.45</v>
          </cell>
          <cell r="V852">
            <v>0.15</v>
          </cell>
          <cell r="W852">
            <v>0</v>
          </cell>
          <cell r="X852" t="str">
            <v>EST ALMOFADA ANCARA (ALGODAO) (CINZA ESCURO) - 0,45x0,45x0,15H</v>
          </cell>
          <cell r="Y852">
            <v>500</v>
          </cell>
          <cell r="Z852">
            <v>0.5</v>
          </cell>
          <cell r="AA852">
            <v>250</v>
          </cell>
          <cell r="AB852"/>
        </row>
        <row r="853">
          <cell r="C853">
            <v>6</v>
          </cell>
          <cell r="D853">
            <v>1</v>
          </cell>
          <cell r="E853">
            <v>0</v>
          </cell>
          <cell r="F853">
            <v>0</v>
          </cell>
          <cell r="H853">
            <v>0</v>
          </cell>
          <cell r="O853">
            <v>271511</v>
          </cell>
          <cell r="P853"/>
          <cell r="Q853" t="str">
            <v>EST ALMOFADA ANCARA (ALGODAO) (CINZA ESCURO)</v>
          </cell>
          <cell r="R853"/>
          <cell r="S853"/>
          <cell r="T853">
            <v>0.45</v>
          </cell>
          <cell r="U853">
            <v>0.45</v>
          </cell>
          <cell r="V853">
            <v>0.15</v>
          </cell>
          <cell r="W853">
            <v>0</v>
          </cell>
          <cell r="X853" t="str">
            <v>EST ALMOFADA ANCARA (ALGODAO) (CINZA ESCURO) - 0,45x0,45x0,15H</v>
          </cell>
          <cell r="Y853">
            <v>500</v>
          </cell>
          <cell r="Z853">
            <v>0.5</v>
          </cell>
          <cell r="AA853">
            <v>250</v>
          </cell>
          <cell r="AB853"/>
        </row>
        <row r="854">
          <cell r="C854">
            <v>6</v>
          </cell>
          <cell r="D854">
            <v>1</v>
          </cell>
          <cell r="E854">
            <v>0</v>
          </cell>
          <cell r="F854">
            <v>0</v>
          </cell>
          <cell r="H854">
            <v>0</v>
          </cell>
          <cell r="O854">
            <v>271511</v>
          </cell>
          <cell r="P854"/>
          <cell r="Q854" t="str">
            <v>EST ALMOFADA ANCARA (ALGODAO) (CINZA ESCURO)</v>
          </cell>
          <cell r="R854"/>
          <cell r="S854"/>
          <cell r="T854">
            <v>0.45</v>
          </cell>
          <cell r="U854">
            <v>0.45</v>
          </cell>
          <cell r="V854">
            <v>0.15</v>
          </cell>
          <cell r="W854">
            <v>0</v>
          </cell>
          <cell r="X854" t="str">
            <v>EST ALMOFADA ANCARA (ALGODAO) (CINZA ESCURO) - 0,45x0,45x0,15H</v>
          </cell>
          <cell r="Y854">
            <v>500</v>
          </cell>
          <cell r="Z854">
            <v>0.5</v>
          </cell>
          <cell r="AA854">
            <v>250</v>
          </cell>
          <cell r="AB854"/>
        </row>
        <row r="855">
          <cell r="C855">
            <v>6</v>
          </cell>
          <cell r="D855">
            <v>1</v>
          </cell>
          <cell r="E855">
            <v>0</v>
          </cell>
          <cell r="F855">
            <v>0</v>
          </cell>
          <cell r="H855">
            <v>0</v>
          </cell>
          <cell r="O855">
            <v>271511</v>
          </cell>
          <cell r="P855"/>
          <cell r="Q855" t="str">
            <v>EST ALMOFADA ANCARA (ALGODAO) (CINZA ESCURO)</v>
          </cell>
          <cell r="R855"/>
          <cell r="S855"/>
          <cell r="T855">
            <v>0.45</v>
          </cell>
          <cell r="U855">
            <v>0.45</v>
          </cell>
          <cell r="V855">
            <v>0.15</v>
          </cell>
          <cell r="W855">
            <v>0</v>
          </cell>
          <cell r="X855" t="str">
            <v>EST ALMOFADA ANCARA (ALGODAO) (CINZA ESCURO) - 0,45x0,45x0,15H</v>
          </cell>
          <cell r="Y855">
            <v>500</v>
          </cell>
          <cell r="Z855">
            <v>0.5</v>
          </cell>
          <cell r="AA855">
            <v>250</v>
          </cell>
          <cell r="AB855"/>
        </row>
        <row r="856">
          <cell r="C856">
            <v>4</v>
          </cell>
          <cell r="D856">
            <v>0</v>
          </cell>
          <cell r="E856">
            <v>0</v>
          </cell>
          <cell r="F856">
            <v>0</v>
          </cell>
          <cell r="H856">
            <v>0</v>
          </cell>
          <cell r="O856">
            <v>271512</v>
          </cell>
          <cell r="P856"/>
          <cell r="Q856" t="str">
            <v>EST ALMOFADA JAFA (ALGODAO) (PRETA E BRANCA)</v>
          </cell>
          <cell r="R856"/>
          <cell r="S856"/>
          <cell r="T856">
            <v>0.3</v>
          </cell>
          <cell r="U856">
            <v>0.47</v>
          </cell>
          <cell r="V856">
            <v>0.15</v>
          </cell>
          <cell r="W856">
            <v>0</v>
          </cell>
          <cell r="X856" t="str">
            <v>EST ALMOFADA JAFA (ALGODAO) (PRETA E BRANCA) - 0,3x0,47x0,15H</v>
          </cell>
          <cell r="Y856">
            <v>500</v>
          </cell>
          <cell r="Z856">
            <v>0.5</v>
          </cell>
          <cell r="AA856">
            <v>250</v>
          </cell>
          <cell r="AB856"/>
        </row>
        <row r="857">
          <cell r="C857">
            <v>4</v>
          </cell>
          <cell r="D857">
            <v>0</v>
          </cell>
          <cell r="E857">
            <v>0</v>
          </cell>
          <cell r="F857">
            <v>0</v>
          </cell>
          <cell r="H857">
            <v>0</v>
          </cell>
          <cell r="O857">
            <v>271512</v>
          </cell>
          <cell r="P857"/>
          <cell r="Q857" t="str">
            <v>EST ALMOFADA JAFA (ALGODAO) (PRETA E BRANCA)</v>
          </cell>
          <cell r="R857"/>
          <cell r="S857"/>
          <cell r="T857">
            <v>0.3</v>
          </cell>
          <cell r="U857">
            <v>0.47</v>
          </cell>
          <cell r="V857">
            <v>0.15</v>
          </cell>
          <cell r="W857">
            <v>0</v>
          </cell>
          <cell r="X857" t="str">
            <v>EST ALMOFADA JAFA (ALGODAO) (PRETA E BRANCA) - 0,3x0,47x0,15H</v>
          </cell>
          <cell r="Y857">
            <v>500</v>
          </cell>
          <cell r="Z857">
            <v>0.5</v>
          </cell>
          <cell r="AA857">
            <v>250</v>
          </cell>
          <cell r="AB857"/>
        </row>
        <row r="858">
          <cell r="C858">
            <v>4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271512</v>
          </cell>
          <cell r="P858"/>
          <cell r="Q858" t="str">
            <v>EST ALMOFADA JAFA (ALGODAO) (PRETA E BRANCA)</v>
          </cell>
          <cell r="R858"/>
          <cell r="S858"/>
          <cell r="T858">
            <v>0.3</v>
          </cell>
          <cell r="U858">
            <v>0.47</v>
          </cell>
          <cell r="V858">
            <v>0.15</v>
          </cell>
          <cell r="W858">
            <v>0</v>
          </cell>
          <cell r="X858" t="str">
            <v>EST ALMOFADA JAFA (ALGODAO) (PRETA E BRANCA) - 0,3x0,47x0,15H</v>
          </cell>
          <cell r="Y858">
            <v>500</v>
          </cell>
          <cell r="Z858">
            <v>0.5</v>
          </cell>
          <cell r="AA858">
            <v>250</v>
          </cell>
          <cell r="AB858"/>
        </row>
        <row r="859">
          <cell r="C859">
            <v>4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271512</v>
          </cell>
          <cell r="P859"/>
          <cell r="Q859" t="str">
            <v>EST ALMOFADA JAFA (ALGODAO) (PRETA E BRANCA)</v>
          </cell>
          <cell r="R859"/>
          <cell r="S859"/>
          <cell r="T859">
            <v>0.3</v>
          </cell>
          <cell r="U859">
            <v>0.47</v>
          </cell>
          <cell r="V859">
            <v>0.15</v>
          </cell>
          <cell r="W859">
            <v>0</v>
          </cell>
          <cell r="X859" t="str">
            <v>EST ALMOFADA JAFA (ALGODAO) (PRETA E BRANCA) - 0,3x0,47x0,15H</v>
          </cell>
          <cell r="Y859">
            <v>500</v>
          </cell>
          <cell r="Z859">
            <v>0.5</v>
          </cell>
          <cell r="AA859">
            <v>250</v>
          </cell>
          <cell r="AB859"/>
        </row>
        <row r="860">
          <cell r="C860">
            <v>4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271512</v>
          </cell>
          <cell r="P860"/>
          <cell r="Q860" t="str">
            <v>EST ALMOFADA JAFA (ALGODAO) (PRETA E BRANCA)</v>
          </cell>
          <cell r="R860"/>
          <cell r="S860"/>
          <cell r="T860">
            <v>0.3</v>
          </cell>
          <cell r="U860">
            <v>0.47</v>
          </cell>
          <cell r="V860">
            <v>0.15</v>
          </cell>
          <cell r="W860">
            <v>0</v>
          </cell>
          <cell r="X860" t="str">
            <v>EST ALMOFADA JAFA (ALGODAO) (PRETA E BRANCA) - 0,3x0,47x0,15H</v>
          </cell>
          <cell r="Y860">
            <v>500</v>
          </cell>
          <cell r="Z860">
            <v>0.5</v>
          </cell>
          <cell r="AA860">
            <v>250</v>
          </cell>
          <cell r="AB860"/>
        </row>
        <row r="861">
          <cell r="C861">
            <v>4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271512</v>
          </cell>
          <cell r="P861"/>
          <cell r="Q861" t="str">
            <v>EST ALMOFADA JAFA (ALGODAO) (PRETA E BRANCA)</v>
          </cell>
          <cell r="R861"/>
          <cell r="S861"/>
          <cell r="T861">
            <v>0.3</v>
          </cell>
          <cell r="U861">
            <v>0.47</v>
          </cell>
          <cell r="V861">
            <v>0.15</v>
          </cell>
          <cell r="W861">
            <v>0</v>
          </cell>
          <cell r="X861" t="str">
            <v>EST ALMOFADA JAFA (ALGODAO) (PRETA E BRANCA) - 0,3x0,47x0,15H</v>
          </cell>
          <cell r="Y861">
            <v>500</v>
          </cell>
          <cell r="Z861">
            <v>0.5</v>
          </cell>
          <cell r="AA861">
            <v>250</v>
          </cell>
          <cell r="AB861"/>
        </row>
        <row r="862">
          <cell r="C862">
            <v>4</v>
          </cell>
          <cell r="D862">
            <v>0</v>
          </cell>
          <cell r="E862">
            <v>0</v>
          </cell>
          <cell r="F862">
            <v>0</v>
          </cell>
          <cell r="H862">
            <v>0</v>
          </cell>
          <cell r="O862">
            <v>271512</v>
          </cell>
          <cell r="P862"/>
          <cell r="Q862" t="str">
            <v>EST ALMOFADA JAFA (ALGODAO) (PRETA E BRANCA)</v>
          </cell>
          <cell r="R862"/>
          <cell r="S862"/>
          <cell r="T862">
            <v>0.3</v>
          </cell>
          <cell r="U862">
            <v>0.47</v>
          </cell>
          <cell r="V862">
            <v>0.15</v>
          </cell>
          <cell r="W862">
            <v>0</v>
          </cell>
          <cell r="X862" t="str">
            <v>EST ALMOFADA JAFA (ALGODAO) (PRETA E BRANCA) - 0,3x0,47x0,15H</v>
          </cell>
          <cell r="Y862">
            <v>500</v>
          </cell>
          <cell r="Z862">
            <v>0.5</v>
          </cell>
          <cell r="AA862">
            <v>250</v>
          </cell>
          <cell r="AB862"/>
        </row>
        <row r="863">
          <cell r="C863">
            <v>4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271512</v>
          </cell>
          <cell r="P863"/>
          <cell r="Q863" t="str">
            <v>EST ALMOFADA JAFA (ALGODAO) (PRETA E BRANCA)</v>
          </cell>
          <cell r="R863"/>
          <cell r="S863"/>
          <cell r="T863">
            <v>0.3</v>
          </cell>
          <cell r="U863">
            <v>0.47</v>
          </cell>
          <cell r="V863">
            <v>0.15</v>
          </cell>
          <cell r="W863">
            <v>0</v>
          </cell>
          <cell r="X863" t="str">
            <v>EST ALMOFADA JAFA (ALGODAO) (PRETA E BRANCA) - 0,3x0,47x0,15H</v>
          </cell>
          <cell r="Y863">
            <v>500</v>
          </cell>
          <cell r="Z863">
            <v>0.5</v>
          </cell>
          <cell r="AA863">
            <v>250</v>
          </cell>
          <cell r="AB863"/>
        </row>
        <row r="864">
          <cell r="C864">
            <v>4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271512</v>
          </cell>
          <cell r="P864"/>
          <cell r="Q864" t="str">
            <v>EST ALMOFADA JAFA (ALGODAO) (PRETA E BRANCA)</v>
          </cell>
          <cell r="R864"/>
          <cell r="S864"/>
          <cell r="T864">
            <v>0.3</v>
          </cell>
          <cell r="U864">
            <v>0.47</v>
          </cell>
          <cell r="V864">
            <v>0.15</v>
          </cell>
          <cell r="W864">
            <v>0</v>
          </cell>
          <cell r="X864" t="str">
            <v>EST ALMOFADA JAFA (ALGODAO) (PRETA E BRANCA) - 0,3x0,47x0,15H</v>
          </cell>
          <cell r="Y864">
            <v>500</v>
          </cell>
          <cell r="Z864">
            <v>0.5</v>
          </cell>
          <cell r="AA864">
            <v>250</v>
          </cell>
          <cell r="AB864"/>
        </row>
        <row r="865">
          <cell r="C865">
            <v>4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271512</v>
          </cell>
          <cell r="P865"/>
          <cell r="Q865" t="str">
            <v>EST ALMOFADA JAFA (ALGODAO) (PRETA E BRANCA)</v>
          </cell>
          <cell r="R865"/>
          <cell r="S865"/>
          <cell r="T865">
            <v>0.3</v>
          </cell>
          <cell r="U865">
            <v>0.47</v>
          </cell>
          <cell r="V865">
            <v>0.15</v>
          </cell>
          <cell r="W865">
            <v>0</v>
          </cell>
          <cell r="X865" t="str">
            <v>EST ALMOFADA JAFA (ALGODAO) (PRETA E BRANCA) - 0,3x0,47x0,15H</v>
          </cell>
          <cell r="Y865">
            <v>500</v>
          </cell>
          <cell r="Z865">
            <v>0.5</v>
          </cell>
          <cell r="AA865">
            <v>250</v>
          </cell>
          <cell r="AB865"/>
        </row>
        <row r="866">
          <cell r="C866">
            <v>1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351679</v>
          </cell>
          <cell r="P866"/>
          <cell r="Q866" t="str">
            <v>EST ALMOFADA CLAMI 1 (PLUMA SINT) (BISTROL CRU/AZUL)</v>
          </cell>
          <cell r="R866"/>
          <cell r="S866"/>
          <cell r="T866">
            <v>0.7</v>
          </cell>
          <cell r="U866">
            <v>0.3</v>
          </cell>
          <cell r="V866">
            <v>0.15</v>
          </cell>
          <cell r="W866">
            <v>0</v>
          </cell>
          <cell r="X866" t="str">
            <v>EST ALMOFADA CLAMI 1 (PLUMA SINT) (BISTROL CRU/AZUL) - 0,7x0,3x0,15H</v>
          </cell>
          <cell r="Y866">
            <v>1200</v>
          </cell>
          <cell r="Z866">
            <v>0.5</v>
          </cell>
          <cell r="AA866">
            <v>600</v>
          </cell>
          <cell r="AB866"/>
        </row>
        <row r="867">
          <cell r="C867">
            <v>1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351680</v>
          </cell>
          <cell r="P867"/>
          <cell r="Q867" t="str">
            <v>EST ALMOFADA CLAMI 1 (PLUMA SINT) (BISTROL CRU/AZUL)</v>
          </cell>
          <cell r="R867"/>
          <cell r="S867"/>
          <cell r="T867">
            <v>0.6</v>
          </cell>
          <cell r="U867">
            <v>0.25</v>
          </cell>
          <cell r="V867">
            <v>0.15</v>
          </cell>
          <cell r="W867">
            <v>0</v>
          </cell>
          <cell r="X867" t="str">
            <v>EST ALMOFADA CLAMI 1 (PLUMA SINT) (BISTROL CRU/AZUL) - 0,6x0,25x0,15H</v>
          </cell>
          <cell r="Y867">
            <v>500</v>
          </cell>
          <cell r="Z867">
            <v>0.5</v>
          </cell>
          <cell r="AA867">
            <v>250</v>
          </cell>
          <cell r="AB867"/>
        </row>
        <row r="868">
          <cell r="C868">
            <v>1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351681</v>
          </cell>
          <cell r="P868"/>
          <cell r="Q868" t="str">
            <v>EST ALMOFADA CLAMI 1 (PLUMA SINT) (BISTROL CRU/AZUL)</v>
          </cell>
          <cell r="R868"/>
          <cell r="S868"/>
          <cell r="T868">
            <v>0.5</v>
          </cell>
          <cell r="U868">
            <v>0.35</v>
          </cell>
          <cell r="V868">
            <v>0.15</v>
          </cell>
          <cell r="W868">
            <v>0</v>
          </cell>
          <cell r="X868" t="str">
            <v>EST ALMOFADA CLAMI 1 (PLUMA SINT) (BISTROL CRU/AZUL) - 0,5x0,35x0,15H</v>
          </cell>
          <cell r="Y868">
            <v>500</v>
          </cell>
          <cell r="Z868">
            <v>0.5</v>
          </cell>
          <cell r="AA868">
            <v>250</v>
          </cell>
          <cell r="AB868"/>
        </row>
        <row r="869">
          <cell r="C869">
            <v>1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351682</v>
          </cell>
          <cell r="P869"/>
          <cell r="Q869" t="str">
            <v>EST ALMOFADA CLAMI 1 (PLUMA SINT) (BISTROL CRU/AZUL)</v>
          </cell>
          <cell r="R869"/>
          <cell r="S869"/>
          <cell r="T869">
            <v>0.4</v>
          </cell>
          <cell r="U869">
            <v>0.3</v>
          </cell>
          <cell r="V869">
            <v>0.15</v>
          </cell>
          <cell r="W869">
            <v>0</v>
          </cell>
          <cell r="X869" t="str">
            <v>EST ALMOFADA CLAMI 1 (PLUMA SINT) (BISTROL CRU/AZUL) - 0,4x0,3x0,15H</v>
          </cell>
          <cell r="Y869">
            <v>500</v>
          </cell>
          <cell r="Z869">
            <v>0.5</v>
          </cell>
          <cell r="AA869">
            <v>250</v>
          </cell>
          <cell r="AB869"/>
        </row>
        <row r="870">
          <cell r="C870">
            <v>2</v>
          </cell>
          <cell r="D870">
            <v>1</v>
          </cell>
          <cell r="E870">
            <v>0</v>
          </cell>
          <cell r="F870">
            <v>0</v>
          </cell>
          <cell r="H870">
            <v>0</v>
          </cell>
          <cell r="O870">
            <v>151286</v>
          </cell>
          <cell r="P870" t="str">
            <v>2014/219-0024-01</v>
          </cell>
          <cell r="Q870" t="str">
            <v>EST ACESSORIO CAIXA C/TAMPA CRISTAL</v>
          </cell>
          <cell r="R870"/>
          <cell r="S870"/>
          <cell r="T870">
            <v>0.3</v>
          </cell>
          <cell r="U870">
            <v>0.15</v>
          </cell>
          <cell r="V870">
            <v>0.2</v>
          </cell>
          <cell r="W870">
            <v>0</v>
          </cell>
          <cell r="X870" t="str">
            <v>EST ACESSORIO CAIXA C/TAMPA CRISTAL - 0,3x0,15x0,2H</v>
          </cell>
          <cell r="Y870">
            <v>2650</v>
          </cell>
          <cell r="Z870">
            <v>0.35</v>
          </cell>
          <cell r="AA870">
            <v>1722.5</v>
          </cell>
          <cell r="AB870"/>
        </row>
        <row r="871">
          <cell r="C871">
            <v>2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64049</v>
          </cell>
          <cell r="P871" t="str">
            <v>2014/013-0003-01</v>
          </cell>
          <cell r="Q871" t="str">
            <v>EST CACHEPOT MARROCOS (REF 06612)</v>
          </cell>
          <cell r="R871"/>
          <cell r="S871"/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 t="str">
            <v>EST CACHEPOT MARROCOS (REF 06612) - Ø0x0H</v>
          </cell>
          <cell r="Y871">
            <v>2500</v>
          </cell>
          <cell r="Z871">
            <v>0.35</v>
          </cell>
          <cell r="AA871">
            <v>1625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64049</v>
          </cell>
          <cell r="P872" t="str">
            <v>2024/326-0083-01</v>
          </cell>
          <cell r="Q872" t="str">
            <v>EST CACHEPOT MARROCOS (REF 06612)</v>
          </cell>
          <cell r="R872"/>
          <cell r="S872"/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 t="str">
            <v>EST CACHEPOT MARROCOS (REF 06612) - Ø0x0H</v>
          </cell>
          <cell r="Y872">
            <v>2500</v>
          </cell>
          <cell r="Z872">
            <v>0.35</v>
          </cell>
          <cell r="AA872">
            <v>1625</v>
          </cell>
          <cell r="AB872"/>
        </row>
        <row r="873">
          <cell r="C873">
            <v>2</v>
          </cell>
          <cell r="D873">
            <v>1</v>
          </cell>
          <cell r="E873">
            <v>0</v>
          </cell>
          <cell r="F873">
            <v>0</v>
          </cell>
          <cell r="H873">
            <v>0</v>
          </cell>
          <cell r="O873">
            <v>151286</v>
          </cell>
          <cell r="P873" t="str">
            <v>2014/219-0025-01</v>
          </cell>
          <cell r="Q873" t="str">
            <v>EST ACESSORIO CAIXA C/TAMPA CRISTAL</v>
          </cell>
          <cell r="R873"/>
          <cell r="S873"/>
          <cell r="T873">
            <v>0.3</v>
          </cell>
          <cell r="U873">
            <v>0.15</v>
          </cell>
          <cell r="V873">
            <v>0.2</v>
          </cell>
          <cell r="W873">
            <v>0</v>
          </cell>
          <cell r="X873" t="str">
            <v>EST ACESSORIO CAIXA C/TAMPA CRISTAL - 0,3x0,15x0,2H</v>
          </cell>
          <cell r="Y873">
            <v>2650</v>
          </cell>
          <cell r="Z873">
            <v>0.35</v>
          </cell>
          <cell r="AA873">
            <v>1722.5</v>
          </cell>
          <cell r="AB873"/>
        </row>
        <row r="874">
          <cell r="C874">
            <v>2</v>
          </cell>
          <cell r="D874">
            <v>1</v>
          </cell>
          <cell r="E874">
            <v>0</v>
          </cell>
          <cell r="F874">
            <v>0</v>
          </cell>
          <cell r="H874">
            <v>0</v>
          </cell>
          <cell r="O874">
            <v>151286</v>
          </cell>
          <cell r="P874" t="str">
            <v>2014/219-0048-01</v>
          </cell>
          <cell r="Q874" t="str">
            <v>EST ACESSORIO CAIXA C/TAMPA CRISTAL</v>
          </cell>
          <cell r="R874"/>
          <cell r="S874"/>
          <cell r="T874">
            <v>0.3</v>
          </cell>
          <cell r="U874">
            <v>0.15</v>
          </cell>
          <cell r="V874">
            <v>0.2</v>
          </cell>
          <cell r="W874">
            <v>0</v>
          </cell>
          <cell r="X874" t="str">
            <v>EST ACESSORIO CAIXA C/TAMPA CRISTAL - 0,3x0,15x0,2H</v>
          </cell>
          <cell r="Y874">
            <v>2650</v>
          </cell>
          <cell r="Z874">
            <v>0.35</v>
          </cell>
          <cell r="AA874">
            <v>1722.5</v>
          </cell>
          <cell r="AB874"/>
        </row>
        <row r="875">
          <cell r="C875">
            <v>2</v>
          </cell>
          <cell r="D875">
            <v>2</v>
          </cell>
          <cell r="E875">
            <v>2</v>
          </cell>
          <cell r="F875">
            <v>0</v>
          </cell>
          <cell r="H875">
            <v>0</v>
          </cell>
          <cell r="O875">
            <v>234033</v>
          </cell>
          <cell r="P875" t="str">
            <v>2019/164-0045-01</v>
          </cell>
          <cell r="Q875" t="str">
            <v>EST ALMOFADA (GREEN COMPLIMENT 2 ED) (COD 120550128)</v>
          </cell>
          <cell r="R875"/>
          <cell r="S875"/>
          <cell r="T875">
            <v>0.5</v>
          </cell>
          <cell r="U875">
            <v>0.5</v>
          </cell>
          <cell r="V875">
            <v>0.15</v>
          </cell>
          <cell r="W875">
            <v>0</v>
          </cell>
          <cell r="X875" t="str">
            <v>EST ALMOFADA (GREEN COMPLIMENT 2 ED) (COD 120550128) - 0,5x0,5x0,15H</v>
          </cell>
          <cell r="Y875">
            <v>500</v>
          </cell>
          <cell r="Z875">
            <v>0.5</v>
          </cell>
          <cell r="AA875">
            <v>250</v>
          </cell>
          <cell r="AB875"/>
        </row>
        <row r="876">
          <cell r="C876">
            <v>2</v>
          </cell>
          <cell r="D876">
            <v>2</v>
          </cell>
          <cell r="E876">
            <v>2</v>
          </cell>
          <cell r="F876">
            <v>0</v>
          </cell>
          <cell r="H876">
            <v>0</v>
          </cell>
          <cell r="O876">
            <v>234033</v>
          </cell>
          <cell r="P876" t="str">
            <v>2019/164-0047-01</v>
          </cell>
          <cell r="Q876" t="str">
            <v>EST ALMOFADA (GREEN COMPLIMENT 2 ED) (COD 120550128)</v>
          </cell>
          <cell r="R876"/>
          <cell r="S876"/>
          <cell r="T876">
            <v>0.5</v>
          </cell>
          <cell r="U876">
            <v>0.5</v>
          </cell>
          <cell r="V876">
            <v>0.15</v>
          </cell>
          <cell r="W876">
            <v>0</v>
          </cell>
          <cell r="X876" t="str">
            <v>EST ALMOFADA (GREEN COMPLIMENT 2 ED) (COD 120550128) - 0,5x0,5x0,15H</v>
          </cell>
          <cell r="Y876">
            <v>500</v>
          </cell>
          <cell r="Z876">
            <v>0.5</v>
          </cell>
          <cell r="AA876">
            <v>250</v>
          </cell>
          <cell r="AB876"/>
        </row>
        <row r="877">
          <cell r="C877">
            <v>2</v>
          </cell>
          <cell r="D877">
            <v>2</v>
          </cell>
          <cell r="E877">
            <v>2</v>
          </cell>
          <cell r="F877">
            <v>0</v>
          </cell>
          <cell r="H877">
            <v>0</v>
          </cell>
          <cell r="O877">
            <v>234033</v>
          </cell>
          <cell r="P877" t="str">
            <v>2019/164-0048-01</v>
          </cell>
          <cell r="Q877" t="str">
            <v>EST ALMOFADA (GREEN COMPLIMENT 2 ED) (COD 120550128)</v>
          </cell>
          <cell r="R877"/>
          <cell r="S877"/>
          <cell r="T877">
            <v>0.5</v>
          </cell>
          <cell r="U877">
            <v>0.5</v>
          </cell>
          <cell r="V877">
            <v>0.15</v>
          </cell>
          <cell r="W877">
            <v>0</v>
          </cell>
          <cell r="X877" t="str">
            <v>EST ALMOFADA (GREEN COMPLIMENT 2 ED) (COD 120550128) - 0,5x0,5x0,15H</v>
          </cell>
          <cell r="Y877">
            <v>500</v>
          </cell>
          <cell r="Z877">
            <v>0.5</v>
          </cell>
          <cell r="AA877">
            <v>250</v>
          </cell>
          <cell r="AB877"/>
        </row>
        <row r="878">
          <cell r="C878">
            <v>2</v>
          </cell>
          <cell r="D878">
            <v>2</v>
          </cell>
          <cell r="E878">
            <v>2</v>
          </cell>
          <cell r="F878">
            <v>0</v>
          </cell>
          <cell r="H878">
            <v>0</v>
          </cell>
          <cell r="O878">
            <v>234033</v>
          </cell>
          <cell r="P878" t="str">
            <v>2019/164-0049-01</v>
          </cell>
          <cell r="Q878" t="str">
            <v>EST ALMOFADA (GREEN COMPLIMENT 2 ED) (COD 120550128)</v>
          </cell>
          <cell r="R878"/>
          <cell r="S878"/>
          <cell r="T878">
            <v>0.5</v>
          </cell>
          <cell r="U878">
            <v>0.5</v>
          </cell>
          <cell r="V878">
            <v>0.15</v>
          </cell>
          <cell r="W878">
            <v>0</v>
          </cell>
          <cell r="X878" t="str">
            <v>EST ALMOFADA (GREEN COMPLIMENT 2 ED) (COD 120550128) - 0,5x0,5x0,15H</v>
          </cell>
          <cell r="Y878">
            <v>500</v>
          </cell>
          <cell r="Z878">
            <v>0.5</v>
          </cell>
          <cell r="AA878">
            <v>250</v>
          </cell>
          <cell r="AB878"/>
        </row>
        <row r="879">
          <cell r="C879">
            <v>0</v>
          </cell>
          <cell r="D879">
            <v>0</v>
          </cell>
          <cell r="E879">
            <v>0</v>
          </cell>
          <cell r="F879">
            <v>1</v>
          </cell>
          <cell r="H879">
            <v>0</v>
          </cell>
          <cell r="O879">
            <v>359557</v>
          </cell>
          <cell r="P879" t="str">
            <v>2023/024-0090-01</v>
          </cell>
          <cell r="Q879" t="str">
            <v>EST BUFFET HOLLIE (JEQ NOG) (TP MARMORE ROSA P) (PRETO TXT)</v>
          </cell>
          <cell r="R879"/>
          <cell r="S879"/>
          <cell r="T879">
            <v>2.5</v>
          </cell>
          <cell r="U879">
            <v>0.55000000000000004</v>
          </cell>
          <cell r="V879">
            <v>0.8</v>
          </cell>
          <cell r="W879">
            <v>0</v>
          </cell>
          <cell r="X879" t="str">
            <v>EST BUFFET HOLLIE (JEQ NOG) (TP MARMORE ROSA P) (PRETO TXT) - 2,5x0,55x0,8H</v>
          </cell>
          <cell r="Y879">
            <v>69749.7</v>
          </cell>
          <cell r="Z879">
            <v>0.35</v>
          </cell>
          <cell r="AA879">
            <v>45337.305</v>
          </cell>
          <cell r="AB879"/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H880">
            <v>1</v>
          </cell>
          <cell r="O880">
            <v>336563</v>
          </cell>
          <cell r="P880" t="str">
            <v>2022/271-0031-01</v>
          </cell>
          <cell r="Q880" t="str">
            <v>EST MESA JANTAR VELL (JEQ NOG) (TP CARV NOG) (MARROM PRZ)</v>
          </cell>
          <cell r="R880"/>
          <cell r="S880"/>
          <cell r="T880">
            <v>3</v>
          </cell>
          <cell r="U880">
            <v>1.2</v>
          </cell>
          <cell r="V880">
            <v>0.75</v>
          </cell>
          <cell r="W880">
            <v>0</v>
          </cell>
          <cell r="X880" t="str">
            <v>EST MESA JANTAR VELL (JEQ NOG) (TP CARV NOG) (MARROM PRZ) - 3x1,2x0,75H</v>
          </cell>
          <cell r="Y880">
            <v>47734.13</v>
          </cell>
          <cell r="Z880">
            <v>0.35</v>
          </cell>
          <cell r="AA880">
            <v>31027.184499999999</v>
          </cell>
          <cell r="AB880"/>
        </row>
        <row r="881">
          <cell r="C881">
            <v>0</v>
          </cell>
          <cell r="D881">
            <v>1</v>
          </cell>
          <cell r="E881">
            <v>0</v>
          </cell>
          <cell r="F881">
            <v>0</v>
          </cell>
          <cell r="H881">
            <v>0</v>
          </cell>
          <cell r="O881">
            <v>379636</v>
          </cell>
          <cell r="P881" t="str">
            <v>2024/093-0120-01</v>
          </cell>
          <cell r="Q881" t="str">
            <v>EST BUFFET HOLLIE MACICO JEQ FREIJO (TP JEQ FREIJO) (CHAMP)</v>
          </cell>
          <cell r="R881"/>
          <cell r="S881"/>
          <cell r="T881">
            <v>2.5</v>
          </cell>
          <cell r="U881">
            <v>0.55000000000000004</v>
          </cell>
          <cell r="V881">
            <v>0.8</v>
          </cell>
          <cell r="W881">
            <v>0</v>
          </cell>
          <cell r="X881" t="str">
            <v>EST BUFFET HOLLIE MACICO JEQ FREIJO (TP JEQ FREIJO) (CHAMP) - 2,5x0,55x0,8H</v>
          </cell>
          <cell r="Y881">
            <v>43002.04</v>
          </cell>
          <cell r="Z881">
            <v>0.35</v>
          </cell>
          <cell r="AA881">
            <v>27951.326000000001</v>
          </cell>
          <cell r="AB881"/>
        </row>
        <row r="882">
          <cell r="C882">
            <v>6</v>
          </cell>
          <cell r="D882">
            <v>1</v>
          </cell>
          <cell r="E882">
            <v>0</v>
          </cell>
          <cell r="F882">
            <v>0</v>
          </cell>
          <cell r="H882">
            <v>3</v>
          </cell>
          <cell r="O882">
            <v>362675</v>
          </cell>
          <cell r="P882" t="str">
            <v>2023/115-0081-01</v>
          </cell>
          <cell r="Q882" t="str">
            <v>EST CADEIRA CLARA C/BRACO (JEQ NOG) (MISTA) (C2 CARAMELO)</v>
          </cell>
          <cell r="R882"/>
          <cell r="S882"/>
          <cell r="T882">
            <v>0.61</v>
          </cell>
          <cell r="U882">
            <v>0.55000000000000004</v>
          </cell>
          <cell r="V882">
            <v>0.86</v>
          </cell>
          <cell r="W882">
            <v>0</v>
          </cell>
          <cell r="X882" t="str">
            <v>EST CADEIRA CLARA C/BRACO (JEQ NOG) (MISTA) (C2 CARAMELO) - 0,61x0,55x0,86H</v>
          </cell>
          <cell r="Y882">
            <v>9303.6200000000008</v>
          </cell>
          <cell r="Z882">
            <v>0.5</v>
          </cell>
          <cell r="AA882">
            <v>4651.8100000000004</v>
          </cell>
          <cell r="AB882"/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H883">
            <v>8</v>
          </cell>
          <cell r="O883">
            <v>307831</v>
          </cell>
          <cell r="P883" t="str">
            <v>2021/350-0141-01</v>
          </cell>
          <cell r="Q883" t="str">
            <v>EST CADEIRA KEEF C/BRACO (JEQ TING NOG) (MADEIRA)</v>
          </cell>
          <cell r="R883"/>
          <cell r="S883"/>
          <cell r="T883">
            <v>0.55000000000000004</v>
          </cell>
          <cell r="U883">
            <v>0.54</v>
          </cell>
          <cell r="V883">
            <v>0.89</v>
          </cell>
          <cell r="W883">
            <v>0</v>
          </cell>
          <cell r="X883" t="str">
            <v>EST CADEIRA KEEF C/BRACO (JEQ TING NOG) (MADEIRA) - 0,55x0,54x0,89H</v>
          </cell>
          <cell r="Y883">
            <v>9339.19</v>
          </cell>
          <cell r="Z883">
            <v>0.5</v>
          </cell>
          <cell r="AA883">
            <v>4669.5950000000003</v>
          </cell>
          <cell r="AB883"/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H884">
            <v>8</v>
          </cell>
          <cell r="O884">
            <v>307831</v>
          </cell>
          <cell r="P884" t="str">
            <v>2021/350-0144-01</v>
          </cell>
          <cell r="Q884" t="str">
            <v>EST CADEIRA KEEF C/BRACO (JEQ TING NOG) (MADEIRA)</v>
          </cell>
          <cell r="R884"/>
          <cell r="S884"/>
          <cell r="T884">
            <v>0.55000000000000004</v>
          </cell>
          <cell r="U884">
            <v>0.54</v>
          </cell>
          <cell r="V884">
            <v>0.89</v>
          </cell>
          <cell r="W884">
            <v>0</v>
          </cell>
          <cell r="X884" t="str">
            <v>EST CADEIRA KEEF C/BRACO (JEQ TING NOG) (MADEIRA) - 0,55x0,54x0,89H</v>
          </cell>
          <cell r="Y884">
            <v>9339.19</v>
          </cell>
          <cell r="Z884">
            <v>0.5</v>
          </cell>
          <cell r="AA884">
            <v>4669.5950000000003</v>
          </cell>
          <cell r="AB884"/>
        </row>
        <row r="885">
          <cell r="C885">
            <v>8</v>
          </cell>
          <cell r="D885">
            <v>0</v>
          </cell>
          <cell r="E885">
            <v>0</v>
          </cell>
          <cell r="F885">
            <v>0</v>
          </cell>
          <cell r="H885">
            <v>0</v>
          </cell>
          <cell r="O885">
            <v>336561</v>
          </cell>
          <cell r="P885" t="str">
            <v>2022/301-0016-01</v>
          </cell>
          <cell r="Q885" t="str">
            <v>EST CADEIRA CLARA (JEQ TING NOG) (ESTOF) (C2 CARAMELO)</v>
          </cell>
          <cell r="R885"/>
          <cell r="S885"/>
          <cell r="T885">
            <v>0.48</v>
          </cell>
          <cell r="U885">
            <v>0.56999999999999995</v>
          </cell>
          <cell r="V885">
            <v>0.86</v>
          </cell>
          <cell r="W885">
            <v>0</v>
          </cell>
          <cell r="X885" t="str">
            <v>EST CADEIRA CLARA (JEQ TING NOG) (ESTOF) (C2 CARAMELO) - 0,48x0,57x0,86H</v>
          </cell>
          <cell r="Y885">
            <v>7481.15</v>
          </cell>
          <cell r="Z885">
            <v>0.5</v>
          </cell>
          <cell r="AA885">
            <v>3740.5749999999998</v>
          </cell>
          <cell r="AB885"/>
        </row>
        <row r="886">
          <cell r="C886">
            <v>8</v>
          </cell>
          <cell r="D886">
            <v>0</v>
          </cell>
          <cell r="E886">
            <v>0</v>
          </cell>
          <cell r="F886">
            <v>0</v>
          </cell>
          <cell r="H886">
            <v>0</v>
          </cell>
          <cell r="O886">
            <v>336561</v>
          </cell>
          <cell r="P886" t="str">
            <v>2022/301-0017-01</v>
          </cell>
          <cell r="Q886" t="str">
            <v>EST CADEIRA CLARA (JEQ TING NOG) (ESTOF) (C2 CARAMELO)</v>
          </cell>
          <cell r="R886"/>
          <cell r="S886"/>
          <cell r="T886">
            <v>0.48</v>
          </cell>
          <cell r="U886">
            <v>0.56999999999999995</v>
          </cell>
          <cell r="V886">
            <v>0.86</v>
          </cell>
          <cell r="W886">
            <v>0</v>
          </cell>
          <cell r="X886" t="str">
            <v>EST CADEIRA CLARA (JEQ TING NOG) (ESTOF) (C2 CARAMELO) - 0,48x0,57x0,86H</v>
          </cell>
          <cell r="Y886">
            <v>7481.15</v>
          </cell>
          <cell r="Z886">
            <v>0.5</v>
          </cell>
          <cell r="AA886">
            <v>3740.5749999999998</v>
          </cell>
          <cell r="AB886"/>
        </row>
        <row r="887">
          <cell r="C887">
            <v>8</v>
          </cell>
          <cell r="D887">
            <v>0</v>
          </cell>
          <cell r="E887">
            <v>0</v>
          </cell>
          <cell r="F887">
            <v>0</v>
          </cell>
          <cell r="H887">
            <v>0</v>
          </cell>
          <cell r="O887">
            <v>336561</v>
          </cell>
          <cell r="P887" t="str">
            <v>2022/301-0010-01</v>
          </cell>
          <cell r="Q887" t="str">
            <v>EST CADEIRA CLARA (JEQ TING NOG) (ESTOF) (C2 CARAMELO)</v>
          </cell>
          <cell r="R887"/>
          <cell r="S887"/>
          <cell r="T887">
            <v>0.48</v>
          </cell>
          <cell r="U887">
            <v>0.56999999999999995</v>
          </cell>
          <cell r="V887">
            <v>0.86</v>
          </cell>
          <cell r="W887">
            <v>0</v>
          </cell>
          <cell r="X887" t="str">
            <v>EST CADEIRA CLARA (JEQ TING NOG) (ESTOF) (C2 CARAMELO) - 0,48x0,57x0,86H</v>
          </cell>
          <cell r="Y887">
            <v>7481.15</v>
          </cell>
          <cell r="Z887">
            <v>0.5</v>
          </cell>
          <cell r="AA887">
            <v>3740.5749999999998</v>
          </cell>
          <cell r="AB887"/>
        </row>
        <row r="888">
          <cell r="C888">
            <v>8</v>
          </cell>
          <cell r="D888">
            <v>0</v>
          </cell>
          <cell r="E888">
            <v>0</v>
          </cell>
          <cell r="F888">
            <v>0</v>
          </cell>
          <cell r="H888">
            <v>0</v>
          </cell>
          <cell r="O888">
            <v>336561</v>
          </cell>
          <cell r="P888" t="str">
            <v>2022/301-0011-01</v>
          </cell>
          <cell r="Q888" t="str">
            <v>EST CADEIRA CLARA (JEQ TING NOG) (ESTOF) (C2 CARAMELO)</v>
          </cell>
          <cell r="R888"/>
          <cell r="S888"/>
          <cell r="T888">
            <v>0.48</v>
          </cell>
          <cell r="U888">
            <v>0.56999999999999995</v>
          </cell>
          <cell r="V888">
            <v>0.86</v>
          </cell>
          <cell r="W888">
            <v>0</v>
          </cell>
          <cell r="X888" t="str">
            <v>EST CADEIRA CLARA (JEQ TING NOG) (ESTOF) (C2 CARAMELO) - 0,48x0,57x0,86H</v>
          </cell>
          <cell r="Y888">
            <v>7481.15</v>
          </cell>
          <cell r="Z888">
            <v>0.5</v>
          </cell>
          <cell r="AA888">
            <v>3740.5749999999998</v>
          </cell>
          <cell r="AB888"/>
        </row>
        <row r="889">
          <cell r="C889">
            <v>8</v>
          </cell>
          <cell r="D889">
            <v>0</v>
          </cell>
          <cell r="E889">
            <v>0</v>
          </cell>
          <cell r="F889">
            <v>0</v>
          </cell>
          <cell r="H889">
            <v>0</v>
          </cell>
          <cell r="O889">
            <v>336561</v>
          </cell>
          <cell r="P889" t="str">
            <v>2022/301-0012-01</v>
          </cell>
          <cell r="Q889" t="str">
            <v>EST CADEIRA CLARA (JEQ TING NOG) (ESTOF) (C2 CARAMELO)</v>
          </cell>
          <cell r="R889"/>
          <cell r="S889"/>
          <cell r="T889">
            <v>0.48</v>
          </cell>
          <cell r="U889">
            <v>0.56999999999999995</v>
          </cell>
          <cell r="V889">
            <v>0.86</v>
          </cell>
          <cell r="W889">
            <v>0</v>
          </cell>
          <cell r="X889" t="str">
            <v>EST CADEIRA CLARA (JEQ TING NOG) (ESTOF) (C2 CARAMELO) - 0,48x0,57x0,86H</v>
          </cell>
          <cell r="Y889">
            <v>7481.15</v>
          </cell>
          <cell r="Z889">
            <v>0.5</v>
          </cell>
          <cell r="AA889">
            <v>3740.5749999999998</v>
          </cell>
          <cell r="AB889"/>
        </row>
        <row r="890">
          <cell r="C890">
            <v>8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336561</v>
          </cell>
          <cell r="P890" t="str">
            <v>2022/301-0013-01</v>
          </cell>
          <cell r="Q890" t="str">
            <v>EST CADEIRA CLARA (JEQ TING NOG) (ESTOF) (C2 CARAMELO)</v>
          </cell>
          <cell r="R890"/>
          <cell r="S890"/>
          <cell r="T890">
            <v>0.48</v>
          </cell>
          <cell r="U890">
            <v>0.56999999999999995</v>
          </cell>
          <cell r="V890">
            <v>0.86</v>
          </cell>
          <cell r="W890">
            <v>0</v>
          </cell>
          <cell r="X890" t="str">
            <v>EST CADEIRA CLARA (JEQ TING NOG) (ESTOF) (C2 CARAMELO) - 0,48x0,57x0,86H</v>
          </cell>
          <cell r="Y890">
            <v>7481.15</v>
          </cell>
          <cell r="Z890">
            <v>0.5</v>
          </cell>
          <cell r="AA890">
            <v>3740.5749999999998</v>
          </cell>
          <cell r="AB890"/>
        </row>
        <row r="891">
          <cell r="C891">
            <v>8</v>
          </cell>
          <cell r="D891">
            <v>0</v>
          </cell>
          <cell r="E891">
            <v>0</v>
          </cell>
          <cell r="F891">
            <v>0</v>
          </cell>
          <cell r="H891">
            <v>0</v>
          </cell>
          <cell r="O891">
            <v>336561</v>
          </cell>
          <cell r="P891" t="str">
            <v>2022/301-0014-01</v>
          </cell>
          <cell r="Q891" t="str">
            <v>EST CADEIRA CLARA (JEQ TING NOG) (ESTOF) (C2 CARAMELO)</v>
          </cell>
          <cell r="R891"/>
          <cell r="S891"/>
          <cell r="T891">
            <v>0.48</v>
          </cell>
          <cell r="U891">
            <v>0.56999999999999995</v>
          </cell>
          <cell r="V891">
            <v>0.86</v>
          </cell>
          <cell r="W891">
            <v>0</v>
          </cell>
          <cell r="X891" t="str">
            <v>EST CADEIRA CLARA (JEQ TING NOG) (ESTOF) (C2 CARAMELO) - 0,48x0,57x0,86H</v>
          </cell>
          <cell r="Y891">
            <v>7481.15</v>
          </cell>
          <cell r="Z891">
            <v>0.5</v>
          </cell>
          <cell r="AA891">
            <v>3740.5749999999998</v>
          </cell>
          <cell r="AB891"/>
        </row>
        <row r="892">
          <cell r="C892">
            <v>8</v>
          </cell>
          <cell r="D892">
            <v>0</v>
          </cell>
          <cell r="E892">
            <v>0</v>
          </cell>
          <cell r="F892">
            <v>0</v>
          </cell>
          <cell r="H892">
            <v>0</v>
          </cell>
          <cell r="O892">
            <v>336561</v>
          </cell>
          <cell r="P892" t="str">
            <v>2022/301-0015-01</v>
          </cell>
          <cell r="Q892" t="str">
            <v>EST CADEIRA CLARA (JEQ TING NOG) (ESTOF) (C2 CARAMELO)</v>
          </cell>
          <cell r="R892"/>
          <cell r="S892"/>
          <cell r="T892">
            <v>0.48</v>
          </cell>
          <cell r="U892">
            <v>0.56999999999999995</v>
          </cell>
          <cell r="V892">
            <v>0.86</v>
          </cell>
          <cell r="W892">
            <v>0</v>
          </cell>
          <cell r="X892" t="str">
            <v>EST CADEIRA CLARA (JEQ TING NOG) (ESTOF) (C2 CARAMELO) - 0,48x0,57x0,86H</v>
          </cell>
          <cell r="Y892">
            <v>7481.15</v>
          </cell>
          <cell r="Z892">
            <v>0.5</v>
          </cell>
          <cell r="AA892">
            <v>3740.5749999999998</v>
          </cell>
          <cell r="AB892"/>
        </row>
        <row r="893">
          <cell r="C893">
            <v>1</v>
          </cell>
          <cell r="D893">
            <v>0</v>
          </cell>
          <cell r="E893">
            <v>0</v>
          </cell>
          <cell r="F893">
            <v>0</v>
          </cell>
          <cell r="H893">
            <v>0</v>
          </cell>
          <cell r="O893">
            <v>336639</v>
          </cell>
          <cell r="P893" t="str">
            <v>2022/251-0025-01</v>
          </cell>
          <cell r="Q893" t="str">
            <v>EST BUFFET HOLLIE (FREIJO NT) (TP REC CAMEL) (CHAMPAGNE)</v>
          </cell>
          <cell r="R893"/>
          <cell r="S893"/>
          <cell r="T893">
            <v>2.5</v>
          </cell>
          <cell r="U893">
            <v>0.55000000000000004</v>
          </cell>
          <cell r="V893">
            <v>0.8</v>
          </cell>
          <cell r="W893">
            <v>0</v>
          </cell>
          <cell r="X893" t="str">
            <v>EST BUFFET HOLLIE (FREIJO NT) (TP REC CAMEL) (CHAMPAGNE) - 2,5x0,55x0,8H</v>
          </cell>
          <cell r="Y893">
            <v>62798.44</v>
          </cell>
          <cell r="Z893">
            <v>0.4</v>
          </cell>
          <cell r="AA893">
            <v>37679.063999999998</v>
          </cell>
          <cell r="AB893"/>
        </row>
        <row r="894">
          <cell r="C894">
            <v>6</v>
          </cell>
          <cell r="D894">
            <v>1</v>
          </cell>
          <cell r="E894">
            <v>0</v>
          </cell>
          <cell r="F894">
            <v>0</v>
          </cell>
          <cell r="H894">
            <v>3</v>
          </cell>
          <cell r="O894">
            <v>362675</v>
          </cell>
          <cell r="P894" t="str">
            <v>2023/115-0075-01</v>
          </cell>
          <cell r="Q894" t="str">
            <v>EST CADEIRA CLARA C/BRACO (JEQ NOG) (MISTA) (C2 CARAMELO)</v>
          </cell>
          <cell r="R894"/>
          <cell r="S894"/>
          <cell r="T894">
            <v>0.61</v>
          </cell>
          <cell r="U894">
            <v>0.55000000000000004</v>
          </cell>
          <cell r="V894">
            <v>0.86</v>
          </cell>
          <cell r="W894">
            <v>0</v>
          </cell>
          <cell r="X894" t="str">
            <v>EST CADEIRA CLARA C/BRACO (JEQ NOG) (MISTA) (C2 CARAMELO) - 0,61x0,55x0,86H</v>
          </cell>
          <cell r="Y894">
            <v>9303.6200000000008</v>
          </cell>
          <cell r="Z894">
            <v>0.5</v>
          </cell>
          <cell r="AA894">
            <v>4651.8100000000004</v>
          </cell>
          <cell r="AB894"/>
        </row>
        <row r="895">
          <cell r="C895">
            <v>6</v>
          </cell>
          <cell r="D895">
            <v>1</v>
          </cell>
          <cell r="E895">
            <v>0</v>
          </cell>
          <cell r="F895">
            <v>0</v>
          </cell>
          <cell r="H895">
            <v>3</v>
          </cell>
          <cell r="O895">
            <v>362675</v>
          </cell>
          <cell r="P895" t="str">
            <v>2023/115-0076-01</v>
          </cell>
          <cell r="Q895" t="str">
            <v>EST CADEIRA CLARA C/BRACO (JEQ NOG) (MISTA) (C2 CARAMELO)</v>
          </cell>
          <cell r="R895"/>
          <cell r="S895"/>
          <cell r="T895">
            <v>0.61</v>
          </cell>
          <cell r="U895">
            <v>0.55000000000000004</v>
          </cell>
          <cell r="V895">
            <v>0.86</v>
          </cell>
          <cell r="W895">
            <v>0</v>
          </cell>
          <cell r="X895" t="str">
            <v>EST CADEIRA CLARA C/BRACO (JEQ NOG) (MISTA) (C2 CARAMELO) - 0,61x0,55x0,86H</v>
          </cell>
          <cell r="Y895">
            <v>9303.6200000000008</v>
          </cell>
          <cell r="Z895">
            <v>0.5</v>
          </cell>
          <cell r="AA895">
            <v>4651.8100000000004</v>
          </cell>
          <cell r="AB895"/>
        </row>
        <row r="896">
          <cell r="C896">
            <v>6</v>
          </cell>
          <cell r="D896">
            <v>1</v>
          </cell>
          <cell r="E896">
            <v>0</v>
          </cell>
          <cell r="F896">
            <v>0</v>
          </cell>
          <cell r="H896">
            <v>3</v>
          </cell>
          <cell r="O896">
            <v>362675</v>
          </cell>
          <cell r="P896" t="str">
            <v>2023/115-0078-01</v>
          </cell>
          <cell r="Q896" t="str">
            <v>EST CADEIRA CLARA C/BRACO (JEQ NOG) (MISTA) (C2 CARAMELO)</v>
          </cell>
          <cell r="R896"/>
          <cell r="S896"/>
          <cell r="T896">
            <v>0.61</v>
          </cell>
          <cell r="U896">
            <v>0.55000000000000004</v>
          </cell>
          <cell r="V896">
            <v>0.86</v>
          </cell>
          <cell r="W896">
            <v>0</v>
          </cell>
          <cell r="X896" t="str">
            <v>EST CADEIRA CLARA C/BRACO (JEQ NOG) (MISTA) (C2 CARAMELO) - 0,61x0,55x0,86H</v>
          </cell>
          <cell r="Y896">
            <v>9303.6200000000008</v>
          </cell>
          <cell r="Z896">
            <v>0.5</v>
          </cell>
          <cell r="AA896">
            <v>4651.8100000000004</v>
          </cell>
          <cell r="AB896"/>
        </row>
        <row r="897">
          <cell r="C897">
            <v>6</v>
          </cell>
          <cell r="D897">
            <v>1</v>
          </cell>
          <cell r="E897">
            <v>0</v>
          </cell>
          <cell r="F897">
            <v>0</v>
          </cell>
          <cell r="H897">
            <v>3</v>
          </cell>
          <cell r="O897">
            <v>362675</v>
          </cell>
          <cell r="P897" t="str">
            <v>2023/115-0079-01</v>
          </cell>
          <cell r="Q897" t="str">
            <v>EST CADEIRA CLARA C/BRACO (JEQ NOG) (MISTA) (C2 CARAMELO)</v>
          </cell>
          <cell r="R897"/>
          <cell r="S897"/>
          <cell r="T897">
            <v>0.61</v>
          </cell>
          <cell r="U897">
            <v>0.55000000000000004</v>
          </cell>
          <cell r="V897">
            <v>0.86</v>
          </cell>
          <cell r="W897">
            <v>0</v>
          </cell>
          <cell r="X897" t="str">
            <v>EST CADEIRA CLARA C/BRACO (JEQ NOG) (MISTA) (C2 CARAMELO) - 0,61x0,55x0,86H</v>
          </cell>
          <cell r="Y897">
            <v>9303.6200000000008</v>
          </cell>
          <cell r="Z897">
            <v>0.5</v>
          </cell>
          <cell r="AA897">
            <v>4651.8100000000004</v>
          </cell>
          <cell r="AB897"/>
        </row>
        <row r="898">
          <cell r="C898">
            <v>6</v>
          </cell>
          <cell r="D898">
            <v>1</v>
          </cell>
          <cell r="E898">
            <v>0</v>
          </cell>
          <cell r="F898">
            <v>0</v>
          </cell>
          <cell r="H898">
            <v>3</v>
          </cell>
          <cell r="O898">
            <v>362675</v>
          </cell>
          <cell r="P898" t="str">
            <v>2023/115-0084-01</v>
          </cell>
          <cell r="Q898" t="str">
            <v>EST CADEIRA CLARA C/BRACO (JEQ NOG) (MISTA) (C2 CARAMELO)</v>
          </cell>
          <cell r="R898"/>
          <cell r="S898"/>
          <cell r="T898">
            <v>0.61</v>
          </cell>
          <cell r="U898">
            <v>0.55000000000000004</v>
          </cell>
          <cell r="V898">
            <v>0.86</v>
          </cell>
          <cell r="W898">
            <v>0</v>
          </cell>
          <cell r="X898" t="str">
            <v>EST CADEIRA CLARA C/BRACO (JEQ NOG) (MISTA) (C2 CARAMELO) - 0,61x0,55x0,86H</v>
          </cell>
          <cell r="Y898">
            <v>9303.6200000000008</v>
          </cell>
          <cell r="Z898">
            <v>0.5</v>
          </cell>
          <cell r="AA898">
            <v>4651.8100000000004</v>
          </cell>
          <cell r="AB898"/>
        </row>
        <row r="899">
          <cell r="C899">
            <v>6</v>
          </cell>
          <cell r="D899">
            <v>1</v>
          </cell>
          <cell r="E899">
            <v>0</v>
          </cell>
          <cell r="F899">
            <v>0</v>
          </cell>
          <cell r="H899">
            <v>3</v>
          </cell>
          <cell r="O899">
            <v>362675</v>
          </cell>
          <cell r="P899" t="str">
            <v>2023/115-0082-01</v>
          </cell>
          <cell r="Q899" t="str">
            <v>EST CADEIRA CLARA C/BRACO (JEQ NOG) (MISTA) (C2 CARAMELO)</v>
          </cell>
          <cell r="R899"/>
          <cell r="S899"/>
          <cell r="T899">
            <v>0.61</v>
          </cell>
          <cell r="U899">
            <v>0.55000000000000004</v>
          </cell>
          <cell r="V899">
            <v>0.86</v>
          </cell>
          <cell r="W899">
            <v>0</v>
          </cell>
          <cell r="X899" t="str">
            <v>EST CADEIRA CLARA C/BRACO (JEQ NOG) (MISTA) (C2 CARAMELO) - 0,61x0,55x0,86H</v>
          </cell>
          <cell r="Y899">
            <v>9303.6200000000008</v>
          </cell>
          <cell r="Z899">
            <v>0.5</v>
          </cell>
          <cell r="AA899">
            <v>4651.8100000000004</v>
          </cell>
          <cell r="AB899"/>
        </row>
        <row r="900">
          <cell r="C900">
            <v>0</v>
          </cell>
          <cell r="D900">
            <v>0</v>
          </cell>
          <cell r="E900">
            <v>0</v>
          </cell>
          <cell r="F900">
            <v>1</v>
          </cell>
          <cell r="H900">
            <v>0</v>
          </cell>
          <cell r="O900">
            <v>390838</v>
          </cell>
          <cell r="P900" t="str">
            <v>2024/226-0026-01</v>
          </cell>
          <cell r="Q900" t="str">
            <v>EST BANQUETA BAR CAVALETTA H65 (JEQUITIBA CASTANHO CLARO)</v>
          </cell>
          <cell r="R900"/>
          <cell r="S900"/>
          <cell r="T900">
            <v>0.42</v>
          </cell>
          <cell r="U900">
            <v>0.46</v>
          </cell>
          <cell r="V900">
            <v>0.65</v>
          </cell>
          <cell r="W900">
            <v>0</v>
          </cell>
          <cell r="X900" t="str">
            <v>EST BANQUETA BAR CAVALETTA H65 (JEQUITIBA CASTANHO CLARO) - 0,42x0,46x0,65H</v>
          </cell>
          <cell r="Y900">
            <v>6456.31</v>
          </cell>
          <cell r="Z900">
            <v>0.35</v>
          </cell>
          <cell r="AA900">
            <v>4196.6015000000007</v>
          </cell>
          <cell r="AB900"/>
        </row>
        <row r="901">
          <cell r="C901">
            <v>0</v>
          </cell>
          <cell r="D901">
            <v>1</v>
          </cell>
          <cell r="E901">
            <v>0</v>
          </cell>
          <cell r="F901">
            <v>0</v>
          </cell>
          <cell r="H901">
            <v>0</v>
          </cell>
          <cell r="O901">
            <v>232325</v>
          </cell>
          <cell r="P901" t="str">
            <v>2019/106-0002-01</v>
          </cell>
          <cell r="Q901" t="str">
            <v>EST SOFA TABLE ELLOS (MAD B LOURO FREIJO) (PRETO FSC)</v>
          </cell>
          <cell r="R901"/>
          <cell r="S901"/>
          <cell r="T901">
            <v>0.9</v>
          </cell>
          <cell r="U901">
            <v>0.35</v>
          </cell>
          <cell r="V901">
            <v>0.5</v>
          </cell>
          <cell r="W901">
            <v>0</v>
          </cell>
          <cell r="X901" t="str">
            <v>EST SOFA TABLE ELLOS (MAD B LOURO FREIJO) (PRETO FSC) - 0,9x0,35x0,5H</v>
          </cell>
          <cell r="Y901">
            <v>6792.35</v>
          </cell>
          <cell r="Z901">
            <v>0.35</v>
          </cell>
          <cell r="AA901">
            <v>4415.0275000000001</v>
          </cell>
          <cell r="AB901"/>
        </row>
        <row r="902">
          <cell r="C902">
            <v>1</v>
          </cell>
          <cell r="D902">
            <v>1</v>
          </cell>
          <cell r="E902">
            <v>0</v>
          </cell>
          <cell r="F902">
            <v>0</v>
          </cell>
          <cell r="H902">
            <v>0</v>
          </cell>
          <cell r="O902">
            <v>232326</v>
          </cell>
          <cell r="P902" t="str">
            <v>2020/240-0045-01</v>
          </cell>
          <cell r="Q902" t="str">
            <v>EST SOFA TABLE ELLOS (MAD B LOURO FREIJO) (PRETO FSC)</v>
          </cell>
          <cell r="R902"/>
          <cell r="S902"/>
          <cell r="T902">
            <v>2.2000000000000002</v>
          </cell>
          <cell r="U902">
            <v>0.35</v>
          </cell>
          <cell r="V902">
            <v>0.5</v>
          </cell>
          <cell r="W902">
            <v>0</v>
          </cell>
          <cell r="X902" t="str">
            <v>EST SOFA TABLE ELLOS (MAD B LOURO FREIJO) (PRETO FSC) - 2,2x0,35x0,5H</v>
          </cell>
          <cell r="Y902">
            <v>12646.86</v>
          </cell>
          <cell r="Z902">
            <v>0.35</v>
          </cell>
          <cell r="AA902">
            <v>8220.4590000000007</v>
          </cell>
          <cell r="AB902"/>
        </row>
        <row r="903">
          <cell r="C903">
            <v>1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232326</v>
          </cell>
          <cell r="P903" t="str">
            <v>2019/106-0003-01</v>
          </cell>
          <cell r="Q903" t="str">
            <v>EST SOFA TABLE ELLOS (MAD B LOURO FREIJO) (PRETO FSC)</v>
          </cell>
          <cell r="R903"/>
          <cell r="S903"/>
          <cell r="T903">
            <v>2.2000000000000002</v>
          </cell>
          <cell r="U903">
            <v>0.35</v>
          </cell>
          <cell r="V903">
            <v>0.5</v>
          </cell>
          <cell r="W903">
            <v>0</v>
          </cell>
          <cell r="X903" t="str">
            <v>EST SOFA TABLE ELLOS (MAD B LOURO FREIJO) (PRETO FSC) - 2,2x0,35x0,5H</v>
          </cell>
          <cell r="Y903">
            <v>12646.86</v>
          </cell>
          <cell r="Z903">
            <v>0.35</v>
          </cell>
          <cell r="AA903">
            <v>8220.4590000000007</v>
          </cell>
          <cell r="AB903"/>
        </row>
        <row r="904">
          <cell r="C904">
            <v>0</v>
          </cell>
          <cell r="D904">
            <v>0</v>
          </cell>
          <cell r="E904">
            <v>0</v>
          </cell>
          <cell r="F904">
            <v>1</v>
          </cell>
          <cell r="H904">
            <v>0</v>
          </cell>
          <cell r="O904">
            <v>336560</v>
          </cell>
          <cell r="P904" t="str">
            <v>2022/259-0033-01</v>
          </cell>
          <cell r="Q904" t="str">
            <v>EST MOVEL BAR HOLLIE (JEQ NOG) (TP DEKTON AURA) (MARROM PRZ)</v>
          </cell>
          <cell r="R904"/>
          <cell r="S904"/>
          <cell r="T904">
            <v>1</v>
          </cell>
          <cell r="U904">
            <v>0.55000000000000004</v>
          </cell>
          <cell r="V904">
            <v>0.8</v>
          </cell>
          <cell r="W904">
            <v>0</v>
          </cell>
          <cell r="X904" t="str">
            <v>EST MOVEL BAR HOLLIE (JEQ NOG) (TP DEKTON AURA) (MARROM PRZ) - 1x0,55x0,8H</v>
          </cell>
          <cell r="Y904">
            <v>41286.78</v>
          </cell>
          <cell r="Z904">
            <v>0.5</v>
          </cell>
          <cell r="AA904">
            <v>20643.39</v>
          </cell>
          <cell r="AB904"/>
        </row>
        <row r="905">
          <cell r="C905">
            <v>2</v>
          </cell>
          <cell r="D905">
            <v>3</v>
          </cell>
          <cell r="E905">
            <v>0</v>
          </cell>
          <cell r="F905">
            <v>0</v>
          </cell>
          <cell r="H905">
            <v>0</v>
          </cell>
          <cell r="O905">
            <v>260994</v>
          </cell>
          <cell r="P905" t="str">
            <v>2020/184-0040-01</v>
          </cell>
          <cell r="Q905" t="str">
            <v>EST ALMOFADA DECORATIVA (COURO T4 CAMURCA MUSGO)</v>
          </cell>
          <cell r="R905"/>
          <cell r="S905"/>
          <cell r="T905">
            <v>0.6</v>
          </cell>
          <cell r="U905">
            <v>0.6</v>
          </cell>
          <cell r="V905">
            <v>0</v>
          </cell>
          <cell r="W905">
            <v>0</v>
          </cell>
          <cell r="X905" t="str">
            <v>EST ALMOFADA DECORATIVA (COURO T4 CAMURCA MUSGO) - 0,6x0,6x0H</v>
          </cell>
          <cell r="Y905">
            <v>2252.0100000000002</v>
          </cell>
          <cell r="Z905">
            <v>0.35</v>
          </cell>
          <cell r="AA905">
            <v>1463.8065000000001</v>
          </cell>
          <cell r="AB905"/>
        </row>
        <row r="906">
          <cell r="C906">
            <v>2</v>
          </cell>
          <cell r="D906">
            <v>3</v>
          </cell>
          <cell r="E906">
            <v>0</v>
          </cell>
          <cell r="F906">
            <v>0</v>
          </cell>
          <cell r="H906">
            <v>0</v>
          </cell>
          <cell r="O906">
            <v>260994</v>
          </cell>
          <cell r="P906" t="str">
            <v>2020/184-0041-01</v>
          </cell>
          <cell r="Q906" t="str">
            <v>EST ALMOFADA DECORATIVA (COURO T4 CAMURCA MUSGO)</v>
          </cell>
          <cell r="R906"/>
          <cell r="S906"/>
          <cell r="T906">
            <v>0.6</v>
          </cell>
          <cell r="U906">
            <v>0.6</v>
          </cell>
          <cell r="V906">
            <v>0</v>
          </cell>
          <cell r="W906">
            <v>0</v>
          </cell>
          <cell r="X906" t="str">
            <v>EST ALMOFADA DECORATIVA (COURO T4 CAMURCA MUSGO) - 0,6x0,6x0H</v>
          </cell>
          <cell r="Y906">
            <v>2252.0100000000002</v>
          </cell>
          <cell r="Z906">
            <v>0.35</v>
          </cell>
          <cell r="AA906">
            <v>1463.8065000000001</v>
          </cell>
          <cell r="AB906"/>
        </row>
        <row r="907">
          <cell r="C907">
            <v>2</v>
          </cell>
          <cell r="D907">
            <v>3</v>
          </cell>
          <cell r="E907">
            <v>0</v>
          </cell>
          <cell r="F907">
            <v>0</v>
          </cell>
          <cell r="H907">
            <v>0</v>
          </cell>
          <cell r="O907">
            <v>260994</v>
          </cell>
          <cell r="P907" t="str">
            <v>2020/184-0038-01</v>
          </cell>
          <cell r="Q907" t="str">
            <v>EST ALMOFADA DECORATIVA (COURO T4 CAMURCA MUSGO)</v>
          </cell>
          <cell r="R907"/>
          <cell r="S907"/>
          <cell r="T907">
            <v>0.6</v>
          </cell>
          <cell r="U907">
            <v>0.6</v>
          </cell>
          <cell r="V907">
            <v>0</v>
          </cell>
          <cell r="W907">
            <v>0</v>
          </cell>
          <cell r="X907" t="str">
            <v>EST ALMOFADA DECORATIVA (COURO T4 CAMURCA MUSGO) - 0,6x0,6x0H</v>
          </cell>
          <cell r="Y907">
            <v>2252.0100000000002</v>
          </cell>
          <cell r="Z907">
            <v>0.35</v>
          </cell>
          <cell r="AA907">
            <v>1463.8065000000001</v>
          </cell>
          <cell r="AB907"/>
        </row>
        <row r="908">
          <cell r="C908">
            <v>0</v>
          </cell>
          <cell r="D908">
            <v>1</v>
          </cell>
          <cell r="E908">
            <v>0</v>
          </cell>
          <cell r="F908">
            <v>0</v>
          </cell>
          <cell r="H908">
            <v>0</v>
          </cell>
          <cell r="O908">
            <v>336562</v>
          </cell>
          <cell r="P908" t="str">
            <v>2022/259-0034-01</v>
          </cell>
          <cell r="Q908" t="str">
            <v>EST APARADOR VELL 02 (JEQ NOG) (TP CARV NOG) (MARROM PRZ)</v>
          </cell>
          <cell r="R908"/>
          <cell r="S908"/>
          <cell r="T908">
            <v>2.5</v>
          </cell>
          <cell r="U908">
            <v>0.5</v>
          </cell>
          <cell r="V908">
            <v>0.75</v>
          </cell>
          <cell r="W908">
            <v>0</v>
          </cell>
          <cell r="X908" t="str">
            <v>EST APARADOR VELL 02 (JEQ NOG) (TP CARV NOG) (MARROM PRZ) - 2,5x0,5x0,75H</v>
          </cell>
          <cell r="Y908">
            <v>33697.71</v>
          </cell>
          <cell r="Z908">
            <v>0.5</v>
          </cell>
          <cell r="AA908">
            <v>16848.855</v>
          </cell>
          <cell r="AB908"/>
        </row>
        <row r="909">
          <cell r="C909">
            <v>1</v>
          </cell>
          <cell r="D909">
            <v>0</v>
          </cell>
          <cell r="E909">
            <v>0</v>
          </cell>
          <cell r="F909">
            <v>0</v>
          </cell>
          <cell r="H909">
            <v>0</v>
          </cell>
          <cell r="O909">
            <v>328885</v>
          </cell>
          <cell r="P909" t="str">
            <v>2022/200-0048-01</v>
          </cell>
          <cell r="Q909" t="str">
            <v>EST MESA CENTRO BALLET II (MAD LAM NOCCIOLA) (COMBINAT FSC)</v>
          </cell>
          <cell r="R909"/>
          <cell r="S909"/>
          <cell r="T909">
            <v>1.6</v>
          </cell>
          <cell r="U909">
            <v>0.8</v>
          </cell>
          <cell r="V909">
            <v>0.3</v>
          </cell>
          <cell r="W909">
            <v>0</v>
          </cell>
          <cell r="X909" t="str">
            <v>EST MESA CENTRO BALLET II (MAD LAM NOCCIOLA) (COMBINAT FSC) - 1,6x0,8x0,3H</v>
          </cell>
          <cell r="Y909">
            <v>37376.6</v>
          </cell>
          <cell r="Z909">
            <v>0.5</v>
          </cell>
          <cell r="AA909">
            <v>18688.3</v>
          </cell>
          <cell r="AB909"/>
        </row>
        <row r="910">
          <cell r="C910">
            <v>1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328887</v>
          </cell>
          <cell r="P910" t="str">
            <v>2022/203-0117-01</v>
          </cell>
          <cell r="Q910" t="str">
            <v>EST MESA CENTRO BALLET II (FX4 CALACATA FSC) (MARROM FSC)</v>
          </cell>
          <cell r="R910"/>
          <cell r="S910"/>
          <cell r="T910">
            <v>1.8</v>
          </cell>
          <cell r="U910">
            <v>0.8</v>
          </cell>
          <cell r="V910">
            <v>0.3</v>
          </cell>
          <cell r="W910">
            <v>0</v>
          </cell>
          <cell r="X910" t="str">
            <v>EST MESA CENTRO BALLET II (FX4 CALACATA FSC) (MARROM FSC) - 1,8x0,8x0,3H</v>
          </cell>
          <cell r="Y910">
            <v>56537.96</v>
          </cell>
          <cell r="Z910">
            <v>0.5</v>
          </cell>
          <cell r="AA910">
            <v>28268.98</v>
          </cell>
          <cell r="AB910"/>
        </row>
        <row r="911">
          <cell r="C911">
            <v>1</v>
          </cell>
          <cell r="D911">
            <v>0</v>
          </cell>
          <cell r="E911">
            <v>2</v>
          </cell>
          <cell r="F911">
            <v>7</v>
          </cell>
          <cell r="H911">
            <v>0</v>
          </cell>
          <cell r="O911">
            <v>380352</v>
          </cell>
          <cell r="P911" t="str">
            <v>2024/065-0073-01</v>
          </cell>
          <cell r="Q911" t="str">
            <v>EST ALMOFADA DECORATIVA MONDRIAN (ITAJIME SHIBORI)</v>
          </cell>
          <cell r="R911"/>
          <cell r="S911"/>
          <cell r="T911">
            <v>0.6</v>
          </cell>
          <cell r="U911">
            <v>0.3</v>
          </cell>
          <cell r="V911">
            <v>0</v>
          </cell>
          <cell r="W911">
            <v>0</v>
          </cell>
          <cell r="X911" t="str">
            <v>EST ALMOFADA DECORATIVA MONDRIAN (ITAJIME SHIBORI) - 0,6x0,3x0H</v>
          </cell>
          <cell r="Y911">
            <v>1466.84</v>
          </cell>
          <cell r="Z911">
            <v>0.35</v>
          </cell>
          <cell r="AA911">
            <v>953.44600000000003</v>
          </cell>
          <cell r="AB911"/>
        </row>
        <row r="912">
          <cell r="C912">
            <v>0</v>
          </cell>
          <cell r="D912">
            <v>0</v>
          </cell>
          <cell r="E912">
            <v>1</v>
          </cell>
          <cell r="F912">
            <v>0</v>
          </cell>
          <cell r="H912">
            <v>0</v>
          </cell>
          <cell r="O912">
            <v>378458</v>
          </cell>
          <cell r="P912" t="str">
            <v>2024/075-0025-01</v>
          </cell>
          <cell r="Q912" t="str">
            <v>EST MESA LATERAL HIMALAYA (CLAS) (VD COMUM MTZ CSM) (WALNUT)</v>
          </cell>
          <cell r="R912"/>
          <cell r="S912"/>
          <cell r="T912">
            <v>0.7</v>
          </cell>
          <cell r="U912">
            <v>0</v>
          </cell>
          <cell r="V912">
            <v>0.55000000000000004</v>
          </cell>
          <cell r="W912">
            <v>0.7</v>
          </cell>
          <cell r="X912" t="str">
            <v>EST MESA LATERAL HIMALAYA (CLAS) (VD COMUM MTZ CSM) (WALNUT) - Ø0,7x0,55H</v>
          </cell>
          <cell r="Y912">
            <v>11816.76</v>
          </cell>
          <cell r="Z912">
            <v>0.35</v>
          </cell>
          <cell r="AA912">
            <v>7680.8940000000002</v>
          </cell>
          <cell r="AB912"/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H913">
            <v>1</v>
          </cell>
          <cell r="O913">
            <v>210507</v>
          </cell>
          <cell r="P913" t="str">
            <v>2017/145-0002-01</v>
          </cell>
          <cell r="Q913" t="str">
            <v>EST APARADOR PHOENIX (LACA POLIESTER BRILHO F100)</v>
          </cell>
          <cell r="R913"/>
          <cell r="S913"/>
          <cell r="T913">
            <v>2</v>
          </cell>
          <cell r="U913">
            <v>0.4</v>
          </cell>
          <cell r="V913">
            <v>0.77</v>
          </cell>
          <cell r="W913">
            <v>0</v>
          </cell>
          <cell r="X913" t="str">
            <v>EST APARADOR PHOENIX (LACA POLIESTER BRILHO F100) - 2x0,4x0,77H</v>
          </cell>
          <cell r="Y913">
            <v>15997.5</v>
          </cell>
          <cell r="Z913">
            <v>0.5</v>
          </cell>
          <cell r="AA913">
            <v>7998.75</v>
          </cell>
          <cell r="AB913"/>
        </row>
        <row r="914">
          <cell r="C914">
            <v>1</v>
          </cell>
          <cell r="D914">
            <v>1</v>
          </cell>
          <cell r="E914">
            <v>0</v>
          </cell>
          <cell r="F914">
            <v>0</v>
          </cell>
          <cell r="H914">
            <v>0</v>
          </cell>
          <cell r="O914">
            <v>223324</v>
          </cell>
          <cell r="P914" t="str">
            <v>2020/308-0004-01</v>
          </cell>
          <cell r="Q914" t="str">
            <v>EST MESA LATERAL DESK (PINTURA PN) (TP REC MARROM)</v>
          </cell>
          <cell r="R914"/>
          <cell r="S914"/>
          <cell r="T914">
            <v>1</v>
          </cell>
          <cell r="U914">
            <v>0.3</v>
          </cell>
          <cell r="V914">
            <v>0.55000000000000004</v>
          </cell>
          <cell r="W914">
            <v>0</v>
          </cell>
          <cell r="X914" t="str">
            <v>EST MESA LATERAL DESK (PINTURA PN) (TP REC MARROM) - 1x0,3x0,55H</v>
          </cell>
          <cell r="Y914">
            <v>7693.15</v>
          </cell>
          <cell r="Z914">
            <v>0.5</v>
          </cell>
          <cell r="AA914">
            <v>3846.5749999999998</v>
          </cell>
          <cell r="AB914"/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H915">
            <v>1</v>
          </cell>
          <cell r="O915">
            <v>231134</v>
          </cell>
          <cell r="P915" t="str">
            <v>2019/035-0048-01</v>
          </cell>
          <cell r="Q915" t="str">
            <v>EST APARADOR RENE (TP G4 GOF RATO 242/EST PINT ARGILA 240)</v>
          </cell>
          <cell r="R915"/>
          <cell r="S915"/>
          <cell r="T915">
            <v>2.2000000000000002</v>
          </cell>
          <cell r="U915">
            <v>0.4</v>
          </cell>
          <cell r="V915">
            <v>0.75</v>
          </cell>
          <cell r="W915">
            <v>0</v>
          </cell>
          <cell r="X915" t="str">
            <v>EST APARADOR RENE (TP G4 GOF RATO 242/EST PINT ARGILA 240) - 2,2x0,4x0,75H</v>
          </cell>
          <cell r="Y915">
            <v>14950.88</v>
          </cell>
          <cell r="Z915">
            <v>0.5</v>
          </cell>
          <cell r="AA915">
            <v>7475.44</v>
          </cell>
          <cell r="AB915"/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254880</v>
          </cell>
          <cell r="P916" t="str">
            <v>2020/030-0082-01</v>
          </cell>
          <cell r="Q916" t="str">
            <v>EST MESA JANTAR MANZANA LIGHT (VD CLEAR OXI/BS NOG/MTZ OXI)</v>
          </cell>
          <cell r="R916"/>
          <cell r="S916"/>
          <cell r="T916">
            <v>2.69</v>
          </cell>
          <cell r="U916">
            <v>1.18</v>
          </cell>
          <cell r="V916">
            <v>0.75</v>
          </cell>
          <cell r="W916">
            <v>0</v>
          </cell>
          <cell r="X916" t="str">
            <v>EST MESA JANTAR MANZANA LIGHT (VD CLEAR OXI/BS NOG/MTZ OXI) - 2,69x1,18x0,75H</v>
          </cell>
          <cell r="Y916">
            <v>51913.66</v>
          </cell>
          <cell r="Z916">
            <v>0.5</v>
          </cell>
          <cell r="AA916">
            <v>25956.83</v>
          </cell>
          <cell r="AB916"/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254880</v>
          </cell>
          <cell r="P917" t="str">
            <v>2024/283-0035-01</v>
          </cell>
          <cell r="Q917" t="str">
            <v>EST MESA JANTAR MANZANA LIGHT (VD CLEAR OXI/BS NOG/MTZ OXI)</v>
          </cell>
          <cell r="R917"/>
          <cell r="S917"/>
          <cell r="T917">
            <v>2.69</v>
          </cell>
          <cell r="U917">
            <v>1.18</v>
          </cell>
          <cell r="V917">
            <v>0.75</v>
          </cell>
          <cell r="W917">
            <v>0</v>
          </cell>
          <cell r="X917" t="str">
            <v>EST MESA JANTAR MANZANA LIGHT (VD CLEAR OXI/BS NOG/MTZ OXI) - 2,69x1,18x0,75H</v>
          </cell>
          <cell r="Y917">
            <v>51913.66</v>
          </cell>
          <cell r="Z917">
            <v>0.5</v>
          </cell>
          <cell r="AA917">
            <v>25956.83</v>
          </cell>
          <cell r="AB917"/>
        </row>
        <row r="918">
          <cell r="C918">
            <v>0</v>
          </cell>
          <cell r="D918">
            <v>1</v>
          </cell>
          <cell r="E918">
            <v>0</v>
          </cell>
          <cell r="F918">
            <v>0</v>
          </cell>
          <cell r="H918">
            <v>0</v>
          </cell>
          <cell r="O918">
            <v>255072</v>
          </cell>
          <cell r="P918" t="str">
            <v>2020/051-0051-01</v>
          </cell>
          <cell r="Q918" t="str">
            <v>EST CARRINHO BAR MIMO ESTRT FREIJO CL/BND LC FENDI</v>
          </cell>
          <cell r="R918"/>
          <cell r="S918"/>
          <cell r="T918">
            <v>0.8</v>
          </cell>
          <cell r="U918">
            <v>0.57999999999999996</v>
          </cell>
          <cell r="V918">
            <v>0.83</v>
          </cell>
          <cell r="W918">
            <v>0</v>
          </cell>
          <cell r="X918" t="str">
            <v>EST CARRINHO BAR MIMO ESTRT FREIJO CL/BND LC FENDI - 0,8x0,58x0,83H</v>
          </cell>
          <cell r="Y918">
            <v>22699.62</v>
          </cell>
          <cell r="Z918">
            <v>0.5</v>
          </cell>
          <cell r="AA918">
            <v>11349.81</v>
          </cell>
          <cell r="AB918"/>
        </row>
        <row r="919">
          <cell r="C919">
            <v>0</v>
          </cell>
          <cell r="D919">
            <v>1</v>
          </cell>
          <cell r="E919">
            <v>0</v>
          </cell>
          <cell r="F919">
            <v>0</v>
          </cell>
          <cell r="H919">
            <v>0</v>
          </cell>
          <cell r="O919">
            <v>274998</v>
          </cell>
          <cell r="P919" t="str">
            <v>2021/165-0105-01</v>
          </cell>
          <cell r="Q919" t="str">
            <v>EST MESA LATERAL BUZIOS 350 (TP/BS CONC CHANF SALMAO/HST PT)</v>
          </cell>
          <cell r="R919"/>
          <cell r="S919"/>
          <cell r="T919">
            <v>0.35</v>
          </cell>
          <cell r="U919">
            <v>0</v>
          </cell>
          <cell r="V919">
            <v>0.55000000000000004</v>
          </cell>
          <cell r="W919">
            <v>0.35</v>
          </cell>
          <cell r="X919" t="str">
            <v>EST MESA LATERAL BUZIOS 350 (TP/BS CONC CHANF SALMAO/HST PT) - Ø0,35x0,55H</v>
          </cell>
          <cell r="Y919">
            <v>5559.68</v>
          </cell>
          <cell r="Z919">
            <v>0.5</v>
          </cell>
          <cell r="AA919">
            <v>2779.84</v>
          </cell>
          <cell r="AB919"/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H920">
            <v>1</v>
          </cell>
          <cell r="O920">
            <v>275443</v>
          </cell>
          <cell r="P920" t="str">
            <v>2021/124-0086-01</v>
          </cell>
          <cell r="Q920" t="str">
            <v>EST CHAISE ALF (BRACO ESQ) CURATOR LONA STONE 907</v>
          </cell>
          <cell r="R920"/>
          <cell r="S920"/>
          <cell r="T920">
            <v>2.02</v>
          </cell>
          <cell r="U920">
            <v>0.95</v>
          </cell>
          <cell r="V920">
            <v>0.8</v>
          </cell>
          <cell r="W920">
            <v>0</v>
          </cell>
          <cell r="X920" t="str">
            <v>EST CHAISE ALF (BRACO ESQ) CURATOR LONA STONE 907 - 2,02x0,95x0,8H</v>
          </cell>
          <cell r="Y920">
            <v>29323.21</v>
          </cell>
          <cell r="Z920">
            <v>0.5</v>
          </cell>
          <cell r="AA920">
            <v>14661.605</v>
          </cell>
          <cell r="AB920"/>
        </row>
        <row r="921">
          <cell r="C921">
            <v>0</v>
          </cell>
          <cell r="D921">
            <v>0</v>
          </cell>
          <cell r="E921">
            <v>1</v>
          </cell>
          <cell r="F921">
            <v>0</v>
          </cell>
          <cell r="H921">
            <v>0</v>
          </cell>
          <cell r="O921">
            <v>121354</v>
          </cell>
          <cell r="P921" t="str">
            <v>1012/307-3626-01</v>
          </cell>
          <cell r="Q921" t="str">
            <v>EST TAMPO CRISTAL LAPIDADO (12MM) INCOLOR (CIRCULAR)</v>
          </cell>
          <cell r="R921"/>
          <cell r="S921"/>
          <cell r="T921">
            <v>0.9</v>
          </cell>
          <cell r="U921">
            <v>0</v>
          </cell>
          <cell r="V921">
            <v>0.01</v>
          </cell>
          <cell r="W921">
            <v>0.9</v>
          </cell>
          <cell r="X921" t="str">
            <v>EST TAMPO CRISTAL LAPIDADO (12MM) INCOLOR (CIRCULAR) - Ø0,9x0,01H</v>
          </cell>
          <cell r="Y921">
            <v>3502.3347000000003</v>
          </cell>
          <cell r="Z921">
            <v>0.35</v>
          </cell>
          <cell r="AA921">
            <v>2276.5175550000004</v>
          </cell>
          <cell r="AB921"/>
        </row>
        <row r="922">
          <cell r="C922">
            <v>0</v>
          </cell>
          <cell r="D922">
            <v>0</v>
          </cell>
          <cell r="E922">
            <v>1</v>
          </cell>
          <cell r="F922">
            <v>0</v>
          </cell>
          <cell r="H922">
            <v>0</v>
          </cell>
          <cell r="O922">
            <v>223321</v>
          </cell>
          <cell r="P922" t="str">
            <v>2018/204-0081-01</v>
          </cell>
          <cell r="Q922" t="str">
            <v>EST CADEIRA ALE (LAM CARV PT) (REC MARROM) SOLETA MARROM</v>
          </cell>
          <cell r="R922"/>
          <cell r="S922"/>
          <cell r="T922">
            <v>0.56000000000000005</v>
          </cell>
          <cell r="U922">
            <v>0.55000000000000004</v>
          </cell>
          <cell r="V922">
            <v>0.78</v>
          </cell>
          <cell r="W922">
            <v>0</v>
          </cell>
          <cell r="X922" t="str">
            <v>EST CADEIRA ALE (LAM CARV PT) (REC MARROM) SOLETA MARROM - 0,56x0,55x0,78H</v>
          </cell>
          <cell r="Y922">
            <v>9327.9</v>
          </cell>
          <cell r="Z922">
            <v>0.35</v>
          </cell>
          <cell r="AA922">
            <v>6063.1350000000002</v>
          </cell>
          <cell r="AB922"/>
        </row>
        <row r="923">
          <cell r="C923">
            <v>1</v>
          </cell>
          <cell r="D923">
            <v>1</v>
          </cell>
          <cell r="E923">
            <v>1</v>
          </cell>
          <cell r="F923">
            <v>1</v>
          </cell>
          <cell r="H923">
            <v>0</v>
          </cell>
          <cell r="O923">
            <v>385722</v>
          </cell>
          <cell r="P923" t="str">
            <v>2024/172-0063-01</v>
          </cell>
          <cell r="Q923" t="str">
            <v>EST BANQUETA BAR ALE H76 (LAM FREIJO MEL) (REC CARAM)</v>
          </cell>
          <cell r="R923"/>
          <cell r="S923"/>
          <cell r="T923">
            <v>0.55000000000000004</v>
          </cell>
          <cell r="U923">
            <v>0.54</v>
          </cell>
          <cell r="V923">
            <v>1.07</v>
          </cell>
          <cell r="W923">
            <v>0</v>
          </cell>
          <cell r="X923" t="str">
            <v>EST BANQUETA BAR ALE H76 (LAM FREIJO MEL) (REC CARAM) - 0,55x0,54x1,07H</v>
          </cell>
          <cell r="Y923">
            <v>10246.57</v>
          </cell>
          <cell r="Z923">
            <v>0.35</v>
          </cell>
          <cell r="AA923">
            <v>6660.2705000000005</v>
          </cell>
          <cell r="AB923"/>
        </row>
        <row r="924">
          <cell r="C924">
            <v>0</v>
          </cell>
          <cell r="D924">
            <v>0</v>
          </cell>
          <cell r="E924">
            <v>0</v>
          </cell>
          <cell r="F924">
            <v>1</v>
          </cell>
          <cell r="H924">
            <v>1</v>
          </cell>
          <cell r="O924">
            <v>234734</v>
          </cell>
          <cell r="P924" t="str">
            <v>2019/168-0049-01</v>
          </cell>
          <cell r="Q924" t="str">
            <v>EST CADEIRA ALE (LAM CARV PT) (REC MARROM) SOLETA MARROM</v>
          </cell>
          <cell r="R924"/>
          <cell r="S924"/>
          <cell r="T924">
            <v>0.56000000000000005</v>
          </cell>
          <cell r="U924">
            <v>0.55000000000000004</v>
          </cell>
          <cell r="V924">
            <v>0.78</v>
          </cell>
          <cell r="W924">
            <v>0</v>
          </cell>
          <cell r="X924" t="str">
            <v>EST CADEIRA ALE (LAM CARV PT) (REC MARROM) SOLETA MARROM - 0,56x0,55x0,78H</v>
          </cell>
          <cell r="Y924">
            <v>9327.9</v>
          </cell>
          <cell r="Z924">
            <v>0.35</v>
          </cell>
          <cell r="AA924">
            <v>6063.1350000000002</v>
          </cell>
          <cell r="AB924"/>
        </row>
        <row r="925">
          <cell r="C925">
            <v>1</v>
          </cell>
          <cell r="D925">
            <v>1</v>
          </cell>
          <cell r="E925">
            <v>1</v>
          </cell>
          <cell r="F925">
            <v>1</v>
          </cell>
          <cell r="H925">
            <v>2</v>
          </cell>
          <cell r="O925">
            <v>334164</v>
          </cell>
          <cell r="P925" t="str">
            <v>2022/175-0007-01</v>
          </cell>
          <cell r="Q925" t="str">
            <v>EST CADEIRA JULIETA (JEQ PECAN) (COURO PIGUIMENTADO AREIA)</v>
          </cell>
          <cell r="R925"/>
          <cell r="S925"/>
          <cell r="T925">
            <v>0.6</v>
          </cell>
          <cell r="U925">
            <v>0.54</v>
          </cell>
          <cell r="V925">
            <v>0.71</v>
          </cell>
          <cell r="W925">
            <v>0</v>
          </cell>
          <cell r="X925" t="str">
            <v>EST CADEIRA JULIETA (JEQ PECAN) (COURO PIGUIMENTADO AREIA) - 0,6x0,54x0,71H</v>
          </cell>
          <cell r="Y925">
            <v>9657.4</v>
          </cell>
          <cell r="Z925">
            <v>0.35</v>
          </cell>
          <cell r="AA925">
            <v>6277.3099999999995</v>
          </cell>
          <cell r="AB925"/>
        </row>
        <row r="926">
          <cell r="C926">
            <v>1</v>
          </cell>
          <cell r="D926">
            <v>1</v>
          </cell>
          <cell r="E926">
            <v>1</v>
          </cell>
          <cell r="F926">
            <v>1</v>
          </cell>
          <cell r="H926">
            <v>0</v>
          </cell>
          <cell r="O926">
            <v>385722</v>
          </cell>
          <cell r="P926" t="str">
            <v>2024/172-0062-01</v>
          </cell>
          <cell r="Q926" t="str">
            <v>EST BANQUETA BAR ALE H76 (LAM FREIJO MEL) (REC CARAM)</v>
          </cell>
          <cell r="R926"/>
          <cell r="S926"/>
          <cell r="T926">
            <v>0.55000000000000004</v>
          </cell>
          <cell r="U926">
            <v>0.54</v>
          </cell>
          <cell r="V926">
            <v>1.07</v>
          </cell>
          <cell r="W926">
            <v>0</v>
          </cell>
          <cell r="X926" t="str">
            <v>EST BANQUETA BAR ALE H76 (LAM FREIJO MEL) (REC CARAM) - 0,55x0,54x1,07H</v>
          </cell>
          <cell r="Y926">
            <v>10246.57</v>
          </cell>
          <cell r="Z926">
            <v>0.35</v>
          </cell>
          <cell r="AA926">
            <v>6660.2705000000005</v>
          </cell>
          <cell r="AB926"/>
        </row>
        <row r="927">
          <cell r="C927">
            <v>1</v>
          </cell>
          <cell r="D927">
            <v>1</v>
          </cell>
          <cell r="E927">
            <v>0</v>
          </cell>
          <cell r="F927">
            <v>1</v>
          </cell>
          <cell r="H927">
            <v>1</v>
          </cell>
          <cell r="O927">
            <v>385723</v>
          </cell>
          <cell r="P927" t="str">
            <v>2024/172-0067-01</v>
          </cell>
          <cell r="Q927" t="str">
            <v>EST BANQUETA BAR MOI H76 (PRETO FOSCO) (TC LISO LINHO CRU)</v>
          </cell>
          <cell r="R927"/>
          <cell r="S927"/>
          <cell r="T927">
            <v>0.51</v>
          </cell>
          <cell r="U927">
            <v>0.57999999999999996</v>
          </cell>
          <cell r="V927">
            <v>1.0900000000000001</v>
          </cell>
          <cell r="W927">
            <v>0</v>
          </cell>
          <cell r="X927" t="str">
            <v>EST BANQUETA BAR MOI H76 (PRETO FOSCO) (TC LISO LINHO CRU) - 0,51x0,58x1,09H</v>
          </cell>
          <cell r="Y927">
            <v>9059.3700000000008</v>
          </cell>
          <cell r="Z927">
            <v>0.35</v>
          </cell>
          <cell r="AA927">
            <v>5888.5905000000002</v>
          </cell>
          <cell r="AB927"/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H928">
            <v>8</v>
          </cell>
          <cell r="O928">
            <v>334219</v>
          </cell>
          <cell r="P928" t="str">
            <v>2022/166-0088-01</v>
          </cell>
          <cell r="Q928" t="str">
            <v>EST CADEIRA MOI (PINT MARROM FSC) (TC LISO BRUN CRU)</v>
          </cell>
          <cell r="R928"/>
          <cell r="S928"/>
          <cell r="T928">
            <v>0.48</v>
          </cell>
          <cell r="U928">
            <v>0.56999999999999995</v>
          </cell>
          <cell r="V928">
            <v>0.82</v>
          </cell>
          <cell r="W928">
            <v>0</v>
          </cell>
          <cell r="X928" t="str">
            <v>EST CADEIRA MOI (PINT MARROM FSC) (TC LISO BRUN CRU) - 0,48x0,57x0,82H</v>
          </cell>
          <cell r="Y928">
            <v>8103.02</v>
          </cell>
          <cell r="Z928">
            <v>0.35</v>
          </cell>
          <cell r="AA928">
            <v>5266.9630000000006</v>
          </cell>
          <cell r="AB928"/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H929">
            <v>8</v>
          </cell>
          <cell r="O929">
            <v>334219</v>
          </cell>
          <cell r="P929" t="str">
            <v>2022/166-0089-01</v>
          </cell>
          <cell r="Q929" t="str">
            <v>EST CADEIRA MOI (PINT MARROM FSC) (TC LISO BRUN CRU)</v>
          </cell>
          <cell r="R929"/>
          <cell r="S929"/>
          <cell r="T929">
            <v>0.48</v>
          </cell>
          <cell r="U929">
            <v>0.56999999999999995</v>
          </cell>
          <cell r="V929">
            <v>0.82</v>
          </cell>
          <cell r="W929">
            <v>0</v>
          </cell>
          <cell r="X929" t="str">
            <v>EST CADEIRA MOI (PINT MARROM FSC) (TC LISO BRUN CRU) - 0,48x0,57x0,82H</v>
          </cell>
          <cell r="Y929">
            <v>8103.02</v>
          </cell>
          <cell r="Z929">
            <v>0.35</v>
          </cell>
          <cell r="AA929">
            <v>5266.9630000000006</v>
          </cell>
          <cell r="AB929"/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H930">
            <v>8</v>
          </cell>
          <cell r="O930">
            <v>334219</v>
          </cell>
          <cell r="P930" t="str">
            <v>2022/166-0090-01</v>
          </cell>
          <cell r="Q930" t="str">
            <v>EST CADEIRA MOI (PINT MARROM FSC) (TC LISO BRUN CRU)</v>
          </cell>
          <cell r="R930"/>
          <cell r="S930"/>
          <cell r="T930">
            <v>0.48</v>
          </cell>
          <cell r="U930">
            <v>0.56999999999999995</v>
          </cell>
          <cell r="V930">
            <v>0.82</v>
          </cell>
          <cell r="W930">
            <v>0</v>
          </cell>
          <cell r="X930" t="str">
            <v>EST CADEIRA MOI (PINT MARROM FSC) (TC LISO BRUN CRU) - 0,48x0,57x0,82H</v>
          </cell>
          <cell r="Y930">
            <v>8103.02</v>
          </cell>
          <cell r="Z930">
            <v>0.35</v>
          </cell>
          <cell r="AA930">
            <v>5266.9630000000006</v>
          </cell>
          <cell r="AB930"/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H931">
            <v>8</v>
          </cell>
          <cell r="O931">
            <v>334219</v>
          </cell>
          <cell r="P931" t="str">
            <v>2022/166-0091-01</v>
          </cell>
          <cell r="Q931" t="str">
            <v>EST CADEIRA MOI (PINT MARROM FSC) (TC LISO BRUN CRU)</v>
          </cell>
          <cell r="R931"/>
          <cell r="S931"/>
          <cell r="T931">
            <v>0.48</v>
          </cell>
          <cell r="U931">
            <v>0.56999999999999995</v>
          </cell>
          <cell r="V931">
            <v>0.82</v>
          </cell>
          <cell r="W931">
            <v>0</v>
          </cell>
          <cell r="X931" t="str">
            <v>EST CADEIRA MOI (PINT MARROM FSC) (TC LISO BRUN CRU) - 0,48x0,57x0,82H</v>
          </cell>
          <cell r="Y931">
            <v>8103.02</v>
          </cell>
          <cell r="Z931">
            <v>0.35</v>
          </cell>
          <cell r="AA931">
            <v>5266.9630000000006</v>
          </cell>
          <cell r="AB931"/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H932">
            <v>8</v>
          </cell>
          <cell r="O932">
            <v>334219</v>
          </cell>
          <cell r="P932" t="str">
            <v>2022/166-0092-01</v>
          </cell>
          <cell r="Q932" t="str">
            <v>EST CADEIRA MOI (PINT MARROM FSC) (TC LISO BRUN CRU)</v>
          </cell>
          <cell r="R932"/>
          <cell r="S932"/>
          <cell r="T932">
            <v>0.48</v>
          </cell>
          <cell r="U932">
            <v>0.56999999999999995</v>
          </cell>
          <cell r="V932">
            <v>0.82</v>
          </cell>
          <cell r="W932">
            <v>0</v>
          </cell>
          <cell r="X932" t="str">
            <v>EST CADEIRA MOI (PINT MARROM FSC) (TC LISO BRUN CRU) - 0,48x0,57x0,82H</v>
          </cell>
          <cell r="Y932">
            <v>8103.02</v>
          </cell>
          <cell r="Z932">
            <v>0.35</v>
          </cell>
          <cell r="AA932">
            <v>5266.9630000000006</v>
          </cell>
          <cell r="AB932"/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H933">
            <v>8</v>
          </cell>
          <cell r="O933">
            <v>334219</v>
          </cell>
          <cell r="P933" t="str">
            <v>2022/166-0093-01</v>
          </cell>
          <cell r="Q933" t="str">
            <v>EST CADEIRA MOI (PINT MARROM FSC) (TC LISO BRUN CRU)</v>
          </cell>
          <cell r="R933"/>
          <cell r="S933"/>
          <cell r="T933">
            <v>0.48</v>
          </cell>
          <cell r="U933">
            <v>0.56999999999999995</v>
          </cell>
          <cell r="V933">
            <v>0.82</v>
          </cell>
          <cell r="W933">
            <v>0</v>
          </cell>
          <cell r="X933" t="str">
            <v>EST CADEIRA MOI (PINT MARROM FSC) (TC LISO BRUN CRU) - 0,48x0,57x0,82H</v>
          </cell>
          <cell r="Y933">
            <v>8103.02</v>
          </cell>
          <cell r="Z933">
            <v>0.35</v>
          </cell>
          <cell r="AA933">
            <v>5266.9630000000006</v>
          </cell>
          <cell r="AB933"/>
        </row>
        <row r="934">
          <cell r="C934">
            <v>0</v>
          </cell>
          <cell r="D934">
            <v>6</v>
          </cell>
          <cell r="E934">
            <v>0</v>
          </cell>
          <cell r="F934">
            <v>0</v>
          </cell>
          <cell r="H934">
            <v>0</v>
          </cell>
          <cell r="O934">
            <v>379637</v>
          </cell>
          <cell r="P934" t="str">
            <v>2024/087-0061-01</v>
          </cell>
          <cell r="Q934" t="str">
            <v>EST CADEIRA ALE (LAM FREIJO MEL) (REC LISO CARAM) CARAMELO</v>
          </cell>
          <cell r="R934"/>
          <cell r="S934"/>
          <cell r="T934">
            <v>0.52</v>
          </cell>
          <cell r="U934">
            <v>0.55000000000000004</v>
          </cell>
          <cell r="V934">
            <v>0.78</v>
          </cell>
          <cell r="W934">
            <v>0</v>
          </cell>
          <cell r="X934" t="str">
            <v>EST CADEIRA ALE (LAM FREIJO MEL) (REC LISO CARAM) CARAMELO - 0,52x0,55x0,78H</v>
          </cell>
          <cell r="Y934">
            <v>9327.9</v>
          </cell>
          <cell r="Z934">
            <v>0.35</v>
          </cell>
          <cell r="AA934">
            <v>6063.1350000000002</v>
          </cell>
          <cell r="AB934"/>
        </row>
        <row r="935">
          <cell r="C935">
            <v>0</v>
          </cell>
          <cell r="D935">
            <v>6</v>
          </cell>
          <cell r="E935">
            <v>0</v>
          </cell>
          <cell r="F935">
            <v>0</v>
          </cell>
          <cell r="H935">
            <v>0</v>
          </cell>
          <cell r="O935">
            <v>379637</v>
          </cell>
          <cell r="P935" t="str">
            <v>2024/087-0062-01</v>
          </cell>
          <cell r="Q935" t="str">
            <v>EST CADEIRA ALE (LAM FREIJO MEL) (REC LISO CARAM) CARAMELO</v>
          </cell>
          <cell r="R935"/>
          <cell r="S935"/>
          <cell r="T935">
            <v>0.52</v>
          </cell>
          <cell r="U935">
            <v>0.55000000000000004</v>
          </cell>
          <cell r="V935">
            <v>0.78</v>
          </cell>
          <cell r="W935">
            <v>0</v>
          </cell>
          <cell r="X935" t="str">
            <v>EST CADEIRA ALE (LAM FREIJO MEL) (REC LISO CARAM) CARAMELO - 0,52x0,55x0,78H</v>
          </cell>
          <cell r="Y935">
            <v>9327.9</v>
          </cell>
          <cell r="Z935">
            <v>0.35</v>
          </cell>
          <cell r="AA935">
            <v>6063.1350000000002</v>
          </cell>
          <cell r="AB935"/>
        </row>
        <row r="936">
          <cell r="C936">
            <v>0</v>
          </cell>
          <cell r="D936">
            <v>6</v>
          </cell>
          <cell r="E936">
            <v>0</v>
          </cell>
          <cell r="F936">
            <v>0</v>
          </cell>
          <cell r="H936">
            <v>0</v>
          </cell>
          <cell r="O936">
            <v>379637</v>
          </cell>
          <cell r="P936" t="str">
            <v>2024/087-0063-01</v>
          </cell>
          <cell r="Q936" t="str">
            <v>EST CADEIRA ALE (LAM FREIJO MEL) (REC LISO CARAM) CARAMELO</v>
          </cell>
          <cell r="R936"/>
          <cell r="S936"/>
          <cell r="T936">
            <v>0.52</v>
          </cell>
          <cell r="U936">
            <v>0.55000000000000004</v>
          </cell>
          <cell r="V936">
            <v>0.78</v>
          </cell>
          <cell r="W936">
            <v>0</v>
          </cell>
          <cell r="X936" t="str">
            <v>EST CADEIRA ALE (LAM FREIJO MEL) (REC LISO CARAM) CARAMELO - 0,52x0,55x0,78H</v>
          </cell>
          <cell r="Y936">
            <v>9327.9</v>
          </cell>
          <cell r="Z936">
            <v>0.35</v>
          </cell>
          <cell r="AA936">
            <v>6063.1350000000002</v>
          </cell>
          <cell r="AB936"/>
        </row>
        <row r="937">
          <cell r="C937">
            <v>0</v>
          </cell>
          <cell r="D937">
            <v>6</v>
          </cell>
          <cell r="E937">
            <v>0</v>
          </cell>
          <cell r="F937">
            <v>0</v>
          </cell>
          <cell r="H937">
            <v>0</v>
          </cell>
          <cell r="O937">
            <v>379637</v>
          </cell>
          <cell r="P937" t="str">
            <v>2024/087-0064-01</v>
          </cell>
          <cell r="Q937" t="str">
            <v>EST CADEIRA ALE (LAM FREIJO MEL) (REC LISO CARAM) CARAMELO</v>
          </cell>
          <cell r="R937"/>
          <cell r="S937"/>
          <cell r="T937">
            <v>0.52</v>
          </cell>
          <cell r="U937">
            <v>0.55000000000000004</v>
          </cell>
          <cell r="V937">
            <v>0.78</v>
          </cell>
          <cell r="W937">
            <v>0</v>
          </cell>
          <cell r="X937" t="str">
            <v>EST CADEIRA ALE (LAM FREIJO MEL) (REC LISO CARAM) CARAMELO - 0,52x0,55x0,78H</v>
          </cell>
          <cell r="Y937">
            <v>9327.9</v>
          </cell>
          <cell r="Z937">
            <v>0.35</v>
          </cell>
          <cell r="AA937">
            <v>6063.1350000000002</v>
          </cell>
          <cell r="AB937"/>
        </row>
        <row r="938">
          <cell r="C938">
            <v>0</v>
          </cell>
          <cell r="D938">
            <v>6</v>
          </cell>
          <cell r="E938">
            <v>0</v>
          </cell>
          <cell r="F938">
            <v>0</v>
          </cell>
          <cell r="H938">
            <v>0</v>
          </cell>
          <cell r="O938">
            <v>379637</v>
          </cell>
          <cell r="P938" t="str">
            <v>2024/087-0065-01</v>
          </cell>
          <cell r="Q938" t="str">
            <v>EST CADEIRA ALE (LAM FREIJO MEL) (REC LISO CARAM) CARAMELO</v>
          </cell>
          <cell r="R938"/>
          <cell r="S938"/>
          <cell r="T938">
            <v>0.52</v>
          </cell>
          <cell r="U938">
            <v>0.55000000000000004</v>
          </cell>
          <cell r="V938">
            <v>0.78</v>
          </cell>
          <cell r="W938">
            <v>0</v>
          </cell>
          <cell r="X938" t="str">
            <v>EST CADEIRA ALE (LAM FREIJO MEL) (REC LISO CARAM) CARAMELO - 0,52x0,55x0,78H</v>
          </cell>
          <cell r="Y938">
            <v>9327.9</v>
          </cell>
          <cell r="Z938">
            <v>0.35</v>
          </cell>
          <cell r="AA938">
            <v>6063.1350000000002</v>
          </cell>
          <cell r="AB938"/>
        </row>
        <row r="939">
          <cell r="C939">
            <v>0</v>
          </cell>
          <cell r="D939">
            <v>6</v>
          </cell>
          <cell r="E939">
            <v>0</v>
          </cell>
          <cell r="F939">
            <v>0</v>
          </cell>
          <cell r="H939">
            <v>0</v>
          </cell>
          <cell r="O939">
            <v>379637</v>
          </cell>
          <cell r="P939" t="str">
            <v>2024/087-0066-01</v>
          </cell>
          <cell r="Q939" t="str">
            <v>EST CADEIRA ALE (LAM FREIJO MEL) (REC LISO CARAM) CARAMELO</v>
          </cell>
          <cell r="R939"/>
          <cell r="S939"/>
          <cell r="T939">
            <v>0.52</v>
          </cell>
          <cell r="U939">
            <v>0.55000000000000004</v>
          </cell>
          <cell r="V939">
            <v>0.78</v>
          </cell>
          <cell r="W939">
            <v>0</v>
          </cell>
          <cell r="X939" t="str">
            <v>EST CADEIRA ALE (LAM FREIJO MEL) (REC LISO CARAM) CARAMELO - 0,52x0,55x0,78H</v>
          </cell>
          <cell r="Y939">
            <v>9327.9</v>
          </cell>
          <cell r="Z939">
            <v>0.35</v>
          </cell>
          <cell r="AA939">
            <v>6063.1350000000002</v>
          </cell>
          <cell r="AB939"/>
        </row>
        <row r="940">
          <cell r="C940">
            <v>0</v>
          </cell>
          <cell r="D940">
            <v>6</v>
          </cell>
          <cell r="E940">
            <v>0</v>
          </cell>
          <cell r="F940">
            <v>0</v>
          </cell>
          <cell r="H940">
            <v>0</v>
          </cell>
          <cell r="O940">
            <v>379637</v>
          </cell>
          <cell r="P940" t="str">
            <v>2024/087-0067-01</v>
          </cell>
          <cell r="Q940" t="str">
            <v>EST CADEIRA ALE (LAM FREIJO MEL) (REC LISO CARAM) CARAMELO</v>
          </cell>
          <cell r="R940"/>
          <cell r="S940"/>
          <cell r="T940">
            <v>0.52</v>
          </cell>
          <cell r="U940">
            <v>0.55000000000000004</v>
          </cell>
          <cell r="V940">
            <v>0.78</v>
          </cell>
          <cell r="W940">
            <v>0</v>
          </cell>
          <cell r="X940" t="str">
            <v>EST CADEIRA ALE (LAM FREIJO MEL) (REC LISO CARAM) CARAMELO - 0,52x0,55x0,78H</v>
          </cell>
          <cell r="Y940">
            <v>9327.9</v>
          </cell>
          <cell r="Z940">
            <v>0.35</v>
          </cell>
          <cell r="AA940">
            <v>6063.1350000000002</v>
          </cell>
          <cell r="AB940"/>
        </row>
        <row r="941">
          <cell r="C941">
            <v>0</v>
          </cell>
          <cell r="D941">
            <v>6</v>
          </cell>
          <cell r="E941">
            <v>0</v>
          </cell>
          <cell r="F941">
            <v>0</v>
          </cell>
          <cell r="H941">
            <v>0</v>
          </cell>
          <cell r="O941">
            <v>379637</v>
          </cell>
          <cell r="P941" t="str">
            <v>2024/087-0068-01</v>
          </cell>
          <cell r="Q941" t="str">
            <v>EST CADEIRA ALE (LAM FREIJO MEL) (REC LISO CARAM) CARAMELO</v>
          </cell>
          <cell r="R941"/>
          <cell r="S941"/>
          <cell r="T941">
            <v>0.52</v>
          </cell>
          <cell r="U941">
            <v>0.55000000000000004</v>
          </cell>
          <cell r="V941">
            <v>0.78</v>
          </cell>
          <cell r="W941">
            <v>0</v>
          </cell>
          <cell r="X941" t="str">
            <v>EST CADEIRA ALE (LAM FREIJO MEL) (REC LISO CARAM) CARAMELO - 0,52x0,55x0,78H</v>
          </cell>
          <cell r="Y941">
            <v>9327.9</v>
          </cell>
          <cell r="Z941">
            <v>0.35</v>
          </cell>
          <cell r="AA941">
            <v>6063.1350000000002</v>
          </cell>
          <cell r="AB941"/>
        </row>
        <row r="942">
          <cell r="C942">
            <v>1</v>
          </cell>
          <cell r="D942">
            <v>1</v>
          </cell>
          <cell r="E942">
            <v>1</v>
          </cell>
          <cell r="F942">
            <v>1</v>
          </cell>
          <cell r="H942">
            <v>0</v>
          </cell>
          <cell r="O942">
            <v>385722</v>
          </cell>
          <cell r="P942" t="str">
            <v>2024/172-0064-01</v>
          </cell>
          <cell r="Q942" t="str">
            <v>EST BANQUETA BAR ALE H76 (LAM FREIJO MEL) (REC CARAM)</v>
          </cell>
          <cell r="R942"/>
          <cell r="S942"/>
          <cell r="T942">
            <v>0.55000000000000004</v>
          </cell>
          <cell r="U942">
            <v>0.54</v>
          </cell>
          <cell r="V942">
            <v>1.07</v>
          </cell>
          <cell r="W942">
            <v>0</v>
          </cell>
          <cell r="X942" t="str">
            <v>EST BANQUETA BAR ALE H76 (LAM FREIJO MEL) (REC CARAM) - 0,55x0,54x1,07H</v>
          </cell>
          <cell r="Y942">
            <v>10246.57</v>
          </cell>
          <cell r="Z942">
            <v>0.35</v>
          </cell>
          <cell r="AA942">
            <v>6660.2705000000005</v>
          </cell>
          <cell r="AB942"/>
        </row>
        <row r="943">
          <cell r="C943">
            <v>1</v>
          </cell>
          <cell r="D943">
            <v>1</v>
          </cell>
          <cell r="E943">
            <v>0</v>
          </cell>
          <cell r="F943">
            <v>1</v>
          </cell>
          <cell r="H943">
            <v>1</v>
          </cell>
          <cell r="O943">
            <v>385723</v>
          </cell>
          <cell r="P943" t="str">
            <v>2024/172-0068-01</v>
          </cell>
          <cell r="Q943" t="str">
            <v>EST BANQUETA BAR MOI H76 (PRETO FOSCO) (TC LISO LINHO CRU)</v>
          </cell>
          <cell r="R943"/>
          <cell r="S943"/>
          <cell r="T943">
            <v>0.51</v>
          </cell>
          <cell r="U943">
            <v>0.57999999999999996</v>
          </cell>
          <cell r="V943">
            <v>1.0900000000000001</v>
          </cell>
          <cell r="W943">
            <v>0</v>
          </cell>
          <cell r="X943" t="str">
            <v>EST BANQUETA BAR MOI H76 (PRETO FOSCO) (TC LISO LINHO CRU) - 0,51x0,58x1,09H</v>
          </cell>
          <cell r="Y943">
            <v>9059.3700000000008</v>
          </cell>
          <cell r="Z943">
            <v>0.35</v>
          </cell>
          <cell r="AA943">
            <v>5888.5905000000002</v>
          </cell>
          <cell r="AB943"/>
        </row>
        <row r="944">
          <cell r="C944">
            <v>2</v>
          </cell>
          <cell r="D944">
            <v>0</v>
          </cell>
          <cell r="E944">
            <v>0</v>
          </cell>
          <cell r="F944">
            <v>0</v>
          </cell>
          <cell r="H944">
            <v>1</v>
          </cell>
          <cell r="O944">
            <v>223320</v>
          </cell>
          <cell r="P944" t="str">
            <v>2018/191-0065-01</v>
          </cell>
          <cell r="Q944" t="str">
            <v>EST POLTRONA ALE (LAM CARV PT) (PREMIUM CARAM ENV) SOLETA PT</v>
          </cell>
          <cell r="R944"/>
          <cell r="S944"/>
          <cell r="T944">
            <v>0.72</v>
          </cell>
          <cell r="U944">
            <v>0.65</v>
          </cell>
          <cell r="V944">
            <v>0.73</v>
          </cell>
          <cell r="W944">
            <v>0</v>
          </cell>
          <cell r="X944" t="str">
            <v>EST POLTRONA ALE (LAM CARV PT) (PREMIUM CARAM ENV) SOLETA PT - 0,72x0,65x0,73H</v>
          </cell>
          <cell r="Y944">
            <v>15141.37</v>
          </cell>
          <cell r="Z944">
            <v>0.5</v>
          </cell>
          <cell r="AA944">
            <v>7570.6850000000004</v>
          </cell>
          <cell r="AB944"/>
        </row>
        <row r="945">
          <cell r="C945">
            <v>2</v>
          </cell>
          <cell r="D945">
            <v>0</v>
          </cell>
          <cell r="E945">
            <v>0</v>
          </cell>
          <cell r="F945">
            <v>0</v>
          </cell>
          <cell r="H945">
            <v>1</v>
          </cell>
          <cell r="O945">
            <v>223320</v>
          </cell>
          <cell r="P945" t="str">
            <v>2018/204-0078-01</v>
          </cell>
          <cell r="Q945" t="str">
            <v>EST POLTRONA ALE (LAM CARV PT) (PREMIUM CARAM ENV) SOLETA PT</v>
          </cell>
          <cell r="R945"/>
          <cell r="S945"/>
          <cell r="T945">
            <v>0.72</v>
          </cell>
          <cell r="U945">
            <v>0.65</v>
          </cell>
          <cell r="V945">
            <v>0.73</v>
          </cell>
          <cell r="W945">
            <v>0</v>
          </cell>
          <cell r="X945" t="str">
            <v>EST POLTRONA ALE (LAM CARV PT) (PREMIUM CARAM ENV) SOLETA PT - 0,72x0,65x0,73H</v>
          </cell>
          <cell r="Y945">
            <v>15141.37</v>
          </cell>
          <cell r="Z945">
            <v>0.5</v>
          </cell>
          <cell r="AA945">
            <v>7570.6850000000004</v>
          </cell>
          <cell r="AB945"/>
        </row>
        <row r="946">
          <cell r="C946">
            <v>9</v>
          </cell>
          <cell r="D946">
            <v>0</v>
          </cell>
          <cell r="E946">
            <v>0</v>
          </cell>
          <cell r="F946">
            <v>0</v>
          </cell>
          <cell r="H946">
            <v>1</v>
          </cell>
          <cell r="O946">
            <v>223323</v>
          </cell>
          <cell r="P946" t="str">
            <v>2018/204-0085-01</v>
          </cell>
          <cell r="Q946" t="str">
            <v>EST CADEIRA MOI (LAM CARV PT) (TC LISO WHITE MIX)</v>
          </cell>
          <cell r="R946"/>
          <cell r="S946"/>
          <cell r="T946">
            <v>0.48</v>
          </cell>
          <cell r="U946">
            <v>0.56999999999999995</v>
          </cell>
          <cell r="V946">
            <v>0.82</v>
          </cell>
          <cell r="W946">
            <v>0</v>
          </cell>
          <cell r="X946" t="str">
            <v>EST CADEIRA MOI (LAM CARV PT) (TC LISO WHITE MIX) - 0,48x0,57x0,82H</v>
          </cell>
          <cell r="Y946">
            <v>9101.7900000000009</v>
          </cell>
          <cell r="Z946">
            <v>0.5</v>
          </cell>
          <cell r="AA946">
            <v>4550.8950000000004</v>
          </cell>
          <cell r="AB946"/>
        </row>
        <row r="947">
          <cell r="C947">
            <v>9</v>
          </cell>
          <cell r="D947">
            <v>0</v>
          </cell>
          <cell r="E947">
            <v>0</v>
          </cell>
          <cell r="F947">
            <v>0</v>
          </cell>
          <cell r="H947">
            <v>1</v>
          </cell>
          <cell r="O947">
            <v>223323</v>
          </cell>
          <cell r="P947" t="str">
            <v>2018/204-0086-01</v>
          </cell>
          <cell r="Q947" t="str">
            <v>EST CADEIRA MOI (LAM CARV PT) (TC LISO WHITE MIX)</v>
          </cell>
          <cell r="R947"/>
          <cell r="S947"/>
          <cell r="T947">
            <v>0.48</v>
          </cell>
          <cell r="U947">
            <v>0.56999999999999995</v>
          </cell>
          <cell r="V947">
            <v>0.82</v>
          </cell>
          <cell r="W947">
            <v>0</v>
          </cell>
          <cell r="X947" t="str">
            <v>EST CADEIRA MOI (LAM CARV PT) (TC LISO WHITE MIX) - 0,48x0,57x0,82H</v>
          </cell>
          <cell r="Y947">
            <v>9101.7900000000009</v>
          </cell>
          <cell r="Z947">
            <v>0.5</v>
          </cell>
          <cell r="AA947">
            <v>4550.8950000000004</v>
          </cell>
          <cell r="AB947"/>
        </row>
        <row r="948">
          <cell r="C948">
            <v>9</v>
          </cell>
          <cell r="D948">
            <v>0</v>
          </cell>
          <cell r="E948">
            <v>0</v>
          </cell>
          <cell r="F948">
            <v>0</v>
          </cell>
          <cell r="H948">
            <v>1</v>
          </cell>
          <cell r="O948">
            <v>223323</v>
          </cell>
          <cell r="P948" t="str">
            <v>2018/204-0087-01</v>
          </cell>
          <cell r="Q948" t="str">
            <v>EST CADEIRA MOI (LAM CARV PT) (TC LISO WHITE MIX)</v>
          </cell>
          <cell r="R948"/>
          <cell r="S948"/>
          <cell r="T948">
            <v>0.48</v>
          </cell>
          <cell r="U948">
            <v>0.56999999999999995</v>
          </cell>
          <cell r="V948">
            <v>0.82</v>
          </cell>
          <cell r="W948">
            <v>0</v>
          </cell>
          <cell r="X948" t="str">
            <v>EST CADEIRA MOI (LAM CARV PT) (TC LISO WHITE MIX) - 0,48x0,57x0,82H</v>
          </cell>
          <cell r="Y948">
            <v>9101.7900000000009</v>
          </cell>
          <cell r="Z948">
            <v>0.5</v>
          </cell>
          <cell r="AA948">
            <v>4550.8950000000004</v>
          </cell>
          <cell r="AB948"/>
        </row>
        <row r="949">
          <cell r="C949">
            <v>9</v>
          </cell>
          <cell r="D949">
            <v>0</v>
          </cell>
          <cell r="E949">
            <v>0</v>
          </cell>
          <cell r="F949">
            <v>0</v>
          </cell>
          <cell r="H949">
            <v>1</v>
          </cell>
          <cell r="O949">
            <v>223323</v>
          </cell>
          <cell r="P949" t="str">
            <v>2018/204-0089-01</v>
          </cell>
          <cell r="Q949" t="str">
            <v>EST CADEIRA MOI (LAM CARV PT) (TC LISO WHITE MIX)</v>
          </cell>
          <cell r="R949"/>
          <cell r="S949"/>
          <cell r="T949">
            <v>0.48</v>
          </cell>
          <cell r="U949">
            <v>0.56999999999999995</v>
          </cell>
          <cell r="V949">
            <v>0.82</v>
          </cell>
          <cell r="W949">
            <v>0</v>
          </cell>
          <cell r="X949" t="str">
            <v>EST CADEIRA MOI (LAM CARV PT) (TC LISO WHITE MIX) - 0,48x0,57x0,82H</v>
          </cell>
          <cell r="Y949">
            <v>9101.7900000000009</v>
          </cell>
          <cell r="Z949">
            <v>0.5</v>
          </cell>
          <cell r="AA949">
            <v>4550.8950000000004</v>
          </cell>
          <cell r="AB949"/>
        </row>
        <row r="950">
          <cell r="C950">
            <v>9</v>
          </cell>
          <cell r="D950">
            <v>0</v>
          </cell>
          <cell r="E950">
            <v>0</v>
          </cell>
          <cell r="F950">
            <v>0</v>
          </cell>
          <cell r="H950">
            <v>1</v>
          </cell>
          <cell r="O950">
            <v>223323</v>
          </cell>
          <cell r="P950" t="str">
            <v>2019/044-0125-01</v>
          </cell>
          <cell r="Q950" t="str">
            <v>EST CADEIRA MOI (LAM CARV PT) (TC LISO WHITE MIX)</v>
          </cell>
          <cell r="R950"/>
          <cell r="S950"/>
          <cell r="T950">
            <v>0.48</v>
          </cell>
          <cell r="U950">
            <v>0.56999999999999995</v>
          </cell>
          <cell r="V950">
            <v>0.82</v>
          </cell>
          <cell r="W950">
            <v>0</v>
          </cell>
          <cell r="X950" t="str">
            <v>EST CADEIRA MOI (LAM CARV PT) (TC LISO WHITE MIX) - 0,48x0,57x0,82H</v>
          </cell>
          <cell r="Y950">
            <v>9101.7900000000009</v>
          </cell>
          <cell r="Z950">
            <v>0.5</v>
          </cell>
          <cell r="AA950">
            <v>4550.8950000000004</v>
          </cell>
          <cell r="AB950"/>
        </row>
        <row r="951">
          <cell r="C951">
            <v>9</v>
          </cell>
          <cell r="D951">
            <v>0</v>
          </cell>
          <cell r="E951">
            <v>0</v>
          </cell>
          <cell r="F951">
            <v>0</v>
          </cell>
          <cell r="H951">
            <v>1</v>
          </cell>
          <cell r="O951">
            <v>223323</v>
          </cell>
          <cell r="P951" t="str">
            <v>2019/044-0126-01</v>
          </cell>
          <cell r="Q951" t="str">
            <v>EST CADEIRA MOI (LAM CARV PT) (TC LISO WHITE MIX)</v>
          </cell>
          <cell r="R951"/>
          <cell r="S951"/>
          <cell r="T951">
            <v>0.48</v>
          </cell>
          <cell r="U951">
            <v>0.56999999999999995</v>
          </cell>
          <cell r="V951">
            <v>0.82</v>
          </cell>
          <cell r="W951">
            <v>0</v>
          </cell>
          <cell r="X951" t="str">
            <v>EST CADEIRA MOI (LAM CARV PT) (TC LISO WHITE MIX) - 0,48x0,57x0,82H</v>
          </cell>
          <cell r="Y951">
            <v>9101.7900000000009</v>
          </cell>
          <cell r="Z951">
            <v>0.5</v>
          </cell>
          <cell r="AA951">
            <v>4550.8950000000004</v>
          </cell>
          <cell r="AB951"/>
        </row>
        <row r="952">
          <cell r="C952">
            <v>9</v>
          </cell>
          <cell r="D952">
            <v>0</v>
          </cell>
          <cell r="E952">
            <v>0</v>
          </cell>
          <cell r="F952">
            <v>0</v>
          </cell>
          <cell r="H952">
            <v>1</v>
          </cell>
          <cell r="O952">
            <v>223323</v>
          </cell>
          <cell r="P952" t="str">
            <v>2019/044-0128-01</v>
          </cell>
          <cell r="Q952" t="str">
            <v>EST CADEIRA MOI (LAM CARV PT) (TC LISO WHITE MIX)</v>
          </cell>
          <cell r="R952"/>
          <cell r="S952"/>
          <cell r="T952">
            <v>0.48</v>
          </cell>
          <cell r="U952">
            <v>0.56999999999999995</v>
          </cell>
          <cell r="V952">
            <v>0.82</v>
          </cell>
          <cell r="W952">
            <v>0</v>
          </cell>
          <cell r="X952" t="str">
            <v>EST CADEIRA MOI (LAM CARV PT) (TC LISO WHITE MIX) - 0,48x0,57x0,82H</v>
          </cell>
          <cell r="Y952">
            <v>9101.7900000000009</v>
          </cell>
          <cell r="Z952">
            <v>0.5</v>
          </cell>
          <cell r="AA952">
            <v>4550.8950000000004</v>
          </cell>
          <cell r="AB952"/>
        </row>
        <row r="953">
          <cell r="C953">
            <v>9</v>
          </cell>
          <cell r="D953">
            <v>0</v>
          </cell>
          <cell r="E953">
            <v>0</v>
          </cell>
          <cell r="F953">
            <v>0</v>
          </cell>
          <cell r="H953">
            <v>1</v>
          </cell>
          <cell r="O953">
            <v>223323</v>
          </cell>
          <cell r="P953" t="str">
            <v>2019/044-0123-01</v>
          </cell>
          <cell r="Q953" t="str">
            <v>EST CADEIRA MOI (LAM CARV PT) (TC LISO WHITE MIX)</v>
          </cell>
          <cell r="R953"/>
          <cell r="S953"/>
          <cell r="T953">
            <v>0.48</v>
          </cell>
          <cell r="U953">
            <v>0.56999999999999995</v>
          </cell>
          <cell r="V953">
            <v>0.82</v>
          </cell>
          <cell r="W953">
            <v>0</v>
          </cell>
          <cell r="X953" t="str">
            <v>EST CADEIRA MOI (LAM CARV PT) (TC LISO WHITE MIX) - 0,48x0,57x0,82H</v>
          </cell>
          <cell r="Y953">
            <v>9101.7900000000009</v>
          </cell>
          <cell r="Z953">
            <v>0.5</v>
          </cell>
          <cell r="AA953">
            <v>4550.8950000000004</v>
          </cell>
          <cell r="AB953"/>
        </row>
        <row r="954">
          <cell r="C954">
            <v>9</v>
          </cell>
          <cell r="D954">
            <v>0</v>
          </cell>
          <cell r="E954">
            <v>0</v>
          </cell>
          <cell r="F954">
            <v>0</v>
          </cell>
          <cell r="H954">
            <v>1</v>
          </cell>
          <cell r="O954">
            <v>223323</v>
          </cell>
          <cell r="P954" t="str">
            <v>2019/044-0127-01</v>
          </cell>
          <cell r="Q954" t="str">
            <v>EST CADEIRA MOI (LAM CARV PT) (TC LISO WHITE MIX)</v>
          </cell>
          <cell r="R954"/>
          <cell r="S954"/>
          <cell r="T954">
            <v>0.48</v>
          </cell>
          <cell r="U954">
            <v>0.56999999999999995</v>
          </cell>
          <cell r="V954">
            <v>0.82</v>
          </cell>
          <cell r="W954">
            <v>0</v>
          </cell>
          <cell r="X954" t="str">
            <v>EST CADEIRA MOI (LAM CARV PT) (TC LISO WHITE MIX) - 0,48x0,57x0,82H</v>
          </cell>
          <cell r="Y954">
            <v>9101.7900000000009</v>
          </cell>
          <cell r="Z954">
            <v>0.5</v>
          </cell>
          <cell r="AA954">
            <v>4550.8950000000004</v>
          </cell>
          <cell r="AB954"/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H955">
            <v>1</v>
          </cell>
          <cell r="O955">
            <v>334203</v>
          </cell>
          <cell r="P955" t="str">
            <v>2022/178-0037-01</v>
          </cell>
          <cell r="Q955" t="str">
            <v>EST POLTRONA MOI (PINTURA PJ) (REC CARAMELO)</v>
          </cell>
          <cell r="R955"/>
          <cell r="S955"/>
          <cell r="T955">
            <v>0.69</v>
          </cell>
          <cell r="U955">
            <v>0.77</v>
          </cell>
          <cell r="V955">
            <v>0.8</v>
          </cell>
          <cell r="W955">
            <v>0</v>
          </cell>
          <cell r="X955" t="str">
            <v>EST POLTRONA MOI (PINTURA PJ) (REC CARAMELO) - 0,69x0,77x0,8H</v>
          </cell>
          <cell r="Y955">
            <v>13346.46</v>
          </cell>
          <cell r="Z955">
            <v>0.5</v>
          </cell>
          <cell r="AA955">
            <v>6673.23</v>
          </cell>
          <cell r="AB955"/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H956">
            <v>1</v>
          </cell>
          <cell r="O956">
            <v>334203</v>
          </cell>
          <cell r="P956" t="str">
            <v>2022/178-0038-01</v>
          </cell>
          <cell r="Q956" t="str">
            <v>EST POLTRONA MOI (PINTURA PJ) (REC CARAMELO)</v>
          </cell>
          <cell r="R956"/>
          <cell r="S956"/>
          <cell r="T956">
            <v>0.69</v>
          </cell>
          <cell r="U956">
            <v>0.77</v>
          </cell>
          <cell r="V956">
            <v>0.8</v>
          </cell>
          <cell r="W956">
            <v>0</v>
          </cell>
          <cell r="X956" t="str">
            <v>EST POLTRONA MOI (PINTURA PJ) (REC CARAMELO) - 0,69x0,77x0,8H</v>
          </cell>
          <cell r="Y956">
            <v>13346.46</v>
          </cell>
          <cell r="Z956">
            <v>0.5</v>
          </cell>
          <cell r="AA956">
            <v>6673.23</v>
          </cell>
          <cell r="AB956"/>
        </row>
        <row r="957">
          <cell r="C957">
            <v>1</v>
          </cell>
          <cell r="D957">
            <v>0</v>
          </cell>
          <cell r="E957">
            <v>0</v>
          </cell>
          <cell r="F957">
            <v>0</v>
          </cell>
          <cell r="H957">
            <v>4</v>
          </cell>
          <cell r="O957">
            <v>334238</v>
          </cell>
          <cell r="P957" t="str">
            <v>2022/166-0096-01</v>
          </cell>
          <cell r="Q957" t="str">
            <v>EST CADEIRA ALE (LAM FREIJO MEL) (REC CARAM) SOLETA CARAMELO</v>
          </cell>
          <cell r="R957"/>
          <cell r="S957"/>
          <cell r="T957">
            <v>0.56000000000000005</v>
          </cell>
          <cell r="U957">
            <v>0.55000000000000004</v>
          </cell>
          <cell r="V957">
            <v>0.78</v>
          </cell>
          <cell r="W957">
            <v>0</v>
          </cell>
          <cell r="X957" t="str">
            <v>EST CADEIRA ALE (LAM FREIJO MEL) (REC CARAM) SOLETA CARAMELO - 0,56x0,55x0,78H</v>
          </cell>
          <cell r="Y957">
            <v>9327.9</v>
          </cell>
          <cell r="Z957">
            <v>0.35</v>
          </cell>
          <cell r="AA957">
            <v>6063.1350000000002</v>
          </cell>
          <cell r="AB957"/>
        </row>
        <row r="958">
          <cell r="C958">
            <v>1</v>
          </cell>
          <cell r="D958">
            <v>1</v>
          </cell>
          <cell r="E958">
            <v>1</v>
          </cell>
          <cell r="F958">
            <v>1</v>
          </cell>
          <cell r="H958">
            <v>0</v>
          </cell>
          <cell r="O958">
            <v>385722</v>
          </cell>
          <cell r="P958" t="str">
            <v>2024/172-0065-01</v>
          </cell>
          <cell r="Q958" t="str">
            <v>EST BANQUETA BAR ALE H76 (LAM FREIJO MEL) (REC CARAM)</v>
          </cell>
          <cell r="R958"/>
          <cell r="S958"/>
          <cell r="T958">
            <v>0.55000000000000004</v>
          </cell>
          <cell r="U958">
            <v>0.54</v>
          </cell>
          <cell r="V958">
            <v>1.07</v>
          </cell>
          <cell r="W958">
            <v>0</v>
          </cell>
          <cell r="X958" t="str">
            <v>EST BANQUETA BAR ALE H76 (LAM FREIJO MEL) (REC CARAM) - 0,55x0,54x1,07H</v>
          </cell>
          <cell r="Y958">
            <v>10246.57</v>
          </cell>
          <cell r="Z958">
            <v>0.35</v>
          </cell>
          <cell r="AA958">
            <v>6660.2705000000005</v>
          </cell>
          <cell r="AB958"/>
        </row>
        <row r="959">
          <cell r="C959">
            <v>1</v>
          </cell>
          <cell r="D959">
            <v>1</v>
          </cell>
          <cell r="E959">
            <v>0</v>
          </cell>
          <cell r="F959">
            <v>1</v>
          </cell>
          <cell r="H959">
            <v>1</v>
          </cell>
          <cell r="O959">
            <v>385723</v>
          </cell>
          <cell r="P959" t="str">
            <v>2024/172-0069-01</v>
          </cell>
          <cell r="Q959" t="str">
            <v>EST BANQUETA BAR MOI H76 (PRETO FOSCO) (TC LISO LINHO CRU)</v>
          </cell>
          <cell r="R959"/>
          <cell r="S959"/>
          <cell r="T959">
            <v>0.51</v>
          </cell>
          <cell r="U959">
            <v>0.57999999999999996</v>
          </cell>
          <cell r="V959">
            <v>1.0900000000000001</v>
          </cell>
          <cell r="W959">
            <v>0</v>
          </cell>
          <cell r="X959" t="str">
            <v>EST BANQUETA BAR MOI H76 (PRETO FOSCO) (TC LISO LINHO CRU) - 0,51x0,58x1,09H</v>
          </cell>
          <cell r="Y959">
            <v>9059.3700000000008</v>
          </cell>
          <cell r="Z959">
            <v>0.35</v>
          </cell>
          <cell r="AA959">
            <v>5888.5905000000002</v>
          </cell>
          <cell r="AB959"/>
        </row>
        <row r="960">
          <cell r="C960">
            <v>0</v>
          </cell>
          <cell r="D960">
            <v>1</v>
          </cell>
          <cell r="E960">
            <v>0</v>
          </cell>
          <cell r="F960">
            <v>0</v>
          </cell>
          <cell r="H960">
            <v>0</v>
          </cell>
          <cell r="O960">
            <v>370998</v>
          </cell>
          <cell r="P960" t="str">
            <v>2023/174-0002-01</v>
          </cell>
          <cell r="Q960" t="str">
            <v>EST BANQUETA BAR CAVALETTA H65 (JEQUITIBA IMBUIA CLARO)</v>
          </cell>
          <cell r="R960"/>
          <cell r="S960"/>
          <cell r="T960">
            <v>0.43</v>
          </cell>
          <cell r="U960">
            <v>0.46</v>
          </cell>
          <cell r="V960">
            <v>0.65</v>
          </cell>
          <cell r="W960">
            <v>0</v>
          </cell>
          <cell r="X960" t="str">
            <v>EST BANQUETA BAR CAVALETTA H65 (JEQUITIBA IMBUIA CLARO) - 0,43x0,46x0,65H</v>
          </cell>
          <cell r="Y960">
            <v>6456.31</v>
          </cell>
          <cell r="Z960">
            <v>0.35</v>
          </cell>
          <cell r="AA960">
            <v>4196.6015000000007</v>
          </cell>
          <cell r="AB960"/>
        </row>
        <row r="961">
          <cell r="C961">
            <v>0</v>
          </cell>
          <cell r="D961">
            <v>3</v>
          </cell>
          <cell r="E961">
            <v>0</v>
          </cell>
          <cell r="F961">
            <v>0</v>
          </cell>
          <cell r="H961">
            <v>0</v>
          </cell>
          <cell r="O961">
            <v>187165</v>
          </cell>
          <cell r="P961" t="str">
            <v>2016/0890-038-01</v>
          </cell>
          <cell r="Q961" t="str">
            <v>EST BANQUETA BAR ZIG (MISTA G CANYON/TELA SXT NT) MEL CLARO</v>
          </cell>
          <cell r="R961"/>
          <cell r="S961"/>
          <cell r="T961">
            <v>0.5</v>
          </cell>
          <cell r="U961">
            <v>0.51</v>
          </cell>
          <cell r="V961">
            <v>1.05</v>
          </cell>
          <cell r="W961">
            <v>0</v>
          </cell>
          <cell r="X961" t="str">
            <v>EST BANQUETA BAR ZIG (MISTA G CANYON/TELA SXT NT) MEL CLARO - 0,5x0,51x1,05H</v>
          </cell>
          <cell r="Y961">
            <v>5987.03</v>
          </cell>
          <cell r="Z961">
            <v>0.5</v>
          </cell>
          <cell r="AA961">
            <v>2993.5149999999999</v>
          </cell>
          <cell r="AB961"/>
        </row>
        <row r="962">
          <cell r="C962">
            <v>0</v>
          </cell>
          <cell r="D962">
            <v>3</v>
          </cell>
          <cell r="E962">
            <v>0</v>
          </cell>
          <cell r="F962">
            <v>0</v>
          </cell>
          <cell r="H962">
            <v>0</v>
          </cell>
          <cell r="O962">
            <v>187165</v>
          </cell>
          <cell r="P962" t="str">
            <v>2016/0890-040-01</v>
          </cell>
          <cell r="Q962" t="str">
            <v>EST BANQUETA BAR ZIG (MISTA G CANYON/TELA SXT NT) MEL CLARO</v>
          </cell>
          <cell r="R962"/>
          <cell r="S962"/>
          <cell r="T962">
            <v>0.5</v>
          </cell>
          <cell r="U962">
            <v>0.51</v>
          </cell>
          <cell r="V962">
            <v>1.05</v>
          </cell>
          <cell r="W962">
            <v>0</v>
          </cell>
          <cell r="X962" t="str">
            <v>EST BANQUETA BAR ZIG (MISTA G CANYON/TELA SXT NT) MEL CLARO - 0,5x0,51x1,05H</v>
          </cell>
          <cell r="Y962">
            <v>5987.03</v>
          </cell>
          <cell r="Z962">
            <v>0.5</v>
          </cell>
          <cell r="AA962">
            <v>2993.5149999999999</v>
          </cell>
          <cell r="AB962"/>
        </row>
        <row r="963">
          <cell r="C963">
            <v>0</v>
          </cell>
          <cell r="D963">
            <v>3</v>
          </cell>
          <cell r="E963">
            <v>0</v>
          </cell>
          <cell r="F963">
            <v>0</v>
          </cell>
          <cell r="H963">
            <v>0</v>
          </cell>
          <cell r="O963">
            <v>187165</v>
          </cell>
          <cell r="P963" t="str">
            <v>2016/0890-039-01</v>
          </cell>
          <cell r="Q963" t="str">
            <v>EST BANQUETA BAR ZIG (MISTA G CANYON/TELA SXT NT) MEL CLARO</v>
          </cell>
          <cell r="R963"/>
          <cell r="S963"/>
          <cell r="T963">
            <v>0.5</v>
          </cell>
          <cell r="U963">
            <v>0.51</v>
          </cell>
          <cell r="V963">
            <v>1.05</v>
          </cell>
          <cell r="W963">
            <v>0</v>
          </cell>
          <cell r="X963" t="str">
            <v>EST BANQUETA BAR ZIG (MISTA G CANYON/TELA SXT NT) MEL CLARO - 0,5x0,51x1,05H</v>
          </cell>
          <cell r="Y963">
            <v>5987.03</v>
          </cell>
          <cell r="Z963">
            <v>0.5</v>
          </cell>
          <cell r="AA963">
            <v>2993.5149999999999</v>
          </cell>
          <cell r="AB963"/>
        </row>
        <row r="964">
          <cell r="C964">
            <v>2</v>
          </cell>
          <cell r="D964">
            <v>0</v>
          </cell>
          <cell r="E964">
            <v>0</v>
          </cell>
          <cell r="F964">
            <v>0</v>
          </cell>
          <cell r="H964">
            <v>0</v>
          </cell>
          <cell r="O964">
            <v>386293</v>
          </cell>
          <cell r="P964" t="str">
            <v>2024/103-0045-01</v>
          </cell>
          <cell r="Q964" t="str">
            <v>EST POLTRONA ARCO (JEQ CAST CLARO) (FENDI) COURO TOSC PRETO</v>
          </cell>
          <cell r="R964"/>
          <cell r="S964"/>
          <cell r="T964">
            <v>0.75</v>
          </cell>
          <cell r="U964">
            <v>0.91</v>
          </cell>
          <cell r="V964">
            <v>0.7</v>
          </cell>
          <cell r="W964">
            <v>0</v>
          </cell>
          <cell r="X964" t="str">
            <v>EST POLTRONA ARCO (JEQ CAST CLARO) (FENDI) COURO TOSC PRETO - 0,75x0,91x0,7H</v>
          </cell>
          <cell r="Y964">
            <v>15745.27</v>
          </cell>
          <cell r="Z964">
            <v>0.35</v>
          </cell>
          <cell r="AA964">
            <v>10234.425500000001</v>
          </cell>
          <cell r="AB964"/>
        </row>
        <row r="965">
          <cell r="C965">
            <v>2</v>
          </cell>
          <cell r="D965">
            <v>0</v>
          </cell>
          <cell r="E965">
            <v>0</v>
          </cell>
          <cell r="F965">
            <v>0</v>
          </cell>
          <cell r="H965">
            <v>0</v>
          </cell>
          <cell r="O965">
            <v>386293</v>
          </cell>
          <cell r="P965" t="str">
            <v>2024/103-0046-01</v>
          </cell>
          <cell r="Q965" t="str">
            <v>EST POLTRONA ARCO (JEQ CAST CLARO) (FENDI) COURO TOSC PRETO</v>
          </cell>
          <cell r="R965"/>
          <cell r="S965"/>
          <cell r="T965">
            <v>0.75</v>
          </cell>
          <cell r="U965">
            <v>0.91</v>
          </cell>
          <cell r="V965">
            <v>0.7</v>
          </cell>
          <cell r="W965">
            <v>0</v>
          </cell>
          <cell r="X965" t="str">
            <v>EST POLTRONA ARCO (JEQ CAST CLARO) (FENDI) COURO TOSC PRETO - 0,75x0,91x0,7H</v>
          </cell>
          <cell r="Y965">
            <v>15745.27</v>
          </cell>
          <cell r="Z965">
            <v>0.35</v>
          </cell>
          <cell r="AA965">
            <v>10234.425500000001</v>
          </cell>
          <cell r="AB965"/>
        </row>
        <row r="966">
          <cell r="C966">
            <v>1</v>
          </cell>
          <cell r="D966">
            <v>0</v>
          </cell>
          <cell r="E966">
            <v>0</v>
          </cell>
          <cell r="F966">
            <v>0</v>
          </cell>
          <cell r="H966">
            <v>0</v>
          </cell>
          <cell r="O966">
            <v>130909</v>
          </cell>
          <cell r="P966" t="str">
            <v>2013/177-0030-01</v>
          </cell>
          <cell r="Q966" t="str">
            <v>EST MESA LATERAL DUX (LACA BRILHO PRETA)</v>
          </cell>
          <cell r="R966"/>
          <cell r="S966"/>
          <cell r="T966">
            <v>0.6</v>
          </cell>
          <cell r="U966">
            <v>0</v>
          </cell>
          <cell r="V966">
            <v>0.6</v>
          </cell>
          <cell r="W966">
            <v>0.6</v>
          </cell>
          <cell r="X966" t="str">
            <v>EST MESA LATERAL DUX (LACA BRILHO PRETA) - Ø0,6x0,6H</v>
          </cell>
          <cell r="Y966">
            <v>8551.69</v>
          </cell>
          <cell r="Z966">
            <v>0.5</v>
          </cell>
          <cell r="AA966">
            <v>4275.8450000000003</v>
          </cell>
          <cell r="AB966"/>
        </row>
        <row r="967">
          <cell r="C967">
            <v>1</v>
          </cell>
          <cell r="D967">
            <v>0</v>
          </cell>
          <cell r="E967">
            <v>0</v>
          </cell>
          <cell r="F967">
            <v>0</v>
          </cell>
          <cell r="H967">
            <v>0</v>
          </cell>
          <cell r="O967">
            <v>221140</v>
          </cell>
          <cell r="P967" t="str">
            <v>2018/082-0039-01</v>
          </cell>
          <cell r="Q967" t="str">
            <v>EST CADEIRA MIA S/BRACO (MAD 01) (COURO PIG 515 AZUL CLARO)</v>
          </cell>
          <cell r="R967"/>
          <cell r="S967"/>
          <cell r="T967">
            <v>0.51</v>
          </cell>
          <cell r="U967">
            <v>0.55000000000000004</v>
          </cell>
          <cell r="V967">
            <v>0.83</v>
          </cell>
          <cell r="W967">
            <v>0</v>
          </cell>
          <cell r="X967" t="str">
            <v>EST CADEIRA MIA S/BRACO (MAD 01) (COURO PIG 515 AZUL CLARO) - 0,51x0,55x0,83H</v>
          </cell>
          <cell r="Y967">
            <v>7931.88</v>
          </cell>
          <cell r="Z967">
            <v>0.35</v>
          </cell>
          <cell r="AA967">
            <v>5155.7219999999998</v>
          </cell>
          <cell r="AB967"/>
        </row>
        <row r="968">
          <cell r="C968">
            <v>0</v>
          </cell>
          <cell r="D968">
            <v>1</v>
          </cell>
          <cell r="E968">
            <v>0</v>
          </cell>
          <cell r="F968">
            <v>0</v>
          </cell>
          <cell r="H968">
            <v>5</v>
          </cell>
          <cell r="O968">
            <v>379015</v>
          </cell>
          <cell r="P968" t="str">
            <v>2024/211-0031-01</v>
          </cell>
          <cell r="Q968" t="str">
            <v>EST CADEIRA VIA (COURO TP3 PROMO LA PAZ PRETO FSC) PRETO</v>
          </cell>
          <cell r="R968"/>
          <cell r="S968"/>
          <cell r="T968">
            <v>0.6</v>
          </cell>
          <cell r="U968">
            <v>0.53</v>
          </cell>
          <cell r="V968">
            <v>0.78</v>
          </cell>
          <cell r="W968">
            <v>0</v>
          </cell>
          <cell r="X968" t="str">
            <v>EST CADEIRA VIA (COURO TP3 PROMO LA PAZ PRETO FSC) PRETO - 0,6x0,53x0,78H</v>
          </cell>
          <cell r="Y968">
            <v>11913.13</v>
          </cell>
          <cell r="Z968">
            <v>0.35</v>
          </cell>
          <cell r="AA968">
            <v>7743.5344999999998</v>
          </cell>
          <cell r="AB968"/>
        </row>
        <row r="969">
          <cell r="C969">
            <v>0</v>
          </cell>
          <cell r="D969">
            <v>1</v>
          </cell>
          <cell r="E969">
            <v>0</v>
          </cell>
          <cell r="F969">
            <v>0</v>
          </cell>
          <cell r="H969">
            <v>5</v>
          </cell>
          <cell r="O969">
            <v>379015</v>
          </cell>
          <cell r="P969" t="str">
            <v>2024/211-0035-01</v>
          </cell>
          <cell r="Q969" t="str">
            <v>EST CADEIRA VIA (COURO TP3 PROMO LA PAZ PRETO FSC) PRETO</v>
          </cell>
          <cell r="R969"/>
          <cell r="S969"/>
          <cell r="T969">
            <v>0.6</v>
          </cell>
          <cell r="U969">
            <v>0.53</v>
          </cell>
          <cell r="V969">
            <v>0.78</v>
          </cell>
          <cell r="W969">
            <v>0</v>
          </cell>
          <cell r="X969" t="str">
            <v>EST CADEIRA VIA (COURO TP3 PROMO LA PAZ PRETO FSC) PRETO - 0,6x0,53x0,78H</v>
          </cell>
          <cell r="Y969">
            <v>11913.13</v>
          </cell>
          <cell r="Z969">
            <v>0.35</v>
          </cell>
          <cell r="AA969">
            <v>7743.5344999999998</v>
          </cell>
          <cell r="AB969"/>
        </row>
        <row r="970">
          <cell r="C970">
            <v>2</v>
          </cell>
          <cell r="D970">
            <v>0</v>
          </cell>
          <cell r="E970">
            <v>0</v>
          </cell>
          <cell r="F970">
            <v>0</v>
          </cell>
          <cell r="H970">
            <v>4</v>
          </cell>
          <cell r="O970">
            <v>379017</v>
          </cell>
          <cell r="P970" t="str">
            <v>2024/201-0002-01</v>
          </cell>
          <cell r="Q970" t="str">
            <v>EST CADEIRA VIA (COURO TP2 PROMO GRANO SANDSTORM) CHAMPAGNE</v>
          </cell>
          <cell r="R970"/>
          <cell r="S970"/>
          <cell r="T970">
            <v>0.6</v>
          </cell>
          <cell r="U970">
            <v>0.53</v>
          </cell>
          <cell r="V970">
            <v>0.78</v>
          </cell>
          <cell r="W970">
            <v>0</v>
          </cell>
          <cell r="X970" t="str">
            <v>EST CADEIRA VIA (COURO TP2 PROMO GRANO SANDSTORM) CHAMPAGNE - 0,6x0,53x0,78H</v>
          </cell>
          <cell r="Y970">
            <v>11701.89</v>
          </cell>
          <cell r="Z970">
            <v>0.35</v>
          </cell>
          <cell r="AA970">
            <v>7606.2284999999993</v>
          </cell>
          <cell r="AB970"/>
        </row>
        <row r="971">
          <cell r="C971">
            <v>2</v>
          </cell>
          <cell r="D971">
            <v>0</v>
          </cell>
          <cell r="E971">
            <v>0</v>
          </cell>
          <cell r="F971">
            <v>0</v>
          </cell>
          <cell r="H971">
            <v>4</v>
          </cell>
          <cell r="O971">
            <v>379017</v>
          </cell>
          <cell r="P971" t="str">
            <v>2024/201-0003-01</v>
          </cell>
          <cell r="Q971" t="str">
            <v>EST CADEIRA VIA (COURO TP2 PROMO GRANO SANDSTORM) CHAMPAGNE</v>
          </cell>
          <cell r="R971"/>
          <cell r="S971"/>
          <cell r="T971">
            <v>0.6</v>
          </cell>
          <cell r="U971">
            <v>0.53</v>
          </cell>
          <cell r="V971">
            <v>0.78</v>
          </cell>
          <cell r="W971">
            <v>0</v>
          </cell>
          <cell r="X971" t="str">
            <v>EST CADEIRA VIA (COURO TP2 PROMO GRANO SANDSTORM) CHAMPAGNE - 0,6x0,53x0,78H</v>
          </cell>
          <cell r="Y971">
            <v>11701.89</v>
          </cell>
          <cell r="Z971">
            <v>0.35</v>
          </cell>
          <cell r="AA971">
            <v>7606.2284999999993</v>
          </cell>
          <cell r="AB971"/>
        </row>
        <row r="972">
          <cell r="C972">
            <v>0</v>
          </cell>
          <cell r="D972">
            <v>1</v>
          </cell>
          <cell r="E972">
            <v>0</v>
          </cell>
          <cell r="F972">
            <v>0</v>
          </cell>
          <cell r="H972">
            <v>0</v>
          </cell>
          <cell r="O972">
            <v>379349</v>
          </cell>
          <cell r="P972" t="str">
            <v>2024/205-0002-01</v>
          </cell>
          <cell r="Q972" t="str">
            <v>EST BUFFET MUMBAI (PE PINT) CARVALHO/TP CRISTAL</v>
          </cell>
          <cell r="R972"/>
          <cell r="S972"/>
          <cell r="T972">
            <v>1.6</v>
          </cell>
          <cell r="U972">
            <v>0.5</v>
          </cell>
          <cell r="V972">
            <v>0.8</v>
          </cell>
          <cell r="W972">
            <v>0</v>
          </cell>
          <cell r="X972" t="str">
            <v>EST BUFFET MUMBAI (PE PINT) CARVALHO/TP CRISTAL - 1,6x0,5x0,8H</v>
          </cell>
          <cell r="Y972">
            <v>33993.56</v>
          </cell>
          <cell r="Z972">
            <v>0.35</v>
          </cell>
          <cell r="AA972">
            <v>22095.813999999998</v>
          </cell>
          <cell r="AB972"/>
        </row>
        <row r="973">
          <cell r="C973">
            <v>0</v>
          </cell>
          <cell r="D973">
            <v>0</v>
          </cell>
          <cell r="E973">
            <v>1</v>
          </cell>
          <cell r="F973">
            <v>0</v>
          </cell>
          <cell r="H973">
            <v>0</v>
          </cell>
          <cell r="O973">
            <v>260961</v>
          </cell>
          <cell r="P973" t="str">
            <v>2020/192-0035-01</v>
          </cell>
          <cell r="Q973" t="str">
            <v>EST CARRINHO BAR MIES (IMBUIA) (INOX PRETO)</v>
          </cell>
          <cell r="R973"/>
          <cell r="S973"/>
          <cell r="T973">
            <v>1</v>
          </cell>
          <cell r="U973">
            <v>0.47</v>
          </cell>
          <cell r="V973">
            <v>0.76</v>
          </cell>
          <cell r="W973">
            <v>0</v>
          </cell>
          <cell r="X973" t="str">
            <v>EST CARRINHO BAR MIES (IMBUIA) (INOX PRETO) - 1x0,47x0,76H</v>
          </cell>
          <cell r="Y973">
            <v>43480.01</v>
          </cell>
          <cell r="Z973">
            <v>0.35</v>
          </cell>
          <cell r="AA973">
            <v>28262.006500000003</v>
          </cell>
          <cell r="AB973"/>
        </row>
        <row r="974">
          <cell r="C974">
            <v>0</v>
          </cell>
          <cell r="D974">
            <v>5</v>
          </cell>
          <cell r="E974">
            <v>4</v>
          </cell>
          <cell r="F974">
            <v>6</v>
          </cell>
          <cell r="H974">
            <v>1</v>
          </cell>
          <cell r="O974">
            <v>262565</v>
          </cell>
          <cell r="P974" t="str">
            <v>2024/184-0088-01</v>
          </cell>
          <cell r="Q974" t="str">
            <v>EST CADEIRA MEDALHINHA (FREIJO) (TELA RATTAN ABERT ENV)</v>
          </cell>
          <cell r="R974"/>
          <cell r="S974"/>
          <cell r="T974">
            <v>0.47</v>
          </cell>
          <cell r="U974">
            <v>0.61</v>
          </cell>
          <cell r="V974">
            <v>0.82</v>
          </cell>
          <cell r="W974">
            <v>0</v>
          </cell>
          <cell r="X974" t="str">
            <v>EST CADEIRA MEDALHINHA (FREIJO) (TELA RATTAN ABERT ENV) - 0,47x0,61x0,82H</v>
          </cell>
          <cell r="Y974">
            <v>9160.44</v>
          </cell>
          <cell r="Z974">
            <v>0.35</v>
          </cell>
          <cell r="AA974">
            <v>5954.2860000000001</v>
          </cell>
          <cell r="AB974"/>
        </row>
        <row r="975">
          <cell r="C975">
            <v>0</v>
          </cell>
          <cell r="D975">
            <v>5</v>
          </cell>
          <cell r="E975">
            <v>4</v>
          </cell>
          <cell r="F975">
            <v>6</v>
          </cell>
          <cell r="H975">
            <v>1</v>
          </cell>
          <cell r="O975">
            <v>262565</v>
          </cell>
          <cell r="P975" t="str">
            <v>2024/184-0089-01</v>
          </cell>
          <cell r="Q975" t="str">
            <v>EST CADEIRA MEDALHINHA (FREIJO) (TELA RATTAN ABERT ENV)</v>
          </cell>
          <cell r="R975"/>
          <cell r="S975"/>
          <cell r="T975">
            <v>0.47</v>
          </cell>
          <cell r="U975">
            <v>0.61</v>
          </cell>
          <cell r="V975">
            <v>0.82</v>
          </cell>
          <cell r="W975">
            <v>0</v>
          </cell>
          <cell r="X975" t="str">
            <v>EST CADEIRA MEDALHINHA (FREIJO) (TELA RATTAN ABERT ENV) - 0,47x0,61x0,82H</v>
          </cell>
          <cell r="Y975">
            <v>9160.44</v>
          </cell>
          <cell r="Z975">
            <v>0.35</v>
          </cell>
          <cell r="AA975">
            <v>5954.2860000000001</v>
          </cell>
          <cell r="AB975"/>
        </row>
        <row r="976">
          <cell r="C976">
            <v>0</v>
          </cell>
          <cell r="D976">
            <v>5</v>
          </cell>
          <cell r="E976">
            <v>4</v>
          </cell>
          <cell r="F976">
            <v>6</v>
          </cell>
          <cell r="H976">
            <v>1</v>
          </cell>
          <cell r="O976">
            <v>262565</v>
          </cell>
          <cell r="P976" t="str">
            <v>2024/184-0090-01</v>
          </cell>
          <cell r="Q976" t="str">
            <v>EST CADEIRA MEDALHINHA (FREIJO) (TELA RATTAN ABERT ENV)</v>
          </cell>
          <cell r="R976"/>
          <cell r="S976"/>
          <cell r="T976">
            <v>0.47</v>
          </cell>
          <cell r="U976">
            <v>0.61</v>
          </cell>
          <cell r="V976">
            <v>0.82</v>
          </cell>
          <cell r="W976">
            <v>0</v>
          </cell>
          <cell r="X976" t="str">
            <v>EST CADEIRA MEDALHINHA (FREIJO) (TELA RATTAN ABERT ENV) - 0,47x0,61x0,82H</v>
          </cell>
          <cell r="Y976">
            <v>9160.44</v>
          </cell>
          <cell r="Z976">
            <v>0.35</v>
          </cell>
          <cell r="AA976">
            <v>5954.2860000000001</v>
          </cell>
          <cell r="AB976"/>
        </row>
        <row r="977">
          <cell r="C977">
            <v>0</v>
          </cell>
          <cell r="D977">
            <v>5</v>
          </cell>
          <cell r="E977">
            <v>4</v>
          </cell>
          <cell r="F977">
            <v>6</v>
          </cell>
          <cell r="H977">
            <v>1</v>
          </cell>
          <cell r="O977">
            <v>262565</v>
          </cell>
          <cell r="P977" t="str">
            <v>2024/184-0091-01</v>
          </cell>
          <cell r="Q977" t="str">
            <v>EST CADEIRA MEDALHINHA (FREIJO) (TELA RATTAN ABERT ENV)</v>
          </cell>
          <cell r="R977"/>
          <cell r="S977"/>
          <cell r="T977">
            <v>0.47</v>
          </cell>
          <cell r="U977">
            <v>0.61</v>
          </cell>
          <cell r="V977">
            <v>0.82</v>
          </cell>
          <cell r="W977">
            <v>0</v>
          </cell>
          <cell r="X977" t="str">
            <v>EST CADEIRA MEDALHINHA (FREIJO) (TELA RATTAN ABERT ENV) - 0,47x0,61x0,82H</v>
          </cell>
          <cell r="Y977">
            <v>9160.44</v>
          </cell>
          <cell r="Z977">
            <v>0.35</v>
          </cell>
          <cell r="AA977">
            <v>5954.2860000000001</v>
          </cell>
          <cell r="AB977"/>
        </row>
        <row r="978">
          <cell r="C978">
            <v>0</v>
          </cell>
          <cell r="D978">
            <v>5</v>
          </cell>
          <cell r="E978">
            <v>4</v>
          </cell>
          <cell r="F978">
            <v>6</v>
          </cell>
          <cell r="H978">
            <v>1</v>
          </cell>
          <cell r="O978">
            <v>262565</v>
          </cell>
          <cell r="P978" t="str">
            <v>2024/184-0092-01</v>
          </cell>
          <cell r="Q978" t="str">
            <v>EST CADEIRA MEDALHINHA (FREIJO) (TELA RATTAN ABERT ENV)</v>
          </cell>
          <cell r="R978"/>
          <cell r="S978"/>
          <cell r="T978">
            <v>0.47</v>
          </cell>
          <cell r="U978">
            <v>0.61</v>
          </cell>
          <cell r="V978">
            <v>0.82</v>
          </cell>
          <cell r="W978">
            <v>0</v>
          </cell>
          <cell r="X978" t="str">
            <v>EST CADEIRA MEDALHINHA (FREIJO) (TELA RATTAN ABERT ENV) - 0,47x0,61x0,82H</v>
          </cell>
          <cell r="Y978">
            <v>9160.44</v>
          </cell>
          <cell r="Z978">
            <v>0.35</v>
          </cell>
          <cell r="AA978">
            <v>5954.2860000000001</v>
          </cell>
          <cell r="AB978"/>
        </row>
        <row r="979">
          <cell r="C979">
            <v>0</v>
          </cell>
          <cell r="D979">
            <v>5</v>
          </cell>
          <cell r="E979">
            <v>4</v>
          </cell>
          <cell r="F979">
            <v>6</v>
          </cell>
          <cell r="H979">
            <v>1</v>
          </cell>
          <cell r="O979">
            <v>262565</v>
          </cell>
          <cell r="P979" t="str">
            <v>2024/184-0093-01</v>
          </cell>
          <cell r="Q979" t="str">
            <v>EST CADEIRA MEDALHINHA (FREIJO) (TELA RATTAN ABERT ENV)</v>
          </cell>
          <cell r="R979"/>
          <cell r="S979"/>
          <cell r="T979">
            <v>0.47</v>
          </cell>
          <cell r="U979">
            <v>0.61</v>
          </cell>
          <cell r="V979">
            <v>0.82</v>
          </cell>
          <cell r="W979">
            <v>0</v>
          </cell>
          <cell r="X979" t="str">
            <v>EST CADEIRA MEDALHINHA (FREIJO) (TELA RATTAN ABERT ENV) - 0,47x0,61x0,82H</v>
          </cell>
          <cell r="Y979">
            <v>9160.44</v>
          </cell>
          <cell r="Z979">
            <v>0.35</v>
          </cell>
          <cell r="AA979">
            <v>5954.2860000000001</v>
          </cell>
          <cell r="AB979"/>
        </row>
        <row r="980">
          <cell r="C980">
            <v>0</v>
          </cell>
          <cell r="D980">
            <v>0</v>
          </cell>
          <cell r="E980">
            <v>1</v>
          </cell>
          <cell r="F980">
            <v>0</v>
          </cell>
          <cell r="H980">
            <v>1</v>
          </cell>
          <cell r="O980">
            <v>270428</v>
          </cell>
          <cell r="P980" t="str">
            <v>2021/053-0013-01</v>
          </cell>
          <cell r="Q980" t="str">
            <v>EST CADEIRA FINA C/B (FREIJO) (TELA RATTAN AB NT)</v>
          </cell>
          <cell r="R980"/>
          <cell r="S980"/>
          <cell r="T980">
            <v>0.55000000000000004</v>
          </cell>
          <cell r="U980">
            <v>0.57999999999999996</v>
          </cell>
          <cell r="V980">
            <v>0.85</v>
          </cell>
          <cell r="W980">
            <v>0</v>
          </cell>
          <cell r="X980" t="str">
            <v>EST CADEIRA FINA C/B (FREIJO) (TELA RATTAN AB NT) - 0,55x0,58x0,85H</v>
          </cell>
          <cell r="Y980">
            <v>9924.99</v>
          </cell>
          <cell r="Z980">
            <v>0.35</v>
          </cell>
          <cell r="AA980">
            <v>6451.2435000000005</v>
          </cell>
          <cell r="AB980"/>
        </row>
        <row r="981">
          <cell r="C981">
            <v>1</v>
          </cell>
          <cell r="D981">
            <v>1</v>
          </cell>
          <cell r="E981">
            <v>1</v>
          </cell>
          <cell r="F981">
            <v>1</v>
          </cell>
          <cell r="H981">
            <v>0</v>
          </cell>
          <cell r="O981">
            <v>270431</v>
          </cell>
          <cell r="P981" t="str">
            <v>2020/353-0122-01</v>
          </cell>
          <cell r="Q981" t="str">
            <v>EST BANQUETA BAR MEDALHINHA H65 (FREIJO) (RATTAN ABERTA NT)</v>
          </cell>
          <cell r="R981"/>
          <cell r="S981"/>
          <cell r="T981">
            <v>0.47</v>
          </cell>
          <cell r="U981">
            <v>0.61</v>
          </cell>
          <cell r="V981">
            <v>1.04</v>
          </cell>
          <cell r="W981">
            <v>0</v>
          </cell>
          <cell r="X981" t="str">
            <v>EST BANQUETA BAR MEDALHINHA H65 (FREIJO) (RATTAN ABERTA NT) - 0,47x0,61x1,04H</v>
          </cell>
          <cell r="Y981">
            <v>10076.950000000001</v>
          </cell>
          <cell r="Z981">
            <v>0.35</v>
          </cell>
          <cell r="AA981">
            <v>6550.0175000000008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371711</v>
          </cell>
          <cell r="P982" t="str">
            <v>2023/282-0036-01</v>
          </cell>
          <cell r="Q982" t="str">
            <v>EST MESA JANTAR NINA (TAUARI NOGUEIRA)</v>
          </cell>
          <cell r="R982"/>
          <cell r="S982"/>
          <cell r="T982">
            <v>1.8</v>
          </cell>
          <cell r="U982">
            <v>0</v>
          </cell>
          <cell r="V982">
            <v>0.75</v>
          </cell>
          <cell r="W982">
            <v>1.8</v>
          </cell>
          <cell r="X982" t="str">
            <v>EST MESA JANTAR NINA (TAUARI NOGUEIRA) - Ø1,8x0,75H</v>
          </cell>
          <cell r="Y982">
            <v>55693.93</v>
          </cell>
          <cell r="Z982">
            <v>0.35</v>
          </cell>
          <cell r="AA982">
            <v>36201.054499999998</v>
          </cell>
          <cell r="AB982"/>
        </row>
        <row r="983">
          <cell r="C983">
            <v>0</v>
          </cell>
          <cell r="D983">
            <v>5</v>
          </cell>
          <cell r="E983">
            <v>4</v>
          </cell>
          <cell r="F983">
            <v>6</v>
          </cell>
          <cell r="H983">
            <v>1</v>
          </cell>
          <cell r="O983">
            <v>262565</v>
          </cell>
          <cell r="P983" t="str">
            <v>2021/348-0016-01</v>
          </cell>
          <cell r="Q983" t="str">
            <v>EST CADEIRA MEDALHINHA (FREIJO) (TELA RATTAN ABERT ENV)</v>
          </cell>
          <cell r="R983"/>
          <cell r="S983"/>
          <cell r="T983">
            <v>0.47</v>
          </cell>
          <cell r="U983">
            <v>0.61</v>
          </cell>
          <cell r="V983">
            <v>0.82</v>
          </cell>
          <cell r="W983">
            <v>0</v>
          </cell>
          <cell r="X983" t="str">
            <v>EST CADEIRA MEDALHINHA (FREIJO) (TELA RATTAN ABERT ENV) - 0,47x0,61x0,82H</v>
          </cell>
          <cell r="Y983">
            <v>9160.44</v>
          </cell>
          <cell r="Z983">
            <v>0.35</v>
          </cell>
          <cell r="AA983">
            <v>5954.2860000000001</v>
          </cell>
          <cell r="AB983"/>
        </row>
        <row r="984">
          <cell r="C984">
            <v>0</v>
          </cell>
          <cell r="D984">
            <v>5</v>
          </cell>
          <cell r="E984">
            <v>4</v>
          </cell>
          <cell r="F984">
            <v>6</v>
          </cell>
          <cell r="H984">
            <v>1</v>
          </cell>
          <cell r="O984">
            <v>262565</v>
          </cell>
          <cell r="P984" t="str">
            <v>2021/348-0015-01</v>
          </cell>
          <cell r="Q984" t="str">
            <v>EST CADEIRA MEDALHINHA (FREIJO) (TELA RATTAN ABERT ENV)</v>
          </cell>
          <cell r="R984"/>
          <cell r="S984"/>
          <cell r="T984">
            <v>0.47</v>
          </cell>
          <cell r="U984">
            <v>0.61</v>
          </cell>
          <cell r="V984">
            <v>0.82</v>
          </cell>
          <cell r="W984">
            <v>0</v>
          </cell>
          <cell r="X984" t="str">
            <v>EST CADEIRA MEDALHINHA (FREIJO) (TELA RATTAN ABERT ENV) - 0,47x0,61x0,82H</v>
          </cell>
          <cell r="Y984">
            <v>9160.44</v>
          </cell>
          <cell r="Z984">
            <v>0.35</v>
          </cell>
          <cell r="AA984">
            <v>5954.2860000000001</v>
          </cell>
          <cell r="AB984"/>
        </row>
        <row r="985">
          <cell r="C985">
            <v>0</v>
          </cell>
          <cell r="D985">
            <v>5</v>
          </cell>
          <cell r="E985">
            <v>4</v>
          </cell>
          <cell r="F985">
            <v>6</v>
          </cell>
          <cell r="H985">
            <v>1</v>
          </cell>
          <cell r="O985">
            <v>262565</v>
          </cell>
          <cell r="P985" t="str">
            <v>2021/348-0038-01</v>
          </cell>
          <cell r="Q985" t="str">
            <v>EST CADEIRA MEDALHINHA (FREIJO) (TELA RATTAN ABERT ENV)</v>
          </cell>
          <cell r="R985"/>
          <cell r="S985"/>
          <cell r="T985">
            <v>0.47</v>
          </cell>
          <cell r="U985">
            <v>0.61</v>
          </cell>
          <cell r="V985">
            <v>0.82</v>
          </cell>
          <cell r="W985">
            <v>0</v>
          </cell>
          <cell r="X985" t="str">
            <v>EST CADEIRA MEDALHINHA (FREIJO) (TELA RATTAN ABERT ENV) - 0,47x0,61x0,82H</v>
          </cell>
          <cell r="Y985">
            <v>9160.44</v>
          </cell>
          <cell r="Z985">
            <v>0.35</v>
          </cell>
          <cell r="AA985">
            <v>5954.2860000000001</v>
          </cell>
          <cell r="AB985"/>
        </row>
        <row r="986">
          <cell r="C986">
            <v>0</v>
          </cell>
          <cell r="D986">
            <v>5</v>
          </cell>
          <cell r="E986">
            <v>4</v>
          </cell>
          <cell r="F986">
            <v>6</v>
          </cell>
          <cell r="H986">
            <v>1</v>
          </cell>
          <cell r="O986">
            <v>262565</v>
          </cell>
          <cell r="P986" t="str">
            <v>2021/348-0019-01</v>
          </cell>
          <cell r="Q986" t="str">
            <v>EST CADEIRA MEDALHINHA (FREIJO) (TELA RATTAN ABERT ENV)</v>
          </cell>
          <cell r="R986"/>
          <cell r="S986"/>
          <cell r="T986">
            <v>0.47</v>
          </cell>
          <cell r="U986">
            <v>0.61</v>
          </cell>
          <cell r="V986">
            <v>0.82</v>
          </cell>
          <cell r="W986">
            <v>0</v>
          </cell>
          <cell r="X986" t="str">
            <v>EST CADEIRA MEDALHINHA (FREIJO) (TELA RATTAN ABERT ENV) - 0,47x0,61x0,82H</v>
          </cell>
          <cell r="Y986">
            <v>9160.44</v>
          </cell>
          <cell r="Z986">
            <v>0.35</v>
          </cell>
          <cell r="AA986">
            <v>5954.2860000000001</v>
          </cell>
          <cell r="AB986"/>
        </row>
        <row r="987">
          <cell r="C987">
            <v>0</v>
          </cell>
          <cell r="D987">
            <v>5</v>
          </cell>
          <cell r="E987">
            <v>4</v>
          </cell>
          <cell r="F987">
            <v>6</v>
          </cell>
          <cell r="H987">
            <v>1</v>
          </cell>
          <cell r="O987">
            <v>262565</v>
          </cell>
          <cell r="P987" t="str">
            <v>2021/348-0069-01</v>
          </cell>
          <cell r="Q987" t="str">
            <v>EST CADEIRA MEDALHINHA (FREIJO) (TELA RATTAN ABERT ENV)</v>
          </cell>
          <cell r="R987"/>
          <cell r="S987"/>
          <cell r="T987">
            <v>0.47</v>
          </cell>
          <cell r="U987">
            <v>0.61</v>
          </cell>
          <cell r="V987">
            <v>0.82</v>
          </cell>
          <cell r="W987">
            <v>0</v>
          </cell>
          <cell r="X987" t="str">
            <v>EST CADEIRA MEDALHINHA (FREIJO) (TELA RATTAN ABERT ENV) - 0,47x0,61x0,82H</v>
          </cell>
          <cell r="Y987">
            <v>9160.44</v>
          </cell>
          <cell r="Z987">
            <v>0.35</v>
          </cell>
          <cell r="AA987">
            <v>5954.2860000000001</v>
          </cell>
          <cell r="AB987"/>
        </row>
        <row r="988">
          <cell r="C988">
            <v>0</v>
          </cell>
          <cell r="D988">
            <v>5</v>
          </cell>
          <cell r="E988">
            <v>4</v>
          </cell>
          <cell r="F988">
            <v>6</v>
          </cell>
          <cell r="H988">
            <v>1</v>
          </cell>
          <cell r="O988">
            <v>262565</v>
          </cell>
          <cell r="P988" t="str">
            <v>2021/348-0018-01</v>
          </cell>
          <cell r="Q988" t="str">
            <v>EST CADEIRA MEDALHINHA (FREIJO) (TELA RATTAN ABERT ENV)</v>
          </cell>
          <cell r="R988"/>
          <cell r="S988"/>
          <cell r="T988">
            <v>0.47</v>
          </cell>
          <cell r="U988">
            <v>0.61</v>
          </cell>
          <cell r="V988">
            <v>0.82</v>
          </cell>
          <cell r="W988">
            <v>0</v>
          </cell>
          <cell r="X988" t="str">
            <v>EST CADEIRA MEDALHINHA (FREIJO) (TELA RATTAN ABERT ENV) - 0,47x0,61x0,82H</v>
          </cell>
          <cell r="Y988">
            <v>9160.44</v>
          </cell>
          <cell r="Z988">
            <v>0.35</v>
          </cell>
          <cell r="AA988">
            <v>5954.2860000000001</v>
          </cell>
          <cell r="AB988"/>
        </row>
        <row r="989">
          <cell r="C989">
            <v>1</v>
          </cell>
          <cell r="D989">
            <v>1</v>
          </cell>
          <cell r="E989">
            <v>1</v>
          </cell>
          <cell r="F989">
            <v>1</v>
          </cell>
          <cell r="H989">
            <v>0</v>
          </cell>
          <cell r="O989">
            <v>270431</v>
          </cell>
          <cell r="P989" t="str">
            <v>2021/015-0086-01</v>
          </cell>
          <cell r="Q989" t="str">
            <v>EST BANQUETA BAR MEDALHINHA H65 (FREIJO) (RATTAN ABERTA NT)</v>
          </cell>
          <cell r="R989"/>
          <cell r="S989"/>
          <cell r="T989">
            <v>0.47</v>
          </cell>
          <cell r="U989">
            <v>0.61</v>
          </cell>
          <cell r="V989">
            <v>1.04</v>
          </cell>
          <cell r="W989">
            <v>0</v>
          </cell>
          <cell r="X989" t="str">
            <v>EST BANQUETA BAR MEDALHINHA H65 (FREIJO) (RATTAN ABERTA NT) - 0,47x0,61x1,04H</v>
          </cell>
          <cell r="Y989">
            <v>10076.950000000001</v>
          </cell>
          <cell r="Z989">
            <v>0.35</v>
          </cell>
          <cell r="AA989">
            <v>6550.0175000000008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1</v>
          </cell>
          <cell r="H990">
            <v>0</v>
          </cell>
          <cell r="O990">
            <v>334197</v>
          </cell>
          <cell r="P990" t="str">
            <v>2022/203-0146-01</v>
          </cell>
          <cell r="Q990" t="str">
            <v>EST ESCRIVANINHA DIX (IMBUIA) (LATAO ENV)</v>
          </cell>
          <cell r="R990"/>
          <cell r="S990"/>
          <cell r="T990">
            <v>1.8</v>
          </cell>
          <cell r="U990">
            <v>0.7</v>
          </cell>
          <cell r="V990">
            <v>0.75</v>
          </cell>
          <cell r="W990">
            <v>0</v>
          </cell>
          <cell r="X990" t="str">
            <v>EST ESCRIVANINHA DIX (IMBUIA) (LATAO ENV) - 1,8x0,7x0,75H</v>
          </cell>
          <cell r="Y990">
            <v>36836.44</v>
          </cell>
          <cell r="Z990">
            <v>0.35</v>
          </cell>
          <cell r="AA990">
            <v>23943.686000000002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6</v>
          </cell>
          <cell r="H991">
            <v>0</v>
          </cell>
          <cell r="O991">
            <v>365946</v>
          </cell>
          <cell r="P991" t="str">
            <v>2023/116-0321-01</v>
          </cell>
          <cell r="Q991" t="str">
            <v>EST CADEIRA LOGAN C/B JANTAR (IMBUIA) (ESTOF) TC GABON250 BG</v>
          </cell>
          <cell r="R991"/>
          <cell r="S991"/>
          <cell r="T991">
            <v>0.62</v>
          </cell>
          <cell r="U991">
            <v>0.6</v>
          </cell>
          <cell r="V991">
            <v>0.84</v>
          </cell>
          <cell r="W991">
            <v>0</v>
          </cell>
          <cell r="X991" t="str">
            <v>EST CADEIRA LOGAN C/B JANTAR (IMBUIA) (ESTOF) TC GABON250 BG - 0,62x0,6x0,84H</v>
          </cell>
          <cell r="Y991">
            <v>14105.5419</v>
          </cell>
          <cell r="Z991">
            <v>0.35</v>
          </cell>
          <cell r="AA991">
            <v>9168.6022350000003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6</v>
          </cell>
          <cell r="H992">
            <v>0</v>
          </cell>
          <cell r="O992">
            <v>365946</v>
          </cell>
          <cell r="P992" t="str">
            <v>2023/116-0322-01</v>
          </cell>
          <cell r="Q992" t="str">
            <v>EST CADEIRA LOGAN C/B JANTAR (IMBUIA) (ESTOF) TC GABON250 BG</v>
          </cell>
          <cell r="R992"/>
          <cell r="S992"/>
          <cell r="T992">
            <v>0.62</v>
          </cell>
          <cell r="U992">
            <v>0.6</v>
          </cell>
          <cell r="V992">
            <v>0.84</v>
          </cell>
          <cell r="W992">
            <v>0</v>
          </cell>
          <cell r="X992" t="str">
            <v>EST CADEIRA LOGAN C/B JANTAR (IMBUIA) (ESTOF) TC GABON250 BG - 0,62x0,6x0,84H</v>
          </cell>
          <cell r="Y992">
            <v>14105.5419</v>
          </cell>
          <cell r="Z992">
            <v>0.35</v>
          </cell>
          <cell r="AA992">
            <v>9168.6022350000003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6</v>
          </cell>
          <cell r="H993">
            <v>0</v>
          </cell>
          <cell r="O993">
            <v>365946</v>
          </cell>
          <cell r="P993" t="str">
            <v>2023/116-0323-01</v>
          </cell>
          <cell r="Q993" t="str">
            <v>EST CADEIRA LOGAN C/B JANTAR (IMBUIA) (ESTOF) TC GABON250 BG</v>
          </cell>
          <cell r="R993"/>
          <cell r="S993"/>
          <cell r="T993">
            <v>0.62</v>
          </cell>
          <cell r="U993">
            <v>0.6</v>
          </cell>
          <cell r="V993">
            <v>0.84</v>
          </cell>
          <cell r="W993">
            <v>0</v>
          </cell>
          <cell r="X993" t="str">
            <v>EST CADEIRA LOGAN C/B JANTAR (IMBUIA) (ESTOF) TC GABON250 BG - 0,62x0,6x0,84H</v>
          </cell>
          <cell r="Y993">
            <v>14105.5419</v>
          </cell>
          <cell r="Z993">
            <v>0.35</v>
          </cell>
          <cell r="AA993">
            <v>9168.6022350000003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6</v>
          </cell>
          <cell r="H994">
            <v>0</v>
          </cell>
          <cell r="O994">
            <v>365946</v>
          </cell>
          <cell r="P994" t="str">
            <v>2023/116-0324-01</v>
          </cell>
          <cell r="Q994" t="str">
            <v>EST CADEIRA LOGAN C/B JANTAR (IMBUIA) (ESTOF) TC GABON250 BG</v>
          </cell>
          <cell r="R994"/>
          <cell r="S994"/>
          <cell r="T994">
            <v>0.62</v>
          </cell>
          <cell r="U994">
            <v>0.6</v>
          </cell>
          <cell r="V994">
            <v>0.84</v>
          </cell>
          <cell r="W994">
            <v>0</v>
          </cell>
          <cell r="X994" t="str">
            <v>EST CADEIRA LOGAN C/B JANTAR (IMBUIA) (ESTOF) TC GABON250 BG - 0,62x0,6x0,84H</v>
          </cell>
          <cell r="Y994">
            <v>14105.5419</v>
          </cell>
          <cell r="Z994">
            <v>0.35</v>
          </cell>
          <cell r="AA994">
            <v>9168.6022350000003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6</v>
          </cell>
          <cell r="H995">
            <v>0</v>
          </cell>
          <cell r="O995">
            <v>365946</v>
          </cell>
          <cell r="P995" t="str">
            <v>2023/116-0325-01</v>
          </cell>
          <cell r="Q995" t="str">
            <v>EST CADEIRA LOGAN C/B JANTAR (IMBUIA) (ESTOF) TC GABON250 BG</v>
          </cell>
          <cell r="R995"/>
          <cell r="S995"/>
          <cell r="T995">
            <v>0.62</v>
          </cell>
          <cell r="U995">
            <v>0.6</v>
          </cell>
          <cell r="V995">
            <v>0.84</v>
          </cell>
          <cell r="W995">
            <v>0</v>
          </cell>
          <cell r="X995" t="str">
            <v>EST CADEIRA LOGAN C/B JANTAR (IMBUIA) (ESTOF) TC GABON250 BG - 0,62x0,6x0,84H</v>
          </cell>
          <cell r="Y995">
            <v>14105.5419</v>
          </cell>
          <cell r="Z995">
            <v>0.35</v>
          </cell>
          <cell r="AA995">
            <v>9168.6022350000003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6</v>
          </cell>
          <cell r="H996">
            <v>0</v>
          </cell>
          <cell r="O996">
            <v>365946</v>
          </cell>
          <cell r="P996" t="str">
            <v>2023/116-0326-01</v>
          </cell>
          <cell r="Q996" t="str">
            <v>EST CADEIRA LOGAN C/B JANTAR (IMBUIA) (ESTOF) TC GABON250 BG</v>
          </cell>
          <cell r="R996"/>
          <cell r="S996"/>
          <cell r="T996">
            <v>0.62</v>
          </cell>
          <cell r="U996">
            <v>0.6</v>
          </cell>
          <cell r="V996">
            <v>0.84</v>
          </cell>
          <cell r="W996">
            <v>0</v>
          </cell>
          <cell r="X996" t="str">
            <v>EST CADEIRA LOGAN C/B JANTAR (IMBUIA) (ESTOF) TC GABON250 BG - 0,62x0,6x0,84H</v>
          </cell>
          <cell r="Y996">
            <v>14105.5419</v>
          </cell>
          <cell r="Z996">
            <v>0.35</v>
          </cell>
          <cell r="AA996">
            <v>9168.6022350000003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4</v>
          </cell>
          <cell r="H997">
            <v>0</v>
          </cell>
          <cell r="O997">
            <v>385738</v>
          </cell>
          <cell r="P997" t="str">
            <v>2024/242-0006-01</v>
          </cell>
          <cell r="Q997" t="str">
            <v>EST CADEIRA FINA C/B (FREIJO) (RATTAN AB ENV) TC 5230/207</v>
          </cell>
          <cell r="R997"/>
          <cell r="S997"/>
          <cell r="T997">
            <v>0.55000000000000004</v>
          </cell>
          <cell r="U997">
            <v>0.57999999999999996</v>
          </cell>
          <cell r="V997">
            <v>0.85</v>
          </cell>
          <cell r="W997">
            <v>0</v>
          </cell>
          <cell r="X997" t="str">
            <v>EST CADEIRA FINA C/B (FREIJO) (RATTAN AB ENV) TC 5230/207 - 0,55x0,58x0,85H</v>
          </cell>
          <cell r="Y997">
            <v>10125.16</v>
          </cell>
          <cell r="Z997">
            <v>0.35</v>
          </cell>
          <cell r="AA997">
            <v>6581.3540000000003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4</v>
          </cell>
          <cell r="H998">
            <v>0</v>
          </cell>
          <cell r="O998">
            <v>385738</v>
          </cell>
          <cell r="P998" t="str">
            <v>2024/242-0007-01</v>
          </cell>
          <cell r="Q998" t="str">
            <v>EST CADEIRA FINA C/B (FREIJO) (RATTAN AB ENV) TC 5230/207</v>
          </cell>
          <cell r="R998"/>
          <cell r="S998"/>
          <cell r="T998">
            <v>0.55000000000000004</v>
          </cell>
          <cell r="U998">
            <v>0.57999999999999996</v>
          </cell>
          <cell r="V998">
            <v>0.85</v>
          </cell>
          <cell r="W998">
            <v>0</v>
          </cell>
          <cell r="X998" t="str">
            <v>EST CADEIRA FINA C/B (FREIJO) (RATTAN AB ENV) TC 5230/207 - 0,55x0,58x0,85H</v>
          </cell>
          <cell r="Y998">
            <v>10125.16</v>
          </cell>
          <cell r="Z998">
            <v>0.35</v>
          </cell>
          <cell r="AA998">
            <v>6581.3540000000003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4</v>
          </cell>
          <cell r="H999">
            <v>0</v>
          </cell>
          <cell r="O999">
            <v>385738</v>
          </cell>
          <cell r="P999" t="str">
            <v>2024/242-0008-01</v>
          </cell>
          <cell r="Q999" t="str">
            <v>EST CADEIRA FINA C/B (FREIJO) (RATTAN AB ENV) TC 5230/207</v>
          </cell>
          <cell r="R999"/>
          <cell r="S999"/>
          <cell r="T999">
            <v>0.55000000000000004</v>
          </cell>
          <cell r="U999">
            <v>0.57999999999999996</v>
          </cell>
          <cell r="V999">
            <v>0.85</v>
          </cell>
          <cell r="W999">
            <v>0</v>
          </cell>
          <cell r="X999" t="str">
            <v>EST CADEIRA FINA C/B (FREIJO) (RATTAN AB ENV) TC 5230/207 - 0,55x0,58x0,85H</v>
          </cell>
          <cell r="Y999">
            <v>10125.16</v>
          </cell>
          <cell r="Z999">
            <v>0.35</v>
          </cell>
          <cell r="AA999">
            <v>6581.3540000000003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4</v>
          </cell>
          <cell r="H1000">
            <v>0</v>
          </cell>
          <cell r="O1000">
            <v>385738</v>
          </cell>
          <cell r="P1000" t="str">
            <v>2024/242-0009-01</v>
          </cell>
          <cell r="Q1000" t="str">
            <v>EST CADEIRA FINA C/B (FREIJO) (RATTAN AB ENV) TC 5230/207</v>
          </cell>
          <cell r="R1000"/>
          <cell r="S1000"/>
          <cell r="T1000">
            <v>0.55000000000000004</v>
          </cell>
          <cell r="U1000">
            <v>0.57999999999999996</v>
          </cell>
          <cell r="V1000">
            <v>0.85</v>
          </cell>
          <cell r="W1000">
            <v>0</v>
          </cell>
          <cell r="X1000" t="str">
            <v>EST CADEIRA FINA C/B (FREIJO) (RATTAN AB ENV) TC 5230/207 - 0,55x0,58x0,85H</v>
          </cell>
          <cell r="Y1000">
            <v>10125.16</v>
          </cell>
          <cell r="Z1000">
            <v>0.35</v>
          </cell>
          <cell r="AA1000">
            <v>6581.3540000000003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404444</v>
          </cell>
          <cell r="P1001" t="str">
            <v>2025/143-0018-01</v>
          </cell>
          <cell r="Q1001" t="str">
            <v>EST BUFFET YAACOV (B) TAUARI NOGUEIRA</v>
          </cell>
          <cell r="R1001"/>
          <cell r="S1001"/>
          <cell r="T1001">
            <v>2.58</v>
          </cell>
          <cell r="U1001">
            <v>0.55000000000000004</v>
          </cell>
          <cell r="V1001">
            <v>0.7</v>
          </cell>
          <cell r="W1001">
            <v>0</v>
          </cell>
          <cell r="X1001" t="str">
            <v>EST BUFFET YAACOV (B) TAUARI NOGUEIRA - 2,58x0,55x0,7H</v>
          </cell>
          <cell r="Y1001">
            <v>47606.720000000001</v>
          </cell>
          <cell r="Z1001">
            <v>0.35</v>
          </cell>
          <cell r="AA1001">
            <v>30944.368000000002</v>
          </cell>
          <cell r="AB1001"/>
        </row>
        <row r="1002">
          <cell r="C1002">
            <v>0</v>
          </cell>
          <cell r="D1002">
            <v>1</v>
          </cell>
          <cell r="E1002">
            <v>0</v>
          </cell>
          <cell r="F1002">
            <v>0</v>
          </cell>
          <cell r="H1002">
            <v>0</v>
          </cell>
          <cell r="O1002">
            <v>260962</v>
          </cell>
          <cell r="P1002" t="str">
            <v>2020/308-0091-01</v>
          </cell>
          <cell r="Q1002" t="str">
            <v>EST ESCRIVANINHA DIX (FREIJO) (INOX PRETO)</v>
          </cell>
          <cell r="R1002"/>
          <cell r="S1002"/>
          <cell r="T1002">
            <v>2</v>
          </cell>
          <cell r="U1002">
            <v>0.8</v>
          </cell>
          <cell r="V1002">
            <v>0.75</v>
          </cell>
          <cell r="W1002">
            <v>0</v>
          </cell>
          <cell r="X1002" t="str">
            <v>EST ESCRIVANINHA DIX (FREIJO) (INOX PRETO) - 2x0,8x0,75H</v>
          </cell>
          <cell r="Y1002">
            <v>32676.49</v>
          </cell>
          <cell r="Z1002">
            <v>0.35</v>
          </cell>
          <cell r="AA1002">
            <v>21239.718500000003</v>
          </cell>
          <cell r="AB1002"/>
        </row>
        <row r="1003">
          <cell r="C1003">
            <v>0</v>
          </cell>
          <cell r="D1003">
            <v>5</v>
          </cell>
          <cell r="E1003">
            <v>4</v>
          </cell>
          <cell r="F1003">
            <v>6</v>
          </cell>
          <cell r="H1003">
            <v>1</v>
          </cell>
          <cell r="O1003">
            <v>262565</v>
          </cell>
          <cell r="P1003" t="str">
            <v>2020/128-0025-01</v>
          </cell>
          <cell r="Q1003" t="str">
            <v>EST CADEIRA MEDALHINHA (FREIJO) (TELA RATTAN ABERT ENV)</v>
          </cell>
          <cell r="R1003"/>
          <cell r="S1003"/>
          <cell r="T1003">
            <v>0.47</v>
          </cell>
          <cell r="U1003">
            <v>0.61</v>
          </cell>
          <cell r="V1003">
            <v>0.82</v>
          </cell>
          <cell r="W1003">
            <v>0</v>
          </cell>
          <cell r="X1003" t="str">
            <v>EST CADEIRA MEDALHINHA (FREIJO) (TELA RATTAN ABERT ENV) - 0,47x0,61x0,82H</v>
          </cell>
          <cell r="Y1003">
            <v>9160.44</v>
          </cell>
          <cell r="Z1003">
            <v>0.35</v>
          </cell>
          <cell r="AA1003">
            <v>5954.2860000000001</v>
          </cell>
          <cell r="AB1003"/>
        </row>
        <row r="1004">
          <cell r="C1004">
            <v>0</v>
          </cell>
          <cell r="D1004">
            <v>5</v>
          </cell>
          <cell r="E1004">
            <v>4</v>
          </cell>
          <cell r="F1004">
            <v>6</v>
          </cell>
          <cell r="H1004">
            <v>1</v>
          </cell>
          <cell r="O1004">
            <v>262565</v>
          </cell>
          <cell r="P1004" t="str">
            <v>2020/128-0028-01</v>
          </cell>
          <cell r="Q1004" t="str">
            <v>EST CADEIRA MEDALHINHA (FREIJO) (TELA RATTAN ABERT ENV)</v>
          </cell>
          <cell r="R1004"/>
          <cell r="S1004"/>
          <cell r="T1004">
            <v>0.47</v>
          </cell>
          <cell r="U1004">
            <v>0.61</v>
          </cell>
          <cell r="V1004">
            <v>0.82</v>
          </cell>
          <cell r="W1004">
            <v>0</v>
          </cell>
          <cell r="X1004" t="str">
            <v>EST CADEIRA MEDALHINHA (FREIJO) (TELA RATTAN ABERT ENV) - 0,47x0,61x0,82H</v>
          </cell>
          <cell r="Y1004">
            <v>9160.44</v>
          </cell>
          <cell r="Z1004">
            <v>0.35</v>
          </cell>
          <cell r="AA1004">
            <v>5954.2860000000001</v>
          </cell>
          <cell r="AB1004"/>
        </row>
        <row r="1005">
          <cell r="C1005">
            <v>0</v>
          </cell>
          <cell r="D1005">
            <v>5</v>
          </cell>
          <cell r="E1005">
            <v>4</v>
          </cell>
          <cell r="F1005">
            <v>6</v>
          </cell>
          <cell r="H1005">
            <v>1</v>
          </cell>
          <cell r="O1005">
            <v>262565</v>
          </cell>
          <cell r="P1005" t="str">
            <v>2020/128-0027-01</v>
          </cell>
          <cell r="Q1005" t="str">
            <v>EST CADEIRA MEDALHINHA (FREIJO) (TELA RATTAN ABERT ENV)</v>
          </cell>
          <cell r="R1005"/>
          <cell r="S1005"/>
          <cell r="T1005">
            <v>0.47</v>
          </cell>
          <cell r="U1005">
            <v>0.61</v>
          </cell>
          <cell r="V1005">
            <v>0.82</v>
          </cell>
          <cell r="W1005">
            <v>0</v>
          </cell>
          <cell r="X1005" t="str">
            <v>EST CADEIRA MEDALHINHA (FREIJO) (TELA RATTAN ABERT ENV) - 0,47x0,61x0,82H</v>
          </cell>
          <cell r="Y1005">
            <v>9160.44</v>
          </cell>
          <cell r="Z1005">
            <v>0.35</v>
          </cell>
          <cell r="AA1005">
            <v>5954.2860000000001</v>
          </cell>
          <cell r="AB1005"/>
        </row>
        <row r="1006">
          <cell r="C1006">
            <v>0</v>
          </cell>
          <cell r="D1006">
            <v>5</v>
          </cell>
          <cell r="E1006">
            <v>4</v>
          </cell>
          <cell r="F1006">
            <v>6</v>
          </cell>
          <cell r="H1006">
            <v>1</v>
          </cell>
          <cell r="O1006">
            <v>262565</v>
          </cell>
          <cell r="P1006" t="str">
            <v>2024/184-0087-01</v>
          </cell>
          <cell r="Q1006" t="str">
            <v>EST CADEIRA MEDALHINHA (FREIJO) (TELA RATTAN ABERT ENV)</v>
          </cell>
          <cell r="R1006"/>
          <cell r="S1006"/>
          <cell r="T1006">
            <v>0.47</v>
          </cell>
          <cell r="U1006">
            <v>0.61</v>
          </cell>
          <cell r="V1006">
            <v>0.82</v>
          </cell>
          <cell r="W1006">
            <v>0</v>
          </cell>
          <cell r="X1006" t="str">
            <v>EST CADEIRA MEDALHINHA (FREIJO) (TELA RATTAN ABERT ENV) - 0,47x0,61x0,82H</v>
          </cell>
          <cell r="Y1006">
            <v>9160.44</v>
          </cell>
          <cell r="Z1006">
            <v>0.35</v>
          </cell>
          <cell r="AA1006">
            <v>5954.2860000000001</v>
          </cell>
          <cell r="AB1006"/>
        </row>
        <row r="1007">
          <cell r="C1007">
            <v>0</v>
          </cell>
          <cell r="D1007">
            <v>5</v>
          </cell>
          <cell r="E1007">
            <v>4</v>
          </cell>
          <cell r="F1007">
            <v>6</v>
          </cell>
          <cell r="H1007">
            <v>1</v>
          </cell>
          <cell r="O1007">
            <v>262565</v>
          </cell>
          <cell r="P1007" t="str">
            <v>2020/128-0026-01</v>
          </cell>
          <cell r="Q1007" t="str">
            <v>EST CADEIRA MEDALHINHA (FREIJO) (TELA RATTAN ABERT ENV)</v>
          </cell>
          <cell r="R1007"/>
          <cell r="S1007"/>
          <cell r="T1007">
            <v>0.47</v>
          </cell>
          <cell r="U1007">
            <v>0.61</v>
          </cell>
          <cell r="V1007">
            <v>0.82</v>
          </cell>
          <cell r="W1007">
            <v>0</v>
          </cell>
          <cell r="X1007" t="str">
            <v>EST CADEIRA MEDALHINHA (FREIJO) (TELA RATTAN ABERT ENV) - 0,47x0,61x0,82H</v>
          </cell>
          <cell r="Y1007">
            <v>9160.44</v>
          </cell>
          <cell r="Z1007">
            <v>0.35</v>
          </cell>
          <cell r="AA1007">
            <v>5954.2860000000001</v>
          </cell>
          <cell r="AB1007"/>
        </row>
        <row r="1008">
          <cell r="C1008">
            <v>1</v>
          </cell>
          <cell r="D1008">
            <v>1</v>
          </cell>
          <cell r="E1008">
            <v>1</v>
          </cell>
          <cell r="F1008">
            <v>1</v>
          </cell>
          <cell r="H1008">
            <v>0</v>
          </cell>
          <cell r="O1008">
            <v>270431</v>
          </cell>
          <cell r="P1008" t="str">
            <v>2020/353-0123-01</v>
          </cell>
          <cell r="Q1008" t="str">
            <v>EST BANQUETA BAR MEDALHINHA H65 (FREIJO) (RATTAN ABERTA NT)</v>
          </cell>
          <cell r="R1008"/>
          <cell r="S1008"/>
          <cell r="T1008">
            <v>0.47</v>
          </cell>
          <cell r="U1008">
            <v>0.61</v>
          </cell>
          <cell r="V1008">
            <v>1.04</v>
          </cell>
          <cell r="W1008">
            <v>0</v>
          </cell>
          <cell r="X1008" t="str">
            <v>EST BANQUETA BAR MEDALHINHA H65 (FREIJO) (RATTAN ABERTA NT) - 0,47x0,61x1,04H</v>
          </cell>
          <cell r="Y1008">
            <v>10076.950000000001</v>
          </cell>
          <cell r="Z1008">
            <v>0.35</v>
          </cell>
          <cell r="AA1008">
            <v>6550.0175000000008</v>
          </cell>
          <cell r="AB1008"/>
        </row>
        <row r="1009">
          <cell r="C1009">
            <v>1</v>
          </cell>
          <cell r="D1009">
            <v>1</v>
          </cell>
          <cell r="E1009">
            <v>2</v>
          </cell>
          <cell r="F1009">
            <v>0</v>
          </cell>
          <cell r="H1009">
            <v>0</v>
          </cell>
          <cell r="O1009">
            <v>270433</v>
          </cell>
          <cell r="P1009" t="str">
            <v>2020/353-0128-01</v>
          </cell>
          <cell r="Q1009" t="str">
            <v>EST CADEIRA MEDALHINHA C/B (FREIJO) (RATTAN ABERTA ENV)</v>
          </cell>
          <cell r="R1009"/>
          <cell r="S1009"/>
          <cell r="T1009">
            <v>0.6</v>
          </cell>
          <cell r="U1009">
            <v>0.61</v>
          </cell>
          <cell r="V1009">
            <v>0.82</v>
          </cell>
          <cell r="W1009">
            <v>0</v>
          </cell>
          <cell r="X1009" t="str">
            <v>EST CADEIRA MEDALHINHA C/B (FREIJO) (RATTAN ABERTA ENV) - 0,6x0,61x0,82H</v>
          </cell>
          <cell r="Y1009">
            <v>10528.09</v>
          </cell>
          <cell r="Z1009">
            <v>0.35</v>
          </cell>
          <cell r="AA1009">
            <v>6843.2584999999999</v>
          </cell>
          <cell r="AB1009"/>
        </row>
        <row r="1010">
          <cell r="C1010">
            <v>0</v>
          </cell>
          <cell r="D1010">
            <v>1</v>
          </cell>
          <cell r="E1010">
            <v>0</v>
          </cell>
          <cell r="F1010">
            <v>0</v>
          </cell>
          <cell r="H1010">
            <v>0</v>
          </cell>
          <cell r="O1010">
            <v>334188</v>
          </cell>
          <cell r="P1010" t="str">
            <v>2022/203-0145-01</v>
          </cell>
          <cell r="Q1010" t="str">
            <v>EST CARRINHO BAR MIES (TAUARI EBANIZADO) (LATAO ACETINADO)</v>
          </cell>
          <cell r="R1010"/>
          <cell r="S1010"/>
          <cell r="T1010">
            <v>1</v>
          </cell>
          <cell r="U1010">
            <v>0.47</v>
          </cell>
          <cell r="V1010">
            <v>0.76</v>
          </cell>
          <cell r="W1010">
            <v>0</v>
          </cell>
          <cell r="X1010" t="str">
            <v>EST CARRINHO BAR MIES (TAUARI EBANIZADO) (LATAO ACETINADO) - 1x0,47x0,76H</v>
          </cell>
          <cell r="Y1010">
            <v>53605.409</v>
          </cell>
          <cell r="Z1010">
            <v>0.35</v>
          </cell>
          <cell r="AA1010">
            <v>34843.515849999996</v>
          </cell>
          <cell r="AB1010"/>
        </row>
        <row r="1011">
          <cell r="C1011">
            <v>0</v>
          </cell>
          <cell r="D1011">
            <v>1</v>
          </cell>
          <cell r="E1011">
            <v>0</v>
          </cell>
          <cell r="F1011">
            <v>0</v>
          </cell>
          <cell r="H1011">
            <v>0</v>
          </cell>
          <cell r="O1011">
            <v>389116</v>
          </cell>
          <cell r="P1011" t="str">
            <v>2024/184-0096-01</v>
          </cell>
          <cell r="Q1011" t="str">
            <v>EST CADEIRA FINA C/B (TAUARI) (TELA RATTAN AB NT)</v>
          </cell>
          <cell r="R1011"/>
          <cell r="S1011"/>
          <cell r="T1011">
            <v>0.55000000000000004</v>
          </cell>
          <cell r="U1011">
            <v>0.57999999999999996</v>
          </cell>
          <cell r="V1011">
            <v>0.85</v>
          </cell>
          <cell r="W1011">
            <v>0</v>
          </cell>
          <cell r="X1011" t="str">
            <v>EST CADEIRA FINA C/B (TAUARI) (TELA RATTAN AB NT) - 0,55x0,58x0,85H</v>
          </cell>
          <cell r="Y1011">
            <v>9682.7999999999993</v>
          </cell>
          <cell r="Z1011">
            <v>0.35</v>
          </cell>
          <cell r="AA1011">
            <v>6293.82</v>
          </cell>
          <cell r="AB1011"/>
        </row>
        <row r="1012">
          <cell r="C1012">
            <v>1</v>
          </cell>
          <cell r="D1012">
            <v>0</v>
          </cell>
          <cell r="E1012">
            <v>0</v>
          </cell>
          <cell r="F1012">
            <v>0</v>
          </cell>
          <cell r="H1012">
            <v>0</v>
          </cell>
          <cell r="O1012">
            <v>260960</v>
          </cell>
          <cell r="P1012" t="str">
            <v>2020/192-0032-01</v>
          </cell>
          <cell r="Q1012" t="str">
            <v>EST CARRINHO BAR MIES (FREIJO NATURAL) (LATAO ACETINADO)</v>
          </cell>
          <cell r="R1012"/>
          <cell r="S1012"/>
          <cell r="T1012">
            <v>1</v>
          </cell>
          <cell r="U1012">
            <v>0.47</v>
          </cell>
          <cell r="V1012">
            <v>0.76</v>
          </cell>
          <cell r="W1012">
            <v>0</v>
          </cell>
          <cell r="X1012" t="str">
            <v>EST CARRINHO BAR MIES (FREIJO NATURAL) (LATAO ACETINADO) - 1x0,47x0,76H</v>
          </cell>
          <cell r="Y1012">
            <v>49473</v>
          </cell>
          <cell r="Z1012">
            <v>0.5</v>
          </cell>
          <cell r="AA1012">
            <v>24736.5</v>
          </cell>
          <cell r="AB1012"/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H1013">
            <v>1</v>
          </cell>
          <cell r="O1013">
            <v>344055</v>
          </cell>
          <cell r="P1013" t="str">
            <v>2022/249-0014-01</v>
          </cell>
          <cell r="Q1013" t="str">
            <v>EST CHAISE NIGHT (FREIJO NT) TELA RATTAN/COURO TAUPE 138</v>
          </cell>
          <cell r="R1013"/>
          <cell r="S1013"/>
          <cell r="T1013">
            <v>1.74</v>
          </cell>
          <cell r="U1013">
            <v>0.65</v>
          </cell>
          <cell r="V1013">
            <v>0.89</v>
          </cell>
          <cell r="W1013">
            <v>0</v>
          </cell>
          <cell r="X1013" t="str">
            <v>EST CHAISE NIGHT (FREIJO NT) TELA RATTAN/COURO TAUPE 138 - 1,74x0,65x0,89H</v>
          </cell>
          <cell r="Y1013">
            <v>38968.65</v>
          </cell>
          <cell r="Z1013">
            <v>0.5</v>
          </cell>
          <cell r="AA1013">
            <v>19484.325000000001</v>
          </cell>
          <cell r="AB1013"/>
        </row>
        <row r="1014">
          <cell r="C1014">
            <v>2</v>
          </cell>
          <cell r="D1014">
            <v>0</v>
          </cell>
          <cell r="E1014">
            <v>0</v>
          </cell>
          <cell r="F1014">
            <v>0</v>
          </cell>
          <cell r="H1014">
            <v>0</v>
          </cell>
          <cell r="O1014">
            <v>344058</v>
          </cell>
          <cell r="P1014" t="str">
            <v>2022/249-0015-01</v>
          </cell>
          <cell r="Q1014" t="str">
            <v>EST ESTANTE LINA (TAUARI TING COGNAC) (LATAO OURO VELHO)</v>
          </cell>
          <cell r="R1014"/>
          <cell r="S1014"/>
          <cell r="T1014">
            <v>1.2</v>
          </cell>
          <cell r="U1014">
            <v>0.43</v>
          </cell>
          <cell r="V1014">
            <v>1.9</v>
          </cell>
          <cell r="W1014">
            <v>0</v>
          </cell>
          <cell r="X1014" t="str">
            <v>EST ESTANTE LINA (TAUARI TING COGNAC) (LATAO OURO VELHO) - 1,2x0,43x1,9H</v>
          </cell>
          <cell r="Y1014">
            <v>34338.57</v>
          </cell>
          <cell r="Z1014">
            <v>0.5</v>
          </cell>
          <cell r="AA1014">
            <v>17169.285</v>
          </cell>
          <cell r="AB1014"/>
        </row>
        <row r="1015">
          <cell r="C1015">
            <v>2</v>
          </cell>
          <cell r="D1015">
            <v>0</v>
          </cell>
          <cell r="E1015">
            <v>0</v>
          </cell>
          <cell r="F1015">
            <v>0</v>
          </cell>
          <cell r="H1015">
            <v>0</v>
          </cell>
          <cell r="O1015">
            <v>344058</v>
          </cell>
          <cell r="P1015" t="str">
            <v>2022/249-0016-01</v>
          </cell>
          <cell r="Q1015" t="str">
            <v>EST ESTANTE LINA (TAUARI TING COGNAC) (LATAO OURO VELHO)</v>
          </cell>
          <cell r="R1015"/>
          <cell r="S1015"/>
          <cell r="T1015">
            <v>1.2</v>
          </cell>
          <cell r="U1015">
            <v>0.43</v>
          </cell>
          <cell r="V1015">
            <v>1.9</v>
          </cell>
          <cell r="W1015">
            <v>0</v>
          </cell>
          <cell r="X1015" t="str">
            <v>EST ESTANTE LINA (TAUARI TING COGNAC) (LATAO OURO VELHO) - 1,2x0,43x1,9H</v>
          </cell>
          <cell r="Y1015">
            <v>34338.57</v>
          </cell>
          <cell r="Z1015">
            <v>0.5</v>
          </cell>
          <cell r="AA1015">
            <v>17169.285</v>
          </cell>
          <cell r="AB1015"/>
        </row>
        <row r="1016">
          <cell r="C1016">
            <v>6</v>
          </cell>
          <cell r="D1016">
            <v>0</v>
          </cell>
          <cell r="E1016">
            <v>0</v>
          </cell>
          <cell r="F1016">
            <v>0</v>
          </cell>
          <cell r="H1016">
            <v>0</v>
          </cell>
          <cell r="O1016">
            <v>254024</v>
          </cell>
          <cell r="P1016" t="str">
            <v>2019/344-0018-01</v>
          </cell>
          <cell r="Q1016" t="str">
            <v>EST CADEIRA MEDALHINHA (FREIJO) (TELA RATTAN ABERT ENV)</v>
          </cell>
          <cell r="R1016"/>
          <cell r="S1016"/>
          <cell r="T1016">
            <v>0.47</v>
          </cell>
          <cell r="U1016">
            <v>0.61</v>
          </cell>
          <cell r="V1016">
            <v>0.82</v>
          </cell>
          <cell r="W1016">
            <v>0</v>
          </cell>
          <cell r="X1016" t="str">
            <v>EST CADEIRA MEDALHINHA (FREIJO) (TELA RATTAN ABERT ENV) - 0,47x0,61x0,82H</v>
          </cell>
          <cell r="Y1016">
            <v>9160.44</v>
          </cell>
          <cell r="Z1016">
            <v>0.35</v>
          </cell>
          <cell r="AA1016">
            <v>5954.2860000000001</v>
          </cell>
          <cell r="AB1016"/>
        </row>
        <row r="1017">
          <cell r="C1017">
            <v>6</v>
          </cell>
          <cell r="D1017">
            <v>0</v>
          </cell>
          <cell r="E1017">
            <v>0</v>
          </cell>
          <cell r="F1017">
            <v>0</v>
          </cell>
          <cell r="H1017">
            <v>0</v>
          </cell>
          <cell r="O1017">
            <v>254024</v>
          </cell>
          <cell r="P1017" t="str">
            <v>2019/344-0019-01</v>
          </cell>
          <cell r="Q1017" t="str">
            <v>EST CADEIRA MEDALHINHA (FREIJO) (TELA RATTAN ABERT ENV)</v>
          </cell>
          <cell r="R1017"/>
          <cell r="S1017"/>
          <cell r="T1017">
            <v>0.47</v>
          </cell>
          <cell r="U1017">
            <v>0.61</v>
          </cell>
          <cell r="V1017">
            <v>0.82</v>
          </cell>
          <cell r="W1017">
            <v>0</v>
          </cell>
          <cell r="X1017" t="str">
            <v>EST CADEIRA MEDALHINHA (FREIJO) (TELA RATTAN ABERT ENV) - 0,47x0,61x0,82H</v>
          </cell>
          <cell r="Y1017">
            <v>9160.44</v>
          </cell>
          <cell r="Z1017">
            <v>0.35</v>
          </cell>
          <cell r="AA1017">
            <v>5954.2860000000001</v>
          </cell>
          <cell r="AB1017"/>
        </row>
        <row r="1018">
          <cell r="C1018">
            <v>6</v>
          </cell>
          <cell r="D1018">
            <v>0</v>
          </cell>
          <cell r="E1018">
            <v>0</v>
          </cell>
          <cell r="F1018">
            <v>0</v>
          </cell>
          <cell r="H1018">
            <v>0</v>
          </cell>
          <cell r="O1018">
            <v>254024</v>
          </cell>
          <cell r="P1018" t="str">
            <v>2019/344-0020-01</v>
          </cell>
          <cell r="Q1018" t="str">
            <v>EST CADEIRA MEDALHINHA (FREIJO) (TELA RATTAN ABERT ENV)</v>
          </cell>
          <cell r="R1018"/>
          <cell r="S1018"/>
          <cell r="T1018">
            <v>0.47</v>
          </cell>
          <cell r="U1018">
            <v>0.61</v>
          </cell>
          <cell r="V1018">
            <v>0.82</v>
          </cell>
          <cell r="W1018">
            <v>0</v>
          </cell>
          <cell r="X1018" t="str">
            <v>EST CADEIRA MEDALHINHA (FREIJO) (TELA RATTAN ABERT ENV) - 0,47x0,61x0,82H</v>
          </cell>
          <cell r="Y1018">
            <v>9160.44</v>
          </cell>
          <cell r="Z1018">
            <v>0.35</v>
          </cell>
          <cell r="AA1018">
            <v>5954.2860000000001</v>
          </cell>
          <cell r="AB1018"/>
        </row>
        <row r="1019">
          <cell r="C1019">
            <v>6</v>
          </cell>
          <cell r="D1019">
            <v>0</v>
          </cell>
          <cell r="E1019">
            <v>0</v>
          </cell>
          <cell r="F1019">
            <v>0</v>
          </cell>
          <cell r="H1019">
            <v>0</v>
          </cell>
          <cell r="O1019">
            <v>254024</v>
          </cell>
          <cell r="P1019" t="str">
            <v>2019/344-0021-01</v>
          </cell>
          <cell r="Q1019" t="str">
            <v>EST CADEIRA MEDALHINHA (FREIJO) (TELA RATTAN ABERT ENV)</v>
          </cell>
          <cell r="R1019"/>
          <cell r="S1019"/>
          <cell r="T1019">
            <v>0.47</v>
          </cell>
          <cell r="U1019">
            <v>0.61</v>
          </cell>
          <cell r="V1019">
            <v>0.82</v>
          </cell>
          <cell r="W1019">
            <v>0</v>
          </cell>
          <cell r="X1019" t="str">
            <v>EST CADEIRA MEDALHINHA (FREIJO) (TELA RATTAN ABERT ENV) - 0,47x0,61x0,82H</v>
          </cell>
          <cell r="Y1019">
            <v>9160.44</v>
          </cell>
          <cell r="Z1019">
            <v>0.35</v>
          </cell>
          <cell r="AA1019">
            <v>5954.2860000000001</v>
          </cell>
          <cell r="AB1019"/>
        </row>
        <row r="1020">
          <cell r="C1020">
            <v>6</v>
          </cell>
          <cell r="D1020">
            <v>0</v>
          </cell>
          <cell r="E1020">
            <v>0</v>
          </cell>
          <cell r="F1020">
            <v>0</v>
          </cell>
          <cell r="H1020">
            <v>0</v>
          </cell>
          <cell r="O1020">
            <v>254024</v>
          </cell>
          <cell r="P1020" t="str">
            <v>2019/344-0022-01</v>
          </cell>
          <cell r="Q1020" t="str">
            <v>EST CADEIRA MEDALHINHA (FREIJO) (TELA RATTAN ABERT ENV)</v>
          </cell>
          <cell r="R1020"/>
          <cell r="S1020"/>
          <cell r="T1020">
            <v>0.47</v>
          </cell>
          <cell r="U1020">
            <v>0.61</v>
          </cell>
          <cell r="V1020">
            <v>0.82</v>
          </cell>
          <cell r="W1020">
            <v>0</v>
          </cell>
          <cell r="X1020" t="str">
            <v>EST CADEIRA MEDALHINHA (FREIJO) (TELA RATTAN ABERT ENV) - 0,47x0,61x0,82H</v>
          </cell>
          <cell r="Y1020">
            <v>9160.44</v>
          </cell>
          <cell r="Z1020">
            <v>0.35</v>
          </cell>
          <cell r="AA1020">
            <v>5954.2860000000001</v>
          </cell>
          <cell r="AB1020"/>
        </row>
        <row r="1021">
          <cell r="C1021">
            <v>6</v>
          </cell>
          <cell r="D1021">
            <v>0</v>
          </cell>
          <cell r="E1021">
            <v>0</v>
          </cell>
          <cell r="F1021">
            <v>0</v>
          </cell>
          <cell r="H1021">
            <v>0</v>
          </cell>
          <cell r="O1021">
            <v>254024</v>
          </cell>
          <cell r="P1021" t="str">
            <v>2019/344-0023-01</v>
          </cell>
          <cell r="Q1021" t="str">
            <v>EST CADEIRA MEDALHINHA (FREIJO) (TELA RATTAN ABERT ENV)</v>
          </cell>
          <cell r="R1021"/>
          <cell r="S1021"/>
          <cell r="T1021">
            <v>0.47</v>
          </cell>
          <cell r="U1021">
            <v>0.61</v>
          </cell>
          <cell r="V1021">
            <v>0.82</v>
          </cell>
          <cell r="W1021">
            <v>0</v>
          </cell>
          <cell r="X1021" t="str">
            <v>EST CADEIRA MEDALHINHA (FREIJO) (TELA RATTAN ABERT ENV) - 0,47x0,61x0,82H</v>
          </cell>
          <cell r="Y1021">
            <v>9160.44</v>
          </cell>
          <cell r="Z1021">
            <v>0.35</v>
          </cell>
          <cell r="AA1021">
            <v>5954.2860000000001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0</v>
          </cell>
          <cell r="H1022">
            <v>0</v>
          </cell>
          <cell r="O1022">
            <v>262673</v>
          </cell>
          <cell r="P1022" t="str">
            <v>2020/128-0033-01</v>
          </cell>
          <cell r="Q1022" t="str">
            <v>EST CADEIRA MEDALHINHA C/B (FREIJO) (RATTAN ABERTA ENV)</v>
          </cell>
          <cell r="R1022"/>
          <cell r="S1022"/>
          <cell r="T1022">
            <v>0.6</v>
          </cell>
          <cell r="U1022">
            <v>0.61</v>
          </cell>
          <cell r="V1022">
            <v>0.82</v>
          </cell>
          <cell r="W1022">
            <v>0</v>
          </cell>
          <cell r="X1022" t="str">
            <v>EST CADEIRA MEDALHINHA C/B (FREIJO) (RATTAN ABERTA ENV) - 0,6x0,61x0,82H</v>
          </cell>
          <cell r="Y1022">
            <v>10528.09</v>
          </cell>
          <cell r="Z1022">
            <v>0.35</v>
          </cell>
          <cell r="AA1022">
            <v>6843.2584999999999</v>
          </cell>
          <cell r="AB1022"/>
        </row>
        <row r="1023">
          <cell r="C1023">
            <v>1</v>
          </cell>
          <cell r="D1023">
            <v>1</v>
          </cell>
          <cell r="E1023">
            <v>1</v>
          </cell>
          <cell r="F1023">
            <v>1</v>
          </cell>
          <cell r="H1023">
            <v>0</v>
          </cell>
          <cell r="O1023">
            <v>270431</v>
          </cell>
          <cell r="P1023" t="str">
            <v>2020/353-0124-01</v>
          </cell>
          <cell r="Q1023" t="str">
            <v>EST BANQUETA BAR MEDALHINHA H65 (FREIJO) (RATTAN ABERTA NT)</v>
          </cell>
          <cell r="R1023"/>
          <cell r="S1023"/>
          <cell r="T1023">
            <v>0.47</v>
          </cell>
          <cell r="U1023">
            <v>0.61</v>
          </cell>
          <cell r="V1023">
            <v>1.04</v>
          </cell>
          <cell r="W1023">
            <v>0</v>
          </cell>
          <cell r="X1023" t="str">
            <v>EST BANQUETA BAR MEDALHINHA H65 (FREIJO) (RATTAN ABERTA NT) - 0,47x0,61x1,04H</v>
          </cell>
          <cell r="Y1023">
            <v>10076.950000000001</v>
          </cell>
          <cell r="Z1023">
            <v>0.35</v>
          </cell>
          <cell r="AA1023">
            <v>6550.0175000000008</v>
          </cell>
          <cell r="AB1023"/>
        </row>
        <row r="1024">
          <cell r="C1024">
            <v>1</v>
          </cell>
          <cell r="D1024">
            <v>1</v>
          </cell>
          <cell r="E1024">
            <v>2</v>
          </cell>
          <cell r="F1024">
            <v>0</v>
          </cell>
          <cell r="H1024">
            <v>0</v>
          </cell>
          <cell r="O1024">
            <v>270433</v>
          </cell>
          <cell r="P1024" t="str">
            <v>2020/353-0130-01</v>
          </cell>
          <cell r="Q1024" t="str">
            <v>EST CADEIRA MEDALHINHA C/B (FREIJO) (RATTAN ABERTA ENV)</v>
          </cell>
          <cell r="R1024"/>
          <cell r="S1024"/>
          <cell r="T1024">
            <v>0.6</v>
          </cell>
          <cell r="U1024">
            <v>0.61</v>
          </cell>
          <cell r="V1024">
            <v>0.82</v>
          </cell>
          <cell r="W1024">
            <v>0</v>
          </cell>
          <cell r="X1024" t="str">
            <v>EST CADEIRA MEDALHINHA C/B (FREIJO) (RATTAN ABERTA ENV) - 0,6x0,61x0,82H</v>
          </cell>
          <cell r="Y1024">
            <v>10528.09</v>
          </cell>
          <cell r="Z1024">
            <v>0.35</v>
          </cell>
          <cell r="AA1024">
            <v>6843.2584999999999</v>
          </cell>
          <cell r="AB1024"/>
        </row>
        <row r="1025">
          <cell r="C1025">
            <v>2</v>
          </cell>
          <cell r="D1025">
            <v>0</v>
          </cell>
          <cell r="E1025">
            <v>0</v>
          </cell>
          <cell r="F1025">
            <v>0</v>
          </cell>
          <cell r="H1025">
            <v>0</v>
          </cell>
          <cell r="O1025">
            <v>328655</v>
          </cell>
          <cell r="P1025" t="str">
            <v>2022/161-0019-01</v>
          </cell>
          <cell r="Q1025" t="str">
            <v>EST CADEIRA LOGAN C/B JANTAR (FREIJO) (MADEIRA)</v>
          </cell>
          <cell r="R1025"/>
          <cell r="S1025"/>
          <cell r="T1025">
            <v>0.62</v>
          </cell>
          <cell r="U1025">
            <v>0.6</v>
          </cell>
          <cell r="V1025">
            <v>0.84</v>
          </cell>
          <cell r="W1025">
            <v>0</v>
          </cell>
          <cell r="X1025" t="str">
            <v>EST CADEIRA LOGAN C/B JANTAR (FREIJO) (MADEIRA) - 0,62x0,6x0,84H</v>
          </cell>
          <cell r="Y1025">
            <v>13491.34</v>
          </cell>
          <cell r="Z1025">
            <v>0.35</v>
          </cell>
          <cell r="AA1025">
            <v>8769.3709999999992</v>
          </cell>
          <cell r="AB1025"/>
        </row>
        <row r="1026">
          <cell r="C1026">
            <v>2</v>
          </cell>
          <cell r="D1026">
            <v>0</v>
          </cell>
          <cell r="E1026">
            <v>0</v>
          </cell>
          <cell r="F1026">
            <v>0</v>
          </cell>
          <cell r="H1026">
            <v>0</v>
          </cell>
          <cell r="O1026">
            <v>328655</v>
          </cell>
          <cell r="P1026" t="str">
            <v>2022/161-0020-01</v>
          </cell>
          <cell r="Q1026" t="str">
            <v>EST CADEIRA LOGAN C/B JANTAR (FREIJO) (MADEIRA)</v>
          </cell>
          <cell r="R1026"/>
          <cell r="S1026"/>
          <cell r="T1026">
            <v>0.62</v>
          </cell>
          <cell r="U1026">
            <v>0.6</v>
          </cell>
          <cell r="V1026">
            <v>0.84</v>
          </cell>
          <cell r="W1026">
            <v>0</v>
          </cell>
          <cell r="X1026" t="str">
            <v>EST CADEIRA LOGAN C/B JANTAR (FREIJO) (MADEIRA) - 0,62x0,6x0,84H</v>
          </cell>
          <cell r="Y1026">
            <v>13491.34</v>
          </cell>
          <cell r="Z1026">
            <v>0.35</v>
          </cell>
          <cell r="AA1026">
            <v>8769.3709999999992</v>
          </cell>
          <cell r="AB1026"/>
        </row>
        <row r="1027">
          <cell r="C1027">
            <v>8</v>
          </cell>
          <cell r="D1027">
            <v>0</v>
          </cell>
          <cell r="E1027">
            <v>0</v>
          </cell>
          <cell r="F1027">
            <v>0</v>
          </cell>
          <cell r="H1027">
            <v>0</v>
          </cell>
          <cell r="O1027">
            <v>385739</v>
          </cell>
          <cell r="P1027" t="str">
            <v>2024/242-0010-01</v>
          </cell>
          <cell r="Q1027" t="str">
            <v>EST CADEIRA FINA (FREIJO) (RATAN AB ENV) TC 5230/207</v>
          </cell>
          <cell r="R1027"/>
          <cell r="S1027"/>
          <cell r="T1027">
            <v>0.51</v>
          </cell>
          <cell r="U1027">
            <v>0.57999999999999996</v>
          </cell>
          <cell r="V1027">
            <v>0.85</v>
          </cell>
          <cell r="W1027">
            <v>0</v>
          </cell>
          <cell r="X1027" t="str">
            <v>EST CADEIRA FINA (FREIJO) (RATAN AB ENV) TC 5230/207 - 0,51x0,58x0,85H</v>
          </cell>
          <cell r="Y1027">
            <v>8838.23</v>
          </cell>
          <cell r="Z1027">
            <v>0.35</v>
          </cell>
          <cell r="AA1027">
            <v>5744.8495000000003</v>
          </cell>
          <cell r="AB1027"/>
        </row>
        <row r="1028">
          <cell r="C1028">
            <v>8</v>
          </cell>
          <cell r="D1028">
            <v>0</v>
          </cell>
          <cell r="E1028">
            <v>0</v>
          </cell>
          <cell r="F1028">
            <v>0</v>
          </cell>
          <cell r="H1028">
            <v>0</v>
          </cell>
          <cell r="O1028">
            <v>385739</v>
          </cell>
          <cell r="P1028" t="str">
            <v>2024/242-0011-01</v>
          </cell>
          <cell r="Q1028" t="str">
            <v>EST CADEIRA FINA (FREIJO) (RATAN AB ENV) TC 5230/207</v>
          </cell>
          <cell r="R1028"/>
          <cell r="S1028"/>
          <cell r="T1028">
            <v>0.51</v>
          </cell>
          <cell r="U1028">
            <v>0.57999999999999996</v>
          </cell>
          <cell r="V1028">
            <v>0.85</v>
          </cell>
          <cell r="W1028">
            <v>0</v>
          </cell>
          <cell r="X1028" t="str">
            <v>EST CADEIRA FINA (FREIJO) (RATAN AB ENV) TC 5230/207 - 0,51x0,58x0,85H</v>
          </cell>
          <cell r="Y1028">
            <v>8838.23</v>
          </cell>
          <cell r="Z1028">
            <v>0.35</v>
          </cell>
          <cell r="AA1028">
            <v>5744.8495000000003</v>
          </cell>
          <cell r="AB1028"/>
        </row>
        <row r="1029">
          <cell r="C1029">
            <v>8</v>
          </cell>
          <cell r="D1029">
            <v>0</v>
          </cell>
          <cell r="E1029">
            <v>0</v>
          </cell>
          <cell r="F1029">
            <v>0</v>
          </cell>
          <cell r="H1029">
            <v>0</v>
          </cell>
          <cell r="O1029">
            <v>385739</v>
          </cell>
          <cell r="P1029" t="str">
            <v>2024/242-0012-01</v>
          </cell>
          <cell r="Q1029" t="str">
            <v>EST CADEIRA FINA (FREIJO) (RATAN AB ENV) TC 5230/207</v>
          </cell>
          <cell r="R1029"/>
          <cell r="S1029"/>
          <cell r="T1029">
            <v>0.51</v>
          </cell>
          <cell r="U1029">
            <v>0.57999999999999996</v>
          </cell>
          <cell r="V1029">
            <v>0.85</v>
          </cell>
          <cell r="W1029">
            <v>0</v>
          </cell>
          <cell r="X1029" t="str">
            <v>EST CADEIRA FINA (FREIJO) (RATAN AB ENV) TC 5230/207 - 0,51x0,58x0,85H</v>
          </cell>
          <cell r="Y1029">
            <v>8838.23</v>
          </cell>
          <cell r="Z1029">
            <v>0.35</v>
          </cell>
          <cell r="AA1029">
            <v>5744.8495000000003</v>
          </cell>
          <cell r="AB1029"/>
        </row>
        <row r="1030">
          <cell r="C1030">
            <v>8</v>
          </cell>
          <cell r="D1030">
            <v>0</v>
          </cell>
          <cell r="E1030">
            <v>0</v>
          </cell>
          <cell r="F1030">
            <v>0</v>
          </cell>
          <cell r="H1030">
            <v>0</v>
          </cell>
          <cell r="O1030">
            <v>385739</v>
          </cell>
          <cell r="P1030" t="str">
            <v>2024/242-0013-01</v>
          </cell>
          <cell r="Q1030" t="str">
            <v>EST CADEIRA FINA (FREIJO) (RATAN AB ENV) TC 5230/207</v>
          </cell>
          <cell r="R1030"/>
          <cell r="S1030"/>
          <cell r="T1030">
            <v>0.51</v>
          </cell>
          <cell r="U1030">
            <v>0.57999999999999996</v>
          </cell>
          <cell r="V1030">
            <v>0.85</v>
          </cell>
          <cell r="W1030">
            <v>0</v>
          </cell>
          <cell r="X1030" t="str">
            <v>EST CADEIRA FINA (FREIJO) (RATAN AB ENV) TC 5230/207 - 0,51x0,58x0,85H</v>
          </cell>
          <cell r="Y1030">
            <v>8838.23</v>
          </cell>
          <cell r="Z1030">
            <v>0.35</v>
          </cell>
          <cell r="AA1030">
            <v>5744.8495000000003</v>
          </cell>
          <cell r="AB1030"/>
        </row>
        <row r="1031">
          <cell r="C1031">
            <v>8</v>
          </cell>
          <cell r="D1031">
            <v>0</v>
          </cell>
          <cell r="E1031">
            <v>0</v>
          </cell>
          <cell r="F1031">
            <v>0</v>
          </cell>
          <cell r="H1031">
            <v>0</v>
          </cell>
          <cell r="O1031">
            <v>385739</v>
          </cell>
          <cell r="P1031" t="str">
            <v>2024/242-0014-01</v>
          </cell>
          <cell r="Q1031" t="str">
            <v>EST CADEIRA FINA (FREIJO) (RATAN AB ENV) TC 5230/207</v>
          </cell>
          <cell r="R1031"/>
          <cell r="S1031"/>
          <cell r="T1031">
            <v>0.51</v>
          </cell>
          <cell r="U1031">
            <v>0.57999999999999996</v>
          </cell>
          <cell r="V1031">
            <v>0.85</v>
          </cell>
          <cell r="W1031">
            <v>0</v>
          </cell>
          <cell r="X1031" t="str">
            <v>EST CADEIRA FINA (FREIJO) (RATAN AB ENV) TC 5230/207 - 0,51x0,58x0,85H</v>
          </cell>
          <cell r="Y1031">
            <v>8838.23</v>
          </cell>
          <cell r="Z1031">
            <v>0.35</v>
          </cell>
          <cell r="AA1031">
            <v>5744.8495000000003</v>
          </cell>
          <cell r="AB1031"/>
        </row>
        <row r="1032">
          <cell r="C1032">
            <v>8</v>
          </cell>
          <cell r="D1032">
            <v>0</v>
          </cell>
          <cell r="E1032">
            <v>0</v>
          </cell>
          <cell r="F1032">
            <v>0</v>
          </cell>
          <cell r="H1032">
            <v>0</v>
          </cell>
          <cell r="O1032">
            <v>385739</v>
          </cell>
          <cell r="P1032" t="str">
            <v>2024/242-0015-01</v>
          </cell>
          <cell r="Q1032" t="str">
            <v>EST CADEIRA FINA (FREIJO) (RATAN AB ENV) TC 5230/207</v>
          </cell>
          <cell r="R1032"/>
          <cell r="S1032"/>
          <cell r="T1032">
            <v>0.51</v>
          </cell>
          <cell r="U1032">
            <v>0.57999999999999996</v>
          </cell>
          <cell r="V1032">
            <v>0.85</v>
          </cell>
          <cell r="W1032">
            <v>0</v>
          </cell>
          <cell r="X1032" t="str">
            <v>EST CADEIRA FINA (FREIJO) (RATAN AB ENV) TC 5230/207 - 0,51x0,58x0,85H</v>
          </cell>
          <cell r="Y1032">
            <v>8838.23</v>
          </cell>
          <cell r="Z1032">
            <v>0.35</v>
          </cell>
          <cell r="AA1032">
            <v>5744.8495000000003</v>
          </cell>
          <cell r="AB1032"/>
        </row>
        <row r="1033">
          <cell r="C1033">
            <v>8</v>
          </cell>
          <cell r="D1033">
            <v>0</v>
          </cell>
          <cell r="E1033">
            <v>0</v>
          </cell>
          <cell r="F1033">
            <v>0</v>
          </cell>
          <cell r="H1033">
            <v>0</v>
          </cell>
          <cell r="O1033">
            <v>385739</v>
          </cell>
          <cell r="P1033" t="str">
            <v>2024/242-0016-01</v>
          </cell>
          <cell r="Q1033" t="str">
            <v>EST CADEIRA FINA (FREIJO) (RATAN AB ENV) TC 5230/207</v>
          </cell>
          <cell r="R1033"/>
          <cell r="S1033"/>
          <cell r="T1033">
            <v>0.51</v>
          </cell>
          <cell r="U1033">
            <v>0.57999999999999996</v>
          </cell>
          <cell r="V1033">
            <v>0.85</v>
          </cell>
          <cell r="W1033">
            <v>0</v>
          </cell>
          <cell r="X1033" t="str">
            <v>EST CADEIRA FINA (FREIJO) (RATAN AB ENV) TC 5230/207 - 0,51x0,58x0,85H</v>
          </cell>
          <cell r="Y1033">
            <v>8838.23</v>
          </cell>
          <cell r="Z1033">
            <v>0.35</v>
          </cell>
          <cell r="AA1033">
            <v>5744.8495000000003</v>
          </cell>
          <cell r="AB1033"/>
        </row>
        <row r="1034">
          <cell r="C1034">
            <v>8</v>
          </cell>
          <cell r="D1034">
            <v>0</v>
          </cell>
          <cell r="E1034">
            <v>0</v>
          </cell>
          <cell r="F1034">
            <v>0</v>
          </cell>
          <cell r="H1034">
            <v>0</v>
          </cell>
          <cell r="O1034">
            <v>385739</v>
          </cell>
          <cell r="P1034" t="str">
            <v>2024/242-0017-01</v>
          </cell>
          <cell r="Q1034" t="str">
            <v>EST CADEIRA FINA (FREIJO) (RATAN AB ENV) TC 5230/207</v>
          </cell>
          <cell r="R1034"/>
          <cell r="S1034"/>
          <cell r="T1034">
            <v>0.51</v>
          </cell>
          <cell r="U1034">
            <v>0.57999999999999996</v>
          </cell>
          <cell r="V1034">
            <v>0.85</v>
          </cell>
          <cell r="W1034">
            <v>0</v>
          </cell>
          <cell r="X1034" t="str">
            <v>EST CADEIRA FINA (FREIJO) (RATAN AB ENV) TC 5230/207 - 0,51x0,58x0,85H</v>
          </cell>
          <cell r="Y1034">
            <v>8838.23</v>
          </cell>
          <cell r="Z1034">
            <v>0.35</v>
          </cell>
          <cell r="AA1034">
            <v>5744.8495000000003</v>
          </cell>
          <cell r="AB1034"/>
        </row>
        <row r="1035">
          <cell r="C1035" t="e">
            <v>#N/A</v>
          </cell>
          <cell r="D1035" t="e">
            <v>#N/A</v>
          </cell>
          <cell r="E1035" t="e">
            <v>#N/A</v>
          </cell>
          <cell r="F1035" t="e">
            <v>#N/A</v>
          </cell>
          <cell r="H1035" t="e">
            <v>#N/A</v>
          </cell>
          <cell r="O1035">
            <v>391643</v>
          </cell>
          <cell r="P1035" t="str">
            <v>2024/351-0040-01</v>
          </cell>
          <cell r="Q1035" t="e">
            <v>#N/A</v>
          </cell>
          <cell r="R1035"/>
          <cell r="S1035"/>
          <cell r="T1035" t="e">
            <v>#N/A</v>
          </cell>
          <cell r="U1035" t="e">
            <v>#N/A</v>
          </cell>
          <cell r="V1035" t="e">
            <v>#N/A</v>
          </cell>
          <cell r="W1035" t="e">
            <v>#N/A</v>
          </cell>
          <cell r="X1035" t="e">
            <v>#N/A</v>
          </cell>
          <cell r="Y1035">
            <v>32676.49</v>
          </cell>
          <cell r="Z1035">
            <v>0.35</v>
          </cell>
          <cell r="AA1035">
            <v>21239.718500000003</v>
          </cell>
          <cell r="AB1035"/>
        </row>
        <row r="1036">
          <cell r="C1036">
            <v>0</v>
          </cell>
          <cell r="D1036">
            <v>0</v>
          </cell>
          <cell r="E1036">
            <v>1</v>
          </cell>
          <cell r="F1036">
            <v>0</v>
          </cell>
          <cell r="H1036">
            <v>0</v>
          </cell>
          <cell r="O1036">
            <v>260949</v>
          </cell>
          <cell r="P1036" t="str">
            <v>2020/219-0050-01</v>
          </cell>
          <cell r="Q1036" t="str">
            <v>EST CADEIRA LOGAN C/B ESTAR (FREIJO) (ESTOF) COURO PIG OFF W</v>
          </cell>
          <cell r="R1036"/>
          <cell r="S1036"/>
          <cell r="T1036">
            <v>0.62</v>
          </cell>
          <cell r="U1036">
            <v>0.6</v>
          </cell>
          <cell r="V1036">
            <v>0.79</v>
          </cell>
          <cell r="W1036">
            <v>0</v>
          </cell>
          <cell r="X1036" t="str">
            <v>EST CADEIRA LOGAN C/B ESTAR (FREIJO) (ESTOF) COURO PIG OFF W - 0,62x0,6x0,79H</v>
          </cell>
          <cell r="Y1036">
            <v>10982.54</v>
          </cell>
          <cell r="Z1036">
            <v>0.35</v>
          </cell>
          <cell r="AA1036">
            <v>7138.6510000000007</v>
          </cell>
          <cell r="AB1036"/>
        </row>
        <row r="1037">
          <cell r="C1037">
            <v>0</v>
          </cell>
          <cell r="D1037">
            <v>0</v>
          </cell>
          <cell r="E1037">
            <v>1</v>
          </cell>
          <cell r="F1037">
            <v>0</v>
          </cell>
          <cell r="H1037">
            <v>0</v>
          </cell>
          <cell r="O1037">
            <v>334259</v>
          </cell>
          <cell r="P1037" t="str">
            <v>2022/217-0015-01</v>
          </cell>
          <cell r="Q1037" t="str">
            <v>EST MESA LATERAL ALEXANDRIA (MTZ CHUMBO) (MARM IMPERADOR)</v>
          </cell>
          <cell r="R1037"/>
          <cell r="S1037"/>
          <cell r="T1037">
            <v>0.5</v>
          </cell>
          <cell r="U1037">
            <v>0</v>
          </cell>
          <cell r="V1037">
            <v>0.5</v>
          </cell>
          <cell r="W1037">
            <v>0.5</v>
          </cell>
          <cell r="X1037" t="str">
            <v>EST MESA LATERAL ALEXANDRIA (MTZ CHUMBO) (MARM IMPERADOR) - Ø0,5x0,5H</v>
          </cell>
          <cell r="Y1037">
            <v>14314.68</v>
          </cell>
          <cell r="Z1037">
            <v>0.35</v>
          </cell>
          <cell r="AA1037">
            <v>9304.5420000000013</v>
          </cell>
          <cell r="AB1037"/>
        </row>
        <row r="1038">
          <cell r="C1038">
            <v>0</v>
          </cell>
          <cell r="D1038">
            <v>0</v>
          </cell>
          <cell r="E1038">
            <v>1</v>
          </cell>
          <cell r="F1038">
            <v>0</v>
          </cell>
          <cell r="H1038">
            <v>0</v>
          </cell>
          <cell r="O1038">
            <v>334260</v>
          </cell>
          <cell r="P1038" t="str">
            <v>2022/217-0017-01</v>
          </cell>
          <cell r="Q1038" t="str">
            <v>EST MESA LATERAL ALEXANDRIA (MTZ CHUMBO) (MARM IMPERADOR)</v>
          </cell>
          <cell r="R1038"/>
          <cell r="S1038"/>
          <cell r="T1038">
            <v>0.5</v>
          </cell>
          <cell r="U1038">
            <v>0</v>
          </cell>
          <cell r="V1038">
            <v>0.4</v>
          </cell>
          <cell r="W1038">
            <v>0.5</v>
          </cell>
          <cell r="X1038" t="str">
            <v>EST MESA LATERAL ALEXANDRIA (MTZ CHUMBO) (MARM IMPERADOR) - Ø0,5x0,4H</v>
          </cell>
          <cell r="Y1038">
            <v>13970.92</v>
          </cell>
          <cell r="Z1038">
            <v>0.35</v>
          </cell>
          <cell r="AA1038">
            <v>9081.098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0</v>
          </cell>
          <cell r="O1039">
            <v>334257</v>
          </cell>
          <cell r="P1039" t="str">
            <v>2022/222-0013-01</v>
          </cell>
          <cell r="Q1039" t="str">
            <v>EST MESA LATERAL ALEXANDRIA VERDE GUATEMAL/MTZ CHUMBO</v>
          </cell>
          <cell r="R1039"/>
          <cell r="S1039"/>
          <cell r="T1039">
            <v>0.6</v>
          </cell>
          <cell r="U1039">
            <v>0</v>
          </cell>
          <cell r="V1039">
            <v>0.4</v>
          </cell>
          <cell r="W1039">
            <v>0.6</v>
          </cell>
          <cell r="X1039" t="str">
            <v>EST MESA LATERAL ALEXANDRIA VERDE GUATEMAL/MTZ CHUMBO - Ø0,6x0,4H</v>
          </cell>
          <cell r="Y1039">
            <v>16446.259999999998</v>
          </cell>
          <cell r="Z1039">
            <v>0.35</v>
          </cell>
          <cell r="AA1039">
            <v>10690.069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2</v>
          </cell>
          <cell r="H1040">
            <v>0</v>
          </cell>
          <cell r="O1040">
            <v>363821</v>
          </cell>
          <cell r="P1040" t="str">
            <v>2023/109-0013-01</v>
          </cell>
          <cell r="Q1040" t="str">
            <v>EST POLTRONA FIDDA (BS GIRATORIA VERNIZ NOZES) TC ANAY 3</v>
          </cell>
          <cell r="R1040"/>
          <cell r="S1040"/>
          <cell r="T1040">
            <v>0.8</v>
          </cell>
          <cell r="U1040">
            <v>0.82</v>
          </cell>
          <cell r="V1040">
            <v>0.73</v>
          </cell>
          <cell r="W1040">
            <v>0</v>
          </cell>
          <cell r="X1040" t="str">
            <v>EST POLTRONA FIDDA (BS GIRATORIA VERNIZ NOZES) TC ANAY 3 - 0,8x0,82x0,73H</v>
          </cell>
          <cell r="Y1040">
            <v>14207.02</v>
          </cell>
          <cell r="Z1040">
            <v>0.35</v>
          </cell>
          <cell r="AA1040">
            <v>9234.5630000000019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2</v>
          </cell>
          <cell r="H1041">
            <v>0</v>
          </cell>
          <cell r="O1041">
            <v>363821</v>
          </cell>
          <cell r="P1041" t="str">
            <v>2023/109-0014-01</v>
          </cell>
          <cell r="Q1041" t="str">
            <v>EST POLTRONA FIDDA (BS GIRATORIA VERNIZ NOZES) TC ANAY 3</v>
          </cell>
          <cell r="R1041"/>
          <cell r="S1041"/>
          <cell r="T1041">
            <v>0.8</v>
          </cell>
          <cell r="U1041">
            <v>0.82</v>
          </cell>
          <cell r="V1041">
            <v>0.73</v>
          </cell>
          <cell r="W1041">
            <v>0</v>
          </cell>
          <cell r="X1041" t="str">
            <v>EST POLTRONA FIDDA (BS GIRATORIA VERNIZ NOZES) TC ANAY 3 - 0,8x0,82x0,73H</v>
          </cell>
          <cell r="Y1041">
            <v>14207.02</v>
          </cell>
          <cell r="Z1041">
            <v>0.35</v>
          </cell>
          <cell r="AA1041">
            <v>9234.5630000000019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2</v>
          </cell>
          <cell r="H1042">
            <v>0</v>
          </cell>
          <cell r="O1042">
            <v>364606</v>
          </cell>
          <cell r="P1042" t="str">
            <v>2023/102-0056-01</v>
          </cell>
          <cell r="Q1042" t="str">
            <v>EST POLTRONA NEW HARRY (GIRATORIA) FX MALHA D4240</v>
          </cell>
          <cell r="R1042"/>
          <cell r="S1042"/>
          <cell r="T1042">
            <v>0.89</v>
          </cell>
          <cell r="U1042">
            <v>0.83</v>
          </cell>
          <cell r="V1042">
            <v>0.72</v>
          </cell>
          <cell r="W1042">
            <v>0</v>
          </cell>
          <cell r="X1042" t="str">
            <v>EST POLTRONA NEW HARRY (GIRATORIA) FX MALHA D4240 - 0,89x0,83x0,72H</v>
          </cell>
          <cell r="Y1042">
            <v>9698.48</v>
          </cell>
          <cell r="Z1042">
            <v>0.35</v>
          </cell>
          <cell r="AA1042">
            <v>6304.0119999999997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2</v>
          </cell>
          <cell r="H1043">
            <v>0</v>
          </cell>
          <cell r="O1043">
            <v>364606</v>
          </cell>
          <cell r="P1043" t="str">
            <v>2023/102-0057-01</v>
          </cell>
          <cell r="Q1043" t="str">
            <v>EST POLTRONA NEW HARRY (GIRATORIA) FX MALHA D4240</v>
          </cell>
          <cell r="R1043"/>
          <cell r="S1043"/>
          <cell r="T1043">
            <v>0.89</v>
          </cell>
          <cell r="U1043">
            <v>0.83</v>
          </cell>
          <cell r="V1043">
            <v>0.72</v>
          </cell>
          <cell r="W1043">
            <v>0</v>
          </cell>
          <cell r="X1043" t="str">
            <v>EST POLTRONA NEW HARRY (GIRATORIA) FX MALHA D4240 - 0,89x0,83x0,72H</v>
          </cell>
          <cell r="Y1043">
            <v>9698.48</v>
          </cell>
          <cell r="Z1043">
            <v>0.35</v>
          </cell>
          <cell r="AA1043">
            <v>6304.0119999999997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1</v>
          </cell>
          <cell r="H1044">
            <v>0</v>
          </cell>
          <cell r="O1044">
            <v>402538</v>
          </cell>
          <cell r="P1044" t="str">
            <v>2025/104-0021-01</v>
          </cell>
          <cell r="Q1044" t="str">
            <v>EST LUMINARIA PENDENTE NOVENTA (P) (INDIRETA) (PRETA)</v>
          </cell>
          <cell r="R1044"/>
          <cell r="S1044"/>
          <cell r="T1044">
            <v>0.45</v>
          </cell>
          <cell r="U1044">
            <v>0.39</v>
          </cell>
          <cell r="V1044">
            <v>0.3</v>
          </cell>
          <cell r="W1044">
            <v>0</v>
          </cell>
          <cell r="X1044" t="str">
            <v>EST LUMINARIA PENDENTE NOVENTA (P) (INDIRETA) (PRETA) - 0,45x0,39x0,3H</v>
          </cell>
          <cell r="Y1044">
            <v>5903.52</v>
          </cell>
          <cell r="Z1044">
            <v>0.35</v>
          </cell>
          <cell r="AA1044">
            <v>3837.2880000000005</v>
          </cell>
          <cell r="AB1044"/>
        </row>
        <row r="1045">
          <cell r="C1045">
            <v>1</v>
          </cell>
          <cell r="D1045">
            <v>1</v>
          </cell>
          <cell r="E1045">
            <v>1</v>
          </cell>
          <cell r="F1045">
            <v>1</v>
          </cell>
          <cell r="H1045">
            <v>0</v>
          </cell>
          <cell r="O1045">
            <v>402541</v>
          </cell>
          <cell r="P1045" t="str">
            <v>2025/104-0023-01</v>
          </cell>
          <cell r="Q1045" t="str">
            <v>EST LUMINARIA MESA NOVENTA (G) (PRETA)</v>
          </cell>
          <cell r="R1045"/>
          <cell r="S1045"/>
          <cell r="T1045">
            <v>0.33</v>
          </cell>
          <cell r="U1045">
            <v>0.22</v>
          </cell>
          <cell r="V1045">
            <v>0.57999999999999996</v>
          </cell>
          <cell r="W1045">
            <v>0</v>
          </cell>
          <cell r="X1045" t="str">
            <v>EST LUMINARIA MESA NOVENTA (G) (PRETA) - 0,33x0,22x0,58H</v>
          </cell>
          <cell r="Y1045">
            <v>5499.78</v>
          </cell>
          <cell r="Z1045">
            <v>0.35</v>
          </cell>
          <cell r="AA1045">
            <v>3574.857</v>
          </cell>
          <cell r="AB1045"/>
        </row>
        <row r="1046">
          <cell r="C1046">
            <v>1</v>
          </cell>
          <cell r="D1046">
            <v>1</v>
          </cell>
          <cell r="E1046">
            <v>0</v>
          </cell>
          <cell r="F1046">
            <v>1</v>
          </cell>
          <cell r="H1046">
            <v>0</v>
          </cell>
          <cell r="O1046">
            <v>402542</v>
          </cell>
          <cell r="P1046" t="str">
            <v>2025/104-0027-01</v>
          </cell>
          <cell r="Q1046" t="str">
            <v>EST LLUMINARIA PISO NOVENTA (3W - 300LM) (PRETA)</v>
          </cell>
          <cell r="R1046"/>
          <cell r="S1046"/>
          <cell r="T1046">
            <v>0.26</v>
          </cell>
          <cell r="U1046">
            <v>0.12</v>
          </cell>
          <cell r="V1046">
            <v>1.62</v>
          </cell>
          <cell r="W1046">
            <v>0</v>
          </cell>
          <cell r="X1046" t="str">
            <v>EST LLUMINARIA PISO NOVENTA (3W - 300LM) (PRETA) - 0,26x0,12x1,62H</v>
          </cell>
          <cell r="Y1046">
            <v>9044.4500000000007</v>
          </cell>
          <cell r="Z1046">
            <v>0.35</v>
          </cell>
          <cell r="AA1046">
            <v>5878.8925000000008</v>
          </cell>
          <cell r="AB1046"/>
        </row>
        <row r="1047">
          <cell r="C1047">
            <v>0</v>
          </cell>
          <cell r="D1047">
            <v>1</v>
          </cell>
          <cell r="E1047">
            <v>0</v>
          </cell>
          <cell r="F1047">
            <v>0</v>
          </cell>
          <cell r="H1047">
            <v>0</v>
          </cell>
          <cell r="O1047">
            <v>274744</v>
          </cell>
          <cell r="P1047" t="str">
            <v>2021/117-0043-01</v>
          </cell>
          <cell r="Q1047" t="str">
            <v>EST MESA LATERAL ALEXANDRIA (TP MARM GTMALA) (BS MTZ CAPUCC)</v>
          </cell>
          <cell r="R1047"/>
          <cell r="S1047"/>
          <cell r="T1047">
            <v>0.5</v>
          </cell>
          <cell r="U1047">
            <v>0</v>
          </cell>
          <cell r="V1047">
            <v>0.4</v>
          </cell>
          <cell r="W1047">
            <v>0.5</v>
          </cell>
          <cell r="X1047" t="str">
            <v>EST MESA LATERAL ALEXANDRIA (TP MARM GTMALA) (BS MTZ CAPUCC) - Ø0,5x0,4H</v>
          </cell>
          <cell r="Y1047">
            <v>13970.92</v>
          </cell>
          <cell r="Z1047">
            <v>0.35</v>
          </cell>
          <cell r="AA1047">
            <v>9081.098</v>
          </cell>
          <cell r="AB1047"/>
        </row>
        <row r="1048">
          <cell r="C1048">
            <v>0</v>
          </cell>
          <cell r="D1048">
            <v>1</v>
          </cell>
          <cell r="E1048">
            <v>0</v>
          </cell>
          <cell r="F1048">
            <v>0</v>
          </cell>
          <cell r="H1048">
            <v>1</v>
          </cell>
          <cell r="O1048">
            <v>274746</v>
          </cell>
          <cell r="P1048" t="str">
            <v>2021/106-0019-01</v>
          </cell>
          <cell r="Q1048" t="str">
            <v>EST MESA CENTRO PISAC (RED) (MTZ CAPUCCINO) (LAMINA WALNUT)</v>
          </cell>
          <cell r="R1048"/>
          <cell r="S1048"/>
          <cell r="T1048">
            <v>0.9</v>
          </cell>
          <cell r="U1048">
            <v>0</v>
          </cell>
          <cell r="V1048">
            <v>0.3</v>
          </cell>
          <cell r="W1048">
            <v>0.9</v>
          </cell>
          <cell r="X1048" t="str">
            <v>EST MESA CENTRO PISAC (RED) (MTZ CAPUCCINO) (LAMINA WALNUT) - Ø0,9x0,3H</v>
          </cell>
          <cell r="Y1048">
            <v>15007.73</v>
          </cell>
          <cell r="Z1048">
            <v>0.35</v>
          </cell>
          <cell r="AA1048">
            <v>9755.0244999999995</v>
          </cell>
          <cell r="AB1048"/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H1049">
            <v>1</v>
          </cell>
          <cell r="O1049">
            <v>334161</v>
          </cell>
          <cell r="P1049" t="str">
            <v>2022/189-0007-01</v>
          </cell>
          <cell r="Q1049" t="str">
            <v>EST PUFF ALCALA (BASE VERNIZ EBANO) FX D4144</v>
          </cell>
          <cell r="R1049"/>
          <cell r="S1049"/>
          <cell r="T1049">
            <v>1</v>
          </cell>
          <cell r="U1049">
            <v>1</v>
          </cell>
          <cell r="V1049">
            <v>0.4</v>
          </cell>
          <cell r="W1049">
            <v>0</v>
          </cell>
          <cell r="X1049" t="str">
            <v>EST PUFF ALCALA (BASE VERNIZ EBANO) FX D4144 - 1x1x0,4H</v>
          </cell>
          <cell r="Y1049">
            <v>12023.2</v>
          </cell>
          <cell r="Z1049">
            <v>0.35</v>
          </cell>
          <cell r="AA1049">
            <v>7815.0800000000008</v>
          </cell>
          <cell r="AB1049"/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334630</v>
          </cell>
          <cell r="P1050" t="str">
            <v>2022/224-0049-01</v>
          </cell>
          <cell r="Q1050" t="str">
            <v>EST MESA CENTRO PISAC (QUAD) (MTX PRETA) (MARM IMPERADOR)</v>
          </cell>
          <cell r="R1050"/>
          <cell r="S1050"/>
          <cell r="T1050">
            <v>0.9</v>
          </cell>
          <cell r="U1050">
            <v>0.9</v>
          </cell>
          <cell r="V1050">
            <v>0.4</v>
          </cell>
          <cell r="W1050">
            <v>0</v>
          </cell>
          <cell r="X1050" t="str">
            <v>EST MESA CENTRO PISAC (QUAD) (MTX PRETA) (MARM IMPERADOR) - 0,9x0,9x0,4H</v>
          </cell>
          <cell r="Y1050">
            <v>21505.93</v>
          </cell>
          <cell r="Z1050">
            <v>0.35</v>
          </cell>
          <cell r="AA1050">
            <v>13978.854500000001</v>
          </cell>
          <cell r="AB1050"/>
        </row>
        <row r="1051">
          <cell r="C1051">
            <v>0</v>
          </cell>
          <cell r="D1051">
            <v>2</v>
          </cell>
          <cell r="E1051">
            <v>0</v>
          </cell>
          <cell r="F1051">
            <v>0</v>
          </cell>
          <cell r="H1051">
            <v>0</v>
          </cell>
          <cell r="O1051">
            <v>402446</v>
          </cell>
          <cell r="P1051" t="str">
            <v>2025/101-0052-01</v>
          </cell>
          <cell r="Q1051" t="str">
            <v>EST POLTRONA NEW HARRY (GIRATORIA) FX B2312</v>
          </cell>
          <cell r="R1051"/>
          <cell r="S1051"/>
          <cell r="T1051">
            <v>0.89</v>
          </cell>
          <cell r="U1051">
            <v>0.83</v>
          </cell>
          <cell r="V1051">
            <v>0.72</v>
          </cell>
          <cell r="W1051">
            <v>0</v>
          </cell>
          <cell r="X1051" t="str">
            <v>EST POLTRONA NEW HARRY (GIRATORIA) FX B2312 - 0,89x0,83x0,72H</v>
          </cell>
          <cell r="Y1051">
            <v>8599.4</v>
          </cell>
          <cell r="Z1051">
            <v>0.35</v>
          </cell>
          <cell r="AA1051">
            <v>5589.6100000000006</v>
          </cell>
          <cell r="AB1051"/>
        </row>
        <row r="1052">
          <cell r="C1052">
            <v>0</v>
          </cell>
          <cell r="D1052">
            <v>2</v>
          </cell>
          <cell r="E1052">
            <v>0</v>
          </cell>
          <cell r="F1052">
            <v>0</v>
          </cell>
          <cell r="H1052">
            <v>0</v>
          </cell>
          <cell r="O1052">
            <v>402446</v>
          </cell>
          <cell r="P1052" t="str">
            <v>2025/101-0053-01</v>
          </cell>
          <cell r="Q1052" t="str">
            <v>EST POLTRONA NEW HARRY (GIRATORIA) FX B2312</v>
          </cell>
          <cell r="R1052"/>
          <cell r="S1052"/>
          <cell r="T1052">
            <v>0.89</v>
          </cell>
          <cell r="U1052">
            <v>0.83</v>
          </cell>
          <cell r="V1052">
            <v>0.72</v>
          </cell>
          <cell r="W1052">
            <v>0</v>
          </cell>
          <cell r="X1052" t="str">
            <v>EST POLTRONA NEW HARRY (GIRATORIA) FX B2312 - 0,89x0,83x0,72H</v>
          </cell>
          <cell r="Y1052">
            <v>8599.4</v>
          </cell>
          <cell r="Z1052">
            <v>0.35</v>
          </cell>
          <cell r="AA1052">
            <v>5589.6100000000006</v>
          </cell>
          <cell r="AB1052"/>
        </row>
        <row r="1053">
          <cell r="C1053">
            <v>2</v>
          </cell>
          <cell r="D1053">
            <v>0</v>
          </cell>
          <cell r="E1053">
            <v>0</v>
          </cell>
          <cell r="F1053">
            <v>0</v>
          </cell>
          <cell r="H1053">
            <v>0</v>
          </cell>
          <cell r="O1053">
            <v>255433</v>
          </cell>
          <cell r="P1053" t="str">
            <v>2019/340-0069-01</v>
          </cell>
          <cell r="Q1053" t="str">
            <v>EST BANCO BUENOS AIRES FX D4122</v>
          </cell>
          <cell r="R1053"/>
          <cell r="S1053"/>
          <cell r="T1053">
            <v>0.5</v>
          </cell>
          <cell r="U1053">
            <v>0.5</v>
          </cell>
          <cell r="V1053">
            <v>0.4</v>
          </cell>
          <cell r="W1053">
            <v>0</v>
          </cell>
          <cell r="X1053" t="str">
            <v>EST BANCO BUENOS AIRES FX D4122 - 0,5x0,5x0,4H</v>
          </cell>
          <cell r="Y1053">
            <v>4955.42</v>
          </cell>
          <cell r="Z1053">
            <v>0.5</v>
          </cell>
          <cell r="AA1053">
            <v>2477.71</v>
          </cell>
          <cell r="AB1053"/>
        </row>
        <row r="1054">
          <cell r="C1054">
            <v>2</v>
          </cell>
          <cell r="D1054">
            <v>0</v>
          </cell>
          <cell r="E1054">
            <v>0</v>
          </cell>
          <cell r="F1054">
            <v>0</v>
          </cell>
          <cell r="H1054">
            <v>0</v>
          </cell>
          <cell r="O1054">
            <v>255433</v>
          </cell>
          <cell r="P1054" t="str">
            <v>2019/340-0070-01</v>
          </cell>
          <cell r="Q1054" t="str">
            <v>EST BANCO BUENOS AIRES FX D4122</v>
          </cell>
          <cell r="R1054"/>
          <cell r="S1054"/>
          <cell r="T1054">
            <v>0.5</v>
          </cell>
          <cell r="U1054">
            <v>0.5</v>
          </cell>
          <cell r="V1054">
            <v>0.4</v>
          </cell>
          <cell r="W1054">
            <v>0</v>
          </cell>
          <cell r="X1054" t="str">
            <v>EST BANCO BUENOS AIRES FX D4122 - 0,5x0,5x0,4H</v>
          </cell>
          <cell r="Y1054">
            <v>4955.42</v>
          </cell>
          <cell r="Z1054">
            <v>0.5</v>
          </cell>
          <cell r="AA1054">
            <v>2477.71</v>
          </cell>
          <cell r="AB1054"/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H1055">
            <v>1</v>
          </cell>
          <cell r="O1055">
            <v>270723</v>
          </cell>
          <cell r="P1055" t="str">
            <v>2020/300-0124-01</v>
          </cell>
          <cell r="Q1055" t="str">
            <v>EST POLTRONA PIAF FX B2199 (MTX PRETO)</v>
          </cell>
          <cell r="R1055"/>
          <cell r="S1055"/>
          <cell r="T1055">
            <v>0.75</v>
          </cell>
          <cell r="U1055">
            <v>0.74</v>
          </cell>
          <cell r="V1055">
            <v>0.75</v>
          </cell>
          <cell r="W1055">
            <v>0</v>
          </cell>
          <cell r="X1055" t="str">
            <v>EST POLTRONA PIAF FX B2199 (MTX PRETO) - 0,75x0,74x0,75H</v>
          </cell>
          <cell r="Y1055">
            <v>7270.5</v>
          </cell>
          <cell r="Z1055">
            <v>0.5</v>
          </cell>
          <cell r="AA1055">
            <v>3635.25</v>
          </cell>
          <cell r="AB1055"/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H1056">
            <v>1</v>
          </cell>
          <cell r="O1056">
            <v>270723</v>
          </cell>
          <cell r="P1056" t="str">
            <v>2020/300-0125-01</v>
          </cell>
          <cell r="Q1056" t="str">
            <v>EST POLTRONA PIAF FX B2199 (MTX PRETO)</v>
          </cell>
          <cell r="R1056"/>
          <cell r="S1056"/>
          <cell r="T1056">
            <v>0.75</v>
          </cell>
          <cell r="U1056">
            <v>0.74</v>
          </cell>
          <cell r="V1056">
            <v>0.75</v>
          </cell>
          <cell r="W1056">
            <v>0</v>
          </cell>
          <cell r="X1056" t="str">
            <v>EST POLTRONA PIAF FX B2199 (MTX PRETO) - 0,75x0,74x0,75H</v>
          </cell>
          <cell r="Y1056">
            <v>7270.5</v>
          </cell>
          <cell r="Z1056">
            <v>0.5</v>
          </cell>
          <cell r="AA1056">
            <v>3635.25</v>
          </cell>
          <cell r="AB1056"/>
        </row>
        <row r="1057">
          <cell r="C1057">
            <v>2</v>
          </cell>
          <cell r="D1057">
            <v>2</v>
          </cell>
          <cell r="E1057">
            <v>0</v>
          </cell>
          <cell r="F1057">
            <v>0</v>
          </cell>
          <cell r="H1057">
            <v>0</v>
          </cell>
          <cell r="O1057">
            <v>327116</v>
          </cell>
          <cell r="P1057" t="str">
            <v>2022/126-0050-01</v>
          </cell>
          <cell r="Q1057" t="str">
            <v>EST POLTRONA ALBA VERNIZ NOZES) FX E5132</v>
          </cell>
          <cell r="R1057"/>
          <cell r="S1057"/>
          <cell r="T1057">
            <v>0.63</v>
          </cell>
          <cell r="U1057">
            <v>0.79</v>
          </cell>
          <cell r="V1057">
            <v>0.76</v>
          </cell>
          <cell r="W1057">
            <v>0</v>
          </cell>
          <cell r="X1057" t="str">
            <v>EST POLTRONA ALBA VERNIZ NOZES) FX E5132 - 0,63x0,79x0,76H</v>
          </cell>
          <cell r="Y1057">
            <v>8802.89</v>
          </cell>
          <cell r="Z1057">
            <v>0.5</v>
          </cell>
          <cell r="AA1057">
            <v>4401.4449999999997</v>
          </cell>
          <cell r="AB1057"/>
        </row>
        <row r="1058">
          <cell r="C1058">
            <v>2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327116</v>
          </cell>
          <cell r="P1058" t="str">
            <v>2022/126-0051-01</v>
          </cell>
          <cell r="Q1058" t="str">
            <v>EST POLTRONA ALBA VERNIZ NOZES) FX E5132</v>
          </cell>
          <cell r="R1058"/>
          <cell r="S1058"/>
          <cell r="T1058">
            <v>0.63</v>
          </cell>
          <cell r="U1058">
            <v>0.79</v>
          </cell>
          <cell r="V1058">
            <v>0.76</v>
          </cell>
          <cell r="W1058">
            <v>0</v>
          </cell>
          <cell r="X1058" t="str">
            <v>EST POLTRONA ALBA VERNIZ NOZES) FX E5132 - 0,63x0,79x0,76H</v>
          </cell>
          <cell r="Y1058">
            <v>8802.89</v>
          </cell>
          <cell r="Z1058">
            <v>0.5</v>
          </cell>
          <cell r="AA1058">
            <v>4401.4449999999997</v>
          </cell>
          <cell r="AB1058"/>
        </row>
        <row r="1059">
          <cell r="C1059">
            <v>1</v>
          </cell>
          <cell r="D1059">
            <v>0</v>
          </cell>
          <cell r="E1059">
            <v>0</v>
          </cell>
          <cell r="F1059">
            <v>0</v>
          </cell>
          <cell r="H1059">
            <v>0</v>
          </cell>
          <cell r="O1059">
            <v>398553</v>
          </cell>
          <cell r="P1059" t="str">
            <v>2025/014-0039-01</v>
          </cell>
          <cell r="Q1059" t="str">
            <v>EST SOFA CRES AUTOMATIZADO (FX E5151)</v>
          </cell>
          <cell r="R1059"/>
          <cell r="S1059"/>
          <cell r="T1059">
            <v>1.57</v>
          </cell>
          <cell r="U1059">
            <v>1.08</v>
          </cell>
          <cell r="V1059">
            <v>0.89</v>
          </cell>
          <cell r="W1059">
            <v>0</v>
          </cell>
          <cell r="X1059" t="str">
            <v>EST SOFA CRES AUTOMATIZADO (FX E5151) - 1,57x1,08x0,89H</v>
          </cell>
          <cell r="Y1059">
            <v>33174.94</v>
          </cell>
          <cell r="Z1059">
            <v>0.35</v>
          </cell>
          <cell r="AA1059">
            <v>21563.711000000003</v>
          </cell>
          <cell r="AB1059"/>
        </row>
        <row r="1060">
          <cell r="C1060">
            <v>1</v>
          </cell>
          <cell r="D1060">
            <v>2</v>
          </cell>
          <cell r="E1060">
            <v>0</v>
          </cell>
          <cell r="F1060">
            <v>0</v>
          </cell>
          <cell r="H1060">
            <v>0</v>
          </cell>
          <cell r="O1060">
            <v>274743</v>
          </cell>
          <cell r="P1060"/>
          <cell r="Q1060" t="str">
            <v>EST MESA LATERAL ALEXANDRIA (TP MARM NERO) (BS MTZ CAPUCC)</v>
          </cell>
          <cell r="R1060"/>
          <cell r="S1060"/>
          <cell r="T1060">
            <v>0.4</v>
          </cell>
          <cell r="U1060">
            <v>0</v>
          </cell>
          <cell r="V1060">
            <v>0.5</v>
          </cell>
          <cell r="W1060">
            <v>0.4</v>
          </cell>
          <cell r="X1060" t="str">
            <v>EST MESA LATERAL ALEXANDRIA (TP MARM NERO) (BS MTZ CAPUCC) - Ø0,4x0,5H</v>
          </cell>
          <cell r="Y1060">
            <v>12213.42</v>
          </cell>
          <cell r="Z1060">
            <v>0.35</v>
          </cell>
          <cell r="AA1060">
            <v>7938.723</v>
          </cell>
          <cell r="AB1060"/>
        </row>
        <row r="1061">
          <cell r="C1061">
            <v>1</v>
          </cell>
          <cell r="D1061">
            <v>0</v>
          </cell>
          <cell r="E1061">
            <v>0</v>
          </cell>
          <cell r="F1061">
            <v>0</v>
          </cell>
          <cell r="H1061">
            <v>0</v>
          </cell>
          <cell r="O1061">
            <v>327121</v>
          </cell>
          <cell r="P1061" t="str">
            <v>2022/139-0004-01</v>
          </cell>
          <cell r="Q1061" t="str">
            <v>EST MESA CENTRO SANTIAGO (TRI) (MTX MARROM) (LAMINA WALNUT)</v>
          </cell>
          <cell r="R1061"/>
          <cell r="S1061"/>
          <cell r="T1061">
            <v>1.4</v>
          </cell>
          <cell r="U1061">
            <v>1.5</v>
          </cell>
          <cell r="V1061">
            <v>0.32</v>
          </cell>
          <cell r="W1061">
            <v>0</v>
          </cell>
          <cell r="X1061" t="str">
            <v>EST MESA CENTRO SANTIAGO (TRI) (MTX MARROM) (LAMINA WALNUT) - 1,4x1,5x0,32H</v>
          </cell>
          <cell r="Y1061">
            <v>16223.56</v>
          </cell>
          <cell r="Z1061">
            <v>0.35</v>
          </cell>
          <cell r="AA1061">
            <v>10545.314</v>
          </cell>
          <cell r="AB1061"/>
        </row>
        <row r="1062">
          <cell r="C1062">
            <v>2</v>
          </cell>
          <cell r="D1062">
            <v>0</v>
          </cell>
          <cell r="E1062">
            <v>0</v>
          </cell>
          <cell r="F1062">
            <v>0</v>
          </cell>
          <cell r="H1062">
            <v>0</v>
          </cell>
          <cell r="O1062">
            <v>353126</v>
          </cell>
          <cell r="P1062" t="str">
            <v>2022/256-0020-01</v>
          </cell>
          <cell r="Q1062" t="str">
            <v>EST POLTRONA AGHATA PLUS (GIRATORIA) (MTX MARROM) FX B2220</v>
          </cell>
          <cell r="R1062"/>
          <cell r="S1062"/>
          <cell r="T1062">
            <v>0.68</v>
          </cell>
          <cell r="U1062">
            <v>0.8</v>
          </cell>
          <cell r="V1062">
            <v>0.76</v>
          </cell>
          <cell r="W1062">
            <v>0</v>
          </cell>
          <cell r="X1062" t="str">
            <v>EST POLTRONA AGHATA PLUS (GIRATORIA) (MTX MARROM) FX B2220 - 0,68x0,8x0,76H</v>
          </cell>
          <cell r="Y1062">
            <v>9627.9699999999993</v>
          </cell>
          <cell r="Z1062">
            <v>0.35</v>
          </cell>
          <cell r="AA1062">
            <v>6258.1805000000004</v>
          </cell>
          <cell r="AB1062"/>
        </row>
        <row r="1063">
          <cell r="C1063">
            <v>2</v>
          </cell>
          <cell r="D1063">
            <v>0</v>
          </cell>
          <cell r="E1063">
            <v>0</v>
          </cell>
          <cell r="F1063">
            <v>0</v>
          </cell>
          <cell r="H1063">
            <v>0</v>
          </cell>
          <cell r="O1063">
            <v>353126</v>
          </cell>
          <cell r="P1063" t="str">
            <v>2022/256-0021-01</v>
          </cell>
          <cell r="Q1063" t="str">
            <v>EST POLTRONA AGHATA PLUS (GIRATORIA) (MTX MARROM) FX B2220</v>
          </cell>
          <cell r="R1063"/>
          <cell r="S1063"/>
          <cell r="T1063">
            <v>0.68</v>
          </cell>
          <cell r="U1063">
            <v>0.8</v>
          </cell>
          <cell r="V1063">
            <v>0.76</v>
          </cell>
          <cell r="W1063">
            <v>0</v>
          </cell>
          <cell r="X1063" t="str">
            <v>EST POLTRONA AGHATA PLUS (GIRATORIA) (MTX MARROM) FX B2220 - 0,68x0,8x0,76H</v>
          </cell>
          <cell r="Y1063">
            <v>9627.9699999999993</v>
          </cell>
          <cell r="Z1063">
            <v>0.35</v>
          </cell>
          <cell r="AA1063">
            <v>6258.1805000000004</v>
          </cell>
          <cell r="AB1063"/>
        </row>
        <row r="1064">
          <cell r="C1064">
            <v>3</v>
          </cell>
          <cell r="D1064">
            <v>0</v>
          </cell>
          <cell r="E1064">
            <v>0</v>
          </cell>
          <cell r="F1064">
            <v>0</v>
          </cell>
          <cell r="H1064">
            <v>5</v>
          </cell>
          <cell r="O1064">
            <v>363833</v>
          </cell>
          <cell r="P1064" t="str">
            <v>2023/123-0103-01</v>
          </cell>
          <cell r="Q1064" t="str">
            <v>EST ALMOFADA DECORATIVA (F 39) TC TARENTO 12</v>
          </cell>
          <cell r="R1064"/>
          <cell r="S1064"/>
          <cell r="T1064">
            <v>0.6</v>
          </cell>
          <cell r="U1064">
            <v>0.6</v>
          </cell>
          <cell r="V1064">
            <v>0</v>
          </cell>
          <cell r="W1064">
            <v>0</v>
          </cell>
          <cell r="X1064" t="str">
            <v>EST ALMOFADA DECORATIVA (F 39) TC TARENTO 12 - 0,6x0,6x0H</v>
          </cell>
          <cell r="Y1064">
            <v>1229.98</v>
          </cell>
          <cell r="Z1064">
            <v>0.35</v>
          </cell>
          <cell r="AA1064">
            <v>799.48700000000008</v>
          </cell>
          <cell r="AB1064"/>
        </row>
        <row r="1065">
          <cell r="C1065">
            <v>3</v>
          </cell>
          <cell r="D1065">
            <v>0</v>
          </cell>
          <cell r="E1065">
            <v>0</v>
          </cell>
          <cell r="F1065">
            <v>0</v>
          </cell>
          <cell r="H1065">
            <v>5</v>
          </cell>
          <cell r="O1065">
            <v>363833</v>
          </cell>
          <cell r="P1065" t="str">
            <v>2023/123-0105-01</v>
          </cell>
          <cell r="Q1065" t="str">
            <v>EST ALMOFADA DECORATIVA (F 39) TC TARENTO 12</v>
          </cell>
          <cell r="R1065"/>
          <cell r="S1065"/>
          <cell r="T1065">
            <v>0.6</v>
          </cell>
          <cell r="U1065">
            <v>0.6</v>
          </cell>
          <cell r="V1065">
            <v>0</v>
          </cell>
          <cell r="W1065">
            <v>0</v>
          </cell>
          <cell r="X1065" t="str">
            <v>EST ALMOFADA DECORATIVA (F 39) TC TARENTO 12 - 0,6x0,6x0H</v>
          </cell>
          <cell r="Y1065">
            <v>1229.98</v>
          </cell>
          <cell r="Z1065">
            <v>0.35</v>
          </cell>
          <cell r="AA1065">
            <v>799.48700000000008</v>
          </cell>
          <cell r="AB1065"/>
        </row>
        <row r="1066">
          <cell r="C1066">
            <v>3</v>
          </cell>
          <cell r="D1066">
            <v>0</v>
          </cell>
          <cell r="E1066">
            <v>0</v>
          </cell>
          <cell r="F1066">
            <v>0</v>
          </cell>
          <cell r="H1066">
            <v>5</v>
          </cell>
          <cell r="O1066">
            <v>363833</v>
          </cell>
          <cell r="P1066" t="str">
            <v>2023/123-0100-01</v>
          </cell>
          <cell r="Q1066" t="str">
            <v>EST ALMOFADA DECORATIVA (F 39) TC TARENTO 12</v>
          </cell>
          <cell r="R1066"/>
          <cell r="S1066"/>
          <cell r="T1066">
            <v>0.6</v>
          </cell>
          <cell r="U1066">
            <v>0.6</v>
          </cell>
          <cell r="V1066">
            <v>0</v>
          </cell>
          <cell r="W1066">
            <v>0</v>
          </cell>
          <cell r="X1066" t="str">
            <v>EST ALMOFADA DECORATIVA (F 39) TC TARENTO 12 - 0,6x0,6x0H</v>
          </cell>
          <cell r="Y1066">
            <v>1229.98</v>
          </cell>
          <cell r="Z1066">
            <v>0.35</v>
          </cell>
          <cell r="AA1066">
            <v>799.48700000000008</v>
          </cell>
          <cell r="AB1066"/>
        </row>
        <row r="1067">
          <cell r="C1067">
            <v>2</v>
          </cell>
          <cell r="D1067">
            <v>0</v>
          </cell>
          <cell r="E1067">
            <v>0</v>
          </cell>
          <cell r="F1067">
            <v>0</v>
          </cell>
          <cell r="H1067">
            <v>0</v>
          </cell>
          <cell r="O1067">
            <v>364608</v>
          </cell>
          <cell r="P1067" t="str">
            <v>2023/087-0018-01</v>
          </cell>
          <cell r="Q1067" t="str">
            <v>EST POLTRONA NEW HARRY (GIRATORIA) FX D4119</v>
          </cell>
          <cell r="R1067"/>
          <cell r="S1067"/>
          <cell r="T1067">
            <v>0.89</v>
          </cell>
          <cell r="U1067">
            <v>0.83</v>
          </cell>
          <cell r="V1067">
            <v>0.72</v>
          </cell>
          <cell r="W1067">
            <v>0</v>
          </cell>
          <cell r="X1067" t="str">
            <v>EST POLTRONA NEW HARRY (GIRATORIA) FX D4119 - 0,89x0,83x0,72H</v>
          </cell>
          <cell r="Y1067">
            <v>9698.48</v>
          </cell>
          <cell r="Z1067">
            <v>0.35</v>
          </cell>
          <cell r="AA1067">
            <v>6304.0119999999997</v>
          </cell>
          <cell r="AB1067"/>
        </row>
        <row r="1068">
          <cell r="C1068">
            <v>2</v>
          </cell>
          <cell r="D1068">
            <v>0</v>
          </cell>
          <cell r="E1068">
            <v>0</v>
          </cell>
          <cell r="F1068">
            <v>0</v>
          </cell>
          <cell r="H1068">
            <v>0</v>
          </cell>
          <cell r="O1068">
            <v>364608</v>
          </cell>
          <cell r="P1068" t="str">
            <v>2023/087-0019-01</v>
          </cell>
          <cell r="Q1068" t="str">
            <v>EST POLTRONA NEW HARRY (GIRATORIA) FX D4119</v>
          </cell>
          <cell r="R1068"/>
          <cell r="S1068"/>
          <cell r="T1068">
            <v>0.89</v>
          </cell>
          <cell r="U1068">
            <v>0.83</v>
          </cell>
          <cell r="V1068">
            <v>0.72</v>
          </cell>
          <cell r="W1068">
            <v>0</v>
          </cell>
          <cell r="X1068" t="str">
            <v>EST POLTRONA NEW HARRY (GIRATORIA) FX D4119 - 0,89x0,83x0,72H</v>
          </cell>
          <cell r="Y1068">
            <v>9698.48</v>
          </cell>
          <cell r="Z1068">
            <v>0.35</v>
          </cell>
          <cell r="AA1068">
            <v>6304.0119999999997</v>
          </cell>
          <cell r="AB1068"/>
        </row>
        <row r="1069">
          <cell r="C1069">
            <v>1</v>
          </cell>
          <cell r="D1069">
            <v>0</v>
          </cell>
          <cell r="E1069">
            <v>0</v>
          </cell>
          <cell r="F1069">
            <v>0</v>
          </cell>
          <cell r="H1069">
            <v>0</v>
          </cell>
          <cell r="O1069">
            <v>373797</v>
          </cell>
          <cell r="P1069" t="str">
            <v>2023/282-0034-01</v>
          </cell>
          <cell r="Q1069" t="str">
            <v>EST CAMA POMME (QUEEN) FX D4121</v>
          </cell>
          <cell r="R1069"/>
          <cell r="S1069"/>
          <cell r="T1069">
            <v>3.15</v>
          </cell>
          <cell r="U1069">
            <v>2.5</v>
          </cell>
          <cell r="V1069">
            <v>0.87</v>
          </cell>
          <cell r="W1069">
            <v>0</v>
          </cell>
          <cell r="X1069" t="str">
            <v>EST CAMA POMME (QUEEN) FX D4121 - 3,15x2,5x0,87H</v>
          </cell>
          <cell r="Y1069">
            <v>25818.02</v>
          </cell>
          <cell r="Z1069">
            <v>0.35</v>
          </cell>
          <cell r="AA1069">
            <v>16781.713000000003</v>
          </cell>
          <cell r="AB1069"/>
        </row>
        <row r="1070">
          <cell r="C1070">
            <v>1</v>
          </cell>
          <cell r="D1070">
            <v>0</v>
          </cell>
          <cell r="E1070">
            <v>0</v>
          </cell>
          <cell r="F1070">
            <v>0</v>
          </cell>
          <cell r="H1070">
            <v>0</v>
          </cell>
          <cell r="O1070">
            <v>373801</v>
          </cell>
          <cell r="P1070" t="str">
            <v>2023/282-0035-01</v>
          </cell>
          <cell r="Q1070" t="str">
            <v>EST BANCO POMME FX D4121</v>
          </cell>
          <cell r="R1070"/>
          <cell r="S1070"/>
          <cell r="T1070">
            <v>1.7</v>
          </cell>
          <cell r="U1070">
            <v>0.65</v>
          </cell>
          <cell r="V1070">
            <v>0.44</v>
          </cell>
          <cell r="W1070">
            <v>0</v>
          </cell>
          <cell r="X1070" t="str">
            <v>EST BANCO POMME FX D4121 - 1,7x0,65x0,44H</v>
          </cell>
          <cell r="Y1070">
            <v>9307.3799999999992</v>
          </cell>
          <cell r="Z1070">
            <v>0.35</v>
          </cell>
          <cell r="AA1070">
            <v>6049.7969999999996</v>
          </cell>
          <cell r="AB1070"/>
        </row>
        <row r="1071">
          <cell r="C1071">
            <v>2</v>
          </cell>
          <cell r="D1071">
            <v>0</v>
          </cell>
          <cell r="E1071">
            <v>0</v>
          </cell>
          <cell r="F1071">
            <v>0</v>
          </cell>
          <cell r="H1071">
            <v>0</v>
          </cell>
          <cell r="O1071">
            <v>380117</v>
          </cell>
          <cell r="P1071" t="str">
            <v>2024/100-0011-01</v>
          </cell>
          <cell r="Q1071" t="str">
            <v>EST POLTRONA FIDDA (GIR VERNIZ NOZES) FX D4235</v>
          </cell>
          <cell r="R1071"/>
          <cell r="S1071"/>
          <cell r="T1071">
            <v>0.8</v>
          </cell>
          <cell r="U1071">
            <v>0.82</v>
          </cell>
          <cell r="V1071">
            <v>0.73</v>
          </cell>
          <cell r="W1071">
            <v>0</v>
          </cell>
          <cell r="X1071" t="str">
            <v>EST POLTRONA FIDDA (GIR VERNIZ NOZES) FX D4235 - 0,8x0,82x0,73H</v>
          </cell>
          <cell r="Y1071">
            <v>11231.09</v>
          </cell>
          <cell r="Z1071">
            <v>0.35</v>
          </cell>
          <cell r="AA1071">
            <v>7300.2085000000006</v>
          </cell>
          <cell r="AB1071"/>
        </row>
        <row r="1072">
          <cell r="C1072">
            <v>2</v>
          </cell>
          <cell r="D1072">
            <v>0</v>
          </cell>
          <cell r="E1072">
            <v>0</v>
          </cell>
          <cell r="F1072">
            <v>0</v>
          </cell>
          <cell r="H1072">
            <v>0</v>
          </cell>
          <cell r="O1072">
            <v>380117</v>
          </cell>
          <cell r="P1072" t="str">
            <v>2024/163-0008-01</v>
          </cell>
          <cell r="Q1072" t="str">
            <v>EST POLTRONA FIDDA (GIR VERNIZ NOZES) FX D4235</v>
          </cell>
          <cell r="R1072"/>
          <cell r="S1072"/>
          <cell r="T1072">
            <v>0.8</v>
          </cell>
          <cell r="U1072">
            <v>0.82</v>
          </cell>
          <cell r="V1072">
            <v>0.73</v>
          </cell>
          <cell r="W1072">
            <v>0</v>
          </cell>
          <cell r="X1072" t="str">
            <v>EST POLTRONA FIDDA (GIR VERNIZ NOZES) FX D4235 - 0,8x0,82x0,73H</v>
          </cell>
          <cell r="Y1072">
            <v>11231.09</v>
          </cell>
          <cell r="Z1072">
            <v>0.35</v>
          </cell>
          <cell r="AA1072">
            <v>7300.2085000000006</v>
          </cell>
          <cell r="AB1072"/>
        </row>
        <row r="1073">
          <cell r="C1073">
            <v>1</v>
          </cell>
          <cell r="D1073">
            <v>0</v>
          </cell>
          <cell r="E1073">
            <v>0</v>
          </cell>
          <cell r="F1073">
            <v>0</v>
          </cell>
          <cell r="H1073">
            <v>0</v>
          </cell>
          <cell r="O1073">
            <v>399358</v>
          </cell>
          <cell r="P1073" t="str">
            <v>2025/029-0003-01</v>
          </cell>
          <cell r="Q1073" t="str">
            <v>EST SOFA NEW ANDROS (2B) FX D4234 (BASE LAMINA WALNUT)</v>
          </cell>
          <cell r="R1073"/>
          <cell r="S1073"/>
          <cell r="T1073">
            <v>3</v>
          </cell>
          <cell r="U1073">
            <v>1.5</v>
          </cell>
          <cell r="V1073">
            <v>0.76</v>
          </cell>
          <cell r="W1073">
            <v>0</v>
          </cell>
          <cell r="X1073" t="str">
            <v>EST SOFA NEW ANDROS (2B) FX D4234 (BASE LAMINA WALNUT) - 3x1,5x0,76H</v>
          </cell>
          <cell r="Y1073">
            <v>50640.98</v>
          </cell>
          <cell r="Z1073">
            <v>0.35</v>
          </cell>
          <cell r="AA1073">
            <v>32916.637000000002</v>
          </cell>
          <cell r="AB1073"/>
        </row>
        <row r="1074">
          <cell r="C1074">
            <v>0</v>
          </cell>
          <cell r="D1074">
            <v>0</v>
          </cell>
          <cell r="E1074">
            <v>2</v>
          </cell>
          <cell r="F1074">
            <v>0</v>
          </cell>
          <cell r="H1074">
            <v>0</v>
          </cell>
          <cell r="O1074">
            <v>394915</v>
          </cell>
          <cell r="P1074" t="str">
            <v>2025/014-0023-01</v>
          </cell>
          <cell r="Q1074" t="str">
            <v>EST POLTRONA ELAN (GIR) (ENC FX G7147) (FX G7147)</v>
          </cell>
          <cell r="R1074"/>
          <cell r="S1074"/>
          <cell r="T1074">
            <v>0.7</v>
          </cell>
          <cell r="U1074">
            <v>0.68</v>
          </cell>
          <cell r="V1074">
            <v>0.76</v>
          </cell>
          <cell r="W1074">
            <v>0</v>
          </cell>
          <cell r="X1074" t="str">
            <v>EST POLTRONA ELAN (GIR) (ENC FX G7147) (FX G7147) - 0,7x0,68x0,76H</v>
          </cell>
          <cell r="Y1074">
            <v>10080.629999999999</v>
          </cell>
          <cell r="Z1074">
            <v>0.35</v>
          </cell>
          <cell r="AA1074">
            <v>6552.4094999999998</v>
          </cell>
          <cell r="AB1074"/>
        </row>
        <row r="1075">
          <cell r="C1075">
            <v>0</v>
          </cell>
          <cell r="D1075">
            <v>0</v>
          </cell>
          <cell r="E1075">
            <v>2</v>
          </cell>
          <cell r="F1075">
            <v>0</v>
          </cell>
          <cell r="H1075">
            <v>0</v>
          </cell>
          <cell r="O1075">
            <v>394915</v>
          </cell>
          <cell r="P1075" t="str">
            <v>2025/014-0024-01</v>
          </cell>
          <cell r="Q1075" t="str">
            <v>EST POLTRONA ELAN (GIR) (ENC FX G7147) (FX G7147)</v>
          </cell>
          <cell r="R1075"/>
          <cell r="S1075"/>
          <cell r="T1075">
            <v>0.7</v>
          </cell>
          <cell r="U1075">
            <v>0.68</v>
          </cell>
          <cell r="V1075">
            <v>0.76</v>
          </cell>
          <cell r="W1075">
            <v>0</v>
          </cell>
          <cell r="X1075" t="str">
            <v>EST POLTRONA ELAN (GIR) (ENC FX G7147) (FX G7147) - 0,7x0,68x0,76H</v>
          </cell>
          <cell r="Y1075">
            <v>10080.629999999999</v>
          </cell>
          <cell r="Z1075">
            <v>0.35</v>
          </cell>
          <cell r="AA1075">
            <v>6552.4094999999998</v>
          </cell>
          <cell r="AB1075"/>
        </row>
        <row r="1076">
          <cell r="C1076">
            <v>0</v>
          </cell>
          <cell r="D1076">
            <v>0</v>
          </cell>
          <cell r="E1076">
            <v>1</v>
          </cell>
          <cell r="F1076">
            <v>0</v>
          </cell>
          <cell r="H1076">
            <v>0</v>
          </cell>
          <cell r="O1076">
            <v>394935</v>
          </cell>
          <cell r="P1076" t="str">
            <v>2024/352-0066-01</v>
          </cell>
          <cell r="Q1076" t="str">
            <v>EST BUFFET ROUND (TP MARM 1 TRAVERTINO) (WALNUT)</v>
          </cell>
          <cell r="R1076"/>
          <cell r="S1076"/>
          <cell r="T1076">
            <v>1.6</v>
          </cell>
          <cell r="U1076">
            <v>0.5</v>
          </cell>
          <cell r="V1076">
            <v>0.83</v>
          </cell>
          <cell r="W1076">
            <v>0</v>
          </cell>
          <cell r="X1076" t="str">
            <v>EST BUFFET ROUND (TP MARM 1 TRAVERTINO) (WALNUT) - 1,6x0,5x0,83H</v>
          </cell>
          <cell r="Y1076">
            <v>41140.15</v>
          </cell>
          <cell r="Z1076">
            <v>0.35</v>
          </cell>
          <cell r="AA1076">
            <v>26741.097500000003</v>
          </cell>
          <cell r="AB1076"/>
        </row>
        <row r="1077">
          <cell r="C1077">
            <v>0</v>
          </cell>
          <cell r="D1077">
            <v>0</v>
          </cell>
          <cell r="E1077">
            <v>1</v>
          </cell>
          <cell r="F1077">
            <v>0</v>
          </cell>
          <cell r="H1077">
            <v>0</v>
          </cell>
          <cell r="O1077">
            <v>394991</v>
          </cell>
          <cell r="P1077" t="str">
            <v>2025/014-0050-01</v>
          </cell>
          <cell r="Q1077" t="str">
            <v>EST BANCO VITALITE I (MTZ MOCCA) (WALNUT) (MTZ) COURO AVELA</v>
          </cell>
          <cell r="R1077"/>
          <cell r="S1077"/>
          <cell r="T1077">
            <v>1.58</v>
          </cell>
          <cell r="U1077">
            <v>0.45</v>
          </cell>
          <cell r="V1077">
            <v>0.42</v>
          </cell>
          <cell r="W1077">
            <v>0</v>
          </cell>
          <cell r="X1077" t="str">
            <v>EST BANCO VITALITE I (MTZ MOCCA) (WALNUT) (MTZ) COURO AVELA - 1,58x0,45x0,42H</v>
          </cell>
          <cell r="Y1077">
            <v>18789.21</v>
          </cell>
          <cell r="Z1077">
            <v>0.35</v>
          </cell>
          <cell r="AA1077">
            <v>12212.986499999999</v>
          </cell>
          <cell r="AB1077"/>
        </row>
        <row r="1078">
          <cell r="C1078">
            <v>0</v>
          </cell>
          <cell r="D1078">
            <v>2</v>
          </cell>
          <cell r="E1078">
            <v>0</v>
          </cell>
          <cell r="F1078">
            <v>0</v>
          </cell>
          <cell r="H1078">
            <v>0</v>
          </cell>
          <cell r="O1078">
            <v>394918</v>
          </cell>
          <cell r="P1078" t="str">
            <v>2025/014-0025-01</v>
          </cell>
          <cell r="Q1078" t="str">
            <v>EST POLTRONA ELAN (GIR) (ENC FX F6247) (FX F6247)</v>
          </cell>
          <cell r="R1078"/>
          <cell r="S1078"/>
          <cell r="T1078">
            <v>0.7</v>
          </cell>
          <cell r="U1078">
            <v>0.68</v>
          </cell>
          <cell r="V1078">
            <v>0.76</v>
          </cell>
          <cell r="W1078">
            <v>0</v>
          </cell>
          <cell r="X1078" t="str">
            <v>EST POLTRONA ELAN (GIR) (ENC FX F6247) (FX F6247) - 0,7x0,68x0,76H</v>
          </cell>
          <cell r="Y1078">
            <v>9741.1299999999992</v>
          </cell>
          <cell r="Z1078">
            <v>0.35</v>
          </cell>
          <cell r="AA1078">
            <v>6331.7344999999996</v>
          </cell>
          <cell r="AB1078"/>
        </row>
        <row r="1079">
          <cell r="C1079">
            <v>0</v>
          </cell>
          <cell r="D1079">
            <v>2</v>
          </cell>
          <cell r="E1079">
            <v>0</v>
          </cell>
          <cell r="F1079">
            <v>0</v>
          </cell>
          <cell r="H1079">
            <v>0</v>
          </cell>
          <cell r="O1079">
            <v>394918</v>
          </cell>
          <cell r="P1079" t="str">
            <v>2025/014-0026-01</v>
          </cell>
          <cell r="Q1079" t="str">
            <v>EST POLTRONA ELAN (GIR) (ENC FX F6247) (FX F6247)</v>
          </cell>
          <cell r="R1079"/>
          <cell r="S1079"/>
          <cell r="T1079">
            <v>0.7</v>
          </cell>
          <cell r="U1079">
            <v>0.68</v>
          </cell>
          <cell r="V1079">
            <v>0.76</v>
          </cell>
          <cell r="W1079">
            <v>0</v>
          </cell>
          <cell r="X1079" t="str">
            <v>EST POLTRONA ELAN (GIR) (ENC FX F6247) (FX F6247) - 0,7x0,68x0,76H</v>
          </cell>
          <cell r="Y1079">
            <v>9741.1299999999992</v>
          </cell>
          <cell r="Z1079">
            <v>0.35</v>
          </cell>
          <cell r="AA1079">
            <v>6331.7344999999996</v>
          </cell>
          <cell r="AB1079"/>
        </row>
        <row r="1080">
          <cell r="C1080">
            <v>0</v>
          </cell>
          <cell r="D1080">
            <v>1</v>
          </cell>
          <cell r="E1080">
            <v>0</v>
          </cell>
          <cell r="F1080">
            <v>0</v>
          </cell>
          <cell r="H1080">
            <v>0</v>
          </cell>
          <cell r="O1080">
            <v>271754</v>
          </cell>
          <cell r="P1080" t="str">
            <v>2021/046-0021-01</v>
          </cell>
          <cell r="Q1080" t="str">
            <v>EST ABAJOUR ASPEN (INOX) (CUPULA LINHO BEGE)</v>
          </cell>
          <cell r="R1080"/>
          <cell r="S1080"/>
          <cell r="T1080">
            <v>0.4</v>
          </cell>
          <cell r="U1080">
            <v>0</v>
          </cell>
          <cell r="V1080">
            <v>0</v>
          </cell>
          <cell r="W1080">
            <v>0.4</v>
          </cell>
          <cell r="X1080" t="str">
            <v>EST ABAJOUR ASPEN (INOX) (CUPULA LINHO BEGE) - Ø0,4x0H</v>
          </cell>
          <cell r="Y1080">
            <v>5219.2</v>
          </cell>
          <cell r="Z1080">
            <v>0.35</v>
          </cell>
          <cell r="AA1080">
            <v>3392.48</v>
          </cell>
          <cell r="AB1080"/>
        </row>
        <row r="1081">
          <cell r="C1081">
            <v>0</v>
          </cell>
          <cell r="D1081">
            <v>0</v>
          </cell>
          <cell r="E1081">
            <v>1</v>
          </cell>
          <cell r="F1081">
            <v>0</v>
          </cell>
          <cell r="H1081">
            <v>0</v>
          </cell>
          <cell r="O1081">
            <v>371594</v>
          </cell>
          <cell r="P1081" t="str">
            <v>2023/269-0006-01</v>
          </cell>
          <cell r="Q1081" t="str">
            <v>EST MESA JANTAR THAI (TP MARM 1 NUVOLA GOLD) (ITALIAN ELM)</v>
          </cell>
          <cell r="R1081"/>
          <cell r="S1081"/>
          <cell r="T1081">
            <v>3</v>
          </cell>
          <cell r="U1081">
            <v>1.2</v>
          </cell>
          <cell r="V1081">
            <v>0.76</v>
          </cell>
          <cell r="W1081">
            <v>0</v>
          </cell>
          <cell r="X1081" t="str">
            <v>EST MESA JANTAR THAI (TP MARM 1 NUVOLA GOLD) (ITALIAN ELM) - 3x1,2x0,76H</v>
          </cell>
          <cell r="Y1081">
            <v>96387.92</v>
          </cell>
          <cell r="Z1081">
            <v>0.35</v>
          </cell>
          <cell r="AA1081">
            <v>62652.148000000001</v>
          </cell>
          <cell r="AB1081"/>
        </row>
        <row r="1082">
          <cell r="C1082">
            <v>0</v>
          </cell>
          <cell r="D1082">
            <v>1</v>
          </cell>
          <cell r="E1082">
            <v>0</v>
          </cell>
          <cell r="F1082">
            <v>0</v>
          </cell>
          <cell r="H1082">
            <v>0</v>
          </cell>
          <cell r="O1082">
            <v>371578</v>
          </cell>
          <cell r="P1082" t="str">
            <v>2023/258-0040-01</v>
          </cell>
          <cell r="Q1082" t="str">
            <v>EST MESA JANTAR PETRA (TP LACA MTZ COSMIC) (BS LAM NAT OAK)</v>
          </cell>
          <cell r="R1082"/>
          <cell r="S1082"/>
          <cell r="T1082">
            <v>1.6</v>
          </cell>
          <cell r="U1082">
            <v>0</v>
          </cell>
          <cell r="V1082">
            <v>0.76</v>
          </cell>
          <cell r="W1082">
            <v>1.6</v>
          </cell>
          <cell r="X1082" t="str">
            <v>EST MESA JANTAR PETRA (TP LACA MTZ COSMIC) (BS LAM NAT OAK) - Ø1,6x0,76H</v>
          </cell>
          <cell r="Y1082">
            <v>48540.04</v>
          </cell>
          <cell r="Z1082">
            <v>0.35</v>
          </cell>
          <cell r="AA1082">
            <v>31551.026000000002</v>
          </cell>
          <cell r="AB1082"/>
        </row>
        <row r="1083">
          <cell r="C1083">
            <v>0</v>
          </cell>
          <cell r="D1083">
            <v>1</v>
          </cell>
          <cell r="E1083">
            <v>0</v>
          </cell>
          <cell r="F1083">
            <v>0</v>
          </cell>
          <cell r="H1083">
            <v>0</v>
          </cell>
          <cell r="O1083">
            <v>371599</v>
          </cell>
          <cell r="P1083" t="str">
            <v>2023/258-0043-01</v>
          </cell>
          <cell r="Q1083" t="str">
            <v>EST MESA CENTRO ECLIPSE (MARM 1 CARRAR/ESP FUM) (MTZ CARBN)</v>
          </cell>
          <cell r="R1083"/>
          <cell r="S1083"/>
          <cell r="T1083">
            <v>1.6</v>
          </cell>
          <cell r="U1083">
            <v>1.2</v>
          </cell>
          <cell r="V1083">
            <v>0.35</v>
          </cell>
          <cell r="W1083">
            <v>0</v>
          </cell>
          <cell r="X1083" t="str">
            <v>EST MESA CENTRO ECLIPSE (MARM 1 CARRAR/ESP FUM) (MTZ CARBN) - 1,6x1,2x0,35H</v>
          </cell>
          <cell r="Y1083">
            <v>49454.32</v>
          </cell>
          <cell r="Z1083">
            <v>0.35</v>
          </cell>
          <cell r="AA1083">
            <v>32145.308000000001</v>
          </cell>
          <cell r="AB1083"/>
        </row>
        <row r="1084">
          <cell r="C1084">
            <v>3</v>
          </cell>
          <cell r="D1084">
            <v>1</v>
          </cell>
          <cell r="E1084">
            <v>0</v>
          </cell>
          <cell r="F1084">
            <v>0</v>
          </cell>
          <cell r="H1084">
            <v>0</v>
          </cell>
          <cell r="O1084">
            <v>312446</v>
          </cell>
          <cell r="P1084" t="str">
            <v>2021/354-0005-01</v>
          </cell>
          <cell r="Q1084" t="str">
            <v>EST LUMINARIA DE TETO BELL II (3114)</v>
          </cell>
          <cell r="R1084"/>
          <cell r="S1084"/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 t="str">
            <v>EST LUMINARIA DE TETO BELL II (3114) - Ø0x0H</v>
          </cell>
          <cell r="Y1084">
            <v>1904</v>
          </cell>
          <cell r="Z1084">
            <v>0.5</v>
          </cell>
          <cell r="AA1084">
            <v>952</v>
          </cell>
          <cell r="AB1084"/>
        </row>
        <row r="1085">
          <cell r="C1085">
            <v>1</v>
          </cell>
          <cell r="D1085">
            <v>0</v>
          </cell>
          <cell r="E1085">
            <v>0</v>
          </cell>
          <cell r="F1085">
            <v>0</v>
          </cell>
          <cell r="H1085">
            <v>0</v>
          </cell>
          <cell r="O1085">
            <v>371591</v>
          </cell>
          <cell r="P1085" t="str">
            <v>2023/258-0042-01</v>
          </cell>
          <cell r="Q1085" t="str">
            <v>EST MESA JANTAR PETRA (TP MARM 2 NEW ROME) (ITALIAN ELM)</v>
          </cell>
          <cell r="R1085"/>
          <cell r="S1085"/>
          <cell r="T1085">
            <v>1.8</v>
          </cell>
          <cell r="U1085">
            <v>0</v>
          </cell>
          <cell r="V1085">
            <v>0.76</v>
          </cell>
          <cell r="W1085">
            <v>1.8</v>
          </cell>
          <cell r="X1085" t="str">
            <v>EST MESA JANTAR PETRA (TP MARM 2 NEW ROME) (ITALIAN ELM) - Ø1,8x0,76H</v>
          </cell>
          <cell r="Y1085">
            <v>111643.53</v>
          </cell>
          <cell r="Z1085">
            <v>0.5</v>
          </cell>
          <cell r="AA1085">
            <v>55821.764999999999</v>
          </cell>
          <cell r="AB1085"/>
        </row>
        <row r="1086">
          <cell r="C1086">
            <v>1</v>
          </cell>
          <cell r="D1086">
            <v>0</v>
          </cell>
          <cell r="E1086">
            <v>0</v>
          </cell>
          <cell r="F1086">
            <v>0</v>
          </cell>
          <cell r="H1086">
            <v>0</v>
          </cell>
          <cell r="O1086">
            <v>371603</v>
          </cell>
          <cell r="P1086" t="str">
            <v>2023/269-0008-01</v>
          </cell>
          <cell r="Q1086" t="str">
            <v>EST MESA CENTRO ECLIPSE (MARM 1 TRAVERTINO/ARMANI) (SABBIA)</v>
          </cell>
          <cell r="R1086"/>
          <cell r="S1086"/>
          <cell r="T1086">
            <v>1.6</v>
          </cell>
          <cell r="U1086">
            <v>1.2</v>
          </cell>
          <cell r="V1086">
            <v>0.38</v>
          </cell>
          <cell r="W1086">
            <v>0</v>
          </cell>
          <cell r="X1086" t="str">
            <v>EST MESA CENTRO ECLIPSE (MARM 1 TRAVERTINO/ARMANI) (SABBIA) - 1,6x1,2x0,38H</v>
          </cell>
          <cell r="Y1086">
            <v>49454.32</v>
          </cell>
          <cell r="Z1086">
            <v>0.35</v>
          </cell>
          <cell r="AA1086">
            <v>32145.308000000001</v>
          </cell>
          <cell r="AB1086"/>
        </row>
        <row r="1087">
          <cell r="C1087">
            <v>1</v>
          </cell>
          <cell r="D1087">
            <v>0</v>
          </cell>
          <cell r="E1087">
            <v>0</v>
          </cell>
          <cell r="F1087">
            <v>0</v>
          </cell>
          <cell r="H1087">
            <v>0</v>
          </cell>
          <cell r="O1087">
            <v>371592</v>
          </cell>
          <cell r="P1087" t="str">
            <v>2023/269-0005-01</v>
          </cell>
          <cell r="Q1087" t="str">
            <v>EST MESA JANTAR THAI (TP LAMINA WALNUT) (LAM WALNUT)</v>
          </cell>
          <cell r="R1087"/>
          <cell r="S1087"/>
          <cell r="T1087">
            <v>3</v>
          </cell>
          <cell r="U1087">
            <v>1.2</v>
          </cell>
          <cell r="V1087">
            <v>0.76</v>
          </cell>
          <cell r="W1087">
            <v>0</v>
          </cell>
          <cell r="X1087" t="str">
            <v>EST MESA JANTAR THAI (TP LAMINA WALNUT) (LAM WALNUT) - 3x1,2x0,76H</v>
          </cell>
          <cell r="Y1087">
            <v>43300.01</v>
          </cell>
          <cell r="Z1087">
            <v>0.35</v>
          </cell>
          <cell r="AA1087">
            <v>28145.006500000003</v>
          </cell>
          <cell r="AB1087"/>
        </row>
        <row r="1088">
          <cell r="C1088">
            <v>2</v>
          </cell>
          <cell r="D1088">
            <v>0</v>
          </cell>
          <cell r="E1088">
            <v>0</v>
          </cell>
          <cell r="F1088">
            <v>0</v>
          </cell>
          <cell r="H1088">
            <v>0</v>
          </cell>
          <cell r="O1088">
            <v>404174</v>
          </cell>
          <cell r="P1088" t="str">
            <v>2025/148-0046-01</v>
          </cell>
          <cell r="Q1088" t="str">
            <v>EST MOVEL AUXILIAR BARCELONA (MARM 1 NUVOLA GOLD) LAM WALNUT</v>
          </cell>
          <cell r="R1088"/>
          <cell r="S1088"/>
          <cell r="T1088">
            <v>0.5</v>
          </cell>
          <cell r="U1088">
            <v>0</v>
          </cell>
          <cell r="V1088">
            <v>0.55000000000000004</v>
          </cell>
          <cell r="W1088">
            <v>0.5</v>
          </cell>
          <cell r="X1088" t="str">
            <v>EST MOVEL AUXILIAR BARCELONA (MARM 1 NUVOLA GOLD) LAM WALNUT - Ø0,5x0,55H</v>
          </cell>
          <cell r="Y1088">
            <v>16629.45</v>
          </cell>
          <cell r="Z1088">
            <v>0.35</v>
          </cell>
          <cell r="AA1088">
            <v>10809.142500000002</v>
          </cell>
          <cell r="AB1088"/>
        </row>
        <row r="1089">
          <cell r="C1089">
            <v>2</v>
          </cell>
          <cell r="D1089">
            <v>0</v>
          </cell>
          <cell r="E1089">
            <v>0</v>
          </cell>
          <cell r="F1089">
            <v>0</v>
          </cell>
          <cell r="H1089">
            <v>0</v>
          </cell>
          <cell r="O1089">
            <v>404174</v>
          </cell>
          <cell r="P1089" t="str">
            <v>2025/148-0044-01</v>
          </cell>
          <cell r="Q1089" t="str">
            <v>EST MOVEL AUXILIAR BARCELONA (MARM 1 NUVOLA GOLD) LAM WALNUT</v>
          </cell>
          <cell r="R1089"/>
          <cell r="S1089"/>
          <cell r="T1089">
            <v>0.5</v>
          </cell>
          <cell r="U1089">
            <v>0</v>
          </cell>
          <cell r="V1089">
            <v>0.55000000000000004</v>
          </cell>
          <cell r="W1089">
            <v>0.5</v>
          </cell>
          <cell r="X1089" t="str">
            <v>EST MOVEL AUXILIAR BARCELONA (MARM 1 NUVOLA GOLD) LAM WALNUT - Ø0,5x0,55H</v>
          </cell>
          <cell r="Y1089">
            <v>16629.45</v>
          </cell>
          <cell r="Z1089">
            <v>0.35</v>
          </cell>
          <cell r="AA1089">
            <v>10809.142500000002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0</v>
          </cell>
          <cell r="O1090">
            <v>274992</v>
          </cell>
          <cell r="P1090" t="str">
            <v>2021/165-0103-01</v>
          </cell>
          <cell r="Q1090" t="str">
            <v>EST BUFFET SHO ALTO (CORPO LAMINADO NOGUEIRA/MTZ OXI)</v>
          </cell>
          <cell r="R1090"/>
          <cell r="S1090"/>
          <cell r="T1090">
            <v>2.2000000000000002</v>
          </cell>
          <cell r="U1090">
            <v>0.43</v>
          </cell>
          <cell r="V1090">
            <v>0.75</v>
          </cell>
          <cell r="W1090">
            <v>0</v>
          </cell>
          <cell r="X1090" t="str">
            <v>EST BUFFET SHO ALTO (CORPO LAMINADO NOGUEIRA/MTZ OXI) - 2,2x0,43x0,75H</v>
          </cell>
          <cell r="Y1090">
            <v>44380.27</v>
          </cell>
          <cell r="Z1090">
            <v>0.5</v>
          </cell>
          <cell r="AA1090">
            <v>22190.134999999998</v>
          </cell>
          <cell r="AB1090"/>
        </row>
        <row r="1091">
          <cell r="C1091">
            <v>2</v>
          </cell>
          <cell r="D1091">
            <v>1</v>
          </cell>
          <cell r="E1091">
            <v>0</v>
          </cell>
          <cell r="F1091">
            <v>0</v>
          </cell>
          <cell r="H1091">
            <v>0</v>
          </cell>
          <cell r="O1091">
            <v>312448</v>
          </cell>
          <cell r="P1091" t="str">
            <v>2023/156-0042-01</v>
          </cell>
          <cell r="Q1091" t="str">
            <v>EST LUMINARIA DE TETO OYSTER 23 (3132)</v>
          </cell>
          <cell r="R1091"/>
          <cell r="S1091"/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 t="str">
            <v>EST LUMINARIA DE TETO OYSTER 23 (3132) - Ø0x0H</v>
          </cell>
          <cell r="Y1091">
            <v>2665.6</v>
          </cell>
          <cell r="Z1091">
            <v>0.35</v>
          </cell>
          <cell r="AA1091">
            <v>1732.6399999999999</v>
          </cell>
          <cell r="AB1091"/>
        </row>
        <row r="1092">
          <cell r="C1092">
            <v>2</v>
          </cell>
          <cell r="D1092">
            <v>1</v>
          </cell>
          <cell r="E1092">
            <v>0</v>
          </cell>
          <cell r="F1092">
            <v>0</v>
          </cell>
          <cell r="H1092">
            <v>0</v>
          </cell>
          <cell r="O1092">
            <v>312448</v>
          </cell>
          <cell r="P1092" t="str">
            <v>2023/156-0041-01</v>
          </cell>
          <cell r="Q1092" t="str">
            <v>EST LUMINARIA DE TETO OYSTER 23 (3132)</v>
          </cell>
          <cell r="R1092"/>
          <cell r="S1092"/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 t="str">
            <v>EST LUMINARIA DE TETO OYSTER 23 (3132) - Ø0x0H</v>
          </cell>
          <cell r="Y1092">
            <v>2665.6</v>
          </cell>
          <cell r="Z1092">
            <v>0.35</v>
          </cell>
          <cell r="AA1092">
            <v>1732.6399999999999</v>
          </cell>
          <cell r="AB1092"/>
        </row>
        <row r="1093">
          <cell r="C1093">
            <v>1</v>
          </cell>
          <cell r="D1093">
            <v>0</v>
          </cell>
          <cell r="E1093">
            <v>0</v>
          </cell>
          <cell r="F1093">
            <v>0</v>
          </cell>
          <cell r="H1093">
            <v>0</v>
          </cell>
          <cell r="O1093">
            <v>387680</v>
          </cell>
          <cell r="P1093" t="str">
            <v>2024/194-0004-01</v>
          </cell>
          <cell r="Q1093" t="str">
            <v>EST BANCO ORNI (TC P18) (COURO C5309) AMENDOA</v>
          </cell>
          <cell r="R1093"/>
          <cell r="S1093"/>
          <cell r="T1093">
            <v>2</v>
          </cell>
          <cell r="U1093">
            <v>0.45</v>
          </cell>
          <cell r="V1093">
            <v>0.45</v>
          </cell>
          <cell r="W1093">
            <v>0</v>
          </cell>
          <cell r="X1093" t="str">
            <v>EST BANCO ORNI (TC P18) (COURO C5309) AMENDOA - 2x0,45x0,45H</v>
          </cell>
          <cell r="Y1093">
            <v>10657.47</v>
          </cell>
          <cell r="Z1093">
            <v>0.35</v>
          </cell>
          <cell r="AA1093">
            <v>6927.3554999999997</v>
          </cell>
          <cell r="AB1093"/>
        </row>
        <row r="1094">
          <cell r="C1094">
            <v>2</v>
          </cell>
          <cell r="D1094">
            <v>0</v>
          </cell>
          <cell r="E1094">
            <v>0</v>
          </cell>
          <cell r="F1094">
            <v>0</v>
          </cell>
          <cell r="H1094">
            <v>0</v>
          </cell>
          <cell r="O1094">
            <v>394919</v>
          </cell>
          <cell r="P1094" t="str">
            <v>2025/014-0045-01</v>
          </cell>
          <cell r="Q1094" t="str">
            <v>EST POLTRONA ELAN (GIR) (ENC FX C3186) (FX C3186)</v>
          </cell>
          <cell r="R1094"/>
          <cell r="S1094"/>
          <cell r="T1094">
            <v>0.7</v>
          </cell>
          <cell r="U1094">
            <v>0.68</v>
          </cell>
          <cell r="V1094">
            <v>0.76</v>
          </cell>
          <cell r="W1094">
            <v>0</v>
          </cell>
          <cell r="X1094" t="str">
            <v>EST POLTRONA ELAN (GIR) (ENC FX C3186) (FX C3186) - 0,7x0,68x0,76H</v>
          </cell>
          <cell r="Y1094">
            <v>9104.61</v>
          </cell>
          <cell r="Z1094">
            <v>0.35</v>
          </cell>
          <cell r="AA1094">
            <v>5917.9965000000011</v>
          </cell>
          <cell r="AB1094"/>
        </row>
        <row r="1095">
          <cell r="C1095">
            <v>2</v>
          </cell>
          <cell r="D1095">
            <v>0</v>
          </cell>
          <cell r="E1095">
            <v>0</v>
          </cell>
          <cell r="F1095">
            <v>0</v>
          </cell>
          <cell r="H1095">
            <v>0</v>
          </cell>
          <cell r="O1095">
            <v>394919</v>
          </cell>
          <cell r="P1095" t="str">
            <v>2025/014-0046-01</v>
          </cell>
          <cell r="Q1095" t="str">
            <v>EST POLTRONA ELAN (GIR) (ENC FX C3186) (FX C3186)</v>
          </cell>
          <cell r="R1095"/>
          <cell r="S1095"/>
          <cell r="T1095">
            <v>0.7</v>
          </cell>
          <cell r="U1095">
            <v>0.68</v>
          </cell>
          <cell r="V1095">
            <v>0.76</v>
          </cell>
          <cell r="W1095">
            <v>0</v>
          </cell>
          <cell r="X1095" t="str">
            <v>EST POLTRONA ELAN (GIR) (ENC FX C3186) (FX C3186) - 0,7x0,68x0,76H</v>
          </cell>
          <cell r="Y1095">
            <v>9104.61</v>
          </cell>
          <cell r="Z1095">
            <v>0.35</v>
          </cell>
          <cell r="AA1095">
            <v>5917.9965000000011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394987</v>
          </cell>
          <cell r="P1096" t="str">
            <v>2024/352-0067-01</v>
          </cell>
          <cell r="Q1096" t="str">
            <v>EST BUFFET ROUND (TP VD COMUM MTZ CAPUCC) (WALNUT)</v>
          </cell>
          <cell r="R1096"/>
          <cell r="S1096"/>
          <cell r="T1096">
            <v>2.4</v>
          </cell>
          <cell r="U1096">
            <v>0.5</v>
          </cell>
          <cell r="V1096">
            <v>0.83</v>
          </cell>
          <cell r="W1096">
            <v>0</v>
          </cell>
          <cell r="X1096" t="str">
            <v>EST BUFFET ROUND (TP VD COMUM MTZ CAPUCC) (WALNUT) - 2,4x0,5x0,83H</v>
          </cell>
          <cell r="Y1096">
            <v>34725.69</v>
          </cell>
          <cell r="Z1096">
            <v>0.35</v>
          </cell>
          <cell r="AA1096">
            <v>22571.698500000002</v>
          </cell>
          <cell r="AB1096"/>
        </row>
        <row r="1097">
          <cell r="C1097">
            <v>1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334523</v>
          </cell>
          <cell r="P1097" t="str">
            <v>2022/199-0091-01</v>
          </cell>
          <cell r="Q1097" t="str">
            <v>EST CHAISE REGIA COURO FZ-600/V-8005/MTZ RB02</v>
          </cell>
          <cell r="R1097"/>
          <cell r="S1097"/>
          <cell r="T1097">
            <v>1.68</v>
          </cell>
          <cell r="U1097">
            <v>1.65</v>
          </cell>
          <cell r="V1097">
            <v>0.85</v>
          </cell>
          <cell r="W1097">
            <v>0</v>
          </cell>
          <cell r="X1097" t="str">
            <v>EST CHAISE REGIA COURO FZ-600/V-8005/MTZ RB02 - 1,68x1,65x0,85H</v>
          </cell>
          <cell r="Y1097">
            <v>72766.22</v>
          </cell>
          <cell r="Z1097">
            <v>0.5</v>
          </cell>
          <cell r="AA1097">
            <v>36383.11</v>
          </cell>
          <cell r="AB1097"/>
        </row>
        <row r="1098">
          <cell r="C1098">
            <v>1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387707</v>
          </cell>
          <cell r="P1098" t="str">
            <v>2024/194-0022-01</v>
          </cell>
          <cell r="Q1098" t="str">
            <v>EST MESA LATERAL PLANALTO (TP/BS LAM CARV CASTANHO)</v>
          </cell>
          <cell r="R1098"/>
          <cell r="S1098"/>
          <cell r="T1098">
            <v>0.65</v>
          </cell>
          <cell r="U1098">
            <v>0.65</v>
          </cell>
          <cell r="V1098">
            <v>0.5</v>
          </cell>
          <cell r="W1098">
            <v>0</v>
          </cell>
          <cell r="X1098" t="str">
            <v>EST MESA LATERAL PLANALTO (TP/BS LAM CARV CASTANHO) - 0,65x0,65x0,5H</v>
          </cell>
          <cell r="Y1098">
            <v>5835.78</v>
          </cell>
          <cell r="Z1098">
            <v>0.35</v>
          </cell>
          <cell r="AA1098">
            <v>3793.2570000000001</v>
          </cell>
          <cell r="AB1098"/>
        </row>
        <row r="1099">
          <cell r="C1099">
            <v>1</v>
          </cell>
          <cell r="D1099">
            <v>0</v>
          </cell>
          <cell r="E1099">
            <v>0</v>
          </cell>
          <cell r="F1099">
            <v>0</v>
          </cell>
          <cell r="H1099">
            <v>0</v>
          </cell>
          <cell r="O1099">
            <v>400337</v>
          </cell>
          <cell r="P1099" t="str">
            <v>2025/090-0107-01</v>
          </cell>
          <cell r="Q1099" t="str">
            <v>EST BUFFET YAACOV (A) (TAUARI NATURAL)</v>
          </cell>
          <cell r="R1099"/>
          <cell r="S1099"/>
          <cell r="T1099">
            <v>2.58</v>
          </cell>
          <cell r="U1099">
            <v>0.55000000000000004</v>
          </cell>
          <cell r="V1099">
            <v>0.7</v>
          </cell>
          <cell r="W1099">
            <v>0</v>
          </cell>
          <cell r="X1099" t="str">
            <v>EST BUFFET YAACOV (A) (TAUARI NATURAL) - 2,58x0,55x0,7H</v>
          </cell>
          <cell r="Y1099">
            <v>47606.720000000001</v>
          </cell>
          <cell r="Z1099">
            <v>0.35</v>
          </cell>
          <cell r="AA1099">
            <v>30944.368000000002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0</v>
          </cell>
          <cell r="O1100">
            <v>402440</v>
          </cell>
          <cell r="P1100" t="str">
            <v>2025/119-0001-01</v>
          </cell>
          <cell r="Q1100" t="str">
            <v>EST CADEIRA CACAU (DAMASCO) (LATAO) TC TREVISO 301</v>
          </cell>
          <cell r="R1100"/>
          <cell r="S1100"/>
          <cell r="T1100">
            <v>0.5</v>
          </cell>
          <cell r="U1100">
            <v>0.61</v>
          </cell>
          <cell r="V1100">
            <v>0.84</v>
          </cell>
          <cell r="W1100">
            <v>0</v>
          </cell>
          <cell r="X1100" t="str">
            <v>EST CADEIRA CACAU (DAMASCO) (LATAO) TC TREVISO 301 - 0,5x0,61x0,84H</v>
          </cell>
          <cell r="Y1100">
            <v>4840.375</v>
          </cell>
          <cell r="Z1100">
            <v>0.35</v>
          </cell>
          <cell r="AA1100">
            <v>3146.2437500000001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0</v>
          </cell>
          <cell r="O1101">
            <v>402440</v>
          </cell>
          <cell r="P1101" t="str">
            <v>2025/119-0002-01</v>
          </cell>
          <cell r="Q1101" t="str">
            <v>EST CADEIRA CACAU (DAMASCO) (LATAO) TC TREVISO 301</v>
          </cell>
          <cell r="R1101"/>
          <cell r="S1101"/>
          <cell r="T1101">
            <v>0.5</v>
          </cell>
          <cell r="U1101">
            <v>0.61</v>
          </cell>
          <cell r="V1101">
            <v>0.84</v>
          </cell>
          <cell r="W1101">
            <v>0</v>
          </cell>
          <cell r="X1101" t="str">
            <v>EST CADEIRA CACAU (DAMASCO) (LATAO) TC TREVISO 301 - 0,5x0,61x0,84H</v>
          </cell>
          <cell r="Y1101">
            <v>4840.375</v>
          </cell>
          <cell r="Z1101">
            <v>0.35</v>
          </cell>
          <cell r="AA1101">
            <v>3146.2437500000001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0</v>
          </cell>
          <cell r="O1102">
            <v>402440</v>
          </cell>
          <cell r="P1102" t="str">
            <v>2025/119-0003-01</v>
          </cell>
          <cell r="Q1102" t="str">
            <v>EST CADEIRA CACAU (DAMASCO) (LATAO) TC TREVISO 301</v>
          </cell>
          <cell r="R1102"/>
          <cell r="S1102"/>
          <cell r="T1102">
            <v>0.5</v>
          </cell>
          <cell r="U1102">
            <v>0.61</v>
          </cell>
          <cell r="V1102">
            <v>0.84</v>
          </cell>
          <cell r="W1102">
            <v>0</v>
          </cell>
          <cell r="X1102" t="str">
            <v>EST CADEIRA CACAU (DAMASCO) (LATAO) TC TREVISO 301 - 0,5x0,61x0,84H</v>
          </cell>
          <cell r="Y1102">
            <v>4840.375</v>
          </cell>
          <cell r="Z1102">
            <v>0.35</v>
          </cell>
          <cell r="AA1102">
            <v>3146.2437500000001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0</v>
          </cell>
          <cell r="O1103">
            <v>402440</v>
          </cell>
          <cell r="P1103" t="str">
            <v>2025/119-0004-01</v>
          </cell>
          <cell r="Q1103" t="str">
            <v>EST CADEIRA CACAU (DAMASCO) (LATAO) TC TREVISO 301</v>
          </cell>
          <cell r="R1103"/>
          <cell r="S1103"/>
          <cell r="T1103">
            <v>0.5</v>
          </cell>
          <cell r="U1103">
            <v>0.61</v>
          </cell>
          <cell r="V1103">
            <v>0.84</v>
          </cell>
          <cell r="W1103">
            <v>0</v>
          </cell>
          <cell r="X1103" t="str">
            <v>EST CADEIRA CACAU (DAMASCO) (LATAO) TC TREVISO 301 - 0,5x0,61x0,84H</v>
          </cell>
          <cell r="Y1103">
            <v>4840.375</v>
          </cell>
          <cell r="Z1103">
            <v>0.35</v>
          </cell>
          <cell r="AA1103">
            <v>3146.2437500000001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0</v>
          </cell>
          <cell r="O1104">
            <v>402440</v>
          </cell>
          <cell r="P1104" t="str">
            <v>2025/119-0005-01</v>
          </cell>
          <cell r="Q1104" t="str">
            <v>EST CADEIRA CACAU (DAMASCO) (LATAO) TC TREVISO 301</v>
          </cell>
          <cell r="R1104"/>
          <cell r="S1104"/>
          <cell r="T1104">
            <v>0.5</v>
          </cell>
          <cell r="U1104">
            <v>0.61</v>
          </cell>
          <cell r="V1104">
            <v>0.84</v>
          </cell>
          <cell r="W1104">
            <v>0</v>
          </cell>
          <cell r="X1104" t="str">
            <v>EST CADEIRA CACAU (DAMASCO) (LATAO) TC TREVISO 301 - 0,5x0,61x0,84H</v>
          </cell>
          <cell r="Y1104">
            <v>4840.375</v>
          </cell>
          <cell r="Z1104">
            <v>0.35</v>
          </cell>
          <cell r="AA1104">
            <v>3146.2437500000001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0</v>
          </cell>
          <cell r="O1105">
            <v>402440</v>
          </cell>
          <cell r="P1105" t="str">
            <v>2025/119-0006-01</v>
          </cell>
          <cell r="Q1105" t="str">
            <v>EST CADEIRA CACAU (DAMASCO) (LATAO) TC TREVISO 301</v>
          </cell>
          <cell r="R1105"/>
          <cell r="S1105"/>
          <cell r="T1105">
            <v>0.5</v>
          </cell>
          <cell r="U1105">
            <v>0.61</v>
          </cell>
          <cell r="V1105">
            <v>0.84</v>
          </cell>
          <cell r="W1105">
            <v>0</v>
          </cell>
          <cell r="X1105" t="str">
            <v>EST CADEIRA CACAU (DAMASCO) (LATAO) TC TREVISO 301 - 0,5x0,61x0,84H</v>
          </cell>
          <cell r="Y1105">
            <v>4840.375</v>
          </cell>
          <cell r="Z1105">
            <v>0.35</v>
          </cell>
          <cell r="AA1105">
            <v>3146.2437500000001</v>
          </cell>
          <cell r="AB1105"/>
        </row>
        <row r="1106">
          <cell r="C1106">
            <v>2</v>
          </cell>
          <cell r="D1106">
            <v>0</v>
          </cell>
          <cell r="E1106">
            <v>0</v>
          </cell>
          <cell r="F1106">
            <v>0</v>
          </cell>
          <cell r="H1106">
            <v>0</v>
          </cell>
          <cell r="O1106">
            <v>402441</v>
          </cell>
          <cell r="P1106" t="str">
            <v>2025/119-0007-01</v>
          </cell>
          <cell r="Q1106" t="str">
            <v>EST CADEIRA CACAU C/BRACO (DAMASCO) (LATAO) TC TREVISO 301</v>
          </cell>
          <cell r="R1106"/>
          <cell r="S1106"/>
          <cell r="T1106">
            <v>0.61</v>
          </cell>
          <cell r="U1106">
            <v>0.61</v>
          </cell>
          <cell r="V1106">
            <v>0.84</v>
          </cell>
          <cell r="W1106">
            <v>0</v>
          </cell>
          <cell r="X1106" t="str">
            <v>EST CADEIRA CACAU C/BRACO (DAMASCO) (LATAO) TC TREVISO 301 - 0,61x0,61x0,84H</v>
          </cell>
          <cell r="Y1106">
            <v>7102.3249999999998</v>
          </cell>
          <cell r="Z1106">
            <v>0.35</v>
          </cell>
          <cell r="AA1106">
            <v>4616.5112499999996</v>
          </cell>
          <cell r="AB1106"/>
        </row>
        <row r="1107">
          <cell r="C1107">
            <v>2</v>
          </cell>
          <cell r="D1107">
            <v>0</v>
          </cell>
          <cell r="E1107">
            <v>0</v>
          </cell>
          <cell r="F1107">
            <v>0</v>
          </cell>
          <cell r="H1107">
            <v>0</v>
          </cell>
          <cell r="O1107">
            <v>402441</v>
          </cell>
          <cell r="P1107" t="str">
            <v>2025/119-0008-01</v>
          </cell>
          <cell r="Q1107" t="str">
            <v>EST CADEIRA CACAU C/BRACO (DAMASCO) (LATAO) TC TREVISO 301</v>
          </cell>
          <cell r="R1107"/>
          <cell r="S1107"/>
          <cell r="T1107">
            <v>0.61</v>
          </cell>
          <cell r="U1107">
            <v>0.61</v>
          </cell>
          <cell r="V1107">
            <v>0.84</v>
          </cell>
          <cell r="W1107">
            <v>0</v>
          </cell>
          <cell r="X1107" t="str">
            <v>EST CADEIRA CACAU C/BRACO (DAMASCO) (LATAO) TC TREVISO 301 - 0,61x0,61x0,84H</v>
          </cell>
          <cell r="Y1107">
            <v>7102.3249999999998</v>
          </cell>
          <cell r="Z1107">
            <v>0.35</v>
          </cell>
          <cell r="AA1107">
            <v>4616.5112499999996</v>
          </cell>
          <cell r="AB1107"/>
        </row>
        <row r="1108">
          <cell r="C1108">
            <v>1</v>
          </cell>
          <cell r="D1108">
            <v>4</v>
          </cell>
          <cell r="E1108">
            <v>1</v>
          </cell>
          <cell r="F1108">
            <v>0</v>
          </cell>
          <cell r="H1108">
            <v>0</v>
          </cell>
          <cell r="O1108">
            <v>314838</v>
          </cell>
          <cell r="P1108" t="str">
            <v>2025/050-0037-01</v>
          </cell>
          <cell r="Q1108" t="str">
            <v>EST ALMOFADA RET.LIVERPOOL MATTE</v>
          </cell>
          <cell r="R1108"/>
          <cell r="S1108"/>
          <cell r="T1108">
            <v>0.6</v>
          </cell>
          <cell r="U1108">
            <v>0.4</v>
          </cell>
          <cell r="V1108">
            <v>0</v>
          </cell>
          <cell r="W1108">
            <v>0</v>
          </cell>
          <cell r="X1108" t="str">
            <v>EST ALMOFADA RET.LIVERPOOL MATTE - 0,6x0,4x0H</v>
          </cell>
          <cell r="Y1108">
            <v>877.14</v>
          </cell>
          <cell r="Z1108">
            <v>0.49999897849736963</v>
          </cell>
          <cell r="AA1108">
            <v>438.57089600081719</v>
          </cell>
          <cell r="AB1108"/>
        </row>
        <row r="1109">
          <cell r="C1109">
            <v>1</v>
          </cell>
          <cell r="D1109">
            <v>4</v>
          </cell>
          <cell r="E1109">
            <v>1</v>
          </cell>
          <cell r="F1109">
            <v>0</v>
          </cell>
          <cell r="H1109">
            <v>0</v>
          </cell>
          <cell r="O1109">
            <v>314838</v>
          </cell>
          <cell r="P1109" t="str">
            <v>2025/050-0038-01</v>
          </cell>
          <cell r="Q1109" t="str">
            <v>EST ALMOFADA RET.LIVERPOOL MATTE</v>
          </cell>
          <cell r="R1109"/>
          <cell r="S1109"/>
          <cell r="T1109">
            <v>0.6</v>
          </cell>
          <cell r="U1109">
            <v>0.4</v>
          </cell>
          <cell r="V1109">
            <v>0</v>
          </cell>
          <cell r="W1109">
            <v>0</v>
          </cell>
          <cell r="X1109" t="str">
            <v>EST ALMOFADA RET.LIVERPOOL MATTE - 0,6x0,4x0H</v>
          </cell>
          <cell r="Y1109">
            <v>877.14</v>
          </cell>
          <cell r="Z1109">
            <v>0.49999897849736963</v>
          </cell>
          <cell r="AA1109">
            <v>438.57089600081719</v>
          </cell>
          <cell r="AB1109"/>
        </row>
        <row r="1110">
          <cell r="C1110">
            <v>1</v>
          </cell>
          <cell r="D1110">
            <v>0</v>
          </cell>
          <cell r="E1110">
            <v>0</v>
          </cell>
          <cell r="F1110">
            <v>0</v>
          </cell>
          <cell r="H1110">
            <v>0</v>
          </cell>
          <cell r="O1110">
            <v>277918</v>
          </cell>
          <cell r="P1110" t="str">
            <v>2021/203-0034-01</v>
          </cell>
          <cell r="Q1110" t="str">
            <v>EST POLTRONA MARE COURO TP2 (PROMO) SEQUOIA WISKY/MARROM</v>
          </cell>
          <cell r="R1110"/>
          <cell r="S1110"/>
          <cell r="T1110">
            <v>0.93</v>
          </cell>
          <cell r="U1110">
            <v>1.06</v>
          </cell>
          <cell r="V1110">
            <v>0.83</v>
          </cell>
          <cell r="W1110">
            <v>0</v>
          </cell>
          <cell r="X1110" t="str">
            <v>EST POLTRONA MARE COURO TP2 (PROMO) SEQUOIA WISKY/MARROM - 0,93x1,06x0,83H</v>
          </cell>
          <cell r="Y1110">
            <v>20456.93</v>
          </cell>
          <cell r="Z1110">
            <v>0.5</v>
          </cell>
          <cell r="AA1110">
            <v>10228.465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277921</v>
          </cell>
          <cell r="P1111" t="str">
            <v>2021/203-0035-01</v>
          </cell>
          <cell r="Q1111" t="str">
            <v>EST BANQUETA MARE COURO TP2 (PROMO) SEQUOIA WISKY/MARROM</v>
          </cell>
          <cell r="R1111"/>
          <cell r="S1111"/>
          <cell r="T1111">
            <v>0.91</v>
          </cell>
          <cell r="U1111">
            <v>0.56999999999999995</v>
          </cell>
          <cell r="V1111">
            <v>0.4</v>
          </cell>
          <cell r="W1111">
            <v>0</v>
          </cell>
          <cell r="X1111" t="str">
            <v>EST BANQUETA MARE COURO TP2 (PROMO) SEQUOIA WISKY/MARROM - 0,91x0,57x0,4H</v>
          </cell>
          <cell r="Y1111">
            <v>8620.24</v>
          </cell>
          <cell r="Z1111">
            <v>0.5</v>
          </cell>
          <cell r="AA1111">
            <v>4310.12</v>
          </cell>
          <cell r="AB1111"/>
        </row>
        <row r="1112">
          <cell r="C1112">
            <v>0</v>
          </cell>
          <cell r="D1112">
            <v>1</v>
          </cell>
          <cell r="E1112">
            <v>0</v>
          </cell>
          <cell r="F1112">
            <v>0</v>
          </cell>
          <cell r="H1112">
            <v>0</v>
          </cell>
          <cell r="O1112">
            <v>394986</v>
          </cell>
          <cell r="P1112" t="str">
            <v>2024/352-0068-01</v>
          </cell>
          <cell r="Q1112" t="str">
            <v>EST BUFFET ROUND (TP VD COMUM MTZ MOCC) (ITALIAN ELM)</v>
          </cell>
          <cell r="R1112"/>
          <cell r="S1112"/>
          <cell r="T1112">
            <v>2.4</v>
          </cell>
          <cell r="U1112">
            <v>0.5</v>
          </cell>
          <cell r="V1112">
            <v>0.83</v>
          </cell>
          <cell r="W1112">
            <v>0</v>
          </cell>
          <cell r="X1112" t="str">
            <v>EST BUFFET ROUND (TP VD COMUM MTZ MOCC) (ITALIAN ELM) - 2,4x0,5x0,83H</v>
          </cell>
          <cell r="Y1112">
            <v>34725.69</v>
          </cell>
          <cell r="Z1112">
            <v>0.35</v>
          </cell>
          <cell r="AA1112">
            <v>22571.698500000002</v>
          </cell>
          <cell r="AB1112"/>
        </row>
        <row r="1113">
          <cell r="C1113">
            <v>0</v>
          </cell>
          <cell r="D1113">
            <v>1</v>
          </cell>
          <cell r="E1113">
            <v>0</v>
          </cell>
          <cell r="F1113">
            <v>1</v>
          </cell>
          <cell r="H1113">
            <v>0</v>
          </cell>
          <cell r="O1113">
            <v>402538</v>
          </cell>
          <cell r="P1113" t="str">
            <v>2025/104-0022-01</v>
          </cell>
          <cell r="Q1113" t="str">
            <v>EST LUMINARIA PENDENTE NOVENTA (P) (INDIRETA) (PRETA)</v>
          </cell>
          <cell r="R1113"/>
          <cell r="S1113"/>
          <cell r="T1113">
            <v>0.45</v>
          </cell>
          <cell r="U1113">
            <v>0.39</v>
          </cell>
          <cell r="V1113">
            <v>0.3</v>
          </cell>
          <cell r="W1113">
            <v>0</v>
          </cell>
          <cell r="X1113" t="str">
            <v>EST LUMINARIA PENDENTE NOVENTA (P) (INDIRETA) (PRETA) - 0,45x0,39x0,3H</v>
          </cell>
          <cell r="Y1113">
            <v>5903.52</v>
          </cell>
          <cell r="Z1113">
            <v>0.35</v>
          </cell>
          <cell r="AA1113">
            <v>3837.2880000000005</v>
          </cell>
          <cell r="AB1113"/>
        </row>
        <row r="1114">
          <cell r="C1114">
            <v>1</v>
          </cell>
          <cell r="D1114">
            <v>1</v>
          </cell>
          <cell r="E1114">
            <v>1</v>
          </cell>
          <cell r="F1114">
            <v>1</v>
          </cell>
          <cell r="H1114">
            <v>0</v>
          </cell>
          <cell r="O1114">
            <v>402541</v>
          </cell>
          <cell r="P1114" t="str">
            <v>2025/125-0052-01</v>
          </cell>
          <cell r="Q1114" t="str">
            <v>EST LUMINARIA MESA NOVENTA (G) (PRETA)</v>
          </cell>
          <cell r="R1114"/>
          <cell r="S1114"/>
          <cell r="T1114">
            <v>0.33</v>
          </cell>
          <cell r="U1114">
            <v>0.22</v>
          </cell>
          <cell r="V1114">
            <v>0.57999999999999996</v>
          </cell>
          <cell r="W1114">
            <v>0</v>
          </cell>
          <cell r="X1114" t="str">
            <v>EST LUMINARIA MESA NOVENTA (G) (PRETA) - 0,33x0,22x0,58H</v>
          </cell>
          <cell r="Y1114">
            <v>5499.78</v>
          </cell>
          <cell r="Z1114">
            <v>0.35</v>
          </cell>
          <cell r="AA1114">
            <v>3574.857</v>
          </cell>
          <cell r="AB1114"/>
        </row>
        <row r="1115">
          <cell r="C1115">
            <v>1</v>
          </cell>
          <cell r="D1115">
            <v>1</v>
          </cell>
          <cell r="E1115">
            <v>0</v>
          </cell>
          <cell r="F1115">
            <v>1</v>
          </cell>
          <cell r="H1115">
            <v>0</v>
          </cell>
          <cell r="O1115">
            <v>402542</v>
          </cell>
          <cell r="P1115" t="str">
            <v>2025/104-0026-01</v>
          </cell>
          <cell r="Q1115" t="str">
            <v>EST LLUMINARIA PISO NOVENTA (3W - 300LM) (PRETA)</v>
          </cell>
          <cell r="R1115"/>
          <cell r="S1115"/>
          <cell r="T1115">
            <v>0.26</v>
          </cell>
          <cell r="U1115">
            <v>0.12</v>
          </cell>
          <cell r="V1115">
            <v>1.62</v>
          </cell>
          <cell r="W1115">
            <v>0</v>
          </cell>
          <cell r="X1115" t="str">
            <v>EST LLUMINARIA PISO NOVENTA (3W - 300LM) (PRETA) - 0,26x0,12x1,62H</v>
          </cell>
          <cell r="Y1115">
            <v>9044.4500000000007</v>
          </cell>
          <cell r="Z1115">
            <v>0.35</v>
          </cell>
          <cell r="AA1115">
            <v>5878.8925000000008</v>
          </cell>
          <cell r="AB1115"/>
        </row>
        <row r="1116">
          <cell r="C1116">
            <v>0</v>
          </cell>
          <cell r="D1116">
            <v>6</v>
          </cell>
          <cell r="E1116">
            <v>0</v>
          </cell>
          <cell r="F1116">
            <v>0</v>
          </cell>
          <cell r="H1116">
            <v>2</v>
          </cell>
          <cell r="O1116">
            <v>406191</v>
          </cell>
          <cell r="P1116" t="str">
            <v>2025/164-0064-01</v>
          </cell>
          <cell r="Q1116" t="str">
            <v>EST ALMOFADA CLAMI (SIMPLES) TC AVELUDADO VERDE</v>
          </cell>
          <cell r="R1116"/>
          <cell r="S1116"/>
          <cell r="T1116">
            <v>0.5</v>
          </cell>
          <cell r="U1116">
            <v>0.5</v>
          </cell>
          <cell r="V1116">
            <v>0</v>
          </cell>
          <cell r="W1116">
            <v>0</v>
          </cell>
          <cell r="X1116" t="str">
            <v>EST ALMOFADA CLAMI (SIMPLES) TC AVELUDADO VERDE - 0,5x0,5x0H</v>
          </cell>
          <cell r="Y1116">
            <v>443.52</v>
          </cell>
          <cell r="Z1116">
            <v>0.35</v>
          </cell>
          <cell r="AA1116">
            <v>288.28800000000001</v>
          </cell>
          <cell r="AB1116"/>
        </row>
        <row r="1117">
          <cell r="C1117">
            <v>0</v>
          </cell>
          <cell r="D1117">
            <v>6</v>
          </cell>
          <cell r="E1117">
            <v>0</v>
          </cell>
          <cell r="F1117">
            <v>0</v>
          </cell>
          <cell r="H1117">
            <v>2</v>
          </cell>
          <cell r="O1117">
            <v>406191</v>
          </cell>
          <cell r="P1117" t="str">
            <v>2025/164-0065-01</v>
          </cell>
          <cell r="Q1117" t="str">
            <v>EST ALMOFADA CLAMI (SIMPLES) TC AVELUDADO VERDE</v>
          </cell>
          <cell r="R1117"/>
          <cell r="S1117"/>
          <cell r="T1117">
            <v>0.5</v>
          </cell>
          <cell r="U1117">
            <v>0.5</v>
          </cell>
          <cell r="V1117">
            <v>0</v>
          </cell>
          <cell r="W1117">
            <v>0</v>
          </cell>
          <cell r="X1117" t="str">
            <v>EST ALMOFADA CLAMI (SIMPLES) TC AVELUDADO VERDE - 0,5x0,5x0H</v>
          </cell>
          <cell r="Y1117">
            <v>443.52</v>
          </cell>
          <cell r="Z1117">
            <v>0.35</v>
          </cell>
          <cell r="AA1117">
            <v>288.28800000000001</v>
          </cell>
          <cell r="AB1117"/>
        </row>
        <row r="1118">
          <cell r="C1118">
            <v>0</v>
          </cell>
          <cell r="D1118">
            <v>6</v>
          </cell>
          <cell r="E1118">
            <v>0</v>
          </cell>
          <cell r="F1118">
            <v>0</v>
          </cell>
          <cell r="H1118">
            <v>2</v>
          </cell>
          <cell r="O1118">
            <v>406191</v>
          </cell>
          <cell r="P1118" t="str">
            <v>2025/164-0066-01</v>
          </cell>
          <cell r="Q1118" t="str">
            <v>EST ALMOFADA CLAMI (SIMPLES) TC AVELUDADO VERDE</v>
          </cell>
          <cell r="R1118"/>
          <cell r="S1118"/>
          <cell r="T1118">
            <v>0.5</v>
          </cell>
          <cell r="U1118">
            <v>0.5</v>
          </cell>
          <cell r="V1118">
            <v>0</v>
          </cell>
          <cell r="W1118">
            <v>0</v>
          </cell>
          <cell r="X1118" t="str">
            <v>EST ALMOFADA CLAMI (SIMPLES) TC AVELUDADO VERDE - 0,5x0,5x0H</v>
          </cell>
          <cell r="Y1118">
            <v>443.52</v>
          </cell>
          <cell r="Z1118">
            <v>0.35</v>
          </cell>
          <cell r="AA1118">
            <v>288.28800000000001</v>
          </cell>
          <cell r="AB1118"/>
        </row>
        <row r="1119">
          <cell r="C1119">
            <v>0</v>
          </cell>
          <cell r="D1119">
            <v>6</v>
          </cell>
          <cell r="E1119">
            <v>0</v>
          </cell>
          <cell r="F1119">
            <v>0</v>
          </cell>
          <cell r="H1119">
            <v>2</v>
          </cell>
          <cell r="O1119">
            <v>406191</v>
          </cell>
          <cell r="P1119" t="str">
            <v>2025/164-0067-01</v>
          </cell>
          <cell r="Q1119" t="str">
            <v>EST ALMOFADA CLAMI (SIMPLES) TC AVELUDADO VERDE</v>
          </cell>
          <cell r="R1119"/>
          <cell r="S1119"/>
          <cell r="T1119">
            <v>0.5</v>
          </cell>
          <cell r="U1119">
            <v>0.5</v>
          </cell>
          <cell r="V1119">
            <v>0</v>
          </cell>
          <cell r="W1119">
            <v>0</v>
          </cell>
          <cell r="X1119" t="str">
            <v>EST ALMOFADA CLAMI (SIMPLES) TC AVELUDADO VERDE - 0,5x0,5x0H</v>
          </cell>
          <cell r="Y1119">
            <v>443.52</v>
          </cell>
          <cell r="Z1119">
            <v>0.35</v>
          </cell>
          <cell r="AA1119">
            <v>288.28800000000001</v>
          </cell>
          <cell r="AB1119"/>
        </row>
        <row r="1120">
          <cell r="C1120">
            <v>0</v>
          </cell>
          <cell r="D1120">
            <v>6</v>
          </cell>
          <cell r="E1120">
            <v>0</v>
          </cell>
          <cell r="F1120">
            <v>0</v>
          </cell>
          <cell r="H1120">
            <v>2</v>
          </cell>
          <cell r="O1120">
            <v>406191</v>
          </cell>
          <cell r="P1120" t="str">
            <v>2025/164-0068-01</v>
          </cell>
          <cell r="Q1120" t="str">
            <v>EST ALMOFADA CLAMI (SIMPLES) TC AVELUDADO VERDE</v>
          </cell>
          <cell r="R1120"/>
          <cell r="S1120"/>
          <cell r="T1120">
            <v>0.5</v>
          </cell>
          <cell r="U1120">
            <v>0.5</v>
          </cell>
          <cell r="V1120">
            <v>0</v>
          </cell>
          <cell r="W1120">
            <v>0</v>
          </cell>
          <cell r="X1120" t="str">
            <v>EST ALMOFADA CLAMI (SIMPLES) TC AVELUDADO VERDE - 0,5x0,5x0H</v>
          </cell>
          <cell r="Y1120">
            <v>443.52</v>
          </cell>
          <cell r="Z1120">
            <v>0.35</v>
          </cell>
          <cell r="AA1120">
            <v>288.28800000000001</v>
          </cell>
          <cell r="AB1120"/>
        </row>
        <row r="1121">
          <cell r="C1121">
            <v>0</v>
          </cell>
          <cell r="D1121">
            <v>6</v>
          </cell>
          <cell r="E1121">
            <v>0</v>
          </cell>
          <cell r="F1121">
            <v>0</v>
          </cell>
          <cell r="H1121">
            <v>2</v>
          </cell>
          <cell r="O1121">
            <v>406191</v>
          </cell>
          <cell r="P1121" t="str">
            <v>2025/164-0069-01</v>
          </cell>
          <cell r="Q1121" t="str">
            <v>EST ALMOFADA CLAMI (SIMPLES) TC AVELUDADO VERDE</v>
          </cell>
          <cell r="R1121"/>
          <cell r="S1121"/>
          <cell r="T1121">
            <v>0.5</v>
          </cell>
          <cell r="U1121">
            <v>0.5</v>
          </cell>
          <cell r="V1121">
            <v>0</v>
          </cell>
          <cell r="W1121">
            <v>0</v>
          </cell>
          <cell r="X1121" t="str">
            <v>EST ALMOFADA CLAMI (SIMPLES) TC AVELUDADO VERDE - 0,5x0,5x0H</v>
          </cell>
          <cell r="Y1121">
            <v>443.52</v>
          </cell>
          <cell r="Z1121">
            <v>0.35</v>
          </cell>
          <cell r="AA1121">
            <v>288.28800000000001</v>
          </cell>
          <cell r="AB1121"/>
        </row>
        <row r="1122">
          <cell r="C1122">
            <v>0</v>
          </cell>
          <cell r="D1122">
            <v>6</v>
          </cell>
          <cell r="E1122">
            <v>0</v>
          </cell>
          <cell r="F1122">
            <v>0</v>
          </cell>
          <cell r="H1122">
            <v>2</v>
          </cell>
          <cell r="O1122">
            <v>406191</v>
          </cell>
          <cell r="P1122" t="str">
            <v>2025/164-0070-01</v>
          </cell>
          <cell r="Q1122" t="str">
            <v>EST ALMOFADA CLAMI (SIMPLES) TC AVELUDADO VERDE</v>
          </cell>
          <cell r="R1122"/>
          <cell r="S1122"/>
          <cell r="T1122">
            <v>0.5</v>
          </cell>
          <cell r="U1122">
            <v>0.5</v>
          </cell>
          <cell r="V1122">
            <v>0</v>
          </cell>
          <cell r="W1122">
            <v>0</v>
          </cell>
          <cell r="X1122" t="str">
            <v>EST ALMOFADA CLAMI (SIMPLES) TC AVELUDADO VERDE - 0,5x0,5x0H</v>
          </cell>
          <cell r="Y1122">
            <v>443.52</v>
          </cell>
          <cell r="Z1122">
            <v>0.35</v>
          </cell>
          <cell r="AA1122">
            <v>288.28800000000001</v>
          </cell>
          <cell r="AB1122"/>
        </row>
        <row r="1123">
          <cell r="C1123">
            <v>0</v>
          </cell>
          <cell r="D1123">
            <v>6</v>
          </cell>
          <cell r="E1123">
            <v>0</v>
          </cell>
          <cell r="F1123">
            <v>0</v>
          </cell>
          <cell r="H1123">
            <v>2</v>
          </cell>
          <cell r="O1123">
            <v>406191</v>
          </cell>
          <cell r="P1123" t="str">
            <v>2025/164-0071-01</v>
          </cell>
          <cell r="Q1123" t="str">
            <v>EST ALMOFADA CLAMI (SIMPLES) TC AVELUDADO VERDE</v>
          </cell>
          <cell r="R1123"/>
          <cell r="S1123"/>
          <cell r="T1123">
            <v>0.5</v>
          </cell>
          <cell r="U1123">
            <v>0.5</v>
          </cell>
          <cell r="V1123">
            <v>0</v>
          </cell>
          <cell r="W1123">
            <v>0</v>
          </cell>
          <cell r="X1123" t="str">
            <v>EST ALMOFADA CLAMI (SIMPLES) TC AVELUDADO VERDE - 0,5x0,5x0H</v>
          </cell>
          <cell r="Y1123">
            <v>443.52</v>
          </cell>
          <cell r="Z1123">
            <v>0.35</v>
          </cell>
          <cell r="AA1123">
            <v>288.28800000000001</v>
          </cell>
          <cell r="AB1123"/>
        </row>
        <row r="1124">
          <cell r="C1124">
            <v>2</v>
          </cell>
          <cell r="D1124">
            <v>2</v>
          </cell>
          <cell r="E1124">
            <v>2</v>
          </cell>
          <cell r="F1124">
            <v>0</v>
          </cell>
          <cell r="H1124">
            <v>0</v>
          </cell>
          <cell r="O1124">
            <v>406192</v>
          </cell>
          <cell r="P1124" t="str">
            <v>2025/164-0072-01</v>
          </cell>
          <cell r="Q1124" t="str">
            <v>EST ALMOFADA CLAMI (SIMPLES) TC TRAMADO BR-LARANJA</v>
          </cell>
          <cell r="R1124"/>
          <cell r="S1124"/>
          <cell r="T1124">
            <v>0.5</v>
          </cell>
          <cell r="U1124">
            <v>0.5</v>
          </cell>
          <cell r="V1124">
            <v>0</v>
          </cell>
          <cell r="W1124">
            <v>0</v>
          </cell>
          <cell r="X1124" t="str">
            <v>EST ALMOFADA CLAMI (SIMPLES) TC TRAMADO BR-LARANJA - 0,5x0,5x0H</v>
          </cell>
          <cell r="Y1124">
            <v>443.52</v>
          </cell>
          <cell r="Z1124">
            <v>0.35</v>
          </cell>
          <cell r="AA1124">
            <v>288.28800000000001</v>
          </cell>
          <cell r="AB1124"/>
        </row>
        <row r="1125">
          <cell r="C1125">
            <v>2</v>
          </cell>
          <cell r="D1125">
            <v>2</v>
          </cell>
          <cell r="E1125">
            <v>2</v>
          </cell>
          <cell r="F1125">
            <v>0</v>
          </cell>
          <cell r="H1125">
            <v>0</v>
          </cell>
          <cell r="O1125">
            <v>406192</v>
          </cell>
          <cell r="P1125" t="str">
            <v>2025/164-0073-01</v>
          </cell>
          <cell r="Q1125" t="str">
            <v>EST ALMOFADA CLAMI (SIMPLES) TC TRAMADO BR-LARANJA</v>
          </cell>
          <cell r="R1125"/>
          <cell r="S1125"/>
          <cell r="T1125">
            <v>0.5</v>
          </cell>
          <cell r="U1125">
            <v>0.5</v>
          </cell>
          <cell r="V1125">
            <v>0</v>
          </cell>
          <cell r="W1125">
            <v>0</v>
          </cell>
          <cell r="X1125" t="str">
            <v>EST ALMOFADA CLAMI (SIMPLES) TC TRAMADO BR-LARANJA - 0,5x0,5x0H</v>
          </cell>
          <cell r="Y1125">
            <v>443.52</v>
          </cell>
          <cell r="Z1125">
            <v>0.35</v>
          </cell>
          <cell r="AA1125">
            <v>288.28800000000001</v>
          </cell>
          <cell r="AB1125"/>
        </row>
        <row r="1126">
          <cell r="C1126">
            <v>0</v>
          </cell>
          <cell r="D1126">
            <v>0</v>
          </cell>
          <cell r="E1126">
            <v>3</v>
          </cell>
          <cell r="F1126">
            <v>0</v>
          </cell>
          <cell r="H1126">
            <v>0</v>
          </cell>
          <cell r="O1126">
            <v>406195</v>
          </cell>
          <cell r="P1126" t="str">
            <v>2025/164-0079-01</v>
          </cell>
          <cell r="Q1126" t="str">
            <v>EST ALMOFADA CLAMI (VIVO) TC TRAMADO BRANCO-CINZA/LISO CREME</v>
          </cell>
          <cell r="R1126"/>
          <cell r="S1126"/>
          <cell r="T1126">
            <v>0.5</v>
          </cell>
          <cell r="U1126">
            <v>0.5</v>
          </cell>
          <cell r="V1126">
            <v>0</v>
          </cell>
          <cell r="W1126">
            <v>0</v>
          </cell>
          <cell r="X1126" t="str">
            <v>EST ALMOFADA CLAMI (VIVO) TC TRAMADO BRANCO-CINZA/LISO CREME - 0,5x0,5x0H</v>
          </cell>
          <cell r="Y1126">
            <v>443.52</v>
          </cell>
          <cell r="Z1126">
            <v>0.35</v>
          </cell>
          <cell r="AA1126">
            <v>288.28800000000001</v>
          </cell>
          <cell r="AB1126"/>
        </row>
        <row r="1127">
          <cell r="C1127">
            <v>0</v>
          </cell>
          <cell r="D1127">
            <v>0</v>
          </cell>
          <cell r="E1127">
            <v>3</v>
          </cell>
          <cell r="F1127">
            <v>0</v>
          </cell>
          <cell r="H1127">
            <v>0</v>
          </cell>
          <cell r="O1127">
            <v>406195</v>
          </cell>
          <cell r="P1127" t="str">
            <v>2025/164-0080-01</v>
          </cell>
          <cell r="Q1127" t="str">
            <v>EST ALMOFADA CLAMI (VIVO) TC TRAMADO BRANCO-CINZA/LISO CREME</v>
          </cell>
          <cell r="R1127"/>
          <cell r="S1127"/>
          <cell r="T1127">
            <v>0.5</v>
          </cell>
          <cell r="U1127">
            <v>0.5</v>
          </cell>
          <cell r="V1127">
            <v>0</v>
          </cell>
          <cell r="W1127">
            <v>0</v>
          </cell>
          <cell r="X1127" t="str">
            <v>EST ALMOFADA CLAMI (VIVO) TC TRAMADO BRANCO-CINZA/LISO CREME - 0,5x0,5x0H</v>
          </cell>
          <cell r="Y1127">
            <v>443.52</v>
          </cell>
          <cell r="Z1127">
            <v>0.35</v>
          </cell>
          <cell r="AA1127">
            <v>288.28800000000001</v>
          </cell>
          <cell r="AB1127"/>
        </row>
        <row r="1128">
          <cell r="C1128">
            <v>0</v>
          </cell>
          <cell r="D1128">
            <v>0</v>
          </cell>
          <cell r="E1128">
            <v>3</v>
          </cell>
          <cell r="F1128">
            <v>0</v>
          </cell>
          <cell r="H1128">
            <v>0</v>
          </cell>
          <cell r="O1128">
            <v>406195</v>
          </cell>
          <cell r="P1128" t="str">
            <v>2025/164-0081-01</v>
          </cell>
          <cell r="Q1128" t="str">
            <v>EST ALMOFADA CLAMI (VIVO) TC TRAMADO BRANCO-CINZA/LISO CREME</v>
          </cell>
          <cell r="R1128"/>
          <cell r="S1128"/>
          <cell r="T1128">
            <v>0.5</v>
          </cell>
          <cell r="U1128">
            <v>0.5</v>
          </cell>
          <cell r="V1128">
            <v>0</v>
          </cell>
          <cell r="W1128">
            <v>0</v>
          </cell>
          <cell r="X1128" t="str">
            <v>EST ALMOFADA CLAMI (VIVO) TC TRAMADO BRANCO-CINZA/LISO CREME - 0,5x0,5x0H</v>
          </cell>
          <cell r="Y1128">
            <v>443.52</v>
          </cell>
          <cell r="Z1128">
            <v>0.35</v>
          </cell>
          <cell r="AA1128">
            <v>288.28800000000001</v>
          </cell>
          <cell r="AB1128"/>
        </row>
        <row r="1129">
          <cell r="C1129">
            <v>6</v>
          </cell>
          <cell r="D1129">
            <v>4</v>
          </cell>
          <cell r="E1129">
            <v>3</v>
          </cell>
          <cell r="F1129">
            <v>0</v>
          </cell>
          <cell r="H1129">
            <v>0</v>
          </cell>
          <cell r="O1129">
            <v>406198</v>
          </cell>
          <cell r="P1129" t="str">
            <v>2025/164-0085-01</v>
          </cell>
          <cell r="Q1129" t="str">
            <v>EST ALMOFADA CLAMI (SIMPLES) TC TRAMADO TERRACOTA</v>
          </cell>
          <cell r="R1129"/>
          <cell r="S1129"/>
          <cell r="T1129">
            <v>0.5</v>
          </cell>
          <cell r="U1129">
            <v>0.5</v>
          </cell>
          <cell r="V1129">
            <v>0</v>
          </cell>
          <cell r="W1129">
            <v>0</v>
          </cell>
          <cell r="X1129" t="str">
            <v>EST ALMOFADA CLAMI (SIMPLES) TC TRAMADO TERRACOTA - 0,5x0,5x0H</v>
          </cell>
          <cell r="Y1129">
            <v>443.52</v>
          </cell>
          <cell r="Z1129">
            <v>0.35</v>
          </cell>
          <cell r="AA1129">
            <v>288.28800000000001</v>
          </cell>
          <cell r="AB1129"/>
        </row>
        <row r="1130">
          <cell r="C1130">
            <v>6</v>
          </cell>
          <cell r="D1130">
            <v>4</v>
          </cell>
          <cell r="E1130">
            <v>3</v>
          </cell>
          <cell r="F1130">
            <v>0</v>
          </cell>
          <cell r="H1130">
            <v>0</v>
          </cell>
          <cell r="O1130">
            <v>406198</v>
          </cell>
          <cell r="P1130" t="str">
            <v>2025/164-0086-01</v>
          </cell>
          <cell r="Q1130" t="str">
            <v>EST ALMOFADA CLAMI (SIMPLES) TC TRAMADO TERRACOTA</v>
          </cell>
          <cell r="R1130"/>
          <cell r="S1130"/>
          <cell r="T1130">
            <v>0.5</v>
          </cell>
          <cell r="U1130">
            <v>0.5</v>
          </cell>
          <cell r="V1130">
            <v>0</v>
          </cell>
          <cell r="W1130">
            <v>0</v>
          </cell>
          <cell r="X1130" t="str">
            <v>EST ALMOFADA CLAMI (SIMPLES) TC TRAMADO TERRACOTA - 0,5x0,5x0H</v>
          </cell>
          <cell r="Y1130">
            <v>443.52</v>
          </cell>
          <cell r="Z1130">
            <v>0.35</v>
          </cell>
          <cell r="AA1130">
            <v>288.28800000000001</v>
          </cell>
          <cell r="AB1130"/>
        </row>
        <row r="1131">
          <cell r="C1131">
            <v>6</v>
          </cell>
          <cell r="D1131">
            <v>4</v>
          </cell>
          <cell r="E1131">
            <v>3</v>
          </cell>
          <cell r="F1131">
            <v>0</v>
          </cell>
          <cell r="H1131">
            <v>0</v>
          </cell>
          <cell r="O1131">
            <v>406198</v>
          </cell>
          <cell r="P1131" t="str">
            <v>2025/164-0087-01</v>
          </cell>
          <cell r="Q1131" t="str">
            <v>EST ALMOFADA CLAMI (SIMPLES) TC TRAMADO TERRACOTA</v>
          </cell>
          <cell r="R1131"/>
          <cell r="S1131"/>
          <cell r="T1131">
            <v>0.5</v>
          </cell>
          <cell r="U1131">
            <v>0.5</v>
          </cell>
          <cell r="V1131">
            <v>0</v>
          </cell>
          <cell r="W1131">
            <v>0</v>
          </cell>
          <cell r="X1131" t="str">
            <v>EST ALMOFADA CLAMI (SIMPLES) TC TRAMADO TERRACOTA - 0,5x0,5x0H</v>
          </cell>
          <cell r="Y1131">
            <v>443.52</v>
          </cell>
          <cell r="Z1131">
            <v>0.35</v>
          </cell>
          <cell r="AA1131">
            <v>288.28800000000001</v>
          </cell>
          <cell r="AB1131"/>
        </row>
        <row r="1132">
          <cell r="C1132">
            <v>6</v>
          </cell>
          <cell r="D1132">
            <v>4</v>
          </cell>
          <cell r="E1132">
            <v>3</v>
          </cell>
          <cell r="F1132">
            <v>0</v>
          </cell>
          <cell r="H1132">
            <v>0</v>
          </cell>
          <cell r="O1132">
            <v>406198</v>
          </cell>
          <cell r="P1132" t="str">
            <v>2025/164-0088-01</v>
          </cell>
          <cell r="Q1132" t="str">
            <v>EST ALMOFADA CLAMI (SIMPLES) TC TRAMADO TERRACOTA</v>
          </cell>
          <cell r="R1132"/>
          <cell r="S1132"/>
          <cell r="T1132">
            <v>0.5</v>
          </cell>
          <cell r="U1132">
            <v>0.5</v>
          </cell>
          <cell r="V1132">
            <v>0</v>
          </cell>
          <cell r="W1132">
            <v>0</v>
          </cell>
          <cell r="X1132" t="str">
            <v>EST ALMOFADA CLAMI (SIMPLES) TC TRAMADO TERRACOTA - 0,5x0,5x0H</v>
          </cell>
          <cell r="Y1132">
            <v>443.52</v>
          </cell>
          <cell r="Z1132">
            <v>0.35</v>
          </cell>
          <cell r="AA1132">
            <v>288.28800000000001</v>
          </cell>
          <cell r="AB1132"/>
        </row>
        <row r="1133">
          <cell r="C1133" t="e">
            <v>#N/A</v>
          </cell>
          <cell r="D1133" t="e">
            <v>#N/A</v>
          </cell>
          <cell r="E1133" t="e">
            <v>#N/A</v>
          </cell>
          <cell r="F1133" t="e">
            <v>#N/A</v>
          </cell>
          <cell r="H1133" t="e">
            <v>#N/A</v>
          </cell>
          <cell r="O1133">
            <v>406202</v>
          </cell>
          <cell r="P1133" t="str">
            <v>2025/164-0098-01</v>
          </cell>
          <cell r="Q1133" t="e">
            <v>#N/A</v>
          </cell>
          <cell r="R1133"/>
          <cell r="S1133"/>
          <cell r="T1133" t="e">
            <v>#N/A</v>
          </cell>
          <cell r="U1133" t="e">
            <v>#N/A</v>
          </cell>
          <cell r="V1133" t="e">
            <v>#N/A</v>
          </cell>
          <cell r="W1133" t="e">
            <v>#N/A</v>
          </cell>
          <cell r="X1133" t="e">
            <v>#N/A</v>
          </cell>
          <cell r="Y1133">
            <v>443.52</v>
          </cell>
          <cell r="Z1133">
            <v>0.35</v>
          </cell>
          <cell r="AA1133">
            <v>288.28800000000001</v>
          </cell>
          <cell r="AB1133"/>
        </row>
        <row r="1134">
          <cell r="C1134" t="e">
            <v>#N/A</v>
          </cell>
          <cell r="D1134" t="e">
            <v>#N/A</v>
          </cell>
          <cell r="E1134" t="e">
            <v>#N/A</v>
          </cell>
          <cell r="F1134" t="e">
            <v>#N/A</v>
          </cell>
          <cell r="H1134" t="e">
            <v>#N/A</v>
          </cell>
          <cell r="O1134">
            <v>406202</v>
          </cell>
          <cell r="P1134" t="str">
            <v>2025/164-0099-01</v>
          </cell>
          <cell r="Q1134" t="e">
            <v>#N/A</v>
          </cell>
          <cell r="R1134"/>
          <cell r="S1134"/>
          <cell r="T1134" t="e">
            <v>#N/A</v>
          </cell>
          <cell r="U1134" t="e">
            <v>#N/A</v>
          </cell>
          <cell r="V1134" t="e">
            <v>#N/A</v>
          </cell>
          <cell r="W1134" t="e">
            <v>#N/A</v>
          </cell>
          <cell r="X1134" t="e">
            <v>#N/A</v>
          </cell>
          <cell r="Y1134">
            <v>443.52</v>
          </cell>
          <cell r="Z1134">
            <v>0.35</v>
          </cell>
          <cell r="AA1134">
            <v>288.28800000000001</v>
          </cell>
          <cell r="AB1134"/>
        </row>
        <row r="1135">
          <cell r="C1135" t="e">
            <v>#N/A</v>
          </cell>
          <cell r="D1135" t="e">
            <v>#N/A</v>
          </cell>
          <cell r="E1135" t="e">
            <v>#N/A</v>
          </cell>
          <cell r="F1135" t="e">
            <v>#N/A</v>
          </cell>
          <cell r="H1135" t="e">
            <v>#N/A</v>
          </cell>
          <cell r="O1135">
            <v>406202</v>
          </cell>
          <cell r="P1135" t="str">
            <v>2025/164-0100-01</v>
          </cell>
          <cell r="Q1135" t="e">
            <v>#N/A</v>
          </cell>
          <cell r="R1135"/>
          <cell r="S1135"/>
          <cell r="T1135" t="e">
            <v>#N/A</v>
          </cell>
          <cell r="U1135" t="e">
            <v>#N/A</v>
          </cell>
          <cell r="V1135" t="e">
            <v>#N/A</v>
          </cell>
          <cell r="W1135" t="e">
            <v>#N/A</v>
          </cell>
          <cell r="X1135" t="e">
            <v>#N/A</v>
          </cell>
          <cell r="Y1135">
            <v>443.52</v>
          </cell>
          <cell r="Z1135">
            <v>0.35</v>
          </cell>
          <cell r="AA1135">
            <v>288.28800000000001</v>
          </cell>
          <cell r="AB1135"/>
        </row>
        <row r="1136">
          <cell r="C1136" t="e">
            <v>#N/A</v>
          </cell>
          <cell r="D1136" t="e">
            <v>#N/A</v>
          </cell>
          <cell r="E1136" t="e">
            <v>#N/A</v>
          </cell>
          <cell r="F1136" t="e">
            <v>#N/A</v>
          </cell>
          <cell r="H1136" t="e">
            <v>#N/A</v>
          </cell>
          <cell r="O1136">
            <v>406202</v>
          </cell>
          <cell r="P1136" t="str">
            <v>2025/164-0101-01</v>
          </cell>
          <cell r="Q1136" t="e">
            <v>#N/A</v>
          </cell>
          <cell r="R1136"/>
          <cell r="S1136"/>
          <cell r="T1136" t="e">
            <v>#N/A</v>
          </cell>
          <cell r="U1136" t="e">
            <v>#N/A</v>
          </cell>
          <cell r="V1136" t="e">
            <v>#N/A</v>
          </cell>
          <cell r="W1136" t="e">
            <v>#N/A</v>
          </cell>
          <cell r="X1136" t="e">
            <v>#N/A</v>
          </cell>
          <cell r="Y1136">
            <v>443.52</v>
          </cell>
          <cell r="Z1136">
            <v>0.35</v>
          </cell>
          <cell r="AA1136">
            <v>288.28800000000001</v>
          </cell>
          <cell r="AB1136"/>
        </row>
        <row r="1137">
          <cell r="C1137">
            <v>0</v>
          </cell>
          <cell r="D1137">
            <v>1</v>
          </cell>
          <cell r="E1137">
            <v>0</v>
          </cell>
          <cell r="F1137">
            <v>0</v>
          </cell>
          <cell r="H1137">
            <v>0</v>
          </cell>
          <cell r="O1137">
            <v>234335</v>
          </cell>
          <cell r="P1137" t="str">
            <v>2019/261-0061-01</v>
          </cell>
          <cell r="Q1137" t="str">
            <v>EST LUMINARIA GHOST PISO G/BS PEDRA NEGRA</v>
          </cell>
          <cell r="R1137"/>
          <cell r="S1137"/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 t="str">
            <v>EST LUMINARIA GHOST PISO G/BS PEDRA NEGRA - Ø0x0H</v>
          </cell>
          <cell r="Y1137">
            <v>29934.06</v>
          </cell>
          <cell r="Z1137">
            <v>0.5</v>
          </cell>
          <cell r="AA1137">
            <v>14967.03</v>
          </cell>
          <cell r="AB1137"/>
        </row>
        <row r="1138">
          <cell r="C1138">
            <v>0</v>
          </cell>
          <cell r="D1138">
            <v>0</v>
          </cell>
          <cell r="E1138">
            <v>1</v>
          </cell>
          <cell r="F1138">
            <v>0</v>
          </cell>
          <cell r="H1138">
            <v>0</v>
          </cell>
          <cell r="O1138">
            <v>377925</v>
          </cell>
          <cell r="P1138" t="str">
            <v>2023/304-0068-01</v>
          </cell>
          <cell r="Q1138" t="str">
            <v>EST MESA LATERAL ALEXANDRIA (TP MARM GTMALA) (BS MTZ GOLDEN)</v>
          </cell>
          <cell r="R1138"/>
          <cell r="S1138"/>
          <cell r="T1138">
            <v>0.6</v>
          </cell>
          <cell r="U1138">
            <v>0</v>
          </cell>
          <cell r="V1138">
            <v>0.4</v>
          </cell>
          <cell r="W1138">
            <v>0.6</v>
          </cell>
          <cell r="X1138" t="str">
            <v>EST MESA LATERAL ALEXANDRIA (TP MARM GTMALA) (BS MTZ GOLDEN) - Ø0,6x0,4H</v>
          </cell>
          <cell r="Y1138">
            <v>16446.259999999998</v>
          </cell>
          <cell r="Z1138">
            <v>0.35</v>
          </cell>
          <cell r="AA1138">
            <v>10690.069</v>
          </cell>
          <cell r="AB1138"/>
        </row>
        <row r="1139">
          <cell r="C1139">
            <v>0</v>
          </cell>
          <cell r="D1139">
            <v>0</v>
          </cell>
          <cell r="E1139">
            <v>1</v>
          </cell>
          <cell r="F1139">
            <v>0</v>
          </cell>
          <cell r="H1139">
            <v>0</v>
          </cell>
          <cell r="O1139">
            <v>378475</v>
          </cell>
          <cell r="P1139" t="str">
            <v>2024/030-0009-01</v>
          </cell>
          <cell r="Q1139" t="str">
            <v>EST MESA LATERAL HIMALAYA (CLAS) (MARM 1 ARMANI) (WALNUT)</v>
          </cell>
          <cell r="R1139"/>
          <cell r="S1139"/>
          <cell r="T1139">
            <v>0.5</v>
          </cell>
          <cell r="U1139">
            <v>0</v>
          </cell>
          <cell r="V1139">
            <v>0.45</v>
          </cell>
          <cell r="W1139">
            <v>0.5</v>
          </cell>
          <cell r="X1139" t="str">
            <v>EST MESA LATERAL HIMALAYA (CLAS) (MARM 1 ARMANI) (WALNUT) - Ø0,5x0,45H</v>
          </cell>
          <cell r="Y1139">
            <v>13843.16</v>
          </cell>
          <cell r="Z1139">
            <v>0.35</v>
          </cell>
          <cell r="AA1139">
            <v>8998.0540000000001</v>
          </cell>
          <cell r="AB1139"/>
        </row>
        <row r="1140">
          <cell r="C1140">
            <v>0</v>
          </cell>
          <cell r="D1140">
            <v>0</v>
          </cell>
          <cell r="E1140">
            <v>1</v>
          </cell>
          <cell r="F1140">
            <v>0</v>
          </cell>
          <cell r="H1140">
            <v>0</v>
          </cell>
          <cell r="O1140">
            <v>378484</v>
          </cell>
          <cell r="P1140" t="str">
            <v>2024/075-0005-01</v>
          </cell>
          <cell r="Q1140" t="str">
            <v>EST MESA CENTRO HIMALAYA (CLAS) (MARM 1 ARMANI) (WALNUT)</v>
          </cell>
          <cell r="R1140"/>
          <cell r="S1140"/>
          <cell r="T1140">
            <v>1.2</v>
          </cell>
          <cell r="U1140">
            <v>0</v>
          </cell>
          <cell r="V1140">
            <v>0.35</v>
          </cell>
          <cell r="W1140">
            <v>1.2</v>
          </cell>
          <cell r="X1140" t="str">
            <v>EST MESA CENTRO HIMALAYA (CLAS) (MARM 1 ARMANI) (WALNUT) - Ø1,2x0,35H</v>
          </cell>
          <cell r="Y1140">
            <v>43885.41</v>
          </cell>
          <cell r="Z1140">
            <v>0.35</v>
          </cell>
          <cell r="AA1140">
            <v>28525.516500000005</v>
          </cell>
          <cell r="AB1140"/>
        </row>
        <row r="1141">
          <cell r="C1141">
            <v>0</v>
          </cell>
          <cell r="D1141">
            <v>1</v>
          </cell>
          <cell r="E1141">
            <v>1</v>
          </cell>
          <cell r="F1141">
            <v>0</v>
          </cell>
          <cell r="H1141">
            <v>2</v>
          </cell>
          <cell r="O1141">
            <v>391647</v>
          </cell>
          <cell r="P1141" t="str">
            <v>2024/351-0041-01</v>
          </cell>
          <cell r="Q1141" t="str">
            <v>EST BANQUETA BAR FINA H81 C/B (FREIJO) (MIS) COURO CH OLIVA</v>
          </cell>
          <cell r="R1141"/>
          <cell r="S1141"/>
          <cell r="T1141">
            <v>0.48</v>
          </cell>
          <cell r="U1141">
            <v>0.55000000000000004</v>
          </cell>
          <cell r="V1141">
            <v>1.21</v>
          </cell>
          <cell r="W1141">
            <v>0</v>
          </cell>
          <cell r="X1141" t="str">
            <v>EST BANQUETA BAR FINA H81 C/B (FREIJO) (MIS) COURO CH OLIVA - 0,48x0,55x1,21H</v>
          </cell>
          <cell r="Y1141">
            <v>13139.66</v>
          </cell>
          <cell r="Z1141">
            <v>0.35</v>
          </cell>
          <cell r="AA1141">
            <v>8540.7790000000005</v>
          </cell>
          <cell r="AB1141"/>
        </row>
        <row r="1142">
          <cell r="C1142">
            <v>0</v>
          </cell>
          <cell r="D1142">
            <v>1</v>
          </cell>
          <cell r="E1142">
            <v>1</v>
          </cell>
          <cell r="F1142">
            <v>0</v>
          </cell>
          <cell r="H1142">
            <v>2</v>
          </cell>
          <cell r="O1142">
            <v>391647</v>
          </cell>
          <cell r="P1142" t="str">
            <v>2024/351-0042-01</v>
          </cell>
          <cell r="Q1142" t="str">
            <v>EST BANQUETA BAR FINA H81 C/B (FREIJO) (MIS) COURO CH OLIVA</v>
          </cell>
          <cell r="R1142"/>
          <cell r="S1142"/>
          <cell r="T1142">
            <v>0.48</v>
          </cell>
          <cell r="U1142">
            <v>0.55000000000000004</v>
          </cell>
          <cell r="V1142">
            <v>1.21</v>
          </cell>
          <cell r="W1142">
            <v>0</v>
          </cell>
          <cell r="X1142" t="str">
            <v>EST BANQUETA BAR FINA H81 C/B (FREIJO) (MIS) COURO CH OLIVA - 0,48x0,55x1,21H</v>
          </cell>
          <cell r="Y1142">
            <v>13139.66</v>
          </cell>
          <cell r="Z1142">
            <v>0.35</v>
          </cell>
          <cell r="AA1142">
            <v>8540.7790000000005</v>
          </cell>
          <cell r="AB1142"/>
        </row>
        <row r="1143">
          <cell r="C1143">
            <v>0</v>
          </cell>
          <cell r="D1143">
            <v>1</v>
          </cell>
          <cell r="E1143">
            <v>1</v>
          </cell>
          <cell r="F1143">
            <v>0</v>
          </cell>
          <cell r="H1143">
            <v>2</v>
          </cell>
          <cell r="O1143">
            <v>391647</v>
          </cell>
          <cell r="P1143" t="str">
            <v>2024/351-0044-01</v>
          </cell>
          <cell r="Q1143" t="str">
            <v>EST BANQUETA BAR FINA H81 C/B (FREIJO) (MIS) COURO CH OLIVA</v>
          </cell>
          <cell r="R1143"/>
          <cell r="S1143"/>
          <cell r="T1143">
            <v>0.48</v>
          </cell>
          <cell r="U1143">
            <v>0.55000000000000004</v>
          </cell>
          <cell r="V1143">
            <v>1.21</v>
          </cell>
          <cell r="W1143">
            <v>0</v>
          </cell>
          <cell r="X1143" t="str">
            <v>EST BANQUETA BAR FINA H81 C/B (FREIJO) (MIS) COURO CH OLIVA - 0,48x0,55x1,21H</v>
          </cell>
          <cell r="Y1143">
            <v>13139.66</v>
          </cell>
          <cell r="Z1143">
            <v>0.35</v>
          </cell>
          <cell r="AA1143">
            <v>8540.7790000000005</v>
          </cell>
          <cell r="AB1143"/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1</v>
          </cell>
          <cell r="H1144">
            <v>0</v>
          </cell>
          <cell r="O1144">
            <v>363885</v>
          </cell>
          <cell r="P1144" t="str">
            <v>2023/152-0022-01</v>
          </cell>
          <cell r="Q1144" t="str">
            <v>EST MESA JANTAR BELIZE (MADEIRA) TP/BS LAMINA NOGUEIRA</v>
          </cell>
          <cell r="R1144"/>
          <cell r="S1144"/>
          <cell r="T1144">
            <v>3</v>
          </cell>
          <cell r="U1144">
            <v>1.4</v>
          </cell>
          <cell r="V1144">
            <v>0.76</v>
          </cell>
          <cell r="W1144">
            <v>0</v>
          </cell>
          <cell r="X1144" t="str">
            <v>EST MESA JANTAR BELIZE (MADEIRA) TP/BS LAMINA NOGUEIRA - 3x1,4x0,76H</v>
          </cell>
          <cell r="Y1144">
            <v>27097.95</v>
          </cell>
          <cell r="Z1144">
            <v>0.35</v>
          </cell>
          <cell r="AA1144">
            <v>17613.667500000003</v>
          </cell>
          <cell r="AB1144"/>
        </row>
        <row r="1145">
          <cell r="C1145">
            <v>0</v>
          </cell>
          <cell r="D1145">
            <v>1</v>
          </cell>
          <cell r="E1145">
            <v>0</v>
          </cell>
          <cell r="F1145">
            <v>0</v>
          </cell>
          <cell r="H1145">
            <v>0</v>
          </cell>
          <cell r="O1145">
            <v>400731</v>
          </cell>
          <cell r="P1145" t="str">
            <v>2025/107-0148-01</v>
          </cell>
          <cell r="Q1145" t="str">
            <v>EST MESA JANTAR ORIENTE TEKA NOGAL (CTO ARRED) CRISTAL NEVOA</v>
          </cell>
          <cell r="R1145"/>
          <cell r="S1145"/>
          <cell r="T1145">
            <v>2</v>
          </cell>
          <cell r="U1145">
            <v>1</v>
          </cell>
          <cell r="V1145">
            <v>0.76</v>
          </cell>
          <cell r="W1145">
            <v>0</v>
          </cell>
          <cell r="X1145" t="str">
            <v>EST MESA JANTAR ORIENTE TEKA NOGAL (CTO ARRED) CRISTAL NEVOA - 2x1x0,76H</v>
          </cell>
          <cell r="Y1145">
            <v>27131.87</v>
          </cell>
          <cell r="Z1145">
            <v>0.35</v>
          </cell>
          <cell r="AA1145">
            <v>17635.715499999998</v>
          </cell>
          <cell r="AB1145"/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H1146">
            <v>1</v>
          </cell>
          <cell r="O1146">
            <v>327118</v>
          </cell>
          <cell r="P1146" t="str">
            <v>2022/126-0046-01</v>
          </cell>
          <cell r="Q1146" t="str">
            <v>EST MESA CENTRO SANTIAGO (TRI) (MTX PRETO) (MARM VERDE)</v>
          </cell>
          <cell r="R1146"/>
          <cell r="S1146"/>
          <cell r="T1146">
            <v>1.4</v>
          </cell>
          <cell r="U1146">
            <v>1.5</v>
          </cell>
          <cell r="V1146">
            <v>0.32</v>
          </cell>
          <cell r="W1146">
            <v>0</v>
          </cell>
          <cell r="X1146" t="str">
            <v>EST MESA CENTRO SANTIAGO (TRI) (MTX PRETO) (MARM VERDE) - 1,4x1,5x0,32H</v>
          </cell>
          <cell r="Y1146">
            <v>32531.19</v>
          </cell>
          <cell r="Z1146">
            <v>0.5</v>
          </cell>
          <cell r="AA1146">
            <v>16265.594999999999</v>
          </cell>
          <cell r="AB1146"/>
        </row>
        <row r="1147">
          <cell r="C1147">
            <v>0</v>
          </cell>
          <cell r="D1147">
            <v>0</v>
          </cell>
          <cell r="E1147">
            <v>1</v>
          </cell>
          <cell r="F1147">
            <v>1</v>
          </cell>
          <cell r="H1147">
            <v>0</v>
          </cell>
          <cell r="O1147">
            <v>260958</v>
          </cell>
          <cell r="P1147" t="str">
            <v>2021/067-0054-01</v>
          </cell>
          <cell r="Q1147" t="str">
            <v>EST BANCO MARINA REV (FREIJO) COURO TPE138/WKY26/LT ENV</v>
          </cell>
          <cell r="R1147"/>
          <cell r="S1147"/>
          <cell r="T1147">
            <v>2</v>
          </cell>
          <cell r="U1147">
            <v>0.5</v>
          </cell>
          <cell r="V1147">
            <v>0.37</v>
          </cell>
          <cell r="W1147">
            <v>0</v>
          </cell>
          <cell r="X1147" t="str">
            <v>EST BANCO MARINA REV (FREIJO) COURO TPE138/WKY26/LT ENV - 2x0,5x0,37H</v>
          </cell>
          <cell r="Y1147">
            <v>27664.81</v>
          </cell>
          <cell r="Z1147">
            <v>0.35</v>
          </cell>
          <cell r="AA1147">
            <v>17982.126500000002</v>
          </cell>
          <cell r="AB1147"/>
        </row>
        <row r="1148">
          <cell r="C1148">
            <v>0</v>
          </cell>
          <cell r="D1148">
            <v>0</v>
          </cell>
          <cell r="E1148">
            <v>2</v>
          </cell>
          <cell r="F1148">
            <v>0</v>
          </cell>
          <cell r="H1148">
            <v>0</v>
          </cell>
          <cell r="O1148">
            <v>371534</v>
          </cell>
          <cell r="P1148" t="str">
            <v>2023/192-0009-01</v>
          </cell>
          <cell r="Q1148" t="str">
            <v>EST POLTRONA ARCO (JEQ CAST CLARO) (FENDI) COURO CH ENV 32</v>
          </cell>
          <cell r="R1148"/>
          <cell r="S1148"/>
          <cell r="T1148">
            <v>0.75</v>
          </cell>
          <cell r="U1148">
            <v>0.91</v>
          </cell>
          <cell r="V1148">
            <v>0.7</v>
          </cell>
          <cell r="W1148">
            <v>0</v>
          </cell>
          <cell r="X1148" t="str">
            <v>EST POLTRONA ARCO (JEQ CAST CLARO) (FENDI) COURO CH ENV 32 - 0,75x0,91x0,7H</v>
          </cell>
          <cell r="Y1148">
            <v>15566.07</v>
          </cell>
          <cell r="Z1148">
            <v>0.35</v>
          </cell>
          <cell r="AA1148">
            <v>10117.9455</v>
          </cell>
          <cell r="AB1148"/>
        </row>
        <row r="1149">
          <cell r="C1149">
            <v>0</v>
          </cell>
          <cell r="D1149">
            <v>0</v>
          </cell>
          <cell r="E1149">
            <v>2</v>
          </cell>
          <cell r="F1149">
            <v>0</v>
          </cell>
          <cell r="H1149">
            <v>0</v>
          </cell>
          <cell r="O1149">
            <v>371534</v>
          </cell>
          <cell r="P1149" t="str">
            <v>2023/192-0010-01</v>
          </cell>
          <cell r="Q1149" t="str">
            <v>EST POLTRONA ARCO (JEQ CAST CLARO) (FENDI) COURO CH ENV 32</v>
          </cell>
          <cell r="R1149"/>
          <cell r="S1149"/>
          <cell r="T1149">
            <v>0.75</v>
          </cell>
          <cell r="U1149">
            <v>0.91</v>
          </cell>
          <cell r="V1149">
            <v>0.7</v>
          </cell>
          <cell r="W1149">
            <v>0</v>
          </cell>
          <cell r="X1149" t="str">
            <v>EST POLTRONA ARCO (JEQ CAST CLARO) (FENDI) COURO CH ENV 32 - 0,75x0,91x0,7H</v>
          </cell>
          <cell r="Y1149">
            <v>15566.07</v>
          </cell>
          <cell r="Z1149">
            <v>0.35</v>
          </cell>
          <cell r="AA1149">
            <v>10117.9455</v>
          </cell>
          <cell r="AB1149"/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1</v>
          </cell>
          <cell r="H1150">
            <v>0</v>
          </cell>
          <cell r="O1150">
            <v>362672</v>
          </cell>
          <cell r="P1150" t="str">
            <v>2023/104-0015-01</v>
          </cell>
          <cell r="Q1150" t="str">
            <v>EST MESA LATERAL MARINA (TAUARI TING NOG) COURO TP138/LT ENV</v>
          </cell>
          <cell r="R1150"/>
          <cell r="S1150"/>
          <cell r="T1150">
            <v>0.85</v>
          </cell>
          <cell r="U1150">
            <v>0.5</v>
          </cell>
          <cell r="V1150">
            <v>0.45</v>
          </cell>
          <cell r="W1150">
            <v>0</v>
          </cell>
          <cell r="X1150" t="str">
            <v>EST MESA LATERAL MARINA (TAUARI TING NOG) COURO TP138/LT ENV - 0,85x0,5x0,45H</v>
          </cell>
          <cell r="Y1150">
            <v>14414.13</v>
          </cell>
          <cell r="Z1150">
            <v>0.35</v>
          </cell>
          <cell r="AA1150">
            <v>9369.1844999999994</v>
          </cell>
          <cell r="AB1150"/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2</v>
          </cell>
          <cell r="H1151">
            <v>0</v>
          </cell>
          <cell r="O1151">
            <v>371699</v>
          </cell>
          <cell r="P1151" t="str">
            <v>2023/234-0033-01</v>
          </cell>
          <cell r="Q1151" t="str">
            <v>EST POLTRONA ARCO (JEQ IMB CLARO) (VERDE) COURO CH ENV 16</v>
          </cell>
          <cell r="R1151"/>
          <cell r="S1151"/>
          <cell r="T1151">
            <v>0.75</v>
          </cell>
          <cell r="U1151">
            <v>0.91</v>
          </cell>
          <cell r="V1151">
            <v>0.7</v>
          </cell>
          <cell r="W1151">
            <v>0</v>
          </cell>
          <cell r="X1151" t="str">
            <v>EST POLTRONA ARCO (JEQ IMB CLARO) (VERDE) COURO CH ENV 16 - 0,75x0,91x0,7H</v>
          </cell>
          <cell r="Y1151">
            <v>15566.07</v>
          </cell>
          <cell r="Z1151">
            <v>0.35</v>
          </cell>
          <cell r="AA1151">
            <v>10117.9455</v>
          </cell>
          <cell r="AB1151"/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2</v>
          </cell>
          <cell r="H1152">
            <v>0</v>
          </cell>
          <cell r="O1152">
            <v>371699</v>
          </cell>
          <cell r="P1152" t="str">
            <v>2023/234-0034-01</v>
          </cell>
          <cell r="Q1152" t="str">
            <v>EST POLTRONA ARCO (JEQ IMB CLARO) (VERDE) COURO CH ENV 16</v>
          </cell>
          <cell r="R1152"/>
          <cell r="S1152"/>
          <cell r="T1152">
            <v>0.75</v>
          </cell>
          <cell r="U1152">
            <v>0.91</v>
          </cell>
          <cell r="V1152">
            <v>0.7</v>
          </cell>
          <cell r="W1152">
            <v>0</v>
          </cell>
          <cell r="X1152" t="str">
            <v>EST POLTRONA ARCO (JEQ IMB CLARO) (VERDE) COURO CH ENV 16 - 0,75x0,91x0,7H</v>
          </cell>
          <cell r="Y1152">
            <v>15566.07</v>
          </cell>
          <cell r="Z1152">
            <v>0.35</v>
          </cell>
          <cell r="AA1152">
            <v>10117.9455</v>
          </cell>
          <cell r="AB1152"/>
        </row>
        <row r="1153">
          <cell r="C1153">
            <v>0</v>
          </cell>
          <cell r="D1153">
            <v>1</v>
          </cell>
          <cell r="E1153">
            <v>0</v>
          </cell>
          <cell r="F1153">
            <v>0</v>
          </cell>
          <cell r="H1153">
            <v>0</v>
          </cell>
          <cell r="O1153">
            <v>260950</v>
          </cell>
          <cell r="P1153" t="str">
            <v>2020/343-0149-01</v>
          </cell>
          <cell r="Q1153" t="str">
            <v>EST CADEIRA LOGAN C/B JANTAR (FREIJO) (ESTOF) COURO CH 32</v>
          </cell>
          <cell r="R1153"/>
          <cell r="S1153"/>
          <cell r="T1153">
            <v>0.62</v>
          </cell>
          <cell r="U1153">
            <v>0.6</v>
          </cell>
          <cell r="V1153">
            <v>0.84</v>
          </cell>
          <cell r="W1153">
            <v>0</v>
          </cell>
          <cell r="X1153" t="str">
            <v>EST CADEIRA LOGAN C/B JANTAR (FREIJO) (ESTOF) COURO CH 32 - 0,62x0,6x0,84H</v>
          </cell>
          <cell r="Y1153">
            <v>13913.720000000001</v>
          </cell>
          <cell r="Z1153">
            <v>0.35</v>
          </cell>
          <cell r="AA1153">
            <v>9043.9180000000015</v>
          </cell>
          <cell r="AB1153"/>
        </row>
        <row r="1154">
          <cell r="C1154">
            <v>0</v>
          </cell>
          <cell r="D1154">
            <v>1</v>
          </cell>
          <cell r="E1154">
            <v>0</v>
          </cell>
          <cell r="F1154">
            <v>0</v>
          </cell>
          <cell r="H1154">
            <v>1</v>
          </cell>
          <cell r="O1154">
            <v>260959</v>
          </cell>
          <cell r="P1154" t="str">
            <v>2020/192-0034-01</v>
          </cell>
          <cell r="Q1154" t="str">
            <v>EST MESA LATERAL MARINA (IMBUIA) CAMURCA AVELA 25/LT ENV</v>
          </cell>
          <cell r="R1154"/>
          <cell r="S1154"/>
          <cell r="T1154">
            <v>0.85</v>
          </cell>
          <cell r="U1154">
            <v>0.5</v>
          </cell>
          <cell r="V1154">
            <v>0.45</v>
          </cell>
          <cell r="W1154">
            <v>0</v>
          </cell>
          <cell r="X1154" t="str">
            <v>EST MESA LATERAL MARINA (IMBUIA) CAMURCA AVELA 25/LT ENV - 0,85x0,5x0,45H</v>
          </cell>
          <cell r="Y1154">
            <v>15154.94</v>
          </cell>
          <cell r="Z1154">
            <v>0.35</v>
          </cell>
          <cell r="AA1154">
            <v>9850.7109999999993</v>
          </cell>
          <cell r="AB1154"/>
        </row>
        <row r="1155">
          <cell r="C1155">
            <v>0</v>
          </cell>
          <cell r="D1155">
            <v>2</v>
          </cell>
          <cell r="E1155">
            <v>0</v>
          </cell>
          <cell r="F1155">
            <v>0</v>
          </cell>
          <cell r="H1155">
            <v>0</v>
          </cell>
          <cell r="O1155">
            <v>371700</v>
          </cell>
          <cell r="P1155" t="str">
            <v>2023/234-0035-01</v>
          </cell>
          <cell r="Q1155" t="str">
            <v>EST POLTRONA ARCO (JEQ IMB CLARO) (MARROM) COURO CH ENV 01</v>
          </cell>
          <cell r="R1155"/>
          <cell r="S1155"/>
          <cell r="T1155">
            <v>0.75</v>
          </cell>
          <cell r="U1155">
            <v>0.91</v>
          </cell>
          <cell r="V1155">
            <v>0.7</v>
          </cell>
          <cell r="W1155">
            <v>0</v>
          </cell>
          <cell r="X1155" t="str">
            <v>EST POLTRONA ARCO (JEQ IMB CLARO) (MARROM) COURO CH ENV 01 - 0,75x0,91x0,7H</v>
          </cell>
          <cell r="Y1155">
            <v>15566.07</v>
          </cell>
          <cell r="Z1155">
            <v>0.35</v>
          </cell>
          <cell r="AA1155">
            <v>10117.9455</v>
          </cell>
          <cell r="AB1155"/>
        </row>
        <row r="1156">
          <cell r="C1156">
            <v>0</v>
          </cell>
          <cell r="D1156">
            <v>2</v>
          </cell>
          <cell r="E1156">
            <v>0</v>
          </cell>
          <cell r="F1156">
            <v>0</v>
          </cell>
          <cell r="H1156">
            <v>0</v>
          </cell>
          <cell r="O1156">
            <v>371700</v>
          </cell>
          <cell r="P1156" t="str">
            <v>2023/234-0036-01</v>
          </cell>
          <cell r="Q1156" t="str">
            <v>EST POLTRONA ARCO (JEQ IMB CLARO) (MARROM) COURO CH ENV 01</v>
          </cell>
          <cell r="R1156"/>
          <cell r="S1156"/>
          <cell r="T1156">
            <v>0.75</v>
          </cell>
          <cell r="U1156">
            <v>0.91</v>
          </cell>
          <cell r="V1156">
            <v>0.7</v>
          </cell>
          <cell r="W1156">
            <v>0</v>
          </cell>
          <cell r="X1156" t="str">
            <v>EST POLTRONA ARCO (JEQ IMB CLARO) (MARROM) COURO CH ENV 01 - 0,75x0,91x0,7H</v>
          </cell>
          <cell r="Y1156">
            <v>15566.07</v>
          </cell>
          <cell r="Z1156">
            <v>0.35</v>
          </cell>
          <cell r="AA1156">
            <v>10117.9455</v>
          </cell>
          <cell r="AB1156"/>
        </row>
        <row r="1157">
          <cell r="C1157">
            <v>0</v>
          </cell>
          <cell r="D1157">
            <v>1</v>
          </cell>
          <cell r="E1157">
            <v>0</v>
          </cell>
          <cell r="F1157">
            <v>0</v>
          </cell>
          <cell r="H1157">
            <v>0</v>
          </cell>
          <cell r="O1157">
            <v>371707</v>
          </cell>
          <cell r="P1157" t="str">
            <v>2023/234-0041-01</v>
          </cell>
          <cell r="Q1157" t="str">
            <v>EST POLTRONA YUMI FORN COURO CH ENV 32/JEQ CAST CLARO</v>
          </cell>
          <cell r="R1157"/>
          <cell r="S1157"/>
          <cell r="T1157">
            <v>1.1599999999999999</v>
          </cell>
          <cell r="U1157">
            <v>0.86</v>
          </cell>
          <cell r="V1157">
            <v>0.84</v>
          </cell>
          <cell r="W1157">
            <v>0</v>
          </cell>
          <cell r="X1157" t="str">
            <v>EST POLTRONA YUMI FORN COURO CH ENV 32/JEQ CAST CLARO - 1,16x0,86x0,84H</v>
          </cell>
          <cell r="Y1157">
            <v>23532.5</v>
          </cell>
          <cell r="Z1157">
            <v>0.35</v>
          </cell>
          <cell r="AA1157">
            <v>15296.125</v>
          </cell>
          <cell r="AB1157"/>
        </row>
        <row r="1158">
          <cell r="C1158">
            <v>0</v>
          </cell>
          <cell r="D1158">
            <v>1</v>
          </cell>
          <cell r="E1158">
            <v>0</v>
          </cell>
          <cell r="F1158">
            <v>0</v>
          </cell>
          <cell r="H1158">
            <v>0</v>
          </cell>
          <cell r="O1158">
            <v>371708</v>
          </cell>
          <cell r="P1158" t="str">
            <v>2023/234-0042-01</v>
          </cell>
          <cell r="Q1158" t="str">
            <v>EST BANQUETA YUMI FORN COURO CH ENV 32/JEQ CAST CLARO</v>
          </cell>
          <cell r="R1158"/>
          <cell r="S1158"/>
          <cell r="T1158">
            <v>0.69</v>
          </cell>
          <cell r="U1158">
            <v>0.53</v>
          </cell>
          <cell r="V1158">
            <v>0.4</v>
          </cell>
          <cell r="W1158">
            <v>0</v>
          </cell>
          <cell r="X1158" t="str">
            <v>EST BANQUETA YUMI FORN COURO CH ENV 32/JEQ CAST CLARO - 0,69x0,53x0,4H</v>
          </cell>
          <cell r="Y1158">
            <v>7613.9859999999999</v>
          </cell>
          <cell r="Z1158">
            <v>0.35</v>
          </cell>
          <cell r="AA1158">
            <v>4949.0909000000001</v>
          </cell>
          <cell r="AB1158"/>
        </row>
        <row r="1159">
          <cell r="C1159">
            <v>0</v>
          </cell>
          <cell r="D1159">
            <v>1</v>
          </cell>
          <cell r="E1159">
            <v>1</v>
          </cell>
          <cell r="F1159">
            <v>0</v>
          </cell>
          <cell r="H1159">
            <v>2</v>
          </cell>
          <cell r="O1159">
            <v>391647</v>
          </cell>
          <cell r="P1159" t="str">
            <v>2024/351-0043-01</v>
          </cell>
          <cell r="Q1159" t="str">
            <v>EST BANQUETA BAR FINA H81 C/B (FREIJO) (MIS) COURO CH OLIVA</v>
          </cell>
          <cell r="R1159"/>
          <cell r="S1159"/>
          <cell r="T1159">
            <v>0.48</v>
          </cell>
          <cell r="U1159">
            <v>0.55000000000000004</v>
          </cell>
          <cell r="V1159">
            <v>1.21</v>
          </cell>
          <cell r="W1159">
            <v>0</v>
          </cell>
          <cell r="X1159" t="str">
            <v>EST BANQUETA BAR FINA H81 C/B (FREIJO) (MIS) COURO CH OLIVA - 0,48x0,55x1,21H</v>
          </cell>
          <cell r="Y1159">
            <v>13139.66</v>
          </cell>
          <cell r="Z1159">
            <v>0.35</v>
          </cell>
          <cell r="AA1159">
            <v>8540.7790000000005</v>
          </cell>
          <cell r="AB1159"/>
        </row>
        <row r="1160">
          <cell r="C1160">
            <v>1</v>
          </cell>
          <cell r="D1160">
            <v>0</v>
          </cell>
          <cell r="E1160">
            <v>0</v>
          </cell>
          <cell r="F1160">
            <v>0</v>
          </cell>
          <cell r="H1160">
            <v>1</v>
          </cell>
          <cell r="O1160">
            <v>151023</v>
          </cell>
          <cell r="P1160" t="str">
            <v>2014/219-0267-01</v>
          </cell>
          <cell r="Q1160" t="str">
            <v>EST POLTRONA DORA (BAIXA) TC SEDA 259 ECO</v>
          </cell>
          <cell r="R1160"/>
          <cell r="S1160"/>
          <cell r="T1160">
            <v>0.76</v>
          </cell>
          <cell r="U1160">
            <v>0.83</v>
          </cell>
          <cell r="V1160">
            <v>0.7</v>
          </cell>
          <cell r="W1160">
            <v>0</v>
          </cell>
          <cell r="X1160" t="str">
            <v>EST POLTRONA DORA (BAIXA) TC SEDA 259 ECO - 0,76x0,83x0,7H</v>
          </cell>
          <cell r="Y1160">
            <v>29568</v>
          </cell>
          <cell r="Z1160">
            <v>0.5</v>
          </cell>
          <cell r="AA1160">
            <v>14784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362671</v>
          </cell>
          <cell r="P1161" t="str">
            <v>2023/104-0014-01</v>
          </cell>
          <cell r="Q1161" t="str">
            <v>EST BANCO MARINA EST (TAUARI TING NOG) COURO TP138/LT ENV</v>
          </cell>
          <cell r="R1161"/>
          <cell r="S1161"/>
          <cell r="T1161">
            <v>2</v>
          </cell>
          <cell r="U1161">
            <v>0.5</v>
          </cell>
          <cell r="V1161">
            <v>0.37</v>
          </cell>
          <cell r="W1161">
            <v>0</v>
          </cell>
          <cell r="X1161" t="str">
            <v>EST BANCO MARINA EST (TAUARI TING NOG) COURO TP138/LT ENV - 2x0,5x0,37H</v>
          </cell>
          <cell r="Y1161">
            <v>23955.99</v>
          </cell>
          <cell r="Z1161">
            <v>0.35</v>
          </cell>
          <cell r="AA1161">
            <v>15571.393500000002</v>
          </cell>
          <cell r="AB1161"/>
        </row>
        <row r="1162">
          <cell r="C1162">
            <v>0</v>
          </cell>
          <cell r="D1162">
            <v>0</v>
          </cell>
          <cell r="E1162">
            <v>1</v>
          </cell>
          <cell r="F1162">
            <v>0</v>
          </cell>
          <cell r="H1162">
            <v>1</v>
          </cell>
          <cell r="O1162">
            <v>364605</v>
          </cell>
          <cell r="P1162" t="str">
            <v>2023/094-0138-01</v>
          </cell>
          <cell r="Q1162" t="str">
            <v>EST POLTRONA AGHATA PLUS (GIRATORIA) (MTX PRETO) FX F6069</v>
          </cell>
          <cell r="R1162"/>
          <cell r="S1162"/>
          <cell r="T1162">
            <v>0.68</v>
          </cell>
          <cell r="U1162">
            <v>0.8</v>
          </cell>
          <cell r="V1162">
            <v>0.76</v>
          </cell>
          <cell r="W1162">
            <v>0</v>
          </cell>
          <cell r="X1162" t="str">
            <v>EST POLTRONA AGHATA PLUS (GIRATORIA) (MTX PRETO) FX F6069 - 0,68x0,8x0,76H</v>
          </cell>
          <cell r="Y1162">
            <v>10330.52</v>
          </cell>
          <cell r="Z1162">
            <v>0.35</v>
          </cell>
          <cell r="AA1162">
            <v>6714.8380000000006</v>
          </cell>
          <cell r="AB1162"/>
        </row>
        <row r="1163">
          <cell r="C1163">
            <v>0</v>
          </cell>
          <cell r="D1163">
            <v>0</v>
          </cell>
          <cell r="E1163">
            <v>1</v>
          </cell>
          <cell r="F1163">
            <v>0</v>
          </cell>
          <cell r="H1163">
            <v>1</v>
          </cell>
          <cell r="O1163">
            <v>364605</v>
          </cell>
          <cell r="P1163" t="str">
            <v>2023/094-0139-01</v>
          </cell>
          <cell r="Q1163" t="str">
            <v>EST POLTRONA AGHATA PLUS (GIRATORIA) (MTX PRETO) FX F6069</v>
          </cell>
          <cell r="R1163"/>
          <cell r="S1163"/>
          <cell r="T1163">
            <v>0.68</v>
          </cell>
          <cell r="U1163">
            <v>0.8</v>
          </cell>
          <cell r="V1163">
            <v>0.76</v>
          </cell>
          <cell r="W1163">
            <v>0</v>
          </cell>
          <cell r="X1163" t="str">
            <v>EST POLTRONA AGHATA PLUS (GIRATORIA) (MTX PRETO) FX F6069 - 0,68x0,8x0,76H</v>
          </cell>
          <cell r="Y1163">
            <v>10330.52</v>
          </cell>
          <cell r="Z1163">
            <v>0.35</v>
          </cell>
          <cell r="AA1163">
            <v>6714.8380000000006</v>
          </cell>
          <cell r="AB1163"/>
        </row>
        <row r="1164">
          <cell r="C1164">
            <v>0</v>
          </cell>
          <cell r="D1164">
            <v>1</v>
          </cell>
          <cell r="E1164">
            <v>1</v>
          </cell>
          <cell r="F1164">
            <v>0</v>
          </cell>
          <cell r="H1164">
            <v>0</v>
          </cell>
          <cell r="O1164">
            <v>405115</v>
          </cell>
          <cell r="P1164" t="str">
            <v>2025/175-0029-01</v>
          </cell>
          <cell r="Q1164" t="str">
            <v>EST MESA LATERAL TRONCO (TP/BS TEKA CASTANHO)</v>
          </cell>
          <cell r="R1164"/>
          <cell r="S1164"/>
          <cell r="T1164">
            <v>0.48</v>
          </cell>
          <cell r="U1164">
            <v>0</v>
          </cell>
          <cell r="V1164">
            <v>0.35</v>
          </cell>
          <cell r="W1164">
            <v>0.48</v>
          </cell>
          <cell r="X1164" t="str">
            <v>EST MESA LATERAL TRONCO (TP/BS TEKA CASTANHO) - Ø0,48x0,35H</v>
          </cell>
          <cell r="Y1164">
            <v>5142.1400000000003</v>
          </cell>
          <cell r="Z1164">
            <v>0.35</v>
          </cell>
          <cell r="AA1164">
            <v>3342.3910000000005</v>
          </cell>
          <cell r="AB1164"/>
        </row>
        <row r="1165">
          <cell r="C1165">
            <v>0</v>
          </cell>
          <cell r="D1165">
            <v>1</v>
          </cell>
          <cell r="E1165">
            <v>1</v>
          </cell>
          <cell r="F1165">
            <v>0</v>
          </cell>
          <cell r="H1165">
            <v>0</v>
          </cell>
          <cell r="O1165">
            <v>405116</v>
          </cell>
          <cell r="P1165" t="str">
            <v>2025/175-0030-01</v>
          </cell>
          <cell r="Q1165" t="str">
            <v>EST MESA LATERAL TRONCO (TP/BS TEKA CASTANHO)</v>
          </cell>
          <cell r="R1165"/>
          <cell r="S1165"/>
          <cell r="T1165">
            <v>0.38</v>
          </cell>
          <cell r="U1165">
            <v>0</v>
          </cell>
          <cell r="V1165">
            <v>0.45</v>
          </cell>
          <cell r="W1165">
            <v>0.38</v>
          </cell>
          <cell r="X1165" t="str">
            <v>EST MESA LATERAL TRONCO (TP/BS TEKA CASTANHO) - Ø0,38x0,45H</v>
          </cell>
          <cell r="Y1165">
            <v>5142.1400000000003</v>
          </cell>
          <cell r="Z1165">
            <v>0.35</v>
          </cell>
          <cell r="AA1165">
            <v>3342.3910000000005</v>
          </cell>
          <cell r="AB1165"/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1</v>
          </cell>
          <cell r="H1166">
            <v>0</v>
          </cell>
          <cell r="O1166">
            <v>405111</v>
          </cell>
          <cell r="P1166" t="str">
            <v>2025/175-0024-01</v>
          </cell>
          <cell r="Q1166" t="str">
            <v>EST MESA LATERAL TRONCO (TP/BS TEKA NOGAL)</v>
          </cell>
          <cell r="R1166"/>
          <cell r="S1166"/>
          <cell r="T1166">
            <v>0.48</v>
          </cell>
          <cell r="U1166">
            <v>0</v>
          </cell>
          <cell r="V1166">
            <v>0.35</v>
          </cell>
          <cell r="W1166">
            <v>0.48</v>
          </cell>
          <cell r="X1166" t="str">
            <v>EST MESA LATERAL TRONCO (TP/BS TEKA NOGAL) - Ø0,48x0,35H</v>
          </cell>
          <cell r="Y1166">
            <v>5142.1400000000003</v>
          </cell>
          <cell r="Z1166">
            <v>0.35</v>
          </cell>
          <cell r="AA1166">
            <v>3342.3910000000005</v>
          </cell>
          <cell r="AB1166"/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1</v>
          </cell>
          <cell r="H1167">
            <v>0</v>
          </cell>
          <cell r="O1167">
            <v>405112</v>
          </cell>
          <cell r="P1167" t="str">
            <v>2025/175-0025-01</v>
          </cell>
          <cell r="Q1167" t="str">
            <v>EST MESA LATERAL TRONCO (TP/BS TEKA NOGAL)</v>
          </cell>
          <cell r="R1167"/>
          <cell r="S1167"/>
          <cell r="T1167">
            <v>0.38</v>
          </cell>
          <cell r="U1167">
            <v>0</v>
          </cell>
          <cell r="V1167">
            <v>0.45</v>
          </cell>
          <cell r="W1167">
            <v>0.38</v>
          </cell>
          <cell r="X1167" t="str">
            <v>EST MESA LATERAL TRONCO (TP/BS TEKA NOGAL) - Ø0,38x0,45H</v>
          </cell>
          <cell r="Y1167">
            <v>5142.1400000000003</v>
          </cell>
          <cell r="Z1167">
            <v>0.35</v>
          </cell>
          <cell r="AA1167">
            <v>3342.3910000000005</v>
          </cell>
          <cell r="AB1167"/>
        </row>
        <row r="1168">
          <cell r="C1168">
            <v>4</v>
          </cell>
          <cell r="D1168">
            <v>0</v>
          </cell>
          <cell r="E1168">
            <v>0</v>
          </cell>
          <cell r="F1168">
            <v>2</v>
          </cell>
          <cell r="H1168">
            <v>0</v>
          </cell>
          <cell r="O1168">
            <v>406189</v>
          </cell>
          <cell r="P1168" t="str">
            <v>2025/184-0020-01</v>
          </cell>
          <cell r="Q1168" t="str">
            <v>EST ALMOFADA CLAMI (SIMPLES) TC LISO VERDE</v>
          </cell>
          <cell r="R1168"/>
          <cell r="S1168"/>
          <cell r="T1168">
            <v>0.5</v>
          </cell>
          <cell r="U1168">
            <v>0.5</v>
          </cell>
          <cell r="V1168">
            <v>0</v>
          </cell>
          <cell r="W1168">
            <v>0</v>
          </cell>
          <cell r="X1168" t="str">
            <v>EST ALMOFADA CLAMI (SIMPLES) TC LISO VERDE - 0,5x0,5x0H</v>
          </cell>
          <cell r="Y1168">
            <v>443.52</v>
          </cell>
          <cell r="Z1168">
            <v>0.35</v>
          </cell>
          <cell r="AA1168">
            <v>288.28800000000001</v>
          </cell>
          <cell r="AB1168"/>
        </row>
        <row r="1169">
          <cell r="C1169">
            <v>4</v>
          </cell>
          <cell r="D1169">
            <v>0</v>
          </cell>
          <cell r="E1169">
            <v>0</v>
          </cell>
          <cell r="F1169">
            <v>2</v>
          </cell>
          <cell r="H1169">
            <v>0</v>
          </cell>
          <cell r="O1169">
            <v>406189</v>
          </cell>
          <cell r="P1169" t="str">
            <v>2025/184-0021-01</v>
          </cell>
          <cell r="Q1169" t="str">
            <v>EST ALMOFADA CLAMI (SIMPLES) TC LISO VERDE</v>
          </cell>
          <cell r="R1169"/>
          <cell r="S1169"/>
          <cell r="T1169">
            <v>0.5</v>
          </cell>
          <cell r="U1169">
            <v>0.5</v>
          </cell>
          <cell r="V1169">
            <v>0</v>
          </cell>
          <cell r="W1169">
            <v>0</v>
          </cell>
          <cell r="X1169" t="str">
            <v>EST ALMOFADA CLAMI (SIMPLES) TC LISO VERDE - 0,5x0,5x0H</v>
          </cell>
          <cell r="Y1169">
            <v>443.52</v>
          </cell>
          <cell r="Z1169">
            <v>0.35</v>
          </cell>
          <cell r="AA1169">
            <v>288.28800000000001</v>
          </cell>
          <cell r="AB1169"/>
        </row>
        <row r="1170">
          <cell r="C1170">
            <v>2</v>
          </cell>
          <cell r="D1170">
            <v>0</v>
          </cell>
          <cell r="E1170">
            <v>1</v>
          </cell>
          <cell r="F1170">
            <v>2</v>
          </cell>
          <cell r="H1170">
            <v>0</v>
          </cell>
          <cell r="O1170">
            <v>406190</v>
          </cell>
          <cell r="P1170" t="str">
            <v>2025/184-0026-01</v>
          </cell>
          <cell r="Q1170" t="str">
            <v>EST ALMOFADA CLAMI (SIMPLES) TC TRAMADO VERDE</v>
          </cell>
          <cell r="R1170"/>
          <cell r="S1170"/>
          <cell r="T1170">
            <v>0.5</v>
          </cell>
          <cell r="U1170">
            <v>0.5</v>
          </cell>
          <cell r="V1170">
            <v>0</v>
          </cell>
          <cell r="W1170">
            <v>0</v>
          </cell>
          <cell r="X1170" t="str">
            <v>EST ALMOFADA CLAMI (SIMPLES) TC TRAMADO VERDE - 0,5x0,5x0H</v>
          </cell>
          <cell r="Y1170">
            <v>443.52</v>
          </cell>
          <cell r="Z1170">
            <v>0.35</v>
          </cell>
          <cell r="AA1170">
            <v>288.28800000000001</v>
          </cell>
          <cell r="AB1170"/>
        </row>
        <row r="1171">
          <cell r="C1171">
            <v>2</v>
          </cell>
          <cell r="D1171">
            <v>0</v>
          </cell>
          <cell r="E1171">
            <v>1</v>
          </cell>
          <cell r="F1171">
            <v>2</v>
          </cell>
          <cell r="H1171">
            <v>0</v>
          </cell>
          <cell r="O1171">
            <v>406190</v>
          </cell>
          <cell r="P1171" t="str">
            <v>2025/184-0027-01</v>
          </cell>
          <cell r="Q1171" t="str">
            <v>EST ALMOFADA CLAMI (SIMPLES) TC TRAMADO VERDE</v>
          </cell>
          <cell r="R1171"/>
          <cell r="S1171"/>
          <cell r="T1171">
            <v>0.5</v>
          </cell>
          <cell r="U1171">
            <v>0.5</v>
          </cell>
          <cell r="V1171">
            <v>0</v>
          </cell>
          <cell r="W1171">
            <v>0</v>
          </cell>
          <cell r="X1171" t="str">
            <v>EST ALMOFADA CLAMI (SIMPLES) TC TRAMADO VERDE - 0,5x0,5x0H</v>
          </cell>
          <cell r="Y1171">
            <v>443.52</v>
          </cell>
          <cell r="Z1171">
            <v>0.35</v>
          </cell>
          <cell r="AA1171">
            <v>288.28800000000001</v>
          </cell>
          <cell r="AB1171"/>
        </row>
        <row r="1172">
          <cell r="C1172">
            <v>0</v>
          </cell>
          <cell r="D1172">
            <v>1</v>
          </cell>
          <cell r="E1172">
            <v>0</v>
          </cell>
          <cell r="F1172">
            <v>0</v>
          </cell>
          <cell r="H1172">
            <v>0</v>
          </cell>
          <cell r="O1172">
            <v>327119</v>
          </cell>
          <cell r="P1172" t="str">
            <v>2022/126-0047-01</v>
          </cell>
          <cell r="Q1172" t="str">
            <v>EST MESA CENTRO SANTIAGO (TRI) (MTX PRETO) (LAMINA EBONY)</v>
          </cell>
          <cell r="R1172"/>
          <cell r="S1172"/>
          <cell r="T1172">
            <v>1.4</v>
          </cell>
          <cell r="U1172">
            <v>1.5</v>
          </cell>
          <cell r="V1172">
            <v>0.32</v>
          </cell>
          <cell r="W1172">
            <v>0</v>
          </cell>
          <cell r="X1172" t="str">
            <v>EST MESA CENTRO SANTIAGO (TRI) (MTX PRETO) (LAMINA EBONY) - 1,4x1,5x0,32H</v>
          </cell>
          <cell r="Y1172">
            <v>16223.56</v>
          </cell>
          <cell r="Z1172">
            <v>0.35</v>
          </cell>
          <cell r="AA1172">
            <v>10545.314</v>
          </cell>
          <cell r="AB1172"/>
        </row>
        <row r="1173">
          <cell r="C1173">
            <v>0</v>
          </cell>
          <cell r="D1173">
            <v>1</v>
          </cell>
          <cell r="E1173">
            <v>1</v>
          </cell>
          <cell r="F1173">
            <v>0</v>
          </cell>
          <cell r="H1173">
            <v>0</v>
          </cell>
          <cell r="O1173">
            <v>405115</v>
          </cell>
          <cell r="P1173" t="str">
            <v>2025/175-0028-01</v>
          </cell>
          <cell r="Q1173" t="str">
            <v>EST MESA LATERAL TRONCO (TP/BS TEKA CASTANHO)</v>
          </cell>
          <cell r="R1173"/>
          <cell r="S1173"/>
          <cell r="T1173">
            <v>0.48</v>
          </cell>
          <cell r="U1173">
            <v>0</v>
          </cell>
          <cell r="V1173">
            <v>0.35</v>
          </cell>
          <cell r="W1173">
            <v>0.48</v>
          </cell>
          <cell r="X1173" t="str">
            <v>EST MESA LATERAL TRONCO (TP/BS TEKA CASTANHO) - Ø0,48x0,35H</v>
          </cell>
          <cell r="Y1173">
            <v>5142.1400000000003</v>
          </cell>
          <cell r="Z1173">
            <v>0.35</v>
          </cell>
          <cell r="AA1173">
            <v>3342.3910000000005</v>
          </cell>
          <cell r="AB1173"/>
        </row>
        <row r="1174">
          <cell r="C1174">
            <v>0</v>
          </cell>
          <cell r="D1174">
            <v>1</v>
          </cell>
          <cell r="E1174">
            <v>1</v>
          </cell>
          <cell r="F1174">
            <v>0</v>
          </cell>
          <cell r="H1174">
            <v>0</v>
          </cell>
          <cell r="O1174">
            <v>405116</v>
          </cell>
          <cell r="P1174" t="str">
            <v>2025/175-0031-01</v>
          </cell>
          <cell r="Q1174" t="str">
            <v>EST MESA LATERAL TRONCO (TP/BS TEKA CASTANHO)</v>
          </cell>
          <cell r="R1174"/>
          <cell r="S1174"/>
          <cell r="T1174">
            <v>0.38</v>
          </cell>
          <cell r="U1174">
            <v>0</v>
          </cell>
          <cell r="V1174">
            <v>0.45</v>
          </cell>
          <cell r="W1174">
            <v>0.38</v>
          </cell>
          <cell r="X1174" t="str">
            <v>EST MESA LATERAL TRONCO (TP/BS TEKA CASTANHO) - Ø0,38x0,45H</v>
          </cell>
          <cell r="Y1174">
            <v>5142.1400000000003</v>
          </cell>
          <cell r="Z1174">
            <v>0.35</v>
          </cell>
          <cell r="AA1174">
            <v>3342.3910000000005</v>
          </cell>
          <cell r="AB1174"/>
        </row>
        <row r="1175">
          <cell r="C1175">
            <v>1</v>
          </cell>
          <cell r="D1175">
            <v>2</v>
          </cell>
          <cell r="E1175">
            <v>3</v>
          </cell>
          <cell r="F1175">
            <v>0</v>
          </cell>
          <cell r="H1175">
            <v>0</v>
          </cell>
          <cell r="O1175">
            <v>406193</v>
          </cell>
          <cell r="P1175" t="str">
            <v>2025/184-0032-01</v>
          </cell>
          <cell r="Q1175" t="str">
            <v>EST ALMOFADA CLAMI (VIVO) TC TRAMADO BR-LARANJA/COURO MARROM</v>
          </cell>
          <cell r="R1175"/>
          <cell r="S1175"/>
          <cell r="T1175">
            <v>0.5</v>
          </cell>
          <cell r="U1175">
            <v>0.5</v>
          </cell>
          <cell r="V1175">
            <v>0</v>
          </cell>
          <cell r="W1175">
            <v>0</v>
          </cell>
          <cell r="X1175" t="str">
            <v>EST ALMOFADA CLAMI (VIVO) TC TRAMADO BR-LARANJA/COURO MARROM - 0,5x0,5x0H</v>
          </cell>
          <cell r="Y1175">
            <v>443.52</v>
          </cell>
          <cell r="Z1175">
            <v>0.35</v>
          </cell>
          <cell r="AA1175">
            <v>288.28800000000001</v>
          </cell>
          <cell r="AB1175"/>
        </row>
        <row r="1176">
          <cell r="C1176">
            <v>1</v>
          </cell>
          <cell r="D1176">
            <v>2</v>
          </cell>
          <cell r="E1176">
            <v>3</v>
          </cell>
          <cell r="F1176">
            <v>0</v>
          </cell>
          <cell r="H1176">
            <v>0</v>
          </cell>
          <cell r="O1176">
            <v>406193</v>
          </cell>
          <cell r="P1176" t="str">
            <v>2025/184-0033-01</v>
          </cell>
          <cell r="Q1176" t="str">
            <v>EST ALMOFADA CLAMI (VIVO) TC TRAMADO BR-LARANJA/COURO MARROM</v>
          </cell>
          <cell r="R1176"/>
          <cell r="S1176"/>
          <cell r="T1176">
            <v>0.5</v>
          </cell>
          <cell r="U1176">
            <v>0.5</v>
          </cell>
          <cell r="V1176">
            <v>0</v>
          </cell>
          <cell r="W1176">
            <v>0</v>
          </cell>
          <cell r="X1176" t="str">
            <v>EST ALMOFADA CLAMI (VIVO) TC TRAMADO BR-LARANJA/COURO MARROM - 0,5x0,5x0H</v>
          </cell>
          <cell r="Y1176">
            <v>443.52</v>
          </cell>
          <cell r="Z1176">
            <v>0.35</v>
          </cell>
          <cell r="AA1176">
            <v>288.28800000000001</v>
          </cell>
          <cell r="AB1176"/>
        </row>
        <row r="1177">
          <cell r="C1177">
            <v>1</v>
          </cell>
          <cell r="D1177">
            <v>0</v>
          </cell>
          <cell r="E1177">
            <v>0</v>
          </cell>
          <cell r="F1177">
            <v>0</v>
          </cell>
          <cell r="H1177">
            <v>0</v>
          </cell>
          <cell r="O1177">
            <v>405113</v>
          </cell>
          <cell r="P1177" t="str">
            <v>2025/175-0026-01</v>
          </cell>
          <cell r="Q1177" t="str">
            <v>EST MESA LATERAL TRONCO (TP/BS TEKA NATURAL)</v>
          </cell>
          <cell r="R1177"/>
          <cell r="S1177"/>
          <cell r="T1177">
            <v>0.48</v>
          </cell>
          <cell r="U1177">
            <v>0</v>
          </cell>
          <cell r="V1177">
            <v>0.35</v>
          </cell>
          <cell r="W1177">
            <v>0.48</v>
          </cell>
          <cell r="X1177" t="str">
            <v>EST MESA LATERAL TRONCO (TP/BS TEKA NATURAL) - Ø0,48x0,35H</v>
          </cell>
          <cell r="Y1177">
            <v>5142.1400000000003</v>
          </cell>
          <cell r="Z1177">
            <v>0.35</v>
          </cell>
          <cell r="AA1177">
            <v>3342.3910000000005</v>
          </cell>
          <cell r="AB1177"/>
        </row>
        <row r="1178">
          <cell r="C1178">
            <v>1</v>
          </cell>
          <cell r="D1178">
            <v>0</v>
          </cell>
          <cell r="E1178">
            <v>0</v>
          </cell>
          <cell r="F1178">
            <v>0</v>
          </cell>
          <cell r="H1178">
            <v>0</v>
          </cell>
          <cell r="O1178">
            <v>405114</v>
          </cell>
          <cell r="P1178" t="str">
            <v>2025/175-0027-01</v>
          </cell>
          <cell r="Q1178" t="str">
            <v>EST MESA LATERAL TRONCO (TP/BS TEKA NATURAL)</v>
          </cell>
          <cell r="R1178"/>
          <cell r="S1178"/>
          <cell r="T1178">
            <v>0.38</v>
          </cell>
          <cell r="U1178">
            <v>0</v>
          </cell>
          <cell r="V1178">
            <v>0.45</v>
          </cell>
          <cell r="W1178">
            <v>0.38</v>
          </cell>
          <cell r="X1178" t="str">
            <v>EST MESA LATERAL TRONCO (TP/BS TEKA NATURAL) - Ø0,38x0,45H</v>
          </cell>
          <cell r="Y1178">
            <v>5142.1400000000003</v>
          </cell>
          <cell r="Z1178">
            <v>0.35</v>
          </cell>
          <cell r="AA1178">
            <v>3342.3910000000005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H1179">
            <v>0</v>
          </cell>
          <cell r="O1179">
            <v>404348</v>
          </cell>
          <cell r="P1179" t="str">
            <v>(LOTE 004)</v>
          </cell>
          <cell r="Q1179" t="str">
            <v>ROLO TECIDO EL NOVE 04 - (AQUA) -</v>
          </cell>
          <cell r="R1179"/>
          <cell r="S1179"/>
          <cell r="T1179">
            <v>2.1</v>
          </cell>
          <cell r="U1179">
            <v>1.4</v>
          </cell>
          <cell r="V1179">
            <v>0</v>
          </cell>
          <cell r="W1179">
            <v>0</v>
          </cell>
          <cell r="X1179" t="str">
            <v>ROLO TECIDO EL NOVE 04 - (AQUA) - - 2,1x1,4x0H</v>
          </cell>
          <cell r="Y1179">
            <v>0</v>
          </cell>
          <cell r="Z1179">
            <v>0.35</v>
          </cell>
          <cell r="AA1179">
            <v>0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H1180">
            <v>0</v>
          </cell>
          <cell r="O1180">
            <v>404349</v>
          </cell>
          <cell r="P1180" t="str">
            <v>(LOTE 004)</v>
          </cell>
          <cell r="Q1180" t="str">
            <v>ROLO TECIDO ELB SARASOTA - (GREY &amp; BEIGE) -</v>
          </cell>
          <cell r="R1180"/>
          <cell r="S1180"/>
          <cell r="T1180">
            <v>2.5</v>
          </cell>
          <cell r="U1180">
            <v>1.4</v>
          </cell>
          <cell r="V1180">
            <v>0</v>
          </cell>
          <cell r="W1180">
            <v>0</v>
          </cell>
          <cell r="X1180" t="str">
            <v>ROLO TECIDO ELB SARASOTA - (GREY &amp; BEIGE) - - 2,5x1,4x0H</v>
          </cell>
          <cell r="Y1180">
            <v>0</v>
          </cell>
          <cell r="Z1180">
            <v>0.35</v>
          </cell>
          <cell r="AA1180">
            <v>0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H1181">
            <v>0</v>
          </cell>
          <cell r="O1181">
            <v>404350</v>
          </cell>
          <cell r="P1181" t="str">
            <v>(LOTE 004)</v>
          </cell>
          <cell r="Q1181" t="str">
            <v>ROLO TECIDO MANTILLA - (MARS) -</v>
          </cell>
          <cell r="R1181"/>
          <cell r="S1181"/>
          <cell r="T1181">
            <v>2</v>
          </cell>
          <cell r="U1181">
            <v>1.4</v>
          </cell>
          <cell r="V1181">
            <v>0</v>
          </cell>
          <cell r="W1181">
            <v>0</v>
          </cell>
          <cell r="X1181" t="str">
            <v>ROLO TECIDO MANTILLA - (MARS) - - 2x1,4x0H</v>
          </cell>
          <cell r="Y1181">
            <v>0</v>
          </cell>
          <cell r="Z1181">
            <v>0.35</v>
          </cell>
          <cell r="AA1181">
            <v>0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H1182">
            <v>0</v>
          </cell>
          <cell r="O1182">
            <v>404351</v>
          </cell>
          <cell r="P1182" t="str">
            <v>(LOTE 004)</v>
          </cell>
          <cell r="Q1182" t="str">
            <v>ROLO TECIDO WALLS - (WHITE (GUARDIAN))</v>
          </cell>
          <cell r="R1182"/>
          <cell r="S1182"/>
          <cell r="T1182">
            <v>2.5</v>
          </cell>
          <cell r="U1182">
            <v>1.4</v>
          </cell>
          <cell r="V1182">
            <v>0</v>
          </cell>
          <cell r="W1182">
            <v>0</v>
          </cell>
          <cell r="X1182" t="str">
            <v>ROLO TECIDO WALLS - (WHITE (GUARDIAN)) - 2,5x1,4x0H</v>
          </cell>
          <cell r="Y1182">
            <v>0</v>
          </cell>
          <cell r="Z1182">
            <v>0.35</v>
          </cell>
          <cell r="AA1182">
            <v>0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H1183">
            <v>0</v>
          </cell>
          <cell r="O1183">
            <v>404352</v>
          </cell>
          <cell r="P1183" t="str">
            <v>(LOTE 005) (FL)</v>
          </cell>
          <cell r="Q1183" t="str">
            <v>ROLO TECIDO ALGARVE (BEGE CLARO) -</v>
          </cell>
          <cell r="R1183"/>
          <cell r="S1183"/>
          <cell r="T1183">
            <v>2.1</v>
          </cell>
          <cell r="U1183">
            <v>1.4</v>
          </cell>
          <cell r="V1183">
            <v>0</v>
          </cell>
          <cell r="W1183">
            <v>0</v>
          </cell>
          <cell r="X1183" t="str">
            <v>ROLO TECIDO ALGARVE (BEGE CLARO) - - 2,1x1,4x0H</v>
          </cell>
          <cell r="Y1183">
            <v>0</v>
          </cell>
          <cell r="Z1183">
            <v>0.35</v>
          </cell>
          <cell r="AA1183">
            <v>0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H1184">
            <v>0</v>
          </cell>
          <cell r="O1184">
            <v>404353</v>
          </cell>
          <cell r="P1184" t="str">
            <v>(LOTE 005)</v>
          </cell>
          <cell r="Q1184" t="str">
            <v>ROLO TECIDO TRAMADO (RUSTY) (COD 24402592) -</v>
          </cell>
          <cell r="R1184"/>
          <cell r="S1184"/>
          <cell r="T1184">
            <v>2</v>
          </cell>
          <cell r="U1184">
            <v>1.4</v>
          </cell>
          <cell r="V1184">
            <v>0</v>
          </cell>
          <cell r="W1184">
            <v>0</v>
          </cell>
          <cell r="X1184" t="str">
            <v>ROLO TECIDO TRAMADO (RUSTY) (COD 24402592) - - 2x1,4x0H</v>
          </cell>
          <cell r="Y1184">
            <v>0</v>
          </cell>
          <cell r="Z1184">
            <v>0.35</v>
          </cell>
          <cell r="AA1184">
            <v>0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H1185">
            <v>0</v>
          </cell>
          <cell r="O1185">
            <v>404354</v>
          </cell>
          <cell r="P1185" t="str">
            <v>(LOTE 005) (FL)</v>
          </cell>
          <cell r="Q1185" t="str">
            <v>ROLO TECIDO CAMURCA SUPER FUSTANI (IMPER) (COD 1059) -</v>
          </cell>
          <cell r="R1185"/>
          <cell r="S1185"/>
          <cell r="T1185">
            <v>3</v>
          </cell>
          <cell r="U1185">
            <v>1.4</v>
          </cell>
          <cell r="V1185">
            <v>0</v>
          </cell>
          <cell r="W1185">
            <v>0</v>
          </cell>
          <cell r="X1185" t="str">
            <v>ROLO TECIDO CAMURCA SUPER FUSTANI (IMPER) (COD 1059) - - 3x1,4x0H</v>
          </cell>
          <cell r="Y1185">
            <v>0</v>
          </cell>
          <cell r="Z1185">
            <v>0.35</v>
          </cell>
          <cell r="AA1185">
            <v>0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H1186">
            <v>0</v>
          </cell>
          <cell r="O1186">
            <v>404355</v>
          </cell>
          <cell r="P1186" t="str">
            <v>(LOTE 005)</v>
          </cell>
          <cell r="Q1186" t="str">
            <v>ROLO TECIDO PIED COQ (JEANS) (COD 24402812) -</v>
          </cell>
          <cell r="R1186"/>
          <cell r="S1186"/>
          <cell r="T1186">
            <v>2.6</v>
          </cell>
          <cell r="U1186">
            <v>1.4</v>
          </cell>
          <cell r="V1186">
            <v>0</v>
          </cell>
          <cell r="W1186">
            <v>0</v>
          </cell>
          <cell r="X1186" t="str">
            <v>ROLO TECIDO PIED COQ (JEANS) (COD 24402812) - - 2,6x1,4x0H</v>
          </cell>
          <cell r="Y1186">
            <v>0</v>
          </cell>
          <cell r="Z1186">
            <v>0.35</v>
          </cell>
          <cell r="AA1186">
            <v>0</v>
          </cell>
          <cell r="AB1186"/>
        </row>
        <row r="1187">
          <cell r="C1187">
            <v>0</v>
          </cell>
          <cell r="D1187">
            <v>0</v>
          </cell>
          <cell r="E1187">
            <v>4</v>
          </cell>
          <cell r="F1187">
            <v>0</v>
          </cell>
          <cell r="H1187">
            <v>4</v>
          </cell>
          <cell r="O1187">
            <v>320671</v>
          </cell>
          <cell r="P1187" t="str">
            <v>2022/090-0018-01</v>
          </cell>
          <cell r="Q1187" t="str">
            <v>EST CADEIRA JULIA C/BRACO (COURO FIRENZE TALIN) (CORTEN)</v>
          </cell>
          <cell r="R1187"/>
          <cell r="S1187"/>
          <cell r="T1187">
            <v>0.61</v>
          </cell>
          <cell r="U1187">
            <v>0.54</v>
          </cell>
          <cell r="V1187">
            <v>0.76</v>
          </cell>
          <cell r="W1187">
            <v>0</v>
          </cell>
          <cell r="X1187" t="str">
            <v>EST CADEIRA JULIA C/BRACO (COURO FIRENZE TALIN) (CORTEN) - 0,61x0,54x0,76H</v>
          </cell>
          <cell r="Y1187">
            <v>10250.150000000001</v>
          </cell>
          <cell r="Z1187">
            <v>0.35</v>
          </cell>
          <cell r="AA1187">
            <v>6662.5975000000017</v>
          </cell>
          <cell r="AB1187"/>
        </row>
        <row r="1188">
          <cell r="C1188">
            <v>0</v>
          </cell>
          <cell r="D1188">
            <v>0</v>
          </cell>
          <cell r="E1188">
            <v>4</v>
          </cell>
          <cell r="F1188">
            <v>0</v>
          </cell>
          <cell r="H1188">
            <v>4</v>
          </cell>
          <cell r="O1188">
            <v>320671</v>
          </cell>
          <cell r="P1188" t="str">
            <v>2022/090-0022-01</v>
          </cell>
          <cell r="Q1188" t="str">
            <v>EST CADEIRA JULIA C/BRACO (COURO FIRENZE TALIN) (CORTEN)</v>
          </cell>
          <cell r="R1188"/>
          <cell r="S1188"/>
          <cell r="T1188">
            <v>0.61</v>
          </cell>
          <cell r="U1188">
            <v>0.54</v>
          </cell>
          <cell r="V1188">
            <v>0.76</v>
          </cell>
          <cell r="W1188">
            <v>0</v>
          </cell>
          <cell r="X1188" t="str">
            <v>EST CADEIRA JULIA C/BRACO (COURO FIRENZE TALIN) (CORTEN) - 0,61x0,54x0,76H</v>
          </cell>
          <cell r="Y1188">
            <v>10250.150000000001</v>
          </cell>
          <cell r="Z1188">
            <v>0.35</v>
          </cell>
          <cell r="AA1188">
            <v>6662.5975000000017</v>
          </cell>
          <cell r="AB1188"/>
        </row>
        <row r="1189">
          <cell r="C1189">
            <v>0</v>
          </cell>
          <cell r="D1189">
            <v>0</v>
          </cell>
          <cell r="E1189">
            <v>4</v>
          </cell>
          <cell r="F1189">
            <v>0</v>
          </cell>
          <cell r="H1189">
            <v>4</v>
          </cell>
          <cell r="O1189">
            <v>320671</v>
          </cell>
          <cell r="P1189" t="str">
            <v>2022/090-0023-01</v>
          </cell>
          <cell r="Q1189" t="str">
            <v>EST CADEIRA JULIA C/BRACO (COURO FIRENZE TALIN) (CORTEN)</v>
          </cell>
          <cell r="R1189"/>
          <cell r="S1189"/>
          <cell r="T1189">
            <v>0.61</v>
          </cell>
          <cell r="U1189">
            <v>0.54</v>
          </cell>
          <cell r="V1189">
            <v>0.76</v>
          </cell>
          <cell r="W1189">
            <v>0</v>
          </cell>
          <cell r="X1189" t="str">
            <v>EST CADEIRA JULIA C/BRACO (COURO FIRENZE TALIN) (CORTEN) - 0,61x0,54x0,76H</v>
          </cell>
          <cell r="Y1189">
            <v>10250.150000000001</v>
          </cell>
          <cell r="Z1189">
            <v>0.35</v>
          </cell>
          <cell r="AA1189">
            <v>6662.5975000000017</v>
          </cell>
          <cell r="AB1189"/>
        </row>
        <row r="1190">
          <cell r="C1190">
            <v>0</v>
          </cell>
          <cell r="D1190">
            <v>0</v>
          </cell>
          <cell r="E1190">
            <v>4</v>
          </cell>
          <cell r="F1190">
            <v>0</v>
          </cell>
          <cell r="H1190">
            <v>4</v>
          </cell>
          <cell r="O1190">
            <v>320671</v>
          </cell>
          <cell r="P1190" t="str">
            <v>2022/090-0024-01</v>
          </cell>
          <cell r="Q1190" t="str">
            <v>EST CADEIRA JULIA C/BRACO (COURO FIRENZE TALIN) (CORTEN)</v>
          </cell>
          <cell r="R1190"/>
          <cell r="S1190"/>
          <cell r="T1190">
            <v>0.61</v>
          </cell>
          <cell r="U1190">
            <v>0.54</v>
          </cell>
          <cell r="V1190">
            <v>0.76</v>
          </cell>
          <cell r="W1190">
            <v>0</v>
          </cell>
          <cell r="X1190" t="str">
            <v>EST CADEIRA JULIA C/BRACO (COURO FIRENZE TALIN) (CORTEN) - 0,61x0,54x0,76H</v>
          </cell>
          <cell r="Y1190">
            <v>10250.150000000001</v>
          </cell>
          <cell r="Z1190">
            <v>0.35</v>
          </cell>
          <cell r="AA1190">
            <v>6662.5975000000017</v>
          </cell>
          <cell r="AB1190"/>
        </row>
        <row r="1191">
          <cell r="C1191">
            <v>0</v>
          </cell>
          <cell r="D1191">
            <v>0</v>
          </cell>
          <cell r="E1191">
            <v>1</v>
          </cell>
          <cell r="F1191">
            <v>0</v>
          </cell>
          <cell r="H1191">
            <v>1</v>
          </cell>
          <cell r="O1191">
            <v>328748</v>
          </cell>
          <cell r="P1191" t="str">
            <v>2022/178-0045-01</v>
          </cell>
          <cell r="Q1191" t="str">
            <v>EST POLTRONA SOFT (BS ELET CORTEN) B0707-024/SOL MARFIM</v>
          </cell>
          <cell r="R1191"/>
          <cell r="S1191"/>
          <cell r="T1191">
            <v>0.87</v>
          </cell>
          <cell r="U1191">
            <v>1.02</v>
          </cell>
          <cell r="V1191">
            <v>0.8</v>
          </cell>
          <cell r="W1191">
            <v>0</v>
          </cell>
          <cell r="X1191" t="str">
            <v>EST POLTRONA SOFT (BS ELET CORTEN) B0707-024/SOL MARFIM - 0,87x1,02x0,8H</v>
          </cell>
          <cell r="Y1191">
            <v>30356.12</v>
          </cell>
          <cell r="Z1191">
            <v>0.35</v>
          </cell>
          <cell r="AA1191">
            <v>19731.477999999999</v>
          </cell>
          <cell r="AB1191"/>
        </row>
        <row r="1192">
          <cell r="C1192">
            <v>0</v>
          </cell>
          <cell r="D1192">
            <v>0</v>
          </cell>
          <cell r="E1192">
            <v>1</v>
          </cell>
          <cell r="F1192">
            <v>0</v>
          </cell>
          <cell r="H1192">
            <v>1</v>
          </cell>
          <cell r="O1192">
            <v>328749</v>
          </cell>
          <cell r="P1192" t="str">
            <v>2022/178-0048-01</v>
          </cell>
          <cell r="Q1192" t="str">
            <v>EST BANQUETA SOFT (BS ELET CORTEN) B0707-024/SOL MARFIM</v>
          </cell>
          <cell r="R1192"/>
          <cell r="S1192"/>
          <cell r="T1192">
            <v>0.57999999999999996</v>
          </cell>
          <cell r="U1192">
            <v>0.75</v>
          </cell>
          <cell r="V1192">
            <v>0.4</v>
          </cell>
          <cell r="W1192">
            <v>0</v>
          </cell>
          <cell r="X1192" t="str">
            <v>EST BANQUETA SOFT (BS ELET CORTEN) B0707-024/SOL MARFIM - 0,58x0,75x0,4H</v>
          </cell>
          <cell r="Y1192">
            <v>13823.8</v>
          </cell>
          <cell r="Z1192">
            <v>0.35</v>
          </cell>
          <cell r="AA1192">
            <v>8985.4700000000012</v>
          </cell>
          <cell r="AB1192"/>
        </row>
        <row r="1193">
          <cell r="C1193">
            <v>0</v>
          </cell>
          <cell r="D1193">
            <v>0</v>
          </cell>
          <cell r="E1193">
            <v>2</v>
          </cell>
          <cell r="F1193">
            <v>0</v>
          </cell>
          <cell r="H1193">
            <v>6</v>
          </cell>
          <cell r="O1193">
            <v>378288</v>
          </cell>
          <cell r="P1193" t="str">
            <v>2024/045-0011-01</v>
          </cell>
          <cell r="Q1193" t="str">
            <v>EST CADEIRA PI C/BRACO (CORTEN) COURO PIG 611</v>
          </cell>
          <cell r="R1193"/>
          <cell r="S1193"/>
          <cell r="T1193">
            <v>0.53</v>
          </cell>
          <cell r="U1193">
            <v>0.6</v>
          </cell>
          <cell r="V1193">
            <v>0.76</v>
          </cell>
          <cell r="W1193">
            <v>0</v>
          </cell>
          <cell r="X1193" t="str">
            <v>EST CADEIRA PI C/BRACO (CORTEN) COURO PIG 611 - 0,53x0,6x0,76H</v>
          </cell>
          <cell r="Y1193">
            <v>10088.870000000001</v>
          </cell>
          <cell r="Z1193">
            <v>0.35</v>
          </cell>
          <cell r="AA1193">
            <v>6557.7655000000013</v>
          </cell>
          <cell r="AB1193"/>
        </row>
        <row r="1194">
          <cell r="C1194">
            <v>0</v>
          </cell>
          <cell r="D1194">
            <v>0</v>
          </cell>
          <cell r="E1194">
            <v>2</v>
          </cell>
          <cell r="F1194">
            <v>0</v>
          </cell>
          <cell r="H1194">
            <v>6</v>
          </cell>
          <cell r="O1194">
            <v>378288</v>
          </cell>
          <cell r="P1194" t="str">
            <v>2024/045-0012-01</v>
          </cell>
          <cell r="Q1194" t="str">
            <v>EST CADEIRA PI C/BRACO (CORTEN) COURO PIG 611</v>
          </cell>
          <cell r="R1194"/>
          <cell r="S1194"/>
          <cell r="T1194">
            <v>0.53</v>
          </cell>
          <cell r="U1194">
            <v>0.6</v>
          </cell>
          <cell r="V1194">
            <v>0.76</v>
          </cell>
          <cell r="W1194">
            <v>0</v>
          </cell>
          <cell r="X1194" t="str">
            <v>EST CADEIRA PI C/BRACO (CORTEN) COURO PIG 611 - 0,53x0,6x0,76H</v>
          </cell>
          <cell r="Y1194">
            <v>10088.870000000001</v>
          </cell>
          <cell r="Z1194">
            <v>0.35</v>
          </cell>
          <cell r="AA1194">
            <v>6557.7655000000013</v>
          </cell>
          <cell r="AB1194"/>
        </row>
        <row r="1195">
          <cell r="C1195">
            <v>0</v>
          </cell>
          <cell r="D1195">
            <v>0</v>
          </cell>
          <cell r="E1195">
            <v>1</v>
          </cell>
          <cell r="F1195">
            <v>0</v>
          </cell>
          <cell r="H1195">
            <v>0</v>
          </cell>
          <cell r="O1195">
            <v>389992</v>
          </cell>
          <cell r="P1195" t="str">
            <v>2024/302-0038-01</v>
          </cell>
          <cell r="Q1195" t="str">
            <v>EST POLTRONA VINCI (LAM COMUM NOG NT/MARROM) COURO PIG 241</v>
          </cell>
          <cell r="R1195"/>
          <cell r="S1195"/>
          <cell r="T1195">
            <v>0.83</v>
          </cell>
          <cell r="U1195">
            <v>0.83</v>
          </cell>
          <cell r="V1195">
            <v>0.65</v>
          </cell>
          <cell r="W1195">
            <v>0</v>
          </cell>
          <cell r="X1195" t="str">
            <v>EST POLTRONA VINCI (LAM COMUM NOG NT/MARROM) COURO PIG 241 - 0,83x0,83x0,65H</v>
          </cell>
          <cell r="Y1195">
            <v>36188.5</v>
          </cell>
          <cell r="Z1195">
            <v>0.35</v>
          </cell>
          <cell r="AA1195">
            <v>23522.525000000001</v>
          </cell>
          <cell r="AB1195"/>
        </row>
        <row r="1196">
          <cell r="C1196">
            <v>0</v>
          </cell>
          <cell r="D1196">
            <v>0</v>
          </cell>
          <cell r="E1196">
            <v>1</v>
          </cell>
          <cell r="F1196">
            <v>0</v>
          </cell>
          <cell r="H1196">
            <v>1</v>
          </cell>
          <cell r="O1196">
            <v>389998</v>
          </cell>
          <cell r="P1196" t="str">
            <v>2024/281-0096-01</v>
          </cell>
          <cell r="Q1196" t="str">
            <v>EST CADEIRA WOODY C/B (TING AVELA) COURO PIG 513/SOL FENDY</v>
          </cell>
          <cell r="R1196"/>
          <cell r="S1196"/>
          <cell r="T1196">
            <v>0.53</v>
          </cell>
          <cell r="U1196">
            <v>0.53</v>
          </cell>
          <cell r="V1196">
            <v>0.82</v>
          </cell>
          <cell r="W1196">
            <v>0</v>
          </cell>
          <cell r="X1196" t="str">
            <v>EST CADEIRA WOODY C/B (TING AVELA) COURO PIG 513/SOL FENDY - 0,53x0,53x0,82H</v>
          </cell>
          <cell r="Y1196">
            <v>10521.59</v>
          </cell>
          <cell r="Z1196">
            <v>0.35</v>
          </cell>
          <cell r="AA1196">
            <v>6839.0335000000005</v>
          </cell>
          <cell r="AB1196"/>
        </row>
        <row r="1197">
          <cell r="C1197">
            <v>1</v>
          </cell>
          <cell r="D1197">
            <v>1</v>
          </cell>
          <cell r="E1197">
            <v>1</v>
          </cell>
          <cell r="F1197">
            <v>1</v>
          </cell>
          <cell r="H1197">
            <v>0</v>
          </cell>
          <cell r="O1197">
            <v>390008</v>
          </cell>
          <cell r="P1197" t="str">
            <v>2024/297-0151-01</v>
          </cell>
          <cell r="Q1197" t="str">
            <v>EST BANQUETA BAR WOODY H67 (TING MEL) COURO CAMURCA HAVANA</v>
          </cell>
          <cell r="R1197"/>
          <cell r="S1197"/>
          <cell r="T1197">
            <v>0.44</v>
          </cell>
          <cell r="U1197">
            <v>0.49</v>
          </cell>
          <cell r="V1197">
            <v>0.87</v>
          </cell>
          <cell r="W1197">
            <v>0</v>
          </cell>
          <cell r="X1197" t="str">
            <v>EST BANQUETA BAR WOODY H67 (TING MEL) COURO CAMURCA HAVANA - 0,44x0,49x0,87H</v>
          </cell>
          <cell r="Y1197">
            <v>10081.93</v>
          </cell>
          <cell r="Z1197">
            <v>0.35</v>
          </cell>
          <cell r="AA1197">
            <v>6553.2545000000009</v>
          </cell>
          <cell r="AB1197"/>
        </row>
        <row r="1198">
          <cell r="C1198">
            <v>1</v>
          </cell>
          <cell r="D1198">
            <v>1</v>
          </cell>
          <cell r="E1198">
            <v>1</v>
          </cell>
          <cell r="F1198">
            <v>1</v>
          </cell>
          <cell r="H1198">
            <v>0</v>
          </cell>
          <cell r="O1198">
            <v>390009</v>
          </cell>
          <cell r="P1198" t="str">
            <v>2024/316-0105-01</v>
          </cell>
          <cell r="Q1198" t="str">
            <v>EST BANQUETA BAR NEO CAIRO SLIM H67 (LAM NOG) TC B0707-024</v>
          </cell>
          <cell r="R1198"/>
          <cell r="S1198"/>
          <cell r="T1198">
            <v>0.5</v>
          </cell>
          <cell r="U1198">
            <v>0.49</v>
          </cell>
          <cell r="V1198">
            <v>0.84</v>
          </cell>
          <cell r="W1198">
            <v>0</v>
          </cell>
          <cell r="X1198" t="str">
            <v>EST BANQUETA BAR NEO CAIRO SLIM H67 (LAM NOG) TC B0707-024 - 0,5x0,49x0,84H</v>
          </cell>
          <cell r="Y1198">
            <v>9423.23</v>
          </cell>
          <cell r="Z1198">
            <v>0.35</v>
          </cell>
          <cell r="AA1198">
            <v>6125.0995000000003</v>
          </cell>
          <cell r="AB1198"/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6</v>
          </cell>
          <cell r="H1199">
            <v>2</v>
          </cell>
          <cell r="O1199">
            <v>335230</v>
          </cell>
          <cell r="P1199" t="str">
            <v>2022/220-0001-01</v>
          </cell>
          <cell r="Q1199" t="str">
            <v>EST CADEIRA JULIA C/BRACO (COURO PIG 000) (MARROM MTZ)</v>
          </cell>
          <cell r="R1199"/>
          <cell r="S1199"/>
          <cell r="T1199">
            <v>0.61</v>
          </cell>
          <cell r="U1199">
            <v>0.54</v>
          </cell>
          <cell r="V1199">
            <v>0.76</v>
          </cell>
          <cell r="W1199">
            <v>0</v>
          </cell>
          <cell r="X1199" t="str">
            <v>EST CADEIRA JULIA C/BRACO (COURO PIG 000) (MARROM MTZ) - 0,61x0,54x0,76H</v>
          </cell>
          <cell r="Y1199">
            <v>8798.630000000001</v>
          </cell>
          <cell r="Z1199">
            <v>0.35</v>
          </cell>
          <cell r="AA1199">
            <v>5719.1095000000005</v>
          </cell>
          <cell r="AB1199"/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6</v>
          </cell>
          <cell r="H1200">
            <v>2</v>
          </cell>
          <cell r="O1200">
            <v>335230</v>
          </cell>
          <cell r="P1200" t="str">
            <v>2022/220-0002-01</v>
          </cell>
          <cell r="Q1200" t="str">
            <v>EST CADEIRA JULIA C/BRACO (COURO PIG 000) (MARROM MTZ)</v>
          </cell>
          <cell r="R1200"/>
          <cell r="S1200"/>
          <cell r="T1200">
            <v>0.61</v>
          </cell>
          <cell r="U1200">
            <v>0.54</v>
          </cell>
          <cell r="V1200">
            <v>0.76</v>
          </cell>
          <cell r="W1200">
            <v>0</v>
          </cell>
          <cell r="X1200" t="str">
            <v>EST CADEIRA JULIA C/BRACO (COURO PIG 000) (MARROM MTZ) - 0,61x0,54x0,76H</v>
          </cell>
          <cell r="Y1200">
            <v>8798.630000000001</v>
          </cell>
          <cell r="Z1200">
            <v>0.35</v>
          </cell>
          <cell r="AA1200">
            <v>5719.1095000000005</v>
          </cell>
          <cell r="AB1200"/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6</v>
          </cell>
          <cell r="H1201">
            <v>2</v>
          </cell>
          <cell r="O1201">
            <v>335230</v>
          </cell>
          <cell r="P1201" t="str">
            <v>2022/220-0003-01</v>
          </cell>
          <cell r="Q1201" t="str">
            <v>EST CADEIRA JULIA C/BRACO (COURO PIG 000) (MARROM MTZ)</v>
          </cell>
          <cell r="R1201"/>
          <cell r="S1201"/>
          <cell r="T1201">
            <v>0.61</v>
          </cell>
          <cell r="U1201">
            <v>0.54</v>
          </cell>
          <cell r="V1201">
            <v>0.76</v>
          </cell>
          <cell r="W1201">
            <v>0</v>
          </cell>
          <cell r="X1201" t="str">
            <v>EST CADEIRA JULIA C/BRACO (COURO PIG 000) (MARROM MTZ) - 0,61x0,54x0,76H</v>
          </cell>
          <cell r="Y1201">
            <v>8798.630000000001</v>
          </cell>
          <cell r="Z1201">
            <v>0.35</v>
          </cell>
          <cell r="AA1201">
            <v>5719.1095000000005</v>
          </cell>
          <cell r="AB1201"/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6</v>
          </cell>
          <cell r="H1202">
            <v>2</v>
          </cell>
          <cell r="O1202">
            <v>335230</v>
          </cell>
          <cell r="P1202" t="str">
            <v>2022/220-0004-01</v>
          </cell>
          <cell r="Q1202" t="str">
            <v>EST CADEIRA JULIA C/BRACO (COURO PIG 000) (MARROM MTZ)</v>
          </cell>
          <cell r="R1202"/>
          <cell r="S1202"/>
          <cell r="T1202">
            <v>0.61</v>
          </cell>
          <cell r="U1202">
            <v>0.54</v>
          </cell>
          <cell r="V1202">
            <v>0.76</v>
          </cell>
          <cell r="W1202">
            <v>0</v>
          </cell>
          <cell r="X1202" t="str">
            <v>EST CADEIRA JULIA C/BRACO (COURO PIG 000) (MARROM MTZ) - 0,61x0,54x0,76H</v>
          </cell>
          <cell r="Y1202">
            <v>8798.630000000001</v>
          </cell>
          <cell r="Z1202">
            <v>0.35</v>
          </cell>
          <cell r="AA1202">
            <v>5719.1095000000005</v>
          </cell>
          <cell r="AB1202"/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6</v>
          </cell>
          <cell r="H1203">
            <v>2</v>
          </cell>
          <cell r="O1203">
            <v>335230</v>
          </cell>
          <cell r="P1203" t="str">
            <v>2022/220-0005-01</v>
          </cell>
          <cell r="Q1203" t="str">
            <v>EST CADEIRA JULIA C/BRACO (COURO PIG 000) (MARROM MTZ)</v>
          </cell>
          <cell r="R1203"/>
          <cell r="S1203"/>
          <cell r="T1203">
            <v>0.61</v>
          </cell>
          <cell r="U1203">
            <v>0.54</v>
          </cell>
          <cell r="V1203">
            <v>0.76</v>
          </cell>
          <cell r="W1203">
            <v>0</v>
          </cell>
          <cell r="X1203" t="str">
            <v>EST CADEIRA JULIA C/BRACO (COURO PIG 000) (MARROM MTZ) - 0,61x0,54x0,76H</v>
          </cell>
          <cell r="Y1203">
            <v>8798.630000000001</v>
          </cell>
          <cell r="Z1203">
            <v>0.35</v>
          </cell>
          <cell r="AA1203">
            <v>5719.1095000000005</v>
          </cell>
          <cell r="AB1203"/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6</v>
          </cell>
          <cell r="H1204">
            <v>2</v>
          </cell>
          <cell r="O1204">
            <v>335230</v>
          </cell>
          <cell r="P1204" t="str">
            <v>2022/220-0007-01</v>
          </cell>
          <cell r="Q1204" t="str">
            <v>EST CADEIRA JULIA C/BRACO (COURO PIG 000) (MARROM MTZ)</v>
          </cell>
          <cell r="R1204"/>
          <cell r="S1204"/>
          <cell r="T1204">
            <v>0.61</v>
          </cell>
          <cell r="U1204">
            <v>0.54</v>
          </cell>
          <cell r="V1204">
            <v>0.76</v>
          </cell>
          <cell r="W1204">
            <v>0</v>
          </cell>
          <cell r="X1204" t="str">
            <v>EST CADEIRA JULIA C/BRACO (COURO PIG 000) (MARROM MTZ) - 0,61x0,54x0,76H</v>
          </cell>
          <cell r="Y1204">
            <v>8798.630000000001</v>
          </cell>
          <cell r="Z1204">
            <v>0.35</v>
          </cell>
          <cell r="AA1204">
            <v>5719.1095000000005</v>
          </cell>
          <cell r="AB1204"/>
        </row>
        <row r="1205">
          <cell r="C1205">
            <v>1</v>
          </cell>
          <cell r="D1205">
            <v>1</v>
          </cell>
          <cell r="E1205">
            <v>1</v>
          </cell>
          <cell r="F1205">
            <v>1</v>
          </cell>
          <cell r="H1205">
            <v>0</v>
          </cell>
          <cell r="O1205">
            <v>390008</v>
          </cell>
          <cell r="P1205" t="str">
            <v>2024/297-0148-01</v>
          </cell>
          <cell r="Q1205" t="str">
            <v>EST BANQUETA BAR WOODY H67 (TING MEL) COURO CAMURCA HAVANA</v>
          </cell>
          <cell r="R1205"/>
          <cell r="S1205"/>
          <cell r="T1205">
            <v>0.44</v>
          </cell>
          <cell r="U1205">
            <v>0.49</v>
          </cell>
          <cell r="V1205">
            <v>0.87</v>
          </cell>
          <cell r="W1205">
            <v>0</v>
          </cell>
          <cell r="X1205" t="str">
            <v>EST BANQUETA BAR WOODY H67 (TING MEL) COURO CAMURCA HAVANA - 0,44x0,49x0,87H</v>
          </cell>
          <cell r="Y1205">
            <v>10081.93</v>
          </cell>
          <cell r="Z1205">
            <v>0.35</v>
          </cell>
          <cell r="AA1205">
            <v>6553.2545000000009</v>
          </cell>
          <cell r="AB1205"/>
        </row>
        <row r="1206">
          <cell r="C1206">
            <v>1</v>
          </cell>
          <cell r="D1206">
            <v>1</v>
          </cell>
          <cell r="E1206">
            <v>1</v>
          </cell>
          <cell r="F1206">
            <v>1</v>
          </cell>
          <cell r="H1206">
            <v>0</v>
          </cell>
          <cell r="O1206">
            <v>390009</v>
          </cell>
          <cell r="P1206" t="str">
            <v>2024/316-0103-01</v>
          </cell>
          <cell r="Q1206" t="str">
            <v>EST BANQUETA BAR NEO CAIRO SLIM H67 (LAM NOG) TC B0707-024</v>
          </cell>
          <cell r="R1206"/>
          <cell r="S1206"/>
          <cell r="T1206">
            <v>0.5</v>
          </cell>
          <cell r="U1206">
            <v>0.49</v>
          </cell>
          <cell r="V1206">
            <v>0.84</v>
          </cell>
          <cell r="W1206">
            <v>0</v>
          </cell>
          <cell r="X1206" t="str">
            <v>EST BANQUETA BAR NEO CAIRO SLIM H67 (LAM NOG) TC B0707-024 - 0,5x0,49x0,84H</v>
          </cell>
          <cell r="Y1206">
            <v>9423.23</v>
          </cell>
          <cell r="Z1206">
            <v>0.35</v>
          </cell>
          <cell r="AA1206">
            <v>6125.0995000000003</v>
          </cell>
          <cell r="AB1206"/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1</v>
          </cell>
          <cell r="H1207">
            <v>0</v>
          </cell>
          <cell r="O1207">
            <v>402776</v>
          </cell>
          <cell r="P1207" t="str">
            <v>2025/091-0019-01</v>
          </cell>
          <cell r="Q1207" t="str">
            <v>EST BANCO TRILHO (CARVALHO TING MEL)</v>
          </cell>
          <cell r="R1207"/>
          <cell r="S1207"/>
          <cell r="T1207">
            <v>1.8</v>
          </cell>
          <cell r="U1207">
            <v>0.52</v>
          </cell>
          <cell r="V1207">
            <v>0.42</v>
          </cell>
          <cell r="W1207">
            <v>0</v>
          </cell>
          <cell r="X1207" t="str">
            <v>EST BANCO TRILHO (CARVALHO TING MEL) - 1,8x0,52x0,42H</v>
          </cell>
          <cell r="Y1207">
            <v>27984.41</v>
          </cell>
          <cell r="Z1207">
            <v>0.35</v>
          </cell>
          <cell r="AA1207">
            <v>18189.8665</v>
          </cell>
          <cell r="AB1207"/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1</v>
          </cell>
          <cell r="H1208">
            <v>5</v>
          </cell>
          <cell r="O1208">
            <v>389997</v>
          </cell>
          <cell r="P1208" t="str">
            <v>2024/297-0134-01</v>
          </cell>
          <cell r="Q1208" t="str">
            <v>EST CADEIRA WOODY (TING MEL) CAMURCA HAVANA/SOL HAVANA</v>
          </cell>
          <cell r="R1208"/>
          <cell r="S1208"/>
          <cell r="T1208">
            <v>0.49</v>
          </cell>
          <cell r="U1208">
            <v>0.53</v>
          </cell>
          <cell r="V1208">
            <v>0.82</v>
          </cell>
          <cell r="W1208">
            <v>0</v>
          </cell>
          <cell r="X1208" t="str">
            <v>EST CADEIRA WOODY (TING MEL) CAMURCA HAVANA/SOL HAVANA - 0,49x0,53x0,82H</v>
          </cell>
          <cell r="Y1208">
            <v>11376.92</v>
          </cell>
          <cell r="Z1208">
            <v>0.35</v>
          </cell>
          <cell r="AA1208">
            <v>7394.9980000000005</v>
          </cell>
          <cell r="AB1208"/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1</v>
          </cell>
          <cell r="H1209">
            <v>5</v>
          </cell>
          <cell r="O1209">
            <v>389997</v>
          </cell>
          <cell r="P1209" t="str">
            <v>2024/297-0135-01</v>
          </cell>
          <cell r="Q1209" t="str">
            <v>EST CADEIRA WOODY (TING MEL) CAMURCA HAVANA/SOL HAVANA</v>
          </cell>
          <cell r="R1209"/>
          <cell r="S1209"/>
          <cell r="T1209">
            <v>0.49</v>
          </cell>
          <cell r="U1209">
            <v>0.53</v>
          </cell>
          <cell r="V1209">
            <v>0.82</v>
          </cell>
          <cell r="W1209">
            <v>0</v>
          </cell>
          <cell r="X1209" t="str">
            <v>EST CADEIRA WOODY (TING MEL) CAMURCA HAVANA/SOL HAVANA - 0,49x0,53x0,82H</v>
          </cell>
          <cell r="Y1209">
            <v>11376.92</v>
          </cell>
          <cell r="Z1209">
            <v>0.35</v>
          </cell>
          <cell r="AA1209">
            <v>7394.9980000000005</v>
          </cell>
          <cell r="AB1209"/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1</v>
          </cell>
          <cell r="H1210">
            <v>5</v>
          </cell>
          <cell r="O1210">
            <v>389997</v>
          </cell>
          <cell r="P1210" t="str">
            <v>2024/297-0136-01</v>
          </cell>
          <cell r="Q1210" t="str">
            <v>EST CADEIRA WOODY (TING MEL) CAMURCA HAVANA/SOL HAVANA</v>
          </cell>
          <cell r="R1210"/>
          <cell r="S1210"/>
          <cell r="T1210">
            <v>0.49</v>
          </cell>
          <cell r="U1210">
            <v>0.53</v>
          </cell>
          <cell r="V1210">
            <v>0.82</v>
          </cell>
          <cell r="W1210">
            <v>0</v>
          </cell>
          <cell r="X1210" t="str">
            <v>EST CADEIRA WOODY (TING MEL) CAMURCA HAVANA/SOL HAVANA - 0,49x0,53x0,82H</v>
          </cell>
          <cell r="Y1210">
            <v>11376.92</v>
          </cell>
          <cell r="Z1210">
            <v>0.35</v>
          </cell>
          <cell r="AA1210">
            <v>7394.9980000000005</v>
          </cell>
          <cell r="AB1210"/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1</v>
          </cell>
          <cell r="H1211">
            <v>5</v>
          </cell>
          <cell r="O1211">
            <v>389997</v>
          </cell>
          <cell r="P1211" t="str">
            <v>2024/297-0137-01</v>
          </cell>
          <cell r="Q1211" t="str">
            <v>EST CADEIRA WOODY (TING MEL) CAMURCA HAVANA/SOL HAVANA</v>
          </cell>
          <cell r="R1211"/>
          <cell r="S1211"/>
          <cell r="T1211">
            <v>0.49</v>
          </cell>
          <cell r="U1211">
            <v>0.53</v>
          </cell>
          <cell r="V1211">
            <v>0.82</v>
          </cell>
          <cell r="W1211">
            <v>0</v>
          </cell>
          <cell r="X1211" t="str">
            <v>EST CADEIRA WOODY (TING MEL) CAMURCA HAVANA/SOL HAVANA - 0,49x0,53x0,82H</v>
          </cell>
          <cell r="Y1211">
            <v>11376.92</v>
          </cell>
          <cell r="Z1211">
            <v>0.35</v>
          </cell>
          <cell r="AA1211">
            <v>7394.9980000000005</v>
          </cell>
          <cell r="AB1211"/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1</v>
          </cell>
          <cell r="H1212">
            <v>5</v>
          </cell>
          <cell r="O1212">
            <v>389997</v>
          </cell>
          <cell r="P1212" t="str">
            <v>2024/297-0138-01</v>
          </cell>
          <cell r="Q1212" t="str">
            <v>EST CADEIRA WOODY (TING MEL) CAMURCA HAVANA/SOL HAVANA</v>
          </cell>
          <cell r="R1212"/>
          <cell r="S1212"/>
          <cell r="T1212">
            <v>0.49</v>
          </cell>
          <cell r="U1212">
            <v>0.53</v>
          </cell>
          <cell r="V1212">
            <v>0.82</v>
          </cell>
          <cell r="W1212">
            <v>0</v>
          </cell>
          <cell r="X1212" t="str">
            <v>EST CADEIRA WOODY (TING MEL) CAMURCA HAVANA/SOL HAVANA - 0,49x0,53x0,82H</v>
          </cell>
          <cell r="Y1212">
            <v>11376.92</v>
          </cell>
          <cell r="Z1212">
            <v>0.35</v>
          </cell>
          <cell r="AA1212">
            <v>7394.9980000000005</v>
          </cell>
          <cell r="AB1212"/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1</v>
          </cell>
          <cell r="H1213">
            <v>5</v>
          </cell>
          <cell r="O1213">
            <v>389997</v>
          </cell>
          <cell r="P1213" t="str">
            <v>2024/297-0139-01</v>
          </cell>
          <cell r="Q1213" t="str">
            <v>EST CADEIRA WOODY (TING MEL) CAMURCA HAVANA/SOL HAVANA</v>
          </cell>
          <cell r="R1213"/>
          <cell r="S1213"/>
          <cell r="T1213">
            <v>0.49</v>
          </cell>
          <cell r="U1213">
            <v>0.53</v>
          </cell>
          <cell r="V1213">
            <v>0.82</v>
          </cell>
          <cell r="W1213">
            <v>0</v>
          </cell>
          <cell r="X1213" t="str">
            <v>EST CADEIRA WOODY (TING MEL) CAMURCA HAVANA/SOL HAVANA - 0,49x0,53x0,82H</v>
          </cell>
          <cell r="Y1213">
            <v>11376.92</v>
          </cell>
          <cell r="Z1213">
            <v>0.35</v>
          </cell>
          <cell r="AA1213">
            <v>7394.9980000000005</v>
          </cell>
          <cell r="AB1213"/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H1214">
            <v>8</v>
          </cell>
          <cell r="O1214">
            <v>320670</v>
          </cell>
          <cell r="P1214" t="str">
            <v>2022/083-0011-01</v>
          </cell>
          <cell r="Q1214" t="str">
            <v>EST CADEIRA JULIA C/BRACO (COURO PIG 42 VERDE) (PRETO FSC)</v>
          </cell>
          <cell r="R1214"/>
          <cell r="S1214"/>
          <cell r="T1214">
            <v>0.61</v>
          </cell>
          <cell r="U1214">
            <v>0.54</v>
          </cell>
          <cell r="V1214">
            <v>0.76</v>
          </cell>
          <cell r="W1214">
            <v>0</v>
          </cell>
          <cell r="X1214" t="str">
            <v>EST CADEIRA JULIA C/BRACO (COURO PIG 42 VERDE) (PRETO FSC) - 0,61x0,54x0,76H</v>
          </cell>
          <cell r="Y1214">
            <v>8798.630000000001</v>
          </cell>
          <cell r="Z1214">
            <v>0.35</v>
          </cell>
          <cell r="AA1214">
            <v>5719.1095000000005</v>
          </cell>
          <cell r="AB1214"/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H1215">
            <v>8</v>
          </cell>
          <cell r="O1215">
            <v>320670</v>
          </cell>
          <cell r="P1215" t="str">
            <v>2022/083-0012-01</v>
          </cell>
          <cell r="Q1215" t="str">
            <v>EST CADEIRA JULIA C/BRACO (COURO PIG 42 VERDE) (PRETO FSC)</v>
          </cell>
          <cell r="R1215"/>
          <cell r="S1215"/>
          <cell r="T1215">
            <v>0.61</v>
          </cell>
          <cell r="U1215">
            <v>0.54</v>
          </cell>
          <cell r="V1215">
            <v>0.76</v>
          </cell>
          <cell r="W1215">
            <v>0</v>
          </cell>
          <cell r="X1215" t="str">
            <v>EST CADEIRA JULIA C/BRACO (COURO PIG 42 VERDE) (PRETO FSC) - 0,61x0,54x0,76H</v>
          </cell>
          <cell r="Y1215">
            <v>8798.630000000001</v>
          </cell>
          <cell r="Z1215">
            <v>0.35</v>
          </cell>
          <cell r="AA1215">
            <v>5719.1095000000005</v>
          </cell>
          <cell r="AB1215"/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H1216">
            <v>8</v>
          </cell>
          <cell r="O1216">
            <v>320670</v>
          </cell>
          <cell r="P1216" t="str">
            <v>2022/083-0013-01</v>
          </cell>
          <cell r="Q1216" t="str">
            <v>EST CADEIRA JULIA C/BRACO (COURO PIG 42 VERDE) (PRETO FSC)</v>
          </cell>
          <cell r="R1216"/>
          <cell r="S1216"/>
          <cell r="T1216">
            <v>0.61</v>
          </cell>
          <cell r="U1216">
            <v>0.54</v>
          </cell>
          <cell r="V1216">
            <v>0.76</v>
          </cell>
          <cell r="W1216">
            <v>0</v>
          </cell>
          <cell r="X1216" t="str">
            <v>EST CADEIRA JULIA C/BRACO (COURO PIG 42 VERDE) (PRETO FSC) - 0,61x0,54x0,76H</v>
          </cell>
          <cell r="Y1216">
            <v>8798.630000000001</v>
          </cell>
          <cell r="Z1216">
            <v>0.35</v>
          </cell>
          <cell r="AA1216">
            <v>5719.1095000000005</v>
          </cell>
          <cell r="AB1216"/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H1217">
            <v>8</v>
          </cell>
          <cell r="O1217">
            <v>320670</v>
          </cell>
          <cell r="P1217" t="str">
            <v>2022/083-0014-01</v>
          </cell>
          <cell r="Q1217" t="str">
            <v>EST CADEIRA JULIA C/BRACO (COURO PIG 42 VERDE) (PRETO FSC)</v>
          </cell>
          <cell r="R1217"/>
          <cell r="S1217"/>
          <cell r="T1217">
            <v>0.61</v>
          </cell>
          <cell r="U1217">
            <v>0.54</v>
          </cell>
          <cell r="V1217">
            <v>0.76</v>
          </cell>
          <cell r="W1217">
            <v>0</v>
          </cell>
          <cell r="X1217" t="str">
            <v>EST CADEIRA JULIA C/BRACO (COURO PIG 42 VERDE) (PRETO FSC) - 0,61x0,54x0,76H</v>
          </cell>
          <cell r="Y1217">
            <v>8798.630000000001</v>
          </cell>
          <cell r="Z1217">
            <v>0.35</v>
          </cell>
          <cell r="AA1217">
            <v>5719.1095000000005</v>
          </cell>
          <cell r="AB1217"/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H1218">
            <v>8</v>
          </cell>
          <cell r="O1218">
            <v>320670</v>
          </cell>
          <cell r="P1218" t="str">
            <v>2022/083-0015-01</v>
          </cell>
          <cell r="Q1218" t="str">
            <v>EST CADEIRA JULIA C/BRACO (COURO PIG 42 VERDE) (PRETO FSC)</v>
          </cell>
          <cell r="R1218"/>
          <cell r="S1218"/>
          <cell r="T1218">
            <v>0.61</v>
          </cell>
          <cell r="U1218">
            <v>0.54</v>
          </cell>
          <cell r="V1218">
            <v>0.76</v>
          </cell>
          <cell r="W1218">
            <v>0</v>
          </cell>
          <cell r="X1218" t="str">
            <v>EST CADEIRA JULIA C/BRACO (COURO PIG 42 VERDE) (PRETO FSC) - 0,61x0,54x0,76H</v>
          </cell>
          <cell r="Y1218">
            <v>8798.630000000001</v>
          </cell>
          <cell r="Z1218">
            <v>0.35</v>
          </cell>
          <cell r="AA1218">
            <v>5719.1095000000005</v>
          </cell>
          <cell r="AB1218"/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H1219">
            <v>8</v>
          </cell>
          <cell r="O1219">
            <v>320670</v>
          </cell>
          <cell r="P1219" t="str">
            <v>2022/083-0016-01</v>
          </cell>
          <cell r="Q1219" t="str">
            <v>EST CADEIRA JULIA C/BRACO (COURO PIG 42 VERDE) (PRETO FSC)</v>
          </cell>
          <cell r="R1219"/>
          <cell r="S1219"/>
          <cell r="T1219">
            <v>0.61</v>
          </cell>
          <cell r="U1219">
            <v>0.54</v>
          </cell>
          <cell r="V1219">
            <v>0.76</v>
          </cell>
          <cell r="W1219">
            <v>0</v>
          </cell>
          <cell r="X1219" t="str">
            <v>EST CADEIRA JULIA C/BRACO (COURO PIG 42 VERDE) (PRETO FSC) - 0,61x0,54x0,76H</v>
          </cell>
          <cell r="Y1219">
            <v>8798.630000000001</v>
          </cell>
          <cell r="Z1219">
            <v>0.35</v>
          </cell>
          <cell r="AA1219">
            <v>5719.1095000000005</v>
          </cell>
          <cell r="AB1219"/>
        </row>
        <row r="1220">
          <cell r="C1220">
            <v>0</v>
          </cell>
          <cell r="D1220">
            <v>1</v>
          </cell>
          <cell r="E1220">
            <v>0</v>
          </cell>
          <cell r="F1220">
            <v>0</v>
          </cell>
          <cell r="H1220">
            <v>5</v>
          </cell>
          <cell r="O1220">
            <v>378286</v>
          </cell>
          <cell r="P1220" t="str">
            <v>2024/029-0114-01</v>
          </cell>
          <cell r="Q1220" t="str">
            <v>EST CADEIRA PI C/BRACO (PRETO FSC) TC LEROY 6200-007</v>
          </cell>
          <cell r="R1220"/>
          <cell r="S1220"/>
          <cell r="T1220">
            <v>0.75</v>
          </cell>
          <cell r="U1220">
            <v>0.6</v>
          </cell>
          <cell r="V1220">
            <v>0.76</v>
          </cell>
          <cell r="W1220">
            <v>0</v>
          </cell>
          <cell r="X1220" t="str">
            <v>EST CADEIRA PI C/BRACO (PRETO FSC) TC LEROY 6200-007 - 0,75x0,6x0,76H</v>
          </cell>
          <cell r="Y1220">
            <v>10102.205</v>
          </cell>
          <cell r="Z1220">
            <v>0.35</v>
          </cell>
          <cell r="AA1220">
            <v>6566.43325</v>
          </cell>
          <cell r="AB1220"/>
        </row>
        <row r="1221">
          <cell r="C1221">
            <v>0</v>
          </cell>
          <cell r="D1221">
            <v>1</v>
          </cell>
          <cell r="E1221">
            <v>0</v>
          </cell>
          <cell r="F1221">
            <v>0</v>
          </cell>
          <cell r="H1221">
            <v>5</v>
          </cell>
          <cell r="O1221">
            <v>378286</v>
          </cell>
          <cell r="P1221" t="str">
            <v>2024/029-0115-01</v>
          </cell>
          <cell r="Q1221" t="str">
            <v>EST CADEIRA PI C/BRACO (PRETO FSC) TC LEROY 6200-007</v>
          </cell>
          <cell r="R1221"/>
          <cell r="S1221"/>
          <cell r="T1221">
            <v>0.75</v>
          </cell>
          <cell r="U1221">
            <v>0.6</v>
          </cell>
          <cell r="V1221">
            <v>0.76</v>
          </cell>
          <cell r="W1221">
            <v>0</v>
          </cell>
          <cell r="X1221" t="str">
            <v>EST CADEIRA PI C/BRACO (PRETO FSC) TC LEROY 6200-007 - 0,75x0,6x0,76H</v>
          </cell>
          <cell r="Y1221">
            <v>10102.205</v>
          </cell>
          <cell r="Z1221">
            <v>0.35</v>
          </cell>
          <cell r="AA1221">
            <v>6566.43325</v>
          </cell>
          <cell r="AB1221"/>
        </row>
        <row r="1222">
          <cell r="C1222">
            <v>0</v>
          </cell>
          <cell r="D1222">
            <v>2</v>
          </cell>
          <cell r="E1222">
            <v>0</v>
          </cell>
          <cell r="F1222">
            <v>0</v>
          </cell>
          <cell r="H1222">
            <v>0</v>
          </cell>
          <cell r="O1222">
            <v>389993</v>
          </cell>
          <cell r="P1222" t="str">
            <v>2024/326-0080-01</v>
          </cell>
          <cell r="Q1222" t="str">
            <v>EST POLTRONA VINCI (LAM COMUM FREIJO NT/CORTEN) TC B0707-024</v>
          </cell>
          <cell r="R1222"/>
          <cell r="S1222"/>
          <cell r="T1222">
            <v>0.83</v>
          </cell>
          <cell r="U1222">
            <v>0.83</v>
          </cell>
          <cell r="V1222">
            <v>0.65</v>
          </cell>
          <cell r="W1222">
            <v>0</v>
          </cell>
          <cell r="X1222" t="str">
            <v>EST POLTRONA VINCI (LAM COMUM FREIJO NT/CORTEN) TC B0707-024 - 0,83x0,83x0,65H</v>
          </cell>
          <cell r="Y1222">
            <v>35583.924999999996</v>
          </cell>
          <cell r="Z1222">
            <v>0.35</v>
          </cell>
          <cell r="AA1222">
            <v>23129.551249999997</v>
          </cell>
          <cell r="AB1222"/>
        </row>
        <row r="1223">
          <cell r="C1223">
            <v>0</v>
          </cell>
          <cell r="D1223">
            <v>2</v>
          </cell>
          <cell r="E1223">
            <v>0</v>
          </cell>
          <cell r="F1223">
            <v>0</v>
          </cell>
          <cell r="H1223">
            <v>0</v>
          </cell>
          <cell r="O1223">
            <v>389993</v>
          </cell>
          <cell r="P1223" t="str">
            <v>2024/326-0081-01</v>
          </cell>
          <cell r="Q1223" t="str">
            <v>EST POLTRONA VINCI (LAM COMUM FREIJO NT/CORTEN) TC B0707-024</v>
          </cell>
          <cell r="R1223"/>
          <cell r="S1223"/>
          <cell r="T1223">
            <v>0.83</v>
          </cell>
          <cell r="U1223">
            <v>0.83</v>
          </cell>
          <cell r="V1223">
            <v>0.65</v>
          </cell>
          <cell r="W1223">
            <v>0</v>
          </cell>
          <cell r="X1223" t="str">
            <v>EST POLTRONA VINCI (LAM COMUM FREIJO NT/CORTEN) TC B0707-024 - 0,83x0,83x0,65H</v>
          </cell>
          <cell r="Y1223">
            <v>35583.924999999996</v>
          </cell>
          <cell r="Z1223">
            <v>0.35</v>
          </cell>
          <cell r="AA1223">
            <v>23129.551249999997</v>
          </cell>
          <cell r="AB1223"/>
        </row>
        <row r="1224">
          <cell r="C1224">
            <v>1</v>
          </cell>
          <cell r="D1224">
            <v>1</v>
          </cell>
          <cell r="E1224">
            <v>1</v>
          </cell>
          <cell r="F1224">
            <v>1</v>
          </cell>
          <cell r="H1224">
            <v>0</v>
          </cell>
          <cell r="O1224">
            <v>390008</v>
          </cell>
          <cell r="P1224" t="str">
            <v>2024/297-0149-01</v>
          </cell>
          <cell r="Q1224" t="str">
            <v>EST BANQUETA BAR WOODY H67 (TING MEL) COURO CAMURCA HAVANA</v>
          </cell>
          <cell r="R1224"/>
          <cell r="S1224"/>
          <cell r="T1224">
            <v>0.44</v>
          </cell>
          <cell r="U1224">
            <v>0.49</v>
          </cell>
          <cell r="V1224">
            <v>0.87</v>
          </cell>
          <cell r="W1224">
            <v>0</v>
          </cell>
          <cell r="X1224" t="str">
            <v>EST BANQUETA BAR WOODY H67 (TING MEL) COURO CAMURCA HAVANA - 0,44x0,49x0,87H</v>
          </cell>
          <cell r="Y1224">
            <v>10081.93</v>
          </cell>
          <cell r="Z1224">
            <v>0.35</v>
          </cell>
          <cell r="AA1224">
            <v>6553.2545000000009</v>
          </cell>
          <cell r="AB1224"/>
        </row>
        <row r="1225">
          <cell r="C1225">
            <v>1</v>
          </cell>
          <cell r="D1225">
            <v>1</v>
          </cell>
          <cell r="E1225">
            <v>1</v>
          </cell>
          <cell r="F1225">
            <v>1</v>
          </cell>
          <cell r="H1225">
            <v>0</v>
          </cell>
          <cell r="O1225">
            <v>390009</v>
          </cell>
          <cell r="P1225" t="str">
            <v>2024/316-0104-01</v>
          </cell>
          <cell r="Q1225" t="str">
            <v>EST BANQUETA BAR NEO CAIRO SLIM H67 (LAM NOG) TC B0707-024</v>
          </cell>
          <cell r="R1225"/>
          <cell r="S1225"/>
          <cell r="T1225">
            <v>0.5</v>
          </cell>
          <cell r="U1225">
            <v>0.49</v>
          </cell>
          <cell r="V1225">
            <v>0.84</v>
          </cell>
          <cell r="W1225">
            <v>0</v>
          </cell>
          <cell r="X1225" t="str">
            <v>EST BANQUETA BAR NEO CAIRO SLIM H67 (LAM NOG) TC B0707-024 - 0,5x0,49x0,84H</v>
          </cell>
          <cell r="Y1225">
            <v>9423.23</v>
          </cell>
          <cell r="Z1225">
            <v>0.35</v>
          </cell>
          <cell r="AA1225">
            <v>6125.0995000000003</v>
          </cell>
          <cell r="AB1225"/>
        </row>
        <row r="1226">
          <cell r="C1226">
            <v>1</v>
          </cell>
          <cell r="D1226">
            <v>0</v>
          </cell>
          <cell r="E1226">
            <v>0</v>
          </cell>
          <cell r="F1226">
            <v>0</v>
          </cell>
          <cell r="H1226">
            <v>0</v>
          </cell>
          <cell r="O1226">
            <v>270487</v>
          </cell>
          <cell r="P1226" t="str">
            <v>2020/331-0064-01</v>
          </cell>
          <cell r="Q1226" t="str">
            <v>EST MESA LATERAL SMITH TP VD BRONZE/BS MTZ CHAMP</v>
          </cell>
          <cell r="R1226"/>
          <cell r="S1226"/>
          <cell r="T1226">
            <v>0.45</v>
          </cell>
          <cell r="U1226">
            <v>0</v>
          </cell>
          <cell r="V1226">
            <v>0.48</v>
          </cell>
          <cell r="W1226">
            <v>0.45</v>
          </cell>
          <cell r="X1226" t="str">
            <v>EST MESA LATERAL SMITH TP VD BRONZE/BS MTZ CHAMP - Ø0,45x0,48H</v>
          </cell>
          <cell r="Y1226">
            <v>6695.81</v>
          </cell>
          <cell r="Z1226">
            <v>0.5</v>
          </cell>
          <cell r="AA1226">
            <v>3347.9050000000002</v>
          </cell>
          <cell r="AB1226"/>
        </row>
        <row r="1227">
          <cell r="C1227">
            <v>1</v>
          </cell>
          <cell r="D1227">
            <v>0</v>
          </cell>
          <cell r="E1227">
            <v>0</v>
          </cell>
          <cell r="F1227">
            <v>0</v>
          </cell>
          <cell r="H1227">
            <v>2</v>
          </cell>
          <cell r="O1227">
            <v>270478</v>
          </cell>
          <cell r="P1227" t="str">
            <v>2020/335-0124-01</v>
          </cell>
          <cell r="Q1227" t="str">
            <v>EST POLTRONA SOFT (BS ELET CORTEN) C0700-1/SOL NATURAL</v>
          </cell>
          <cell r="R1227"/>
          <cell r="S1227"/>
          <cell r="T1227">
            <v>0.87</v>
          </cell>
          <cell r="U1227">
            <v>1.02</v>
          </cell>
          <cell r="V1227">
            <v>0.8</v>
          </cell>
          <cell r="W1227">
            <v>0</v>
          </cell>
          <cell r="X1227" t="str">
            <v>EST POLTRONA SOFT (BS ELET CORTEN) C0700-1/SOL NATURAL - 0,87x1,02x0,8H</v>
          </cell>
          <cell r="Y1227">
            <v>30886.22</v>
          </cell>
          <cell r="Z1227">
            <v>0.35</v>
          </cell>
          <cell r="AA1227">
            <v>20076.043000000001</v>
          </cell>
          <cell r="AB1227"/>
        </row>
        <row r="1228">
          <cell r="C1228">
            <v>1</v>
          </cell>
          <cell r="D1228">
            <v>0</v>
          </cell>
          <cell r="E1228">
            <v>0</v>
          </cell>
          <cell r="F1228">
            <v>0</v>
          </cell>
          <cell r="H1228">
            <v>0</v>
          </cell>
          <cell r="O1228">
            <v>270484</v>
          </cell>
          <cell r="P1228" t="str">
            <v>2020/335-0125-01</v>
          </cell>
          <cell r="Q1228" t="str">
            <v>EST BANQUETA SOFT (BS ELET CORTEN) C0700-1/SOL NATURAL</v>
          </cell>
          <cell r="R1228"/>
          <cell r="S1228"/>
          <cell r="T1228">
            <v>0.57999999999999996</v>
          </cell>
          <cell r="U1228">
            <v>0.75</v>
          </cell>
          <cell r="V1228">
            <v>0.4</v>
          </cell>
          <cell r="W1228">
            <v>0</v>
          </cell>
          <cell r="X1228" t="str">
            <v>EST BANQUETA SOFT (BS ELET CORTEN) C0700-1/SOL NATURAL - 0,58x0,75x0,4H</v>
          </cell>
          <cell r="Y1228">
            <v>14000.5</v>
          </cell>
          <cell r="Z1228">
            <v>0.35</v>
          </cell>
          <cell r="AA1228">
            <v>9100.3250000000007</v>
          </cell>
          <cell r="AB1228"/>
        </row>
        <row r="1229">
          <cell r="C1229">
            <v>8</v>
          </cell>
          <cell r="D1229">
            <v>0</v>
          </cell>
          <cell r="E1229">
            <v>0</v>
          </cell>
          <cell r="F1229">
            <v>0</v>
          </cell>
          <cell r="H1229">
            <v>0</v>
          </cell>
          <cell r="O1229">
            <v>334212</v>
          </cell>
          <cell r="P1229" t="str">
            <v>2022/193-0041-01</v>
          </cell>
          <cell r="Q1229" t="str">
            <v>EST CADEIRA JULIA C/BRACO C0090/001/MARROM CORTEN</v>
          </cell>
          <cell r="R1229"/>
          <cell r="S1229"/>
          <cell r="T1229">
            <v>0.61</v>
          </cell>
          <cell r="U1229">
            <v>0.54</v>
          </cell>
          <cell r="V1229">
            <v>0.76</v>
          </cell>
          <cell r="W1229">
            <v>0</v>
          </cell>
          <cell r="X1229" t="str">
            <v>EST CADEIRA JULIA C/BRACO C0090/001/MARROM CORTEN - 0,61x0,54x0,76H</v>
          </cell>
          <cell r="Y1229">
            <v>8491.67</v>
          </cell>
          <cell r="Z1229">
            <v>0.35</v>
          </cell>
          <cell r="AA1229">
            <v>5519.5855000000001</v>
          </cell>
          <cell r="AB1229"/>
        </row>
        <row r="1230">
          <cell r="C1230">
            <v>8</v>
          </cell>
          <cell r="D1230">
            <v>0</v>
          </cell>
          <cell r="E1230">
            <v>0</v>
          </cell>
          <cell r="F1230">
            <v>0</v>
          </cell>
          <cell r="H1230">
            <v>0</v>
          </cell>
          <cell r="O1230">
            <v>334212</v>
          </cell>
          <cell r="P1230" t="str">
            <v>2022/193-0034-01</v>
          </cell>
          <cell r="Q1230" t="str">
            <v>EST CADEIRA JULIA C/BRACO C0090/001/MARROM CORTEN</v>
          </cell>
          <cell r="R1230"/>
          <cell r="S1230"/>
          <cell r="T1230">
            <v>0.61</v>
          </cell>
          <cell r="U1230">
            <v>0.54</v>
          </cell>
          <cell r="V1230">
            <v>0.76</v>
          </cell>
          <cell r="W1230">
            <v>0</v>
          </cell>
          <cell r="X1230" t="str">
            <v>EST CADEIRA JULIA C/BRACO C0090/001/MARROM CORTEN - 0,61x0,54x0,76H</v>
          </cell>
          <cell r="Y1230">
            <v>8491.67</v>
          </cell>
          <cell r="Z1230">
            <v>0.35</v>
          </cell>
          <cell r="AA1230">
            <v>5519.5855000000001</v>
          </cell>
          <cell r="AB1230"/>
        </row>
        <row r="1231">
          <cell r="C1231">
            <v>8</v>
          </cell>
          <cell r="D1231">
            <v>0</v>
          </cell>
          <cell r="E1231">
            <v>0</v>
          </cell>
          <cell r="F1231">
            <v>0</v>
          </cell>
          <cell r="H1231">
            <v>0</v>
          </cell>
          <cell r="O1231">
            <v>334212</v>
          </cell>
          <cell r="P1231" t="str">
            <v>2022/193-0035-01</v>
          </cell>
          <cell r="Q1231" t="str">
            <v>EST CADEIRA JULIA C/BRACO C0090/001/MARROM CORTEN</v>
          </cell>
          <cell r="R1231"/>
          <cell r="S1231"/>
          <cell r="T1231">
            <v>0.61</v>
          </cell>
          <cell r="U1231">
            <v>0.54</v>
          </cell>
          <cell r="V1231">
            <v>0.76</v>
          </cell>
          <cell r="W1231">
            <v>0</v>
          </cell>
          <cell r="X1231" t="str">
            <v>EST CADEIRA JULIA C/BRACO C0090/001/MARROM CORTEN - 0,61x0,54x0,76H</v>
          </cell>
          <cell r="Y1231">
            <v>8491.67</v>
          </cell>
          <cell r="Z1231">
            <v>0.35</v>
          </cell>
          <cell r="AA1231">
            <v>5519.5855000000001</v>
          </cell>
          <cell r="AB1231"/>
        </row>
        <row r="1232">
          <cell r="C1232">
            <v>8</v>
          </cell>
          <cell r="D1232">
            <v>0</v>
          </cell>
          <cell r="E1232">
            <v>0</v>
          </cell>
          <cell r="F1232">
            <v>0</v>
          </cell>
          <cell r="H1232">
            <v>0</v>
          </cell>
          <cell r="O1232">
            <v>334212</v>
          </cell>
          <cell r="P1232" t="str">
            <v>2022/193-0036-01</v>
          </cell>
          <cell r="Q1232" t="str">
            <v>EST CADEIRA JULIA C/BRACO C0090/001/MARROM CORTEN</v>
          </cell>
          <cell r="R1232"/>
          <cell r="S1232"/>
          <cell r="T1232">
            <v>0.61</v>
          </cell>
          <cell r="U1232">
            <v>0.54</v>
          </cell>
          <cell r="V1232">
            <v>0.76</v>
          </cell>
          <cell r="W1232">
            <v>0</v>
          </cell>
          <cell r="X1232" t="str">
            <v>EST CADEIRA JULIA C/BRACO C0090/001/MARROM CORTEN - 0,61x0,54x0,76H</v>
          </cell>
          <cell r="Y1232">
            <v>8491.67</v>
          </cell>
          <cell r="Z1232">
            <v>0.35</v>
          </cell>
          <cell r="AA1232">
            <v>5519.5855000000001</v>
          </cell>
          <cell r="AB1232"/>
        </row>
        <row r="1233">
          <cell r="C1233">
            <v>8</v>
          </cell>
          <cell r="D1233">
            <v>0</v>
          </cell>
          <cell r="E1233">
            <v>0</v>
          </cell>
          <cell r="F1233">
            <v>0</v>
          </cell>
          <cell r="H1233">
            <v>0</v>
          </cell>
          <cell r="O1233">
            <v>334212</v>
          </cell>
          <cell r="P1233" t="str">
            <v>2022/193-0037-01</v>
          </cell>
          <cell r="Q1233" t="str">
            <v>EST CADEIRA JULIA C/BRACO C0090/001/MARROM CORTEN</v>
          </cell>
          <cell r="R1233"/>
          <cell r="S1233"/>
          <cell r="T1233">
            <v>0.61</v>
          </cell>
          <cell r="U1233">
            <v>0.54</v>
          </cell>
          <cell r="V1233">
            <v>0.76</v>
          </cell>
          <cell r="W1233">
            <v>0</v>
          </cell>
          <cell r="X1233" t="str">
            <v>EST CADEIRA JULIA C/BRACO C0090/001/MARROM CORTEN - 0,61x0,54x0,76H</v>
          </cell>
          <cell r="Y1233">
            <v>8491.67</v>
          </cell>
          <cell r="Z1233">
            <v>0.35</v>
          </cell>
          <cell r="AA1233">
            <v>5519.5855000000001</v>
          </cell>
          <cell r="AB1233"/>
        </row>
        <row r="1234">
          <cell r="C1234">
            <v>8</v>
          </cell>
          <cell r="D1234">
            <v>0</v>
          </cell>
          <cell r="E1234">
            <v>0</v>
          </cell>
          <cell r="F1234">
            <v>0</v>
          </cell>
          <cell r="H1234">
            <v>0</v>
          </cell>
          <cell r="O1234">
            <v>334212</v>
          </cell>
          <cell r="P1234" t="str">
            <v>2022/193-0038-01</v>
          </cell>
          <cell r="Q1234" t="str">
            <v>EST CADEIRA JULIA C/BRACO C0090/001/MARROM CORTEN</v>
          </cell>
          <cell r="R1234"/>
          <cell r="S1234"/>
          <cell r="T1234">
            <v>0.61</v>
          </cell>
          <cell r="U1234">
            <v>0.54</v>
          </cell>
          <cell r="V1234">
            <v>0.76</v>
          </cell>
          <cell r="W1234">
            <v>0</v>
          </cell>
          <cell r="X1234" t="str">
            <v>EST CADEIRA JULIA C/BRACO C0090/001/MARROM CORTEN - 0,61x0,54x0,76H</v>
          </cell>
          <cell r="Y1234">
            <v>8491.67</v>
          </cell>
          <cell r="Z1234">
            <v>0.35</v>
          </cell>
          <cell r="AA1234">
            <v>5519.5855000000001</v>
          </cell>
          <cell r="AB1234"/>
        </row>
        <row r="1235">
          <cell r="C1235">
            <v>8</v>
          </cell>
          <cell r="D1235">
            <v>0</v>
          </cell>
          <cell r="E1235">
            <v>0</v>
          </cell>
          <cell r="F1235">
            <v>0</v>
          </cell>
          <cell r="H1235">
            <v>0</v>
          </cell>
          <cell r="O1235">
            <v>334212</v>
          </cell>
          <cell r="P1235" t="str">
            <v>2022/193-0039-01</v>
          </cell>
          <cell r="Q1235" t="str">
            <v>EST CADEIRA JULIA C/BRACO C0090/001/MARROM CORTEN</v>
          </cell>
          <cell r="R1235"/>
          <cell r="S1235"/>
          <cell r="T1235">
            <v>0.61</v>
          </cell>
          <cell r="U1235">
            <v>0.54</v>
          </cell>
          <cell r="V1235">
            <v>0.76</v>
          </cell>
          <cell r="W1235">
            <v>0</v>
          </cell>
          <cell r="X1235" t="str">
            <v>EST CADEIRA JULIA C/BRACO C0090/001/MARROM CORTEN - 0,61x0,54x0,76H</v>
          </cell>
          <cell r="Y1235">
            <v>8491.67</v>
          </cell>
          <cell r="Z1235">
            <v>0.35</v>
          </cell>
          <cell r="AA1235">
            <v>5519.5855000000001</v>
          </cell>
          <cell r="AB1235"/>
        </row>
        <row r="1236">
          <cell r="C1236">
            <v>8</v>
          </cell>
          <cell r="D1236">
            <v>0</v>
          </cell>
          <cell r="E1236">
            <v>0</v>
          </cell>
          <cell r="F1236">
            <v>0</v>
          </cell>
          <cell r="H1236">
            <v>0</v>
          </cell>
          <cell r="O1236">
            <v>334212</v>
          </cell>
          <cell r="P1236" t="str">
            <v>2022/193-0040-01</v>
          </cell>
          <cell r="Q1236" t="str">
            <v>EST CADEIRA JULIA C/BRACO C0090/001/MARROM CORTEN</v>
          </cell>
          <cell r="R1236"/>
          <cell r="S1236"/>
          <cell r="T1236">
            <v>0.61</v>
          </cell>
          <cell r="U1236">
            <v>0.54</v>
          </cell>
          <cell r="V1236">
            <v>0.76</v>
          </cell>
          <cell r="W1236">
            <v>0</v>
          </cell>
          <cell r="X1236" t="str">
            <v>EST CADEIRA JULIA C/BRACO C0090/001/MARROM CORTEN - 0,61x0,54x0,76H</v>
          </cell>
          <cell r="Y1236">
            <v>8491.67</v>
          </cell>
          <cell r="Z1236">
            <v>0.35</v>
          </cell>
          <cell r="AA1236">
            <v>5519.5855000000001</v>
          </cell>
          <cell r="AB1236"/>
        </row>
        <row r="1237">
          <cell r="C1237">
            <v>2</v>
          </cell>
          <cell r="D1237">
            <v>0</v>
          </cell>
          <cell r="E1237">
            <v>0</v>
          </cell>
          <cell r="F1237">
            <v>0</v>
          </cell>
          <cell r="H1237">
            <v>0</v>
          </cell>
          <cell r="O1237">
            <v>389995</v>
          </cell>
          <cell r="P1237" t="str">
            <v>2024/282-0008-01</v>
          </cell>
          <cell r="Q1237" t="str">
            <v>EST POLTRONA VINCI (LAM COMUM NOG NT/CORTEN) CAMURCA AREIA</v>
          </cell>
          <cell r="R1237"/>
          <cell r="S1237"/>
          <cell r="T1237">
            <v>0.83</v>
          </cell>
          <cell r="U1237">
            <v>0.83</v>
          </cell>
          <cell r="V1237">
            <v>0.65</v>
          </cell>
          <cell r="W1237">
            <v>0</v>
          </cell>
          <cell r="X1237" t="str">
            <v>EST POLTRONA VINCI (LAM COMUM NOG NT/CORTEN) CAMURCA AREIA - 0,83x0,83x0,65H</v>
          </cell>
          <cell r="Y1237">
            <v>38182.1</v>
          </cell>
          <cell r="Z1237">
            <v>0.35</v>
          </cell>
          <cell r="AA1237">
            <v>24818.364999999998</v>
          </cell>
          <cell r="AB1237"/>
        </row>
        <row r="1238">
          <cell r="C1238">
            <v>2</v>
          </cell>
          <cell r="D1238">
            <v>0</v>
          </cell>
          <cell r="E1238">
            <v>0</v>
          </cell>
          <cell r="F1238">
            <v>0</v>
          </cell>
          <cell r="H1238">
            <v>0</v>
          </cell>
          <cell r="O1238">
            <v>389995</v>
          </cell>
          <cell r="P1238" t="str">
            <v>2024/282-0009-01</v>
          </cell>
          <cell r="Q1238" t="str">
            <v>EST POLTRONA VINCI (LAM COMUM NOG NT/CORTEN) CAMURCA AREIA</v>
          </cell>
          <cell r="R1238"/>
          <cell r="S1238"/>
          <cell r="T1238">
            <v>0.83</v>
          </cell>
          <cell r="U1238">
            <v>0.83</v>
          </cell>
          <cell r="V1238">
            <v>0.65</v>
          </cell>
          <cell r="W1238">
            <v>0</v>
          </cell>
          <cell r="X1238" t="str">
            <v>EST POLTRONA VINCI (LAM COMUM NOG NT/CORTEN) CAMURCA AREIA - 0,83x0,83x0,65H</v>
          </cell>
          <cell r="Y1238">
            <v>38182.1</v>
          </cell>
          <cell r="Z1238">
            <v>0.35</v>
          </cell>
          <cell r="AA1238">
            <v>24818.364999999998</v>
          </cell>
          <cell r="AB1238"/>
        </row>
        <row r="1239">
          <cell r="C1239">
            <v>2</v>
          </cell>
          <cell r="D1239">
            <v>0</v>
          </cell>
          <cell r="E1239">
            <v>0</v>
          </cell>
          <cell r="F1239">
            <v>0</v>
          </cell>
          <cell r="H1239">
            <v>0</v>
          </cell>
          <cell r="O1239">
            <v>390004</v>
          </cell>
          <cell r="P1239" t="str">
            <v>2024/297-0140-01</v>
          </cell>
          <cell r="Q1239" t="str">
            <v>EST CADEIRA WOODY C/B (TING NOG) COURO PIG 611/SOL CAFE</v>
          </cell>
          <cell r="R1239"/>
          <cell r="S1239"/>
          <cell r="T1239">
            <v>0.53</v>
          </cell>
          <cell r="U1239">
            <v>0.53</v>
          </cell>
          <cell r="V1239">
            <v>0.82</v>
          </cell>
          <cell r="W1239">
            <v>0</v>
          </cell>
          <cell r="X1239" t="str">
            <v>EST CADEIRA WOODY C/B (TING NOG) COURO PIG 611/SOL CAFE - 0,53x0,53x0,82H</v>
          </cell>
          <cell r="Y1239">
            <v>10521.59</v>
          </cell>
          <cell r="Z1239">
            <v>0.35</v>
          </cell>
          <cell r="AA1239">
            <v>6839.0335000000005</v>
          </cell>
          <cell r="AB1239"/>
        </row>
        <row r="1240">
          <cell r="C1240">
            <v>2</v>
          </cell>
          <cell r="D1240">
            <v>0</v>
          </cell>
          <cell r="E1240">
            <v>0</v>
          </cell>
          <cell r="F1240">
            <v>0</v>
          </cell>
          <cell r="H1240">
            <v>0</v>
          </cell>
          <cell r="O1240">
            <v>390004</v>
          </cell>
          <cell r="P1240" t="str">
            <v>2024/297-0141-01</v>
          </cell>
          <cell r="Q1240" t="str">
            <v>EST CADEIRA WOODY C/B (TING NOG) COURO PIG 611/SOL CAFE</v>
          </cell>
          <cell r="R1240"/>
          <cell r="S1240"/>
          <cell r="T1240">
            <v>0.53</v>
          </cell>
          <cell r="U1240">
            <v>0.53</v>
          </cell>
          <cell r="V1240">
            <v>0.82</v>
          </cell>
          <cell r="W1240">
            <v>0</v>
          </cell>
          <cell r="X1240" t="str">
            <v>EST CADEIRA WOODY C/B (TING NOG) COURO PIG 611/SOL CAFE - 0,53x0,53x0,82H</v>
          </cell>
          <cell r="Y1240">
            <v>10521.59</v>
          </cell>
          <cell r="Z1240">
            <v>0.35</v>
          </cell>
          <cell r="AA1240">
            <v>6839.0335000000005</v>
          </cell>
          <cell r="AB1240"/>
        </row>
        <row r="1241">
          <cell r="C1241">
            <v>6</v>
          </cell>
          <cell r="D1241">
            <v>0</v>
          </cell>
          <cell r="E1241">
            <v>0</v>
          </cell>
          <cell r="F1241">
            <v>0</v>
          </cell>
          <cell r="H1241">
            <v>0</v>
          </cell>
          <cell r="O1241">
            <v>390006</v>
          </cell>
          <cell r="P1241" t="str">
            <v>2024/297-0142-01</v>
          </cell>
          <cell r="Q1241" t="str">
            <v>EST CADEIRA WOODY (TING NOG) COURO PIG 611/SOL CAFE</v>
          </cell>
          <cell r="R1241"/>
          <cell r="S1241"/>
          <cell r="T1241">
            <v>0.49</v>
          </cell>
          <cell r="U1241">
            <v>0.53</v>
          </cell>
          <cell r="V1241">
            <v>0.82</v>
          </cell>
          <cell r="W1241">
            <v>0</v>
          </cell>
          <cell r="X1241" t="str">
            <v>EST CADEIRA WOODY (TING NOG) COURO PIG 611/SOL CAFE - 0,49x0,53x0,82H</v>
          </cell>
          <cell r="Y1241">
            <v>9782.0400000000009</v>
          </cell>
          <cell r="Z1241">
            <v>0.35</v>
          </cell>
          <cell r="AA1241">
            <v>6358.3260000000009</v>
          </cell>
          <cell r="AB1241"/>
        </row>
        <row r="1242">
          <cell r="C1242">
            <v>6</v>
          </cell>
          <cell r="D1242">
            <v>0</v>
          </cell>
          <cell r="E1242">
            <v>0</v>
          </cell>
          <cell r="F1242">
            <v>0</v>
          </cell>
          <cell r="H1242">
            <v>0</v>
          </cell>
          <cell r="O1242">
            <v>390006</v>
          </cell>
          <cell r="P1242" t="str">
            <v>2024/297-0143-01</v>
          </cell>
          <cell r="Q1242" t="str">
            <v>EST CADEIRA WOODY (TING NOG) COURO PIG 611/SOL CAFE</v>
          </cell>
          <cell r="R1242"/>
          <cell r="S1242"/>
          <cell r="T1242">
            <v>0.49</v>
          </cell>
          <cell r="U1242">
            <v>0.53</v>
          </cell>
          <cell r="V1242">
            <v>0.82</v>
          </cell>
          <cell r="W1242">
            <v>0</v>
          </cell>
          <cell r="X1242" t="str">
            <v>EST CADEIRA WOODY (TING NOG) COURO PIG 611/SOL CAFE - 0,49x0,53x0,82H</v>
          </cell>
          <cell r="Y1242">
            <v>9782.0400000000009</v>
          </cell>
          <cell r="Z1242">
            <v>0.35</v>
          </cell>
          <cell r="AA1242">
            <v>6358.3260000000009</v>
          </cell>
          <cell r="AB1242"/>
        </row>
        <row r="1243">
          <cell r="C1243">
            <v>6</v>
          </cell>
          <cell r="D1243">
            <v>0</v>
          </cell>
          <cell r="E1243">
            <v>0</v>
          </cell>
          <cell r="F1243">
            <v>0</v>
          </cell>
          <cell r="H1243">
            <v>0</v>
          </cell>
          <cell r="O1243">
            <v>390006</v>
          </cell>
          <cell r="P1243" t="str">
            <v>2024/297-0144-01</v>
          </cell>
          <cell r="Q1243" t="str">
            <v>EST CADEIRA WOODY (TING NOG) COURO PIG 611/SOL CAFE</v>
          </cell>
          <cell r="R1243"/>
          <cell r="S1243"/>
          <cell r="T1243">
            <v>0.49</v>
          </cell>
          <cell r="U1243">
            <v>0.53</v>
          </cell>
          <cell r="V1243">
            <v>0.82</v>
          </cell>
          <cell r="W1243">
            <v>0</v>
          </cell>
          <cell r="X1243" t="str">
            <v>EST CADEIRA WOODY (TING NOG) COURO PIG 611/SOL CAFE - 0,49x0,53x0,82H</v>
          </cell>
          <cell r="Y1243">
            <v>9782.0400000000009</v>
          </cell>
          <cell r="Z1243">
            <v>0.35</v>
          </cell>
          <cell r="AA1243">
            <v>6358.3260000000009</v>
          </cell>
          <cell r="AB1243"/>
        </row>
        <row r="1244">
          <cell r="C1244">
            <v>6</v>
          </cell>
          <cell r="D1244">
            <v>0</v>
          </cell>
          <cell r="E1244">
            <v>0</v>
          </cell>
          <cell r="F1244">
            <v>0</v>
          </cell>
          <cell r="H1244">
            <v>0</v>
          </cell>
          <cell r="O1244">
            <v>390006</v>
          </cell>
          <cell r="P1244" t="str">
            <v>2024/297-0145-01</v>
          </cell>
          <cell r="Q1244" t="str">
            <v>EST CADEIRA WOODY (TING NOG) COURO PIG 611/SOL CAFE</v>
          </cell>
          <cell r="R1244"/>
          <cell r="S1244"/>
          <cell r="T1244">
            <v>0.49</v>
          </cell>
          <cell r="U1244">
            <v>0.53</v>
          </cell>
          <cell r="V1244">
            <v>0.82</v>
          </cell>
          <cell r="W1244">
            <v>0</v>
          </cell>
          <cell r="X1244" t="str">
            <v>EST CADEIRA WOODY (TING NOG) COURO PIG 611/SOL CAFE - 0,49x0,53x0,82H</v>
          </cell>
          <cell r="Y1244">
            <v>9782.0400000000009</v>
          </cell>
          <cell r="Z1244">
            <v>0.35</v>
          </cell>
          <cell r="AA1244">
            <v>6358.3260000000009</v>
          </cell>
          <cell r="AB1244"/>
        </row>
        <row r="1245">
          <cell r="C1245">
            <v>6</v>
          </cell>
          <cell r="D1245">
            <v>0</v>
          </cell>
          <cell r="E1245">
            <v>0</v>
          </cell>
          <cell r="F1245">
            <v>0</v>
          </cell>
          <cell r="H1245">
            <v>0</v>
          </cell>
          <cell r="O1245">
            <v>390006</v>
          </cell>
          <cell r="P1245" t="str">
            <v>2024/297-0146-01</v>
          </cell>
          <cell r="Q1245" t="str">
            <v>EST CADEIRA WOODY (TING NOG) COURO PIG 611/SOL CAFE</v>
          </cell>
          <cell r="R1245"/>
          <cell r="S1245"/>
          <cell r="T1245">
            <v>0.49</v>
          </cell>
          <cell r="U1245">
            <v>0.53</v>
          </cell>
          <cell r="V1245">
            <v>0.82</v>
          </cell>
          <cell r="W1245">
            <v>0</v>
          </cell>
          <cell r="X1245" t="str">
            <v>EST CADEIRA WOODY (TING NOG) COURO PIG 611/SOL CAFE - 0,49x0,53x0,82H</v>
          </cell>
          <cell r="Y1245">
            <v>9782.0400000000009</v>
          </cell>
          <cell r="Z1245">
            <v>0.35</v>
          </cell>
          <cell r="AA1245">
            <v>6358.3260000000009</v>
          </cell>
          <cell r="AB1245"/>
        </row>
        <row r="1246">
          <cell r="C1246">
            <v>6</v>
          </cell>
          <cell r="D1246">
            <v>0</v>
          </cell>
          <cell r="E1246">
            <v>0</v>
          </cell>
          <cell r="F1246">
            <v>0</v>
          </cell>
          <cell r="H1246">
            <v>0</v>
          </cell>
          <cell r="O1246">
            <v>390006</v>
          </cell>
          <cell r="P1246" t="str">
            <v>2024/297-0147-01</v>
          </cell>
          <cell r="Q1246" t="str">
            <v>EST CADEIRA WOODY (TING NOG) COURO PIG 611/SOL CAFE</v>
          </cell>
          <cell r="R1246"/>
          <cell r="S1246"/>
          <cell r="T1246">
            <v>0.49</v>
          </cell>
          <cell r="U1246">
            <v>0.53</v>
          </cell>
          <cell r="V1246">
            <v>0.82</v>
          </cell>
          <cell r="W1246">
            <v>0</v>
          </cell>
          <cell r="X1246" t="str">
            <v>EST CADEIRA WOODY (TING NOG) COURO PIG 611/SOL CAFE - 0,49x0,53x0,82H</v>
          </cell>
          <cell r="Y1246">
            <v>9782.0400000000009</v>
          </cell>
          <cell r="Z1246">
            <v>0.35</v>
          </cell>
          <cell r="AA1246">
            <v>6358.3260000000009</v>
          </cell>
          <cell r="AB1246"/>
        </row>
        <row r="1247">
          <cell r="C1247">
            <v>1</v>
          </cell>
          <cell r="D1247">
            <v>1</v>
          </cell>
          <cell r="E1247">
            <v>1</v>
          </cell>
          <cell r="F1247">
            <v>1</v>
          </cell>
          <cell r="H1247">
            <v>0</v>
          </cell>
          <cell r="O1247">
            <v>390008</v>
          </cell>
          <cell r="P1247" t="str">
            <v>2024/297-0150-01</v>
          </cell>
          <cell r="Q1247" t="str">
            <v>EST BANQUETA BAR WOODY H67 (TING MEL) COURO CAMURCA HAVANA</v>
          </cell>
          <cell r="R1247"/>
          <cell r="S1247"/>
          <cell r="T1247">
            <v>0.44</v>
          </cell>
          <cell r="U1247">
            <v>0.49</v>
          </cell>
          <cell r="V1247">
            <v>0.87</v>
          </cell>
          <cell r="W1247">
            <v>0</v>
          </cell>
          <cell r="X1247" t="str">
            <v>EST BANQUETA BAR WOODY H67 (TING MEL) COURO CAMURCA HAVANA - 0,44x0,49x0,87H</v>
          </cell>
          <cell r="Y1247">
            <v>10081.93</v>
          </cell>
          <cell r="Z1247">
            <v>0.35</v>
          </cell>
          <cell r="AA1247">
            <v>6553.2545000000009</v>
          </cell>
          <cell r="AB1247"/>
        </row>
        <row r="1248">
          <cell r="C1248">
            <v>1</v>
          </cell>
          <cell r="D1248">
            <v>1</v>
          </cell>
          <cell r="E1248">
            <v>1</v>
          </cell>
          <cell r="F1248">
            <v>1</v>
          </cell>
          <cell r="H1248">
            <v>0</v>
          </cell>
          <cell r="O1248">
            <v>390009</v>
          </cell>
          <cell r="P1248" t="str">
            <v>2024/297-0152-01</v>
          </cell>
          <cell r="Q1248" t="str">
            <v>EST BANQUETA BAR NEO CAIRO SLIM H67 (LAM NOG) TC B0707-024</v>
          </cell>
          <cell r="R1248"/>
          <cell r="S1248"/>
          <cell r="T1248">
            <v>0.5</v>
          </cell>
          <cell r="U1248">
            <v>0.49</v>
          </cell>
          <cell r="V1248">
            <v>0.84</v>
          </cell>
          <cell r="W1248">
            <v>0</v>
          </cell>
          <cell r="X1248" t="str">
            <v>EST BANQUETA BAR NEO CAIRO SLIM H67 (LAM NOG) TC B0707-024 - 0,5x0,49x0,84H</v>
          </cell>
          <cell r="Y1248">
            <v>9423.23</v>
          </cell>
          <cell r="Z1248">
            <v>0.35</v>
          </cell>
          <cell r="AA1248">
            <v>6125.0995000000003</v>
          </cell>
          <cell r="AB1248"/>
        </row>
        <row r="1249">
          <cell r="C1249">
            <v>1</v>
          </cell>
          <cell r="D1249">
            <v>0</v>
          </cell>
          <cell r="E1249">
            <v>0</v>
          </cell>
          <cell r="F1249">
            <v>0</v>
          </cell>
          <cell r="H1249">
            <v>0</v>
          </cell>
          <cell r="O1249">
            <v>399361</v>
          </cell>
          <cell r="P1249" t="str">
            <v>2025/021-0024-01</v>
          </cell>
          <cell r="Q1249" t="str">
            <v>EST BANCO TRILHO (TAUARI TING MOCCA)</v>
          </cell>
          <cell r="R1249"/>
          <cell r="S1249"/>
          <cell r="T1249">
            <v>1.8</v>
          </cell>
          <cell r="U1249">
            <v>0.52</v>
          </cell>
          <cell r="V1249">
            <v>0.42</v>
          </cell>
          <cell r="W1249">
            <v>0</v>
          </cell>
          <cell r="X1249" t="str">
            <v>EST BANCO TRILHO (TAUARI TING MOCCA) - 1,8x0,52x0,42H</v>
          </cell>
          <cell r="Y1249">
            <v>27984.41</v>
          </cell>
          <cell r="Z1249">
            <v>0.35</v>
          </cell>
          <cell r="AA1249">
            <v>18189.8665</v>
          </cell>
          <cell r="AB1249"/>
        </row>
        <row r="1250">
          <cell r="C1250">
            <v>0</v>
          </cell>
          <cell r="D1250">
            <v>7</v>
          </cell>
          <cell r="E1250">
            <v>1</v>
          </cell>
          <cell r="F1250">
            <v>0</v>
          </cell>
          <cell r="H1250">
            <v>0</v>
          </cell>
          <cell r="O1250">
            <v>336646</v>
          </cell>
          <cell r="P1250" t="str">
            <v>2022/298-0086-01</v>
          </cell>
          <cell r="Q1250" t="str">
            <v>EST CADEIRA CLARA (JEQ TING NOG) (ESTOF) (C4 PINHAO)</v>
          </cell>
          <cell r="R1250"/>
          <cell r="S1250"/>
          <cell r="T1250">
            <v>0.48</v>
          </cell>
          <cell r="U1250">
            <v>0.56999999999999995</v>
          </cell>
          <cell r="V1250">
            <v>0.86</v>
          </cell>
          <cell r="W1250">
            <v>0</v>
          </cell>
          <cell r="X1250" t="str">
            <v>EST CADEIRA CLARA (JEQ TING NOG) (ESTOF) (C4 PINHAO) - 0,48x0,57x0,86H</v>
          </cell>
          <cell r="Y1250">
            <v>8042.5</v>
          </cell>
          <cell r="Z1250">
            <v>0.5</v>
          </cell>
          <cell r="AA1250">
            <v>4021.25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1</v>
          </cell>
          <cell r="H1251">
            <v>0</v>
          </cell>
          <cell r="O1251">
            <v>405880</v>
          </cell>
          <cell r="P1251" t="str">
            <v>2025/182-0069-01</v>
          </cell>
          <cell r="Q1251" t="str">
            <v>EST CADEIRA GIORNATTA OFFICE (AJUST) (MTZ CAPPUC) TC D4120</v>
          </cell>
          <cell r="R1251"/>
          <cell r="S1251"/>
          <cell r="T1251">
            <v>0.67</v>
          </cell>
          <cell r="U1251">
            <v>0.66</v>
          </cell>
          <cell r="V1251">
            <v>0.8</v>
          </cell>
          <cell r="W1251">
            <v>0</v>
          </cell>
          <cell r="X1251" t="str">
            <v>EST CADEIRA GIORNATTA OFFICE (AJUST) (MTZ CAPPUC) TC D4120 - 0,67x0,66x0,8H</v>
          </cell>
          <cell r="Y1251">
            <v>9269.66</v>
          </cell>
          <cell r="Z1251">
            <v>0.35</v>
          </cell>
          <cell r="AA1251">
            <v>6025.2790000000005</v>
          </cell>
          <cell r="AB1251"/>
        </row>
        <row r="1252">
          <cell r="C1252" t="e">
            <v>#N/A</v>
          </cell>
          <cell r="D1252" t="e">
            <v>#N/A</v>
          </cell>
          <cell r="E1252" t="e">
            <v>#N/A</v>
          </cell>
          <cell r="F1252" t="e">
            <v>#N/A</v>
          </cell>
          <cell r="H1252" t="e">
            <v>#N/A</v>
          </cell>
          <cell r="O1252">
            <v>405882</v>
          </cell>
          <cell r="P1252" t="str">
            <v>2025/182-0070-01</v>
          </cell>
          <cell r="Q1252" t="e">
            <v>#N/A</v>
          </cell>
          <cell r="R1252"/>
          <cell r="S1252"/>
          <cell r="T1252" t="e">
            <v>#N/A</v>
          </cell>
          <cell r="U1252" t="e">
            <v>#N/A</v>
          </cell>
          <cell r="V1252" t="e">
            <v>#N/A</v>
          </cell>
          <cell r="W1252" t="e">
            <v>#N/A</v>
          </cell>
          <cell r="X1252" t="e">
            <v>#N/A</v>
          </cell>
          <cell r="Y1252">
            <v>9269.66</v>
          </cell>
          <cell r="Z1252">
            <v>0.35</v>
          </cell>
          <cell r="AA1252">
            <v>6025.2790000000005</v>
          </cell>
          <cell r="AB1252"/>
        </row>
        <row r="1253">
          <cell r="C1253">
            <v>1</v>
          </cell>
          <cell r="D1253">
            <v>0</v>
          </cell>
          <cell r="E1253">
            <v>0</v>
          </cell>
          <cell r="F1253">
            <v>0</v>
          </cell>
          <cell r="H1253">
            <v>0</v>
          </cell>
          <cell r="O1253">
            <v>405884</v>
          </cell>
          <cell r="P1253" t="str">
            <v>2025/182-0071-01</v>
          </cell>
          <cell r="Q1253" t="str">
            <v>EST CADEIRA GIORNATTA OFFICE (AJUST) (MTZ CONHAQUE) TC B2220</v>
          </cell>
          <cell r="R1253"/>
          <cell r="S1253"/>
          <cell r="T1253">
            <v>0.67</v>
          </cell>
          <cell r="U1253">
            <v>0.66</v>
          </cell>
          <cell r="V1253">
            <v>0.8</v>
          </cell>
          <cell r="W1253">
            <v>0</v>
          </cell>
          <cell r="X1253" t="str">
            <v>EST CADEIRA GIORNATTA OFFICE (AJUST) (MTZ CONHAQUE) TC B2220 - 0,67x0,66x0,8H</v>
          </cell>
          <cell r="Y1253">
            <v>8977.2900000000009</v>
          </cell>
          <cell r="Z1253">
            <v>0.35</v>
          </cell>
          <cell r="AA1253">
            <v>5835.2385000000013</v>
          </cell>
          <cell r="AB1253"/>
        </row>
        <row r="1254">
          <cell r="C1254">
            <v>6</v>
          </cell>
          <cell r="D1254">
            <v>0</v>
          </cell>
          <cell r="E1254">
            <v>1</v>
          </cell>
          <cell r="F1254">
            <v>1</v>
          </cell>
          <cell r="H1254">
            <v>0</v>
          </cell>
          <cell r="O1254">
            <v>379642</v>
          </cell>
          <cell r="P1254" t="str">
            <v>2024/106-0009-01</v>
          </cell>
          <cell r="Q1254" t="str">
            <v>EST CADEIRA YASMIM (TELA NOGUEIRA) (AMENDOA) TC 1000 - 1272</v>
          </cell>
          <cell r="R1254"/>
          <cell r="S1254"/>
          <cell r="T1254">
            <v>0.49</v>
          </cell>
          <cell r="U1254">
            <v>0.6</v>
          </cell>
          <cell r="V1254">
            <v>0.84</v>
          </cell>
          <cell r="W1254">
            <v>0</v>
          </cell>
          <cell r="X1254" t="str">
            <v>EST CADEIRA YASMIM (TELA NOGUEIRA) (AMENDOA) TC 1000 - 1272 - 0,49x0,6x0,84H</v>
          </cell>
          <cell r="Y1254">
            <v>3592.69</v>
          </cell>
          <cell r="Z1254">
            <v>0.35</v>
          </cell>
          <cell r="AA1254">
            <v>2335.2485000000001</v>
          </cell>
          <cell r="AB1254"/>
        </row>
        <row r="1255">
          <cell r="C1255">
            <v>1</v>
          </cell>
          <cell r="D1255">
            <v>1</v>
          </cell>
          <cell r="E1255">
            <v>1</v>
          </cell>
          <cell r="F1255">
            <v>1</v>
          </cell>
          <cell r="H1255">
            <v>0</v>
          </cell>
          <cell r="O1255">
            <v>379914</v>
          </cell>
          <cell r="P1255" t="str">
            <v>2024/081-0054-01</v>
          </cell>
          <cell r="Q1255" t="str">
            <v>EST BANQUETA BAR YASMIM (TELA NOG) (AMENDOA) TC 2000 - 2335</v>
          </cell>
          <cell r="R1255"/>
          <cell r="S1255"/>
          <cell r="T1255">
            <v>0.45</v>
          </cell>
          <cell r="U1255">
            <v>0.52</v>
          </cell>
          <cell r="V1255">
            <v>0.95</v>
          </cell>
          <cell r="W1255">
            <v>0</v>
          </cell>
          <cell r="X1255" t="str">
            <v>EST BANQUETA BAR YASMIM (TELA NOG) (AMENDOA) TC 2000 - 2335 - 0,45x0,52x0,95H</v>
          </cell>
          <cell r="Y1255">
            <v>4738.72</v>
          </cell>
          <cell r="Z1255">
            <v>0.35</v>
          </cell>
          <cell r="AA1255">
            <v>3080.1680000000006</v>
          </cell>
          <cell r="AB1255"/>
        </row>
        <row r="1256">
          <cell r="C1256">
            <v>0</v>
          </cell>
          <cell r="D1256">
            <v>0</v>
          </cell>
          <cell r="E1256">
            <v>1</v>
          </cell>
          <cell r="F1256">
            <v>0</v>
          </cell>
          <cell r="H1256">
            <v>0</v>
          </cell>
          <cell r="O1256">
            <v>387661</v>
          </cell>
          <cell r="P1256" t="str">
            <v>2024/206-0059-01</v>
          </cell>
          <cell r="Q1256" t="str">
            <v>EST CADEIRA BLANCA (CASTANHO) TC 3000 - 3336</v>
          </cell>
          <cell r="R1256"/>
          <cell r="S1256"/>
          <cell r="T1256">
            <v>0.54</v>
          </cell>
          <cell r="U1256">
            <v>0.56000000000000005</v>
          </cell>
          <cell r="V1256">
            <v>0.79</v>
          </cell>
          <cell r="W1256">
            <v>0</v>
          </cell>
          <cell r="X1256" t="str">
            <v>EST CADEIRA BLANCA (CASTANHO) TC 3000 - 3336 - 0,54x0,56x0,79H</v>
          </cell>
          <cell r="Y1256">
            <v>3460.76</v>
          </cell>
          <cell r="Z1256">
            <v>0.35</v>
          </cell>
          <cell r="AA1256">
            <v>2249.4940000000001</v>
          </cell>
          <cell r="AB1256"/>
        </row>
        <row r="1257">
          <cell r="C1257">
            <v>0</v>
          </cell>
          <cell r="D1257">
            <v>0</v>
          </cell>
          <cell r="E1257">
            <v>2</v>
          </cell>
          <cell r="F1257">
            <v>0</v>
          </cell>
          <cell r="H1257">
            <v>0</v>
          </cell>
          <cell r="O1257">
            <v>387664</v>
          </cell>
          <cell r="P1257" t="str">
            <v>2024/206-0077-01</v>
          </cell>
          <cell r="Q1257" t="str">
            <v>EST POLTRONA BLANCA (NOGAL) TC 2000- 2337</v>
          </cell>
          <cell r="R1257"/>
          <cell r="S1257"/>
          <cell r="T1257">
            <v>0.7</v>
          </cell>
          <cell r="U1257">
            <v>0.66</v>
          </cell>
          <cell r="V1257">
            <v>0.79</v>
          </cell>
          <cell r="W1257">
            <v>0</v>
          </cell>
          <cell r="X1257" t="str">
            <v>EST POLTRONA BLANCA (NOGAL) TC 2000- 2337 - 0,7x0,66x0,79H</v>
          </cell>
          <cell r="Y1257">
            <v>12267.23</v>
          </cell>
          <cell r="Z1257">
            <v>0.35</v>
          </cell>
          <cell r="AA1257">
            <v>7973.6994999999997</v>
          </cell>
          <cell r="AB1257"/>
        </row>
        <row r="1258">
          <cell r="C1258">
            <v>0</v>
          </cell>
          <cell r="D1258">
            <v>0</v>
          </cell>
          <cell r="E1258">
            <v>2</v>
          </cell>
          <cell r="F1258">
            <v>0</v>
          </cell>
          <cell r="H1258">
            <v>0</v>
          </cell>
          <cell r="O1258">
            <v>387664</v>
          </cell>
          <cell r="P1258" t="str">
            <v>2024/206-0078-01</v>
          </cell>
          <cell r="Q1258" t="str">
            <v>EST POLTRONA BLANCA (NOGAL) TC 2000- 2337</v>
          </cell>
          <cell r="R1258"/>
          <cell r="S1258"/>
          <cell r="T1258">
            <v>0.7</v>
          </cell>
          <cell r="U1258">
            <v>0.66</v>
          </cell>
          <cell r="V1258">
            <v>0.79</v>
          </cell>
          <cell r="W1258">
            <v>0</v>
          </cell>
          <cell r="X1258" t="str">
            <v>EST POLTRONA BLANCA (NOGAL) TC 2000- 2337 - 0,7x0,66x0,79H</v>
          </cell>
          <cell r="Y1258">
            <v>12267.23</v>
          </cell>
          <cell r="Z1258">
            <v>0.35</v>
          </cell>
          <cell r="AA1258">
            <v>7973.6994999999997</v>
          </cell>
          <cell r="AB1258"/>
        </row>
        <row r="1259">
          <cell r="C1259">
            <v>6</v>
          </cell>
          <cell r="D1259">
            <v>0</v>
          </cell>
          <cell r="E1259">
            <v>1</v>
          </cell>
          <cell r="F1259">
            <v>1</v>
          </cell>
          <cell r="H1259">
            <v>0</v>
          </cell>
          <cell r="O1259">
            <v>379642</v>
          </cell>
          <cell r="P1259" t="str">
            <v>2024/106-0010-01</v>
          </cell>
          <cell r="Q1259" t="str">
            <v>EST CADEIRA YASMIM (TELA NOGUEIRA) (AMENDOA) TC 1000 - 1272</v>
          </cell>
          <cell r="R1259"/>
          <cell r="S1259"/>
          <cell r="T1259">
            <v>0.49</v>
          </cell>
          <cell r="U1259">
            <v>0.6</v>
          </cell>
          <cell r="V1259">
            <v>0.84</v>
          </cell>
          <cell r="W1259">
            <v>0</v>
          </cell>
          <cell r="X1259" t="str">
            <v>EST CADEIRA YASMIM (TELA NOGUEIRA) (AMENDOA) TC 1000 - 1272 - 0,49x0,6x0,84H</v>
          </cell>
          <cell r="Y1259">
            <v>3592.69</v>
          </cell>
          <cell r="Z1259">
            <v>0.35</v>
          </cell>
          <cell r="AA1259">
            <v>2335.2485000000001</v>
          </cell>
          <cell r="AB1259"/>
        </row>
        <row r="1260">
          <cell r="C1260">
            <v>0</v>
          </cell>
          <cell r="D1260">
            <v>1</v>
          </cell>
          <cell r="E1260">
            <v>0</v>
          </cell>
          <cell r="F1260">
            <v>0</v>
          </cell>
          <cell r="H1260">
            <v>1</v>
          </cell>
          <cell r="O1260">
            <v>379641</v>
          </cell>
          <cell r="P1260" t="str">
            <v>2024/106-0008-01</v>
          </cell>
          <cell r="Q1260" t="str">
            <v>EST CADEIRA YASMIM (ESTOFADO) (NOGUEIRA) TC 2000 - 2337</v>
          </cell>
          <cell r="R1260"/>
          <cell r="S1260"/>
          <cell r="T1260">
            <v>0.49</v>
          </cell>
          <cell r="U1260">
            <v>0.6</v>
          </cell>
          <cell r="V1260">
            <v>0.84</v>
          </cell>
          <cell r="W1260">
            <v>0</v>
          </cell>
          <cell r="X1260" t="str">
            <v>EST CADEIRA YASMIM (ESTOFADO) (NOGUEIRA) TC 2000 - 2337 - 0,49x0,6x0,84H</v>
          </cell>
          <cell r="Y1260">
            <v>3185.55</v>
          </cell>
          <cell r="Z1260">
            <v>0.35</v>
          </cell>
          <cell r="AA1260">
            <v>2070.6075000000001</v>
          </cell>
          <cell r="AB1260"/>
        </row>
        <row r="1261">
          <cell r="C1261">
            <v>1</v>
          </cell>
          <cell r="D1261">
            <v>1</v>
          </cell>
          <cell r="E1261">
            <v>1</v>
          </cell>
          <cell r="F1261">
            <v>1</v>
          </cell>
          <cell r="H1261">
            <v>0</v>
          </cell>
          <cell r="O1261">
            <v>379914</v>
          </cell>
          <cell r="P1261" t="str">
            <v>2024/081-0053-01</v>
          </cell>
          <cell r="Q1261" t="str">
            <v>EST BANQUETA BAR YASMIM (TELA NOG) (AMENDOA) TC 2000 - 2335</v>
          </cell>
          <cell r="R1261"/>
          <cell r="S1261"/>
          <cell r="T1261">
            <v>0.45</v>
          </cell>
          <cell r="U1261">
            <v>0.52</v>
          </cell>
          <cell r="V1261">
            <v>0.95</v>
          </cell>
          <cell r="W1261">
            <v>0</v>
          </cell>
          <cell r="X1261" t="str">
            <v>EST BANQUETA BAR YASMIM (TELA NOG) (AMENDOA) TC 2000 - 2335 - 0,45x0,52x0,95H</v>
          </cell>
          <cell r="Y1261">
            <v>4738.72</v>
          </cell>
          <cell r="Z1261">
            <v>0.35</v>
          </cell>
          <cell r="AA1261">
            <v>3080.1680000000006</v>
          </cell>
          <cell r="AB1261"/>
        </row>
        <row r="1262">
          <cell r="C1262">
            <v>0</v>
          </cell>
          <cell r="D1262">
            <v>2</v>
          </cell>
          <cell r="E1262">
            <v>0</v>
          </cell>
          <cell r="F1262">
            <v>0</v>
          </cell>
          <cell r="H1262">
            <v>0</v>
          </cell>
          <cell r="O1262">
            <v>387673</v>
          </cell>
          <cell r="P1262" t="str">
            <v>2024/206-0083-01</v>
          </cell>
          <cell r="Q1262" t="str">
            <v>EST POLTRONA BLANCA (AMENDOA) TC 3000- 3336</v>
          </cell>
          <cell r="R1262"/>
          <cell r="S1262"/>
          <cell r="T1262">
            <v>0.7</v>
          </cell>
          <cell r="U1262">
            <v>0.66</v>
          </cell>
          <cell r="V1262">
            <v>0.79</v>
          </cell>
          <cell r="W1262">
            <v>0</v>
          </cell>
          <cell r="X1262" t="str">
            <v>EST POLTRONA BLANCA (AMENDOA) TC 3000- 3336 - 0,7x0,66x0,79H</v>
          </cell>
          <cell r="Y1262">
            <v>11916.62</v>
          </cell>
          <cell r="Z1262">
            <v>0.35</v>
          </cell>
          <cell r="AA1262">
            <v>7745.8030000000008</v>
          </cell>
          <cell r="AB1262"/>
        </row>
        <row r="1263">
          <cell r="C1263">
            <v>0</v>
          </cell>
          <cell r="D1263">
            <v>2</v>
          </cell>
          <cell r="E1263">
            <v>0</v>
          </cell>
          <cell r="F1263">
            <v>0</v>
          </cell>
          <cell r="H1263">
            <v>0</v>
          </cell>
          <cell r="O1263">
            <v>387673</v>
          </cell>
          <cell r="P1263" t="str">
            <v>2024/206-0084-01</v>
          </cell>
          <cell r="Q1263" t="str">
            <v>EST POLTRONA BLANCA (AMENDOA) TC 3000- 3336</v>
          </cell>
          <cell r="R1263"/>
          <cell r="S1263"/>
          <cell r="T1263">
            <v>0.7</v>
          </cell>
          <cell r="U1263">
            <v>0.66</v>
          </cell>
          <cell r="V1263">
            <v>0.79</v>
          </cell>
          <cell r="W1263">
            <v>0</v>
          </cell>
          <cell r="X1263" t="str">
            <v>EST POLTRONA BLANCA (AMENDOA) TC 3000- 3336 - 0,7x0,66x0,79H</v>
          </cell>
          <cell r="Y1263">
            <v>11916.62</v>
          </cell>
          <cell r="Z1263">
            <v>0.35</v>
          </cell>
          <cell r="AA1263">
            <v>7745.8030000000008</v>
          </cell>
          <cell r="AB1263"/>
        </row>
        <row r="1264">
          <cell r="C1264">
            <v>0</v>
          </cell>
          <cell r="D1264">
            <v>2</v>
          </cell>
          <cell r="E1264">
            <v>0</v>
          </cell>
          <cell r="F1264">
            <v>0</v>
          </cell>
          <cell r="H1264">
            <v>0</v>
          </cell>
          <cell r="O1264">
            <v>387675</v>
          </cell>
          <cell r="P1264" t="str">
            <v>2024/206-0087-01</v>
          </cell>
          <cell r="Q1264" t="str">
            <v>EST POLTRONA ANGELINA (CASTANHO) TC 1000- 1380</v>
          </cell>
          <cell r="R1264"/>
          <cell r="S1264"/>
          <cell r="T1264">
            <v>0.79</v>
          </cell>
          <cell r="U1264">
            <v>0.57999999999999996</v>
          </cell>
          <cell r="V1264">
            <v>0.79</v>
          </cell>
          <cell r="W1264">
            <v>0</v>
          </cell>
          <cell r="X1264" t="str">
            <v>EST POLTRONA ANGELINA (CASTANHO) TC 1000- 1380 - 0,79x0,58x0,79H</v>
          </cell>
          <cell r="Y1264">
            <v>14842.02</v>
          </cell>
          <cell r="Z1264">
            <v>0.35</v>
          </cell>
          <cell r="AA1264">
            <v>9647.3130000000019</v>
          </cell>
          <cell r="AB1264"/>
        </row>
        <row r="1265">
          <cell r="C1265">
            <v>0</v>
          </cell>
          <cell r="D1265">
            <v>2</v>
          </cell>
          <cell r="E1265">
            <v>0</v>
          </cell>
          <cell r="F1265">
            <v>0</v>
          </cell>
          <cell r="H1265">
            <v>0</v>
          </cell>
          <cell r="O1265">
            <v>387675</v>
          </cell>
          <cell r="P1265" t="str">
            <v>2024/206-0088-01</v>
          </cell>
          <cell r="Q1265" t="str">
            <v>EST POLTRONA ANGELINA (CASTANHO) TC 1000- 1380</v>
          </cell>
          <cell r="R1265"/>
          <cell r="S1265"/>
          <cell r="T1265">
            <v>0.79</v>
          </cell>
          <cell r="U1265">
            <v>0.57999999999999996</v>
          </cell>
          <cell r="V1265">
            <v>0.79</v>
          </cell>
          <cell r="W1265">
            <v>0</v>
          </cell>
          <cell r="X1265" t="str">
            <v>EST POLTRONA ANGELINA (CASTANHO) TC 1000- 1380 - 0,79x0,58x0,79H</v>
          </cell>
          <cell r="Y1265">
            <v>14842.02</v>
          </cell>
          <cell r="Z1265">
            <v>0.35</v>
          </cell>
          <cell r="AA1265">
            <v>9647.3130000000019</v>
          </cell>
          <cell r="AB1265"/>
        </row>
        <row r="1266">
          <cell r="C1266">
            <v>0</v>
          </cell>
          <cell r="D1266">
            <v>1</v>
          </cell>
          <cell r="E1266">
            <v>0</v>
          </cell>
          <cell r="F1266">
            <v>0</v>
          </cell>
          <cell r="H1266">
            <v>0</v>
          </cell>
          <cell r="O1266">
            <v>387681</v>
          </cell>
          <cell r="P1266" t="str">
            <v>2024/194-0005-01</v>
          </cell>
          <cell r="Q1266" t="str">
            <v>EST BANCO ORNI (TC 1380) (COURO C5312) CASTANHO</v>
          </cell>
          <cell r="R1266"/>
          <cell r="S1266"/>
          <cell r="T1266">
            <v>2</v>
          </cell>
          <cell r="U1266">
            <v>0.45</v>
          </cell>
          <cell r="V1266">
            <v>0.45</v>
          </cell>
          <cell r="W1266">
            <v>0</v>
          </cell>
          <cell r="X1266" t="str">
            <v>EST BANCO ORNI (TC 1380) (COURO C5312) CASTANHO - 2x0,45x0,45H</v>
          </cell>
          <cell r="Y1266">
            <v>9684.86</v>
          </cell>
          <cell r="Z1266">
            <v>0.35</v>
          </cell>
          <cell r="AA1266">
            <v>6295.1590000000006</v>
          </cell>
          <cell r="AB1266"/>
        </row>
        <row r="1267">
          <cell r="C1267">
            <v>6</v>
          </cell>
          <cell r="D1267">
            <v>0</v>
          </cell>
          <cell r="E1267">
            <v>1</v>
          </cell>
          <cell r="F1267">
            <v>1</v>
          </cell>
          <cell r="H1267">
            <v>0</v>
          </cell>
          <cell r="O1267">
            <v>379642</v>
          </cell>
          <cell r="P1267" t="str">
            <v>2024/106-0011-01</v>
          </cell>
          <cell r="Q1267" t="str">
            <v>EST CADEIRA YASMIM (TELA NOGUEIRA) (AMENDOA) TC 1000 - 1272</v>
          </cell>
          <cell r="R1267"/>
          <cell r="S1267"/>
          <cell r="T1267">
            <v>0.49</v>
          </cell>
          <cell r="U1267">
            <v>0.6</v>
          </cell>
          <cell r="V1267">
            <v>0.84</v>
          </cell>
          <cell r="W1267">
            <v>0</v>
          </cell>
          <cell r="X1267" t="str">
            <v>EST CADEIRA YASMIM (TELA NOGUEIRA) (AMENDOA) TC 1000 - 1272 - 0,49x0,6x0,84H</v>
          </cell>
          <cell r="Y1267">
            <v>3592.69</v>
          </cell>
          <cell r="Z1267">
            <v>0.35</v>
          </cell>
          <cell r="AA1267">
            <v>2335.2485000000001</v>
          </cell>
          <cell r="AB1267"/>
        </row>
        <row r="1268">
          <cell r="C1268">
            <v>6</v>
          </cell>
          <cell r="D1268">
            <v>0</v>
          </cell>
          <cell r="E1268">
            <v>1</v>
          </cell>
          <cell r="F1268">
            <v>1</v>
          </cell>
          <cell r="H1268">
            <v>0</v>
          </cell>
          <cell r="O1268">
            <v>379642</v>
          </cell>
          <cell r="P1268" t="str">
            <v>2024/106-0012-01</v>
          </cell>
          <cell r="Q1268" t="str">
            <v>EST CADEIRA YASMIM (TELA NOGUEIRA) (AMENDOA) TC 1000 - 1272</v>
          </cell>
          <cell r="R1268"/>
          <cell r="S1268"/>
          <cell r="T1268">
            <v>0.49</v>
          </cell>
          <cell r="U1268">
            <v>0.6</v>
          </cell>
          <cell r="V1268">
            <v>0.84</v>
          </cell>
          <cell r="W1268">
            <v>0</v>
          </cell>
          <cell r="X1268" t="str">
            <v>EST CADEIRA YASMIM (TELA NOGUEIRA) (AMENDOA) TC 1000 - 1272 - 0,49x0,6x0,84H</v>
          </cell>
          <cell r="Y1268">
            <v>3592.69</v>
          </cell>
          <cell r="Z1268">
            <v>0.35</v>
          </cell>
          <cell r="AA1268">
            <v>2335.2485000000001</v>
          </cell>
          <cell r="AB1268"/>
        </row>
        <row r="1269">
          <cell r="C1269">
            <v>6</v>
          </cell>
          <cell r="D1269">
            <v>0</v>
          </cell>
          <cell r="E1269">
            <v>1</v>
          </cell>
          <cell r="F1269">
            <v>1</v>
          </cell>
          <cell r="H1269">
            <v>0</v>
          </cell>
          <cell r="O1269">
            <v>379642</v>
          </cell>
          <cell r="P1269" t="str">
            <v>2024/106-0013-01</v>
          </cell>
          <cell r="Q1269" t="str">
            <v>EST CADEIRA YASMIM (TELA NOGUEIRA) (AMENDOA) TC 1000 - 1272</v>
          </cell>
          <cell r="R1269"/>
          <cell r="S1269"/>
          <cell r="T1269">
            <v>0.49</v>
          </cell>
          <cell r="U1269">
            <v>0.6</v>
          </cell>
          <cell r="V1269">
            <v>0.84</v>
          </cell>
          <cell r="W1269">
            <v>0</v>
          </cell>
          <cell r="X1269" t="str">
            <v>EST CADEIRA YASMIM (TELA NOGUEIRA) (AMENDOA) TC 1000 - 1272 - 0,49x0,6x0,84H</v>
          </cell>
          <cell r="Y1269">
            <v>3592.69</v>
          </cell>
          <cell r="Z1269">
            <v>0.35</v>
          </cell>
          <cell r="AA1269">
            <v>2335.2485000000001</v>
          </cell>
          <cell r="AB1269"/>
        </row>
        <row r="1270">
          <cell r="C1270">
            <v>6</v>
          </cell>
          <cell r="D1270">
            <v>0</v>
          </cell>
          <cell r="E1270">
            <v>1</v>
          </cell>
          <cell r="F1270">
            <v>1</v>
          </cell>
          <cell r="H1270">
            <v>0</v>
          </cell>
          <cell r="O1270">
            <v>379642</v>
          </cell>
          <cell r="P1270" t="str">
            <v>2024/106-0014-01</v>
          </cell>
          <cell r="Q1270" t="str">
            <v>EST CADEIRA YASMIM (TELA NOGUEIRA) (AMENDOA) TC 1000 - 1272</v>
          </cell>
          <cell r="R1270"/>
          <cell r="S1270"/>
          <cell r="T1270">
            <v>0.49</v>
          </cell>
          <cell r="U1270">
            <v>0.6</v>
          </cell>
          <cell r="V1270">
            <v>0.84</v>
          </cell>
          <cell r="W1270">
            <v>0</v>
          </cell>
          <cell r="X1270" t="str">
            <v>EST CADEIRA YASMIM (TELA NOGUEIRA) (AMENDOA) TC 1000 - 1272 - 0,49x0,6x0,84H</v>
          </cell>
          <cell r="Y1270">
            <v>3592.69</v>
          </cell>
          <cell r="Z1270">
            <v>0.35</v>
          </cell>
          <cell r="AA1270">
            <v>2335.2485000000001</v>
          </cell>
          <cell r="AB1270"/>
        </row>
        <row r="1271">
          <cell r="C1271">
            <v>6</v>
          </cell>
          <cell r="D1271">
            <v>0</v>
          </cell>
          <cell r="E1271">
            <v>1</v>
          </cell>
          <cell r="F1271">
            <v>1</v>
          </cell>
          <cell r="H1271">
            <v>0</v>
          </cell>
          <cell r="O1271">
            <v>379642</v>
          </cell>
          <cell r="P1271" t="str">
            <v>2024/106-0015-01</v>
          </cell>
          <cell r="Q1271" t="str">
            <v>EST CADEIRA YASMIM (TELA NOGUEIRA) (AMENDOA) TC 1000 - 1272</v>
          </cell>
          <cell r="R1271"/>
          <cell r="S1271"/>
          <cell r="T1271">
            <v>0.49</v>
          </cell>
          <cell r="U1271">
            <v>0.6</v>
          </cell>
          <cell r="V1271">
            <v>0.84</v>
          </cell>
          <cell r="W1271">
            <v>0</v>
          </cell>
          <cell r="X1271" t="str">
            <v>EST CADEIRA YASMIM (TELA NOGUEIRA) (AMENDOA) TC 1000 - 1272 - 0,49x0,6x0,84H</v>
          </cell>
          <cell r="Y1271">
            <v>3592.69</v>
          </cell>
          <cell r="Z1271">
            <v>0.35</v>
          </cell>
          <cell r="AA1271">
            <v>2335.2485000000001</v>
          </cell>
          <cell r="AB1271"/>
        </row>
        <row r="1272">
          <cell r="C1272">
            <v>6</v>
          </cell>
          <cell r="D1272">
            <v>0</v>
          </cell>
          <cell r="E1272">
            <v>1</v>
          </cell>
          <cell r="F1272">
            <v>1</v>
          </cell>
          <cell r="H1272">
            <v>0</v>
          </cell>
          <cell r="O1272">
            <v>379642</v>
          </cell>
          <cell r="P1272" t="str">
            <v>2024/106-0016-01</v>
          </cell>
          <cell r="Q1272" t="str">
            <v>EST CADEIRA YASMIM (TELA NOGUEIRA) (AMENDOA) TC 1000 - 1272</v>
          </cell>
          <cell r="R1272"/>
          <cell r="S1272"/>
          <cell r="T1272">
            <v>0.49</v>
          </cell>
          <cell r="U1272">
            <v>0.6</v>
          </cell>
          <cell r="V1272">
            <v>0.84</v>
          </cell>
          <cell r="W1272">
            <v>0</v>
          </cell>
          <cell r="X1272" t="str">
            <v>EST CADEIRA YASMIM (TELA NOGUEIRA) (AMENDOA) TC 1000 - 1272 - 0,49x0,6x0,84H</v>
          </cell>
          <cell r="Y1272">
            <v>3592.69</v>
          </cell>
          <cell r="Z1272">
            <v>0.35</v>
          </cell>
          <cell r="AA1272">
            <v>2335.2485000000001</v>
          </cell>
          <cell r="AB1272"/>
        </row>
        <row r="1273">
          <cell r="C1273">
            <v>2</v>
          </cell>
          <cell r="D1273">
            <v>0</v>
          </cell>
          <cell r="E1273">
            <v>0</v>
          </cell>
          <cell r="F1273">
            <v>0</v>
          </cell>
          <cell r="H1273">
            <v>0</v>
          </cell>
          <cell r="O1273">
            <v>379643</v>
          </cell>
          <cell r="P1273" t="str">
            <v>2024/106-0017-01</v>
          </cell>
          <cell r="Q1273" t="str">
            <v>EST CADEIRA YASMIM (ESTOFADO) (AMENDOA) TC 1000 - 1272</v>
          </cell>
          <cell r="R1273"/>
          <cell r="S1273"/>
          <cell r="T1273">
            <v>0.49</v>
          </cell>
          <cell r="U1273">
            <v>0.6</v>
          </cell>
          <cell r="V1273">
            <v>0.84</v>
          </cell>
          <cell r="W1273">
            <v>0</v>
          </cell>
          <cell r="X1273" t="str">
            <v>EST CADEIRA YASMIM (ESTOFADO) (AMENDOA) TC 1000 - 1272 - 0,49x0,6x0,84H</v>
          </cell>
          <cell r="Y1273">
            <v>3264.71</v>
          </cell>
          <cell r="Z1273">
            <v>0.35</v>
          </cell>
          <cell r="AA1273">
            <v>2122.0614999999998</v>
          </cell>
          <cell r="AB1273"/>
        </row>
        <row r="1274">
          <cell r="C1274">
            <v>2</v>
          </cell>
          <cell r="D1274">
            <v>0</v>
          </cell>
          <cell r="E1274">
            <v>0</v>
          </cell>
          <cell r="F1274">
            <v>0</v>
          </cell>
          <cell r="H1274">
            <v>0</v>
          </cell>
          <cell r="O1274">
            <v>379643</v>
          </cell>
          <cell r="P1274" t="str">
            <v>2024/106-0018-01</v>
          </cell>
          <cell r="Q1274" t="str">
            <v>EST CADEIRA YASMIM (ESTOFADO) (AMENDOA) TC 1000 - 1272</v>
          </cell>
          <cell r="R1274"/>
          <cell r="S1274"/>
          <cell r="T1274">
            <v>0.49</v>
          </cell>
          <cell r="U1274">
            <v>0.6</v>
          </cell>
          <cell r="V1274">
            <v>0.84</v>
          </cell>
          <cell r="W1274">
            <v>0</v>
          </cell>
          <cell r="X1274" t="str">
            <v>EST CADEIRA YASMIM (ESTOFADO) (AMENDOA) TC 1000 - 1272 - 0,49x0,6x0,84H</v>
          </cell>
          <cell r="Y1274">
            <v>3264.71</v>
          </cell>
          <cell r="Z1274">
            <v>0.35</v>
          </cell>
          <cell r="AA1274">
            <v>2122.0614999999998</v>
          </cell>
          <cell r="AB1274"/>
        </row>
        <row r="1275">
          <cell r="C1275">
            <v>1</v>
          </cell>
          <cell r="D1275">
            <v>1</v>
          </cell>
          <cell r="E1275">
            <v>1</v>
          </cell>
          <cell r="F1275">
            <v>1</v>
          </cell>
          <cell r="H1275">
            <v>0</v>
          </cell>
          <cell r="O1275">
            <v>379914</v>
          </cell>
          <cell r="P1275" t="str">
            <v>2024/081-0051-01</v>
          </cell>
          <cell r="Q1275" t="str">
            <v>EST BANQUETA BAR YASMIM (TELA NOG) (AMENDOA) TC 2000 - 2335</v>
          </cell>
          <cell r="R1275"/>
          <cell r="S1275"/>
          <cell r="T1275">
            <v>0.45</v>
          </cell>
          <cell r="U1275">
            <v>0.52</v>
          </cell>
          <cell r="V1275">
            <v>0.95</v>
          </cell>
          <cell r="W1275">
            <v>0</v>
          </cell>
          <cell r="X1275" t="str">
            <v>EST BANQUETA BAR YASMIM (TELA NOG) (AMENDOA) TC 2000 - 2335 - 0,45x0,52x0,95H</v>
          </cell>
          <cell r="Y1275">
            <v>4738.72</v>
          </cell>
          <cell r="Z1275">
            <v>0.35</v>
          </cell>
          <cell r="AA1275">
            <v>3080.1680000000006</v>
          </cell>
          <cell r="AB1275"/>
        </row>
        <row r="1276">
          <cell r="C1276">
            <v>6</v>
          </cell>
          <cell r="D1276">
            <v>0</v>
          </cell>
          <cell r="E1276">
            <v>0</v>
          </cell>
          <cell r="F1276">
            <v>0</v>
          </cell>
          <cell r="H1276">
            <v>2</v>
          </cell>
          <cell r="O1276">
            <v>386525</v>
          </cell>
          <cell r="P1276" t="str">
            <v>2024/159-0025-01</v>
          </cell>
          <cell r="Q1276" t="str">
            <v>EST CADEIRA JUSSARA (CASTANHO) TC 2000 - 2337</v>
          </cell>
          <cell r="R1276"/>
          <cell r="S1276"/>
          <cell r="T1276">
            <v>0.48</v>
          </cell>
          <cell r="U1276">
            <v>0.6</v>
          </cell>
          <cell r="V1276">
            <v>0.89</v>
          </cell>
          <cell r="W1276">
            <v>0</v>
          </cell>
          <cell r="X1276" t="str">
            <v>EST CADEIRA JUSSARA (CASTANHO) TC 2000 - 2337 - 0,48x0,6x0,89H</v>
          </cell>
          <cell r="Y1276">
            <v>3837.75</v>
          </cell>
          <cell r="Z1276">
            <v>0.35</v>
          </cell>
          <cell r="AA1276">
            <v>2494.5375000000004</v>
          </cell>
          <cell r="AB1276"/>
        </row>
        <row r="1277">
          <cell r="C1277">
            <v>6</v>
          </cell>
          <cell r="D1277">
            <v>0</v>
          </cell>
          <cell r="E1277">
            <v>0</v>
          </cell>
          <cell r="F1277">
            <v>0</v>
          </cell>
          <cell r="H1277">
            <v>2</v>
          </cell>
          <cell r="O1277">
            <v>386525</v>
          </cell>
          <cell r="P1277" t="str">
            <v>2024/159-0026-01</v>
          </cell>
          <cell r="Q1277" t="str">
            <v>EST CADEIRA JUSSARA (CASTANHO) TC 2000 - 2337</v>
          </cell>
          <cell r="R1277"/>
          <cell r="S1277"/>
          <cell r="T1277">
            <v>0.48</v>
          </cell>
          <cell r="U1277">
            <v>0.6</v>
          </cell>
          <cell r="V1277">
            <v>0.89</v>
          </cell>
          <cell r="W1277">
            <v>0</v>
          </cell>
          <cell r="X1277" t="str">
            <v>EST CADEIRA JUSSARA (CASTANHO) TC 2000 - 2337 - 0,48x0,6x0,89H</v>
          </cell>
          <cell r="Y1277">
            <v>3837.75</v>
          </cell>
          <cell r="Z1277">
            <v>0.35</v>
          </cell>
          <cell r="AA1277">
            <v>2494.5375000000004</v>
          </cell>
          <cell r="AB1277"/>
        </row>
        <row r="1278">
          <cell r="C1278">
            <v>6</v>
          </cell>
          <cell r="D1278">
            <v>0</v>
          </cell>
          <cell r="E1278">
            <v>0</v>
          </cell>
          <cell r="F1278">
            <v>0</v>
          </cell>
          <cell r="H1278">
            <v>2</v>
          </cell>
          <cell r="O1278">
            <v>386525</v>
          </cell>
          <cell r="P1278" t="str">
            <v>2024/159-0027-01</v>
          </cell>
          <cell r="Q1278" t="str">
            <v>EST CADEIRA JUSSARA (CASTANHO) TC 2000 - 2337</v>
          </cell>
          <cell r="R1278"/>
          <cell r="S1278"/>
          <cell r="T1278">
            <v>0.48</v>
          </cell>
          <cell r="U1278">
            <v>0.6</v>
          </cell>
          <cell r="V1278">
            <v>0.89</v>
          </cell>
          <cell r="W1278">
            <v>0</v>
          </cell>
          <cell r="X1278" t="str">
            <v>EST CADEIRA JUSSARA (CASTANHO) TC 2000 - 2337 - 0,48x0,6x0,89H</v>
          </cell>
          <cell r="Y1278">
            <v>3837.75</v>
          </cell>
          <cell r="Z1278">
            <v>0.35</v>
          </cell>
          <cell r="AA1278">
            <v>2494.5375000000004</v>
          </cell>
          <cell r="AB1278"/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H1279">
            <v>2</v>
          </cell>
          <cell r="O1279">
            <v>386525</v>
          </cell>
          <cell r="P1279" t="str">
            <v>2024/159-0028-01</v>
          </cell>
          <cell r="Q1279" t="str">
            <v>EST CADEIRA JUSSARA (CASTANHO) TC 2000 - 2337</v>
          </cell>
          <cell r="R1279"/>
          <cell r="S1279"/>
          <cell r="T1279">
            <v>0.48</v>
          </cell>
          <cell r="U1279">
            <v>0.6</v>
          </cell>
          <cell r="V1279">
            <v>0.89</v>
          </cell>
          <cell r="W1279">
            <v>0</v>
          </cell>
          <cell r="X1279" t="str">
            <v>EST CADEIRA JUSSARA (CASTANHO) TC 2000 - 2337 - 0,48x0,6x0,89H</v>
          </cell>
          <cell r="Y1279">
            <v>3837.75</v>
          </cell>
          <cell r="Z1279">
            <v>0.35</v>
          </cell>
          <cell r="AA1279">
            <v>2494.5375000000004</v>
          </cell>
          <cell r="AB1279"/>
        </row>
        <row r="1280">
          <cell r="C1280">
            <v>6</v>
          </cell>
          <cell r="D1280">
            <v>0</v>
          </cell>
          <cell r="E1280">
            <v>0</v>
          </cell>
          <cell r="F1280">
            <v>0</v>
          </cell>
          <cell r="H1280">
            <v>2</v>
          </cell>
          <cell r="O1280">
            <v>386525</v>
          </cell>
          <cell r="P1280" t="str">
            <v>2024/159-0029-01</v>
          </cell>
          <cell r="Q1280" t="str">
            <v>EST CADEIRA JUSSARA (CASTANHO) TC 2000 - 2337</v>
          </cell>
          <cell r="R1280"/>
          <cell r="S1280"/>
          <cell r="T1280">
            <v>0.48</v>
          </cell>
          <cell r="U1280">
            <v>0.6</v>
          </cell>
          <cell r="V1280">
            <v>0.89</v>
          </cell>
          <cell r="W1280">
            <v>0</v>
          </cell>
          <cell r="X1280" t="str">
            <v>EST CADEIRA JUSSARA (CASTANHO) TC 2000 - 2337 - 0,48x0,6x0,89H</v>
          </cell>
          <cell r="Y1280">
            <v>3837.75</v>
          </cell>
          <cell r="Z1280">
            <v>0.35</v>
          </cell>
          <cell r="AA1280">
            <v>2494.5375000000004</v>
          </cell>
          <cell r="AB1280"/>
        </row>
        <row r="1281">
          <cell r="C1281">
            <v>6</v>
          </cell>
          <cell r="D1281">
            <v>0</v>
          </cell>
          <cell r="E1281">
            <v>0</v>
          </cell>
          <cell r="F1281">
            <v>0</v>
          </cell>
          <cell r="H1281">
            <v>2</v>
          </cell>
          <cell r="O1281">
            <v>386525</v>
          </cell>
          <cell r="P1281" t="str">
            <v>2024/159-0030-01</v>
          </cell>
          <cell r="Q1281" t="str">
            <v>EST CADEIRA JUSSARA (CASTANHO) TC 2000 - 2337</v>
          </cell>
          <cell r="R1281"/>
          <cell r="S1281"/>
          <cell r="T1281">
            <v>0.48</v>
          </cell>
          <cell r="U1281">
            <v>0.6</v>
          </cell>
          <cell r="V1281">
            <v>0.89</v>
          </cell>
          <cell r="W1281">
            <v>0</v>
          </cell>
          <cell r="X1281" t="str">
            <v>EST CADEIRA JUSSARA (CASTANHO) TC 2000 - 2337 - 0,48x0,6x0,89H</v>
          </cell>
          <cell r="Y1281">
            <v>3837.75</v>
          </cell>
          <cell r="Z1281">
            <v>0.35</v>
          </cell>
          <cell r="AA1281">
            <v>2494.5375000000004</v>
          </cell>
          <cell r="AB1281"/>
        </row>
        <row r="1282">
          <cell r="C1282">
            <v>8</v>
          </cell>
          <cell r="D1282">
            <v>0</v>
          </cell>
          <cell r="E1282">
            <v>0</v>
          </cell>
          <cell r="F1282">
            <v>0</v>
          </cell>
          <cell r="H1282">
            <v>0</v>
          </cell>
          <cell r="O1282">
            <v>387658</v>
          </cell>
          <cell r="P1282" t="str">
            <v>2024/206-0037-01</v>
          </cell>
          <cell r="Q1282" t="str">
            <v>EST CADEIRA MIRIAM (CASTANHO) TC PREMIUM P023</v>
          </cell>
          <cell r="R1282"/>
          <cell r="S1282"/>
          <cell r="T1282">
            <v>0.55000000000000004</v>
          </cell>
          <cell r="U1282">
            <v>0.51</v>
          </cell>
          <cell r="V1282">
            <v>0.78</v>
          </cell>
          <cell r="W1282">
            <v>0</v>
          </cell>
          <cell r="X1282" t="str">
            <v>EST CADEIRA MIRIAM (CASTANHO) TC PREMIUM P023 - 0,55x0,51x0,78H</v>
          </cell>
          <cell r="Y1282">
            <v>4474.8500000000004</v>
          </cell>
          <cell r="Z1282">
            <v>0.35</v>
          </cell>
          <cell r="AA1282">
            <v>2908.6525000000001</v>
          </cell>
          <cell r="AB1282"/>
        </row>
        <row r="1283">
          <cell r="C1283">
            <v>8</v>
          </cell>
          <cell r="D1283">
            <v>0</v>
          </cell>
          <cell r="E1283">
            <v>0</v>
          </cell>
          <cell r="F1283">
            <v>0</v>
          </cell>
          <cell r="H1283">
            <v>0</v>
          </cell>
          <cell r="O1283">
            <v>387658</v>
          </cell>
          <cell r="P1283" t="str">
            <v>2024/206-0038-01</v>
          </cell>
          <cell r="Q1283" t="str">
            <v>EST CADEIRA MIRIAM (CASTANHO) TC PREMIUM P023</v>
          </cell>
          <cell r="R1283"/>
          <cell r="S1283"/>
          <cell r="T1283">
            <v>0.55000000000000004</v>
          </cell>
          <cell r="U1283">
            <v>0.51</v>
          </cell>
          <cell r="V1283">
            <v>0.78</v>
          </cell>
          <cell r="W1283">
            <v>0</v>
          </cell>
          <cell r="X1283" t="str">
            <v>EST CADEIRA MIRIAM (CASTANHO) TC PREMIUM P023 - 0,55x0,51x0,78H</v>
          </cell>
          <cell r="Y1283">
            <v>4474.8500000000004</v>
          </cell>
          <cell r="Z1283">
            <v>0.35</v>
          </cell>
          <cell r="AA1283">
            <v>2908.6525000000001</v>
          </cell>
          <cell r="AB1283"/>
        </row>
        <row r="1284">
          <cell r="C1284">
            <v>8</v>
          </cell>
          <cell r="D1284">
            <v>0</v>
          </cell>
          <cell r="E1284">
            <v>0</v>
          </cell>
          <cell r="F1284">
            <v>0</v>
          </cell>
          <cell r="H1284">
            <v>0</v>
          </cell>
          <cell r="O1284">
            <v>387658</v>
          </cell>
          <cell r="P1284" t="str">
            <v>2024/206-0039-01</v>
          </cell>
          <cell r="Q1284" t="str">
            <v>EST CADEIRA MIRIAM (CASTANHO) TC PREMIUM P023</v>
          </cell>
          <cell r="R1284"/>
          <cell r="S1284"/>
          <cell r="T1284">
            <v>0.55000000000000004</v>
          </cell>
          <cell r="U1284">
            <v>0.51</v>
          </cell>
          <cell r="V1284">
            <v>0.78</v>
          </cell>
          <cell r="W1284">
            <v>0</v>
          </cell>
          <cell r="X1284" t="str">
            <v>EST CADEIRA MIRIAM (CASTANHO) TC PREMIUM P023 - 0,55x0,51x0,78H</v>
          </cell>
          <cell r="Y1284">
            <v>4474.8500000000004</v>
          </cell>
          <cell r="Z1284">
            <v>0.35</v>
          </cell>
          <cell r="AA1284">
            <v>2908.6525000000001</v>
          </cell>
          <cell r="AB1284"/>
        </row>
        <row r="1285">
          <cell r="C1285">
            <v>8</v>
          </cell>
          <cell r="D1285">
            <v>0</v>
          </cell>
          <cell r="E1285">
            <v>0</v>
          </cell>
          <cell r="F1285">
            <v>0</v>
          </cell>
          <cell r="H1285">
            <v>0</v>
          </cell>
          <cell r="O1285">
            <v>387658</v>
          </cell>
          <cell r="P1285" t="str">
            <v>2024/206-0040-01</v>
          </cell>
          <cell r="Q1285" t="str">
            <v>EST CADEIRA MIRIAM (CASTANHO) TC PREMIUM P023</v>
          </cell>
          <cell r="R1285"/>
          <cell r="S1285"/>
          <cell r="T1285">
            <v>0.55000000000000004</v>
          </cell>
          <cell r="U1285">
            <v>0.51</v>
          </cell>
          <cell r="V1285">
            <v>0.78</v>
          </cell>
          <cell r="W1285">
            <v>0</v>
          </cell>
          <cell r="X1285" t="str">
            <v>EST CADEIRA MIRIAM (CASTANHO) TC PREMIUM P023 - 0,55x0,51x0,78H</v>
          </cell>
          <cell r="Y1285">
            <v>4474.8500000000004</v>
          </cell>
          <cell r="Z1285">
            <v>0.35</v>
          </cell>
          <cell r="AA1285">
            <v>2908.6525000000001</v>
          </cell>
          <cell r="AB1285"/>
        </row>
        <row r="1286">
          <cell r="C1286">
            <v>8</v>
          </cell>
          <cell r="D1286">
            <v>0</v>
          </cell>
          <cell r="E1286">
            <v>0</v>
          </cell>
          <cell r="F1286">
            <v>0</v>
          </cell>
          <cell r="H1286">
            <v>0</v>
          </cell>
          <cell r="O1286">
            <v>387658</v>
          </cell>
          <cell r="P1286" t="str">
            <v>2024/206-0041-01</v>
          </cell>
          <cell r="Q1286" t="str">
            <v>EST CADEIRA MIRIAM (CASTANHO) TC PREMIUM P023</v>
          </cell>
          <cell r="R1286"/>
          <cell r="S1286"/>
          <cell r="T1286">
            <v>0.55000000000000004</v>
          </cell>
          <cell r="U1286">
            <v>0.51</v>
          </cell>
          <cell r="V1286">
            <v>0.78</v>
          </cell>
          <cell r="W1286">
            <v>0</v>
          </cell>
          <cell r="X1286" t="str">
            <v>EST CADEIRA MIRIAM (CASTANHO) TC PREMIUM P023 - 0,55x0,51x0,78H</v>
          </cell>
          <cell r="Y1286">
            <v>4474.8500000000004</v>
          </cell>
          <cell r="Z1286">
            <v>0.35</v>
          </cell>
          <cell r="AA1286">
            <v>2908.6525000000001</v>
          </cell>
          <cell r="AB1286"/>
        </row>
        <row r="1287">
          <cell r="C1287">
            <v>8</v>
          </cell>
          <cell r="D1287">
            <v>0</v>
          </cell>
          <cell r="E1287">
            <v>0</v>
          </cell>
          <cell r="F1287">
            <v>0</v>
          </cell>
          <cell r="H1287">
            <v>0</v>
          </cell>
          <cell r="O1287">
            <v>387658</v>
          </cell>
          <cell r="P1287" t="str">
            <v>2024/206-0042-01</v>
          </cell>
          <cell r="Q1287" t="str">
            <v>EST CADEIRA MIRIAM (CASTANHO) TC PREMIUM P023</v>
          </cell>
          <cell r="R1287"/>
          <cell r="S1287"/>
          <cell r="T1287">
            <v>0.55000000000000004</v>
          </cell>
          <cell r="U1287">
            <v>0.51</v>
          </cell>
          <cell r="V1287">
            <v>0.78</v>
          </cell>
          <cell r="W1287">
            <v>0</v>
          </cell>
          <cell r="X1287" t="str">
            <v>EST CADEIRA MIRIAM (CASTANHO) TC PREMIUM P023 - 0,55x0,51x0,78H</v>
          </cell>
          <cell r="Y1287">
            <v>4474.8500000000004</v>
          </cell>
          <cell r="Z1287">
            <v>0.35</v>
          </cell>
          <cell r="AA1287">
            <v>2908.6525000000001</v>
          </cell>
          <cell r="AB1287"/>
        </row>
        <row r="1288">
          <cell r="C1288">
            <v>8</v>
          </cell>
          <cell r="D1288">
            <v>0</v>
          </cell>
          <cell r="E1288">
            <v>0</v>
          </cell>
          <cell r="F1288">
            <v>0</v>
          </cell>
          <cell r="H1288">
            <v>0</v>
          </cell>
          <cell r="O1288">
            <v>387658</v>
          </cell>
          <cell r="P1288" t="str">
            <v>2024/206-0043-01</v>
          </cell>
          <cell r="Q1288" t="str">
            <v>EST CADEIRA MIRIAM (CASTANHO) TC PREMIUM P023</v>
          </cell>
          <cell r="R1288"/>
          <cell r="S1288"/>
          <cell r="T1288">
            <v>0.55000000000000004</v>
          </cell>
          <cell r="U1288">
            <v>0.51</v>
          </cell>
          <cell r="V1288">
            <v>0.78</v>
          </cell>
          <cell r="W1288">
            <v>0</v>
          </cell>
          <cell r="X1288" t="str">
            <v>EST CADEIRA MIRIAM (CASTANHO) TC PREMIUM P023 - 0,55x0,51x0,78H</v>
          </cell>
          <cell r="Y1288">
            <v>4474.8500000000004</v>
          </cell>
          <cell r="Z1288">
            <v>0.35</v>
          </cell>
          <cell r="AA1288">
            <v>2908.6525000000001</v>
          </cell>
          <cell r="AB1288"/>
        </row>
        <row r="1289">
          <cell r="C1289">
            <v>8</v>
          </cell>
          <cell r="D1289">
            <v>0</v>
          </cell>
          <cell r="E1289">
            <v>0</v>
          </cell>
          <cell r="F1289">
            <v>0</v>
          </cell>
          <cell r="H1289">
            <v>0</v>
          </cell>
          <cell r="O1289">
            <v>387658</v>
          </cell>
          <cell r="P1289" t="str">
            <v>2024/206-0044-01</v>
          </cell>
          <cell r="Q1289" t="str">
            <v>EST CADEIRA MIRIAM (CASTANHO) TC PREMIUM P023</v>
          </cell>
          <cell r="R1289"/>
          <cell r="S1289"/>
          <cell r="T1289">
            <v>0.55000000000000004</v>
          </cell>
          <cell r="U1289">
            <v>0.51</v>
          </cell>
          <cell r="V1289">
            <v>0.78</v>
          </cell>
          <cell r="W1289">
            <v>0</v>
          </cell>
          <cell r="X1289" t="str">
            <v>EST CADEIRA MIRIAM (CASTANHO) TC PREMIUM P023 - 0,55x0,51x0,78H</v>
          </cell>
          <cell r="Y1289">
            <v>4474.8500000000004</v>
          </cell>
          <cell r="Z1289">
            <v>0.35</v>
          </cell>
          <cell r="AA1289">
            <v>2908.6525000000001</v>
          </cell>
          <cell r="AB1289"/>
        </row>
        <row r="1290">
          <cell r="C1290">
            <v>5</v>
          </cell>
          <cell r="D1290">
            <v>0</v>
          </cell>
          <cell r="E1290">
            <v>0</v>
          </cell>
          <cell r="F1290">
            <v>0</v>
          </cell>
          <cell r="H1290">
            <v>0</v>
          </cell>
          <cell r="O1290">
            <v>387663</v>
          </cell>
          <cell r="P1290" t="str">
            <v>2024/206-0071-01</v>
          </cell>
          <cell r="Q1290" t="str">
            <v>EST CADEIRA BLANCA (DAMASCO) TC 1000 - 1272</v>
          </cell>
          <cell r="R1290"/>
          <cell r="S1290"/>
          <cell r="T1290">
            <v>0.54</v>
          </cell>
          <cell r="U1290">
            <v>0.56000000000000005</v>
          </cell>
          <cell r="V1290">
            <v>0.79</v>
          </cell>
          <cell r="W1290">
            <v>0</v>
          </cell>
          <cell r="X1290" t="str">
            <v>EST CADEIRA BLANCA (DAMASCO) TC 1000 - 1272 - 0,54x0,56x0,79H</v>
          </cell>
          <cell r="Y1290">
            <v>3536.15</v>
          </cell>
          <cell r="Z1290">
            <v>0.35</v>
          </cell>
          <cell r="AA1290">
            <v>2298.4975000000004</v>
          </cell>
          <cell r="AB1290"/>
        </row>
        <row r="1291">
          <cell r="C1291">
            <v>5</v>
          </cell>
          <cell r="D1291">
            <v>0</v>
          </cell>
          <cell r="E1291">
            <v>0</v>
          </cell>
          <cell r="F1291">
            <v>0</v>
          </cell>
          <cell r="H1291">
            <v>0</v>
          </cell>
          <cell r="O1291">
            <v>387663</v>
          </cell>
          <cell r="P1291" t="str">
            <v>2024/206-0072-01</v>
          </cell>
          <cell r="Q1291" t="str">
            <v>EST CADEIRA BLANCA (DAMASCO) TC 1000 - 1272</v>
          </cell>
          <cell r="R1291"/>
          <cell r="S1291"/>
          <cell r="T1291">
            <v>0.54</v>
          </cell>
          <cell r="U1291">
            <v>0.56000000000000005</v>
          </cell>
          <cell r="V1291">
            <v>0.79</v>
          </cell>
          <cell r="W1291">
            <v>0</v>
          </cell>
          <cell r="X1291" t="str">
            <v>EST CADEIRA BLANCA (DAMASCO) TC 1000 - 1272 - 0,54x0,56x0,79H</v>
          </cell>
          <cell r="Y1291">
            <v>3536.15</v>
          </cell>
          <cell r="Z1291">
            <v>0.35</v>
          </cell>
          <cell r="AA1291">
            <v>2298.4975000000004</v>
          </cell>
          <cell r="AB1291"/>
        </row>
        <row r="1292">
          <cell r="C1292">
            <v>5</v>
          </cell>
          <cell r="D1292">
            <v>0</v>
          </cell>
          <cell r="E1292">
            <v>0</v>
          </cell>
          <cell r="F1292">
            <v>0</v>
          </cell>
          <cell r="H1292">
            <v>0</v>
          </cell>
          <cell r="O1292">
            <v>387663</v>
          </cell>
          <cell r="P1292" t="str">
            <v>2024/206-0073-01</v>
          </cell>
          <cell r="Q1292" t="str">
            <v>EST CADEIRA BLANCA (DAMASCO) TC 1000 - 1272</v>
          </cell>
          <cell r="R1292"/>
          <cell r="S1292"/>
          <cell r="T1292">
            <v>0.54</v>
          </cell>
          <cell r="U1292">
            <v>0.56000000000000005</v>
          </cell>
          <cell r="V1292">
            <v>0.79</v>
          </cell>
          <cell r="W1292">
            <v>0</v>
          </cell>
          <cell r="X1292" t="str">
            <v>EST CADEIRA BLANCA (DAMASCO) TC 1000 - 1272 - 0,54x0,56x0,79H</v>
          </cell>
          <cell r="Y1292">
            <v>3536.15</v>
          </cell>
          <cell r="Z1292">
            <v>0.35</v>
          </cell>
          <cell r="AA1292">
            <v>2298.4975000000004</v>
          </cell>
          <cell r="AB1292"/>
        </row>
        <row r="1293">
          <cell r="C1293">
            <v>5</v>
          </cell>
          <cell r="D1293">
            <v>0</v>
          </cell>
          <cell r="E1293">
            <v>0</v>
          </cell>
          <cell r="F1293">
            <v>0</v>
          </cell>
          <cell r="H1293">
            <v>0</v>
          </cell>
          <cell r="O1293">
            <v>387663</v>
          </cell>
          <cell r="P1293" t="str">
            <v>2024/206-0074-01</v>
          </cell>
          <cell r="Q1293" t="str">
            <v>EST CADEIRA BLANCA (DAMASCO) TC 1000 - 1272</v>
          </cell>
          <cell r="R1293"/>
          <cell r="S1293"/>
          <cell r="T1293">
            <v>0.54</v>
          </cell>
          <cell r="U1293">
            <v>0.56000000000000005</v>
          </cell>
          <cell r="V1293">
            <v>0.79</v>
          </cell>
          <cell r="W1293">
            <v>0</v>
          </cell>
          <cell r="X1293" t="str">
            <v>EST CADEIRA BLANCA (DAMASCO) TC 1000 - 1272 - 0,54x0,56x0,79H</v>
          </cell>
          <cell r="Y1293">
            <v>3536.15</v>
          </cell>
          <cell r="Z1293">
            <v>0.35</v>
          </cell>
          <cell r="AA1293">
            <v>2298.4975000000004</v>
          </cell>
          <cell r="AB1293"/>
        </row>
        <row r="1294">
          <cell r="C1294">
            <v>5</v>
          </cell>
          <cell r="D1294">
            <v>0</v>
          </cell>
          <cell r="E1294">
            <v>0</v>
          </cell>
          <cell r="F1294">
            <v>0</v>
          </cell>
          <cell r="H1294">
            <v>0</v>
          </cell>
          <cell r="O1294">
            <v>387663</v>
          </cell>
          <cell r="P1294" t="str">
            <v>2024/206-0075-01</v>
          </cell>
          <cell r="Q1294" t="str">
            <v>EST CADEIRA BLANCA (DAMASCO) TC 1000 - 1272</v>
          </cell>
          <cell r="R1294"/>
          <cell r="S1294"/>
          <cell r="T1294">
            <v>0.54</v>
          </cell>
          <cell r="U1294">
            <v>0.56000000000000005</v>
          </cell>
          <cell r="V1294">
            <v>0.79</v>
          </cell>
          <cell r="W1294">
            <v>0</v>
          </cell>
          <cell r="X1294" t="str">
            <v>EST CADEIRA BLANCA (DAMASCO) TC 1000 - 1272 - 0,54x0,56x0,79H</v>
          </cell>
          <cell r="Y1294">
            <v>3536.15</v>
          </cell>
          <cell r="Z1294">
            <v>0.35</v>
          </cell>
          <cell r="AA1294">
            <v>2298.4975000000004</v>
          </cell>
          <cell r="AB1294"/>
        </row>
        <row r="1295">
          <cell r="C1295">
            <v>0</v>
          </cell>
          <cell r="D1295">
            <v>0</v>
          </cell>
          <cell r="E1295">
            <v>2</v>
          </cell>
          <cell r="F1295">
            <v>0</v>
          </cell>
          <cell r="H1295">
            <v>0</v>
          </cell>
          <cell r="O1295">
            <v>387664</v>
          </cell>
          <cell r="P1295" t="str">
            <v>2024/206-0079-01</v>
          </cell>
          <cell r="Q1295" t="str">
            <v>EST POLTRONA BLANCA (NOGAL) TC 2000- 2337</v>
          </cell>
          <cell r="R1295"/>
          <cell r="S1295"/>
          <cell r="T1295">
            <v>0.7</v>
          </cell>
          <cell r="U1295">
            <v>0.66</v>
          </cell>
          <cell r="V1295">
            <v>0.79</v>
          </cell>
          <cell r="W1295">
            <v>0</v>
          </cell>
          <cell r="X1295" t="str">
            <v>EST POLTRONA BLANCA (NOGAL) TC 2000- 2337 - 0,7x0,66x0,79H</v>
          </cell>
          <cell r="Y1295">
            <v>12267.23</v>
          </cell>
          <cell r="Z1295">
            <v>0.35</v>
          </cell>
          <cell r="AA1295">
            <v>7973.6994999999997</v>
          </cell>
          <cell r="AB1295"/>
        </row>
        <row r="1296">
          <cell r="C1296">
            <v>0</v>
          </cell>
          <cell r="D1296">
            <v>0</v>
          </cell>
          <cell r="E1296">
            <v>2</v>
          </cell>
          <cell r="F1296">
            <v>0</v>
          </cell>
          <cell r="H1296">
            <v>0</v>
          </cell>
          <cell r="O1296">
            <v>387664</v>
          </cell>
          <cell r="P1296" t="str">
            <v>2024/206-0080-01</v>
          </cell>
          <cell r="Q1296" t="str">
            <v>EST POLTRONA BLANCA (NOGAL) TC 2000- 2337</v>
          </cell>
          <cell r="R1296"/>
          <cell r="S1296"/>
          <cell r="T1296">
            <v>0.7</v>
          </cell>
          <cell r="U1296">
            <v>0.66</v>
          </cell>
          <cell r="V1296">
            <v>0.79</v>
          </cell>
          <cell r="W1296">
            <v>0</v>
          </cell>
          <cell r="X1296" t="str">
            <v>EST POLTRONA BLANCA (NOGAL) TC 2000- 2337 - 0,7x0,66x0,79H</v>
          </cell>
          <cell r="Y1296">
            <v>12267.23</v>
          </cell>
          <cell r="Z1296">
            <v>0.35</v>
          </cell>
          <cell r="AA1296">
            <v>7973.6994999999997</v>
          </cell>
          <cell r="AB1296"/>
        </row>
        <row r="1297">
          <cell r="C1297">
            <v>1</v>
          </cell>
          <cell r="D1297">
            <v>1</v>
          </cell>
          <cell r="E1297">
            <v>1</v>
          </cell>
          <cell r="F1297">
            <v>1</v>
          </cell>
          <cell r="H1297">
            <v>2</v>
          </cell>
          <cell r="O1297">
            <v>334164</v>
          </cell>
          <cell r="P1297" t="str">
            <v>2022/175-0010-01</v>
          </cell>
          <cell r="Q1297" t="str">
            <v>EST CADEIRA JULIETA (JEQ PECAN) (COURO PIGUIMENTADO AREIA)</v>
          </cell>
          <cell r="R1297"/>
          <cell r="S1297"/>
          <cell r="T1297">
            <v>0.6</v>
          </cell>
          <cell r="U1297">
            <v>0.54</v>
          </cell>
          <cell r="V1297">
            <v>0.71</v>
          </cell>
          <cell r="W1297">
            <v>0</v>
          </cell>
          <cell r="X1297" t="str">
            <v>EST CADEIRA JULIETA (JEQ PECAN) (COURO PIGUIMENTADO AREIA) - 0,6x0,54x0,71H</v>
          </cell>
          <cell r="Y1297">
            <v>9657.4</v>
          </cell>
          <cell r="Z1297">
            <v>0.35</v>
          </cell>
          <cell r="AA1297">
            <v>6277.3099999999995</v>
          </cell>
          <cell r="AB1297"/>
        </row>
        <row r="1298">
          <cell r="C1298">
            <v>0</v>
          </cell>
          <cell r="D1298">
            <v>1</v>
          </cell>
          <cell r="E1298">
            <v>0</v>
          </cell>
          <cell r="F1298">
            <v>0</v>
          </cell>
          <cell r="H1298">
            <v>0</v>
          </cell>
          <cell r="O1298">
            <v>88590</v>
          </cell>
          <cell r="P1298"/>
          <cell r="Q1298" t="str">
            <v>EST CABIDEIRO FOR (AZUL)</v>
          </cell>
          <cell r="R1298"/>
          <cell r="S1298"/>
          <cell r="T1298">
            <v>0.5</v>
          </cell>
          <cell r="U1298">
            <v>0.5</v>
          </cell>
          <cell r="V1298">
            <v>1.6</v>
          </cell>
          <cell r="W1298">
            <v>0</v>
          </cell>
          <cell r="X1298" t="str">
            <v>EST CABIDEIRO FOR (AZUL) - 0,5x0,5x1,6H</v>
          </cell>
          <cell r="Y1298">
            <v>14863.83</v>
          </cell>
          <cell r="Z1298">
            <v>0.5</v>
          </cell>
          <cell r="AA1298">
            <v>7431.915</v>
          </cell>
          <cell r="AB1298"/>
        </row>
        <row r="1299">
          <cell r="C1299">
            <v>0</v>
          </cell>
          <cell r="D1299">
            <v>1</v>
          </cell>
          <cell r="E1299">
            <v>0</v>
          </cell>
          <cell r="F1299">
            <v>0</v>
          </cell>
          <cell r="H1299">
            <v>0</v>
          </cell>
          <cell r="O1299">
            <v>120889</v>
          </cell>
          <cell r="P1299" t="str">
            <v>2025/021-0048-01</v>
          </cell>
          <cell r="Q1299" t="str">
            <v>EST LUMINARIA VIC (G) (LACA SAYERLACK Y018 BRILHO)</v>
          </cell>
          <cell r="R1299"/>
          <cell r="S1299"/>
          <cell r="T1299">
            <v>1.8</v>
          </cell>
          <cell r="U1299">
            <v>0.6</v>
          </cell>
          <cell r="V1299">
            <v>0.6</v>
          </cell>
          <cell r="W1299">
            <v>0</v>
          </cell>
          <cell r="X1299" t="str">
            <v>EST LUMINARIA VIC (G) (LACA SAYERLACK Y018 BRILHO) - 1,8x0,6x0,6H</v>
          </cell>
          <cell r="Y1299">
            <v>17024</v>
          </cell>
          <cell r="Z1299">
            <v>0.5</v>
          </cell>
          <cell r="AA1299">
            <v>8512</v>
          </cell>
          <cell r="AB1299"/>
        </row>
        <row r="1300">
          <cell r="C1300">
            <v>0</v>
          </cell>
          <cell r="D1300">
            <v>1</v>
          </cell>
          <cell r="E1300">
            <v>0</v>
          </cell>
          <cell r="F1300">
            <v>0</v>
          </cell>
          <cell r="H1300">
            <v>0</v>
          </cell>
          <cell r="O1300">
            <v>147928</v>
          </cell>
          <cell r="P1300" t="str">
            <v>2014/262-0089-01</v>
          </cell>
          <cell r="Q1300" t="str">
            <v>EST LUMINARIA MESA MUSH (C/LAMPADA) (CORK CLARO)</v>
          </cell>
          <cell r="R1300"/>
          <cell r="S1300"/>
          <cell r="T1300">
            <v>0.27</v>
          </cell>
          <cell r="U1300">
            <v>0.27</v>
          </cell>
          <cell r="V1300">
            <v>0.16</v>
          </cell>
          <cell r="W1300">
            <v>0</v>
          </cell>
          <cell r="X1300" t="str">
            <v>EST LUMINARIA MESA MUSH (C/LAMPADA) (CORK CLARO) - 0,27x0,27x0,16H</v>
          </cell>
          <cell r="Y1300">
            <v>6720</v>
          </cell>
          <cell r="Z1300">
            <v>0.5</v>
          </cell>
          <cell r="AA1300">
            <v>3360</v>
          </cell>
          <cell r="AB1300"/>
        </row>
        <row r="1301">
          <cell r="C1301">
            <v>0</v>
          </cell>
          <cell r="D1301">
            <v>1</v>
          </cell>
          <cell r="E1301">
            <v>0</v>
          </cell>
          <cell r="F1301">
            <v>0</v>
          </cell>
          <cell r="H1301">
            <v>0</v>
          </cell>
          <cell r="O1301">
            <v>190084</v>
          </cell>
          <cell r="P1301"/>
          <cell r="Q1301" t="str">
            <v>EST LUMINARIA CODE (LAMINA NOGUEIRA) (LAMPADA L008 110V)</v>
          </cell>
          <cell r="R1301"/>
          <cell r="S1301"/>
          <cell r="T1301">
            <v>0.4</v>
          </cell>
          <cell r="U1301">
            <v>0.15</v>
          </cell>
          <cell r="V1301">
            <v>0.16</v>
          </cell>
          <cell r="W1301">
            <v>0</v>
          </cell>
          <cell r="X1301" t="str">
            <v>EST LUMINARIA CODE (LAMINA NOGUEIRA) (LAMPADA L008 110V) - 0,4x0,15x0,16H</v>
          </cell>
          <cell r="Y1301">
            <v>6720</v>
          </cell>
          <cell r="Z1301">
            <v>0.5</v>
          </cell>
          <cell r="AA1301">
            <v>3360</v>
          </cell>
          <cell r="AB1301"/>
        </row>
        <row r="1302">
          <cell r="C1302">
            <v>0</v>
          </cell>
          <cell r="D1302">
            <v>1</v>
          </cell>
          <cell r="E1302">
            <v>0</v>
          </cell>
          <cell r="F1302">
            <v>0</v>
          </cell>
          <cell r="H1302">
            <v>0</v>
          </cell>
          <cell r="O1302">
            <v>190086</v>
          </cell>
          <cell r="P1302"/>
          <cell r="Q1302" t="str">
            <v>EST LUMINARIA TOKIO (BASE CORK) (LATAO) (VIDRO LEITOSO)</v>
          </cell>
          <cell r="R1302"/>
          <cell r="S1302"/>
          <cell r="T1302">
            <v>0.3</v>
          </cell>
          <cell r="U1302">
            <v>0</v>
          </cell>
          <cell r="V1302">
            <v>0.3</v>
          </cell>
          <cell r="W1302">
            <v>0.3</v>
          </cell>
          <cell r="X1302" t="str">
            <v>EST LUMINARIA TOKIO (BASE CORK) (LATAO) (VIDRO LEITOSO) - Ø0,3x0,3H</v>
          </cell>
          <cell r="Y1302">
            <v>13440</v>
          </cell>
          <cell r="Z1302">
            <v>0.5</v>
          </cell>
          <cell r="AA1302">
            <v>6720</v>
          </cell>
          <cell r="AB1302"/>
        </row>
        <row r="1303">
          <cell r="C1303">
            <v>0</v>
          </cell>
          <cell r="D1303">
            <v>1</v>
          </cell>
          <cell r="E1303">
            <v>0</v>
          </cell>
          <cell r="F1303">
            <v>0</v>
          </cell>
          <cell r="H1303">
            <v>0</v>
          </cell>
          <cell r="O1303">
            <v>222249</v>
          </cell>
          <cell r="P1303"/>
          <cell r="Q1303" t="str">
            <v>EST LUMINARIA CODE (CARV PINHO DE RIGA) (LAMPADA L008 110V)</v>
          </cell>
          <cell r="R1303"/>
          <cell r="S1303"/>
          <cell r="T1303">
            <v>0.4</v>
          </cell>
          <cell r="U1303">
            <v>0.15</v>
          </cell>
          <cell r="V1303">
            <v>0.16</v>
          </cell>
          <cell r="W1303">
            <v>0</v>
          </cell>
          <cell r="X1303" t="str">
            <v>EST LUMINARIA CODE (CARV PINHO DE RIGA) (LAMPADA L008 110V) - 0,4x0,15x0,16H</v>
          </cell>
          <cell r="Y1303">
            <v>6720</v>
          </cell>
          <cell r="Z1303">
            <v>0.5</v>
          </cell>
          <cell r="AA1303">
            <v>3360</v>
          </cell>
          <cell r="AB1303"/>
        </row>
        <row r="1304">
          <cell r="C1304">
            <v>1</v>
          </cell>
          <cell r="D1304">
            <v>1</v>
          </cell>
          <cell r="E1304">
            <v>1</v>
          </cell>
          <cell r="F1304">
            <v>0</v>
          </cell>
          <cell r="H1304">
            <v>0</v>
          </cell>
          <cell r="O1304">
            <v>186566</v>
          </cell>
          <cell r="P1304" t="str">
            <v>2016/133-0183-01</v>
          </cell>
          <cell r="Q1304" t="str">
            <v>EST MESA LATERAL CANCUN (MAD LAM CARVALHO NT) (AUT SAND)</v>
          </cell>
          <cell r="R1304"/>
          <cell r="S1304"/>
          <cell r="T1304">
            <v>0.55000000000000004</v>
          </cell>
          <cell r="U1304">
            <v>0</v>
          </cell>
          <cell r="V1304">
            <v>0.52</v>
          </cell>
          <cell r="W1304">
            <v>0.55000000000000004</v>
          </cell>
          <cell r="X1304" t="str">
            <v>EST MESA LATERAL CANCUN (MAD LAM CARVALHO NT) (AUT SAND) - Ø0,55x0,52H</v>
          </cell>
          <cell r="Y1304">
            <v>8089.85</v>
          </cell>
          <cell r="Z1304">
            <v>0.35</v>
          </cell>
          <cell r="AA1304">
            <v>5258.4025000000001</v>
          </cell>
          <cell r="AB1304"/>
        </row>
        <row r="1305">
          <cell r="C1305">
            <v>0</v>
          </cell>
          <cell r="D1305">
            <v>1</v>
          </cell>
          <cell r="E1305">
            <v>1</v>
          </cell>
          <cell r="F1305">
            <v>0</v>
          </cell>
          <cell r="H1305">
            <v>0</v>
          </cell>
          <cell r="O1305">
            <v>253847</v>
          </cell>
          <cell r="P1305" t="str">
            <v>2019/339-0055-01</v>
          </cell>
          <cell r="Q1305" t="str">
            <v>EST BANDEJA RITMO Ø55 (MARMORE 4 NERO MARQUINA FOSCO)</v>
          </cell>
          <cell r="R1305"/>
          <cell r="S1305"/>
          <cell r="T1305">
            <v>0.55000000000000004</v>
          </cell>
          <cell r="U1305">
            <v>0</v>
          </cell>
          <cell r="V1305">
            <v>0.02</v>
          </cell>
          <cell r="W1305">
            <v>0.55000000000000004</v>
          </cell>
          <cell r="X1305" t="str">
            <v>EST BANDEJA RITMO Ø55 (MARMORE 4 NERO MARQUINA FOSCO) - Ø0,55x0,02H</v>
          </cell>
          <cell r="Y1305">
            <v>9892.7800000000007</v>
          </cell>
          <cell r="Z1305">
            <v>0.35</v>
          </cell>
          <cell r="AA1305">
            <v>6430.3070000000007</v>
          </cell>
          <cell r="AB1305"/>
        </row>
        <row r="1306">
          <cell r="C1306">
            <v>0</v>
          </cell>
          <cell r="D1306">
            <v>1</v>
          </cell>
          <cell r="E1306">
            <v>1</v>
          </cell>
          <cell r="F1306">
            <v>0</v>
          </cell>
          <cell r="H1306">
            <v>0</v>
          </cell>
          <cell r="O1306">
            <v>255054</v>
          </cell>
          <cell r="P1306" t="str">
            <v>2020/027-0055-01</v>
          </cell>
          <cell r="Q1306" t="str">
            <v>EST MESA LATERAL CANCUN (MAD PINT AUT CARBONE) (MARROM FSC)</v>
          </cell>
          <cell r="R1306"/>
          <cell r="S1306"/>
          <cell r="T1306">
            <v>0.6</v>
          </cell>
          <cell r="U1306">
            <v>0</v>
          </cell>
          <cell r="V1306">
            <v>0.62</v>
          </cell>
          <cell r="W1306">
            <v>0.6</v>
          </cell>
          <cell r="X1306" t="str">
            <v>EST MESA LATERAL CANCUN (MAD PINT AUT CARBONE) (MARROM FSC) - Ø0,6x0,62H</v>
          </cell>
          <cell r="Y1306">
            <v>7981.39</v>
          </cell>
          <cell r="Z1306">
            <v>0.35</v>
          </cell>
          <cell r="AA1306">
            <v>5187.9035000000003</v>
          </cell>
          <cell r="AB1306"/>
        </row>
        <row r="1307">
          <cell r="C1307">
            <v>0</v>
          </cell>
          <cell r="D1307">
            <v>0</v>
          </cell>
          <cell r="E1307">
            <v>1</v>
          </cell>
          <cell r="F1307">
            <v>0</v>
          </cell>
          <cell r="H1307">
            <v>0</v>
          </cell>
          <cell r="O1307">
            <v>255062</v>
          </cell>
          <cell r="P1307" t="str">
            <v>2020/066-0044-01</v>
          </cell>
          <cell r="Q1307" t="str">
            <v>EST MESA LATERAL CANCUN (MAD LAM FAJO) (AUT FRAPE)</v>
          </cell>
          <cell r="R1307"/>
          <cell r="S1307"/>
          <cell r="T1307">
            <v>0.55000000000000004</v>
          </cell>
          <cell r="U1307">
            <v>0</v>
          </cell>
          <cell r="V1307">
            <v>0.52</v>
          </cell>
          <cell r="W1307">
            <v>0.55000000000000004</v>
          </cell>
          <cell r="X1307" t="str">
            <v>EST MESA LATERAL CANCUN (MAD LAM FAJO) (AUT FRAPE) - Ø0,55x0,52H</v>
          </cell>
          <cell r="Y1307">
            <v>8089.85</v>
          </cell>
          <cell r="Z1307">
            <v>0.35</v>
          </cell>
          <cell r="AA1307">
            <v>5258.4025000000001</v>
          </cell>
          <cell r="AB1307"/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H1308">
            <v>0</v>
          </cell>
          <cell r="O1308">
            <v>255063</v>
          </cell>
          <cell r="P1308" t="str">
            <v>2020/241-0008-01</v>
          </cell>
          <cell r="Q1308" t="str">
            <v>EST MESA LATERAL CANCUN (FX5 EXOTIC) (AUT FRAPE)</v>
          </cell>
          <cell r="R1308"/>
          <cell r="S1308"/>
          <cell r="T1308">
            <v>0.6</v>
          </cell>
          <cell r="U1308">
            <v>0</v>
          </cell>
          <cell r="V1308">
            <v>0.62</v>
          </cell>
          <cell r="W1308">
            <v>0.6</v>
          </cell>
          <cell r="X1308" t="str">
            <v>EST MESA LATERAL CANCUN (FX5 EXOTIC) (AUT FRAPE) - Ø0,6x0,62H</v>
          </cell>
          <cell r="Y1308">
            <v>19213.419999999998</v>
          </cell>
          <cell r="Z1308">
            <v>0.35</v>
          </cell>
          <cell r="AA1308">
            <v>12488.722999999998</v>
          </cell>
          <cell r="AB1308"/>
        </row>
        <row r="1309">
          <cell r="C1309">
            <v>0</v>
          </cell>
          <cell r="D1309">
            <v>0</v>
          </cell>
          <cell r="E1309">
            <v>1</v>
          </cell>
          <cell r="F1309">
            <v>0</v>
          </cell>
          <cell r="H1309">
            <v>0</v>
          </cell>
          <cell r="O1309">
            <v>273383</v>
          </cell>
          <cell r="P1309" t="str">
            <v>2021/011-0030-01</v>
          </cell>
          <cell r="Q1309" t="str">
            <v>EST MESA CENTRO CRUX (DES) (LAM 2 NOGUEIRA) (BS PTO FSC)</v>
          </cell>
          <cell r="R1309"/>
          <cell r="S1309"/>
          <cell r="T1309">
            <v>1.6</v>
          </cell>
          <cell r="U1309">
            <v>1</v>
          </cell>
          <cell r="V1309">
            <v>0.35</v>
          </cell>
          <cell r="W1309">
            <v>0</v>
          </cell>
          <cell r="X1309" t="str">
            <v>EST MESA CENTRO CRUX (DES) (LAM 2 NOGUEIRA) (BS PTO FSC) - 1,6x1x0,35H</v>
          </cell>
          <cell r="Y1309">
            <v>16385.64</v>
          </cell>
          <cell r="Z1309">
            <v>0.35</v>
          </cell>
          <cell r="AA1309">
            <v>10650.666000000001</v>
          </cell>
          <cell r="AB1309"/>
        </row>
        <row r="1310">
          <cell r="C1310">
            <v>0</v>
          </cell>
          <cell r="D1310">
            <v>0</v>
          </cell>
          <cell r="E1310">
            <v>1</v>
          </cell>
          <cell r="F1310">
            <v>0</v>
          </cell>
          <cell r="H1310">
            <v>1</v>
          </cell>
          <cell r="O1310">
            <v>299533</v>
          </cell>
          <cell r="P1310" t="str">
            <v>2022/034-0019-01</v>
          </cell>
          <cell r="Q1310" t="str">
            <v>EST ESTANTE VO (B) (MTZ ONIX PRETO) (LAM 2 NOGUEIRA)</v>
          </cell>
          <cell r="R1310"/>
          <cell r="S1310"/>
          <cell r="T1310">
            <v>1.04</v>
          </cell>
          <cell r="U1310">
            <v>0.45</v>
          </cell>
          <cell r="V1310">
            <v>2.11</v>
          </cell>
          <cell r="W1310">
            <v>0</v>
          </cell>
          <cell r="X1310" t="str">
            <v>EST ESTANTE VO (B) (MTZ ONIX PRETO) (LAM 2 NOGUEIRA) - 1,04x0,45x2,11H</v>
          </cell>
          <cell r="Y1310">
            <v>63815.4</v>
          </cell>
          <cell r="Z1310">
            <v>0.35</v>
          </cell>
          <cell r="AA1310">
            <v>41480.01</v>
          </cell>
          <cell r="AB1310"/>
        </row>
        <row r="1311">
          <cell r="C1311">
            <v>0</v>
          </cell>
          <cell r="D1311">
            <v>0</v>
          </cell>
          <cell r="E1311">
            <v>1</v>
          </cell>
          <cell r="F1311">
            <v>0</v>
          </cell>
          <cell r="H1311">
            <v>1</v>
          </cell>
          <cell r="O1311">
            <v>299562</v>
          </cell>
          <cell r="P1311" t="str">
            <v>2022/034-0020-01</v>
          </cell>
          <cell r="Q1311" t="str">
            <v>EST ESTANTE VO (C) (MTZ ONIX PRETO) (LAM 2 NOGUEIRA)</v>
          </cell>
          <cell r="R1311"/>
          <cell r="S1311"/>
          <cell r="T1311">
            <v>1.04</v>
          </cell>
          <cell r="U1311">
            <v>0.45</v>
          </cell>
          <cell r="V1311">
            <v>2.11</v>
          </cell>
          <cell r="W1311">
            <v>0</v>
          </cell>
          <cell r="X1311" t="str">
            <v>EST ESTANTE VO (C) (MTZ ONIX PRETO) (LAM 2 NOGUEIRA) - 1,04x0,45x2,11H</v>
          </cell>
          <cell r="Y1311">
            <v>61959.61</v>
          </cell>
          <cell r="Z1311">
            <v>0.35</v>
          </cell>
          <cell r="AA1311">
            <v>40273.746500000001</v>
          </cell>
          <cell r="AB1311"/>
        </row>
        <row r="1312">
          <cell r="C1312">
            <v>0</v>
          </cell>
          <cell r="D1312">
            <v>0</v>
          </cell>
          <cell r="E1312">
            <v>1</v>
          </cell>
          <cell r="F1312">
            <v>0</v>
          </cell>
          <cell r="H1312">
            <v>0</v>
          </cell>
          <cell r="O1312">
            <v>328715</v>
          </cell>
          <cell r="P1312" t="str">
            <v>2022/213-0005-01</v>
          </cell>
          <cell r="Q1312" t="str">
            <v>EST ESTANTE BURLE (MTZ MARROM COBRE) (LAM 2 PRAT CANELA)</v>
          </cell>
          <cell r="R1312"/>
          <cell r="S1312"/>
          <cell r="T1312">
            <v>1.3</v>
          </cell>
          <cell r="U1312">
            <v>0.45</v>
          </cell>
          <cell r="V1312">
            <v>1.83</v>
          </cell>
          <cell r="W1312">
            <v>0</v>
          </cell>
          <cell r="X1312" t="str">
            <v>EST ESTANTE BURLE (MTZ MARROM COBRE) (LAM 2 PRAT CANELA) - 1,3x0,45x1,83H</v>
          </cell>
          <cell r="Y1312">
            <v>44856.36</v>
          </cell>
          <cell r="Z1312">
            <v>0.35</v>
          </cell>
          <cell r="AA1312">
            <v>29156.634000000002</v>
          </cell>
          <cell r="AB1312"/>
        </row>
        <row r="1313">
          <cell r="C1313">
            <v>0</v>
          </cell>
          <cell r="D1313">
            <v>0</v>
          </cell>
          <cell r="E1313">
            <v>6</v>
          </cell>
          <cell r="F1313">
            <v>0</v>
          </cell>
          <cell r="H1313">
            <v>0</v>
          </cell>
          <cell r="O1313">
            <v>328717</v>
          </cell>
          <cell r="P1313" t="str">
            <v>2022/213-0006-01</v>
          </cell>
          <cell r="Q1313" t="str">
            <v>EST COMPONENTE PRATELEIRA ESTANTE VO (UNIAO) (LAM 2 NOG)</v>
          </cell>
          <cell r="R1313"/>
          <cell r="S1313"/>
          <cell r="T1313">
            <v>0.6</v>
          </cell>
          <cell r="U1313">
            <v>0.39</v>
          </cell>
          <cell r="V1313">
            <v>0.03</v>
          </cell>
          <cell r="W1313">
            <v>0</v>
          </cell>
          <cell r="X1313" t="str">
            <v>EST COMPONENTE PRATELEIRA ESTANTE VO (UNIAO) (LAM 2 NOG) - 0,6x0,39x0,03H</v>
          </cell>
          <cell r="Y1313">
            <v>2603.1</v>
          </cell>
          <cell r="Z1313">
            <v>0.35</v>
          </cell>
          <cell r="AA1313">
            <v>1692.0149999999999</v>
          </cell>
          <cell r="AB1313"/>
        </row>
        <row r="1314">
          <cell r="C1314">
            <v>0</v>
          </cell>
          <cell r="D1314">
            <v>0</v>
          </cell>
          <cell r="E1314">
            <v>6</v>
          </cell>
          <cell r="F1314">
            <v>0</v>
          </cell>
          <cell r="H1314">
            <v>0</v>
          </cell>
          <cell r="O1314">
            <v>328717</v>
          </cell>
          <cell r="P1314" t="str">
            <v>2022/213-0007-01</v>
          </cell>
          <cell r="Q1314" t="str">
            <v>EST COMPONENTE PRATELEIRA ESTANTE VO (UNIAO) (LAM 2 NOG)</v>
          </cell>
          <cell r="R1314"/>
          <cell r="S1314"/>
          <cell r="T1314">
            <v>0.6</v>
          </cell>
          <cell r="U1314">
            <v>0.39</v>
          </cell>
          <cell r="V1314">
            <v>0.03</v>
          </cell>
          <cell r="W1314">
            <v>0</v>
          </cell>
          <cell r="X1314" t="str">
            <v>EST COMPONENTE PRATELEIRA ESTANTE VO (UNIAO) (LAM 2 NOG) - 0,6x0,39x0,03H</v>
          </cell>
          <cell r="Y1314">
            <v>2603.1</v>
          </cell>
          <cell r="Z1314">
            <v>0.35</v>
          </cell>
          <cell r="AA1314">
            <v>1692.0149999999999</v>
          </cell>
          <cell r="AB1314"/>
        </row>
        <row r="1315">
          <cell r="C1315">
            <v>0</v>
          </cell>
          <cell r="D1315">
            <v>0</v>
          </cell>
          <cell r="E1315">
            <v>6</v>
          </cell>
          <cell r="F1315">
            <v>0</v>
          </cell>
          <cell r="H1315">
            <v>0</v>
          </cell>
          <cell r="O1315">
            <v>328717</v>
          </cell>
          <cell r="P1315" t="str">
            <v>2022/213-0008-01</v>
          </cell>
          <cell r="Q1315" t="str">
            <v>EST COMPONENTE PRATELEIRA ESTANTE VO (UNIAO) (LAM 2 NOG)</v>
          </cell>
          <cell r="R1315"/>
          <cell r="S1315"/>
          <cell r="T1315">
            <v>0.6</v>
          </cell>
          <cell r="U1315">
            <v>0.39</v>
          </cell>
          <cell r="V1315">
            <v>0.03</v>
          </cell>
          <cell r="W1315">
            <v>0</v>
          </cell>
          <cell r="X1315" t="str">
            <v>EST COMPONENTE PRATELEIRA ESTANTE VO (UNIAO) (LAM 2 NOG) - 0,6x0,39x0,03H</v>
          </cell>
          <cell r="Y1315">
            <v>2603.1</v>
          </cell>
          <cell r="Z1315">
            <v>0.35</v>
          </cell>
          <cell r="AA1315">
            <v>1692.0149999999999</v>
          </cell>
          <cell r="AB1315"/>
        </row>
        <row r="1316">
          <cell r="C1316">
            <v>0</v>
          </cell>
          <cell r="D1316">
            <v>0</v>
          </cell>
          <cell r="E1316">
            <v>6</v>
          </cell>
          <cell r="F1316">
            <v>0</v>
          </cell>
          <cell r="H1316">
            <v>0</v>
          </cell>
          <cell r="O1316">
            <v>328717</v>
          </cell>
          <cell r="P1316" t="str">
            <v>2022/213-0009-01</v>
          </cell>
          <cell r="Q1316" t="str">
            <v>EST COMPONENTE PRATELEIRA ESTANTE VO (UNIAO) (LAM 2 NOG)</v>
          </cell>
          <cell r="R1316"/>
          <cell r="S1316"/>
          <cell r="T1316">
            <v>0.6</v>
          </cell>
          <cell r="U1316">
            <v>0.39</v>
          </cell>
          <cell r="V1316">
            <v>0.03</v>
          </cell>
          <cell r="W1316">
            <v>0</v>
          </cell>
          <cell r="X1316" t="str">
            <v>EST COMPONENTE PRATELEIRA ESTANTE VO (UNIAO) (LAM 2 NOG) - 0,6x0,39x0,03H</v>
          </cell>
          <cell r="Y1316">
            <v>2603.1</v>
          </cell>
          <cell r="Z1316">
            <v>0.35</v>
          </cell>
          <cell r="AA1316">
            <v>1692.0149999999999</v>
          </cell>
          <cell r="AB1316"/>
        </row>
        <row r="1317">
          <cell r="C1317">
            <v>0</v>
          </cell>
          <cell r="D1317">
            <v>0</v>
          </cell>
          <cell r="E1317">
            <v>6</v>
          </cell>
          <cell r="F1317">
            <v>0</v>
          </cell>
          <cell r="H1317">
            <v>0</v>
          </cell>
          <cell r="O1317">
            <v>328717</v>
          </cell>
          <cell r="P1317" t="str">
            <v>2022/213-0010-01</v>
          </cell>
          <cell r="Q1317" t="str">
            <v>EST COMPONENTE PRATELEIRA ESTANTE VO (UNIAO) (LAM 2 NOG)</v>
          </cell>
          <cell r="R1317"/>
          <cell r="S1317"/>
          <cell r="T1317">
            <v>0.6</v>
          </cell>
          <cell r="U1317">
            <v>0.39</v>
          </cell>
          <cell r="V1317">
            <v>0.03</v>
          </cell>
          <cell r="W1317">
            <v>0</v>
          </cell>
          <cell r="X1317" t="str">
            <v>EST COMPONENTE PRATELEIRA ESTANTE VO (UNIAO) (LAM 2 NOG) - 0,6x0,39x0,03H</v>
          </cell>
          <cell r="Y1317">
            <v>2603.1</v>
          </cell>
          <cell r="Z1317">
            <v>0.35</v>
          </cell>
          <cell r="AA1317">
            <v>1692.0149999999999</v>
          </cell>
          <cell r="AB1317"/>
        </row>
        <row r="1318">
          <cell r="C1318">
            <v>0</v>
          </cell>
          <cell r="D1318">
            <v>0</v>
          </cell>
          <cell r="E1318">
            <v>6</v>
          </cell>
          <cell r="F1318">
            <v>0</v>
          </cell>
          <cell r="H1318">
            <v>0</v>
          </cell>
          <cell r="O1318">
            <v>328717</v>
          </cell>
          <cell r="P1318" t="str">
            <v>2022/213-0011-01</v>
          </cell>
          <cell r="Q1318" t="str">
            <v>EST COMPONENTE PRATELEIRA ESTANTE VO (UNIAO) (LAM 2 NOG)</v>
          </cell>
          <cell r="R1318"/>
          <cell r="S1318"/>
          <cell r="T1318">
            <v>0.6</v>
          </cell>
          <cell r="U1318">
            <v>0.39</v>
          </cell>
          <cell r="V1318">
            <v>0.03</v>
          </cell>
          <cell r="W1318">
            <v>0</v>
          </cell>
          <cell r="X1318" t="str">
            <v>EST COMPONENTE PRATELEIRA ESTANTE VO (UNIAO) (LAM 2 NOG) - 0,6x0,39x0,03H</v>
          </cell>
          <cell r="Y1318">
            <v>2603.1</v>
          </cell>
          <cell r="Z1318">
            <v>0.35</v>
          </cell>
          <cell r="AA1318">
            <v>1692.0149999999999</v>
          </cell>
          <cell r="AB1318"/>
        </row>
        <row r="1319">
          <cell r="C1319">
            <v>0</v>
          </cell>
          <cell r="D1319">
            <v>0</v>
          </cell>
          <cell r="E1319">
            <v>1</v>
          </cell>
          <cell r="F1319">
            <v>0</v>
          </cell>
          <cell r="H1319">
            <v>0</v>
          </cell>
          <cell r="O1319">
            <v>328740</v>
          </cell>
          <cell r="P1319" t="str">
            <v>2022/213-0013-01</v>
          </cell>
          <cell r="Q1319" t="str">
            <v>EST BUFFET CHUVA (CORPO/PT MTZ MARROM COB) (BS MARROM COB)</v>
          </cell>
          <cell r="R1319"/>
          <cell r="S1319"/>
          <cell r="T1319">
            <v>2.2400000000000002</v>
          </cell>
          <cell r="U1319">
            <v>0.5</v>
          </cell>
          <cell r="V1319">
            <v>0.75</v>
          </cell>
          <cell r="W1319">
            <v>0</v>
          </cell>
          <cell r="X1319" t="str">
            <v>EST BUFFET CHUVA (CORPO/PT MTZ MARROM COB) (BS MARROM COB) - 2,24x0,5x0,75H</v>
          </cell>
          <cell r="Y1319">
            <v>41784.096000000005</v>
          </cell>
          <cell r="Z1319">
            <v>0.35</v>
          </cell>
          <cell r="AA1319">
            <v>27159.662400000005</v>
          </cell>
          <cell r="AB1319"/>
        </row>
        <row r="1320">
          <cell r="C1320">
            <v>1</v>
          </cell>
          <cell r="D1320">
            <v>1</v>
          </cell>
          <cell r="E1320">
            <v>1</v>
          </cell>
          <cell r="F1320">
            <v>1</v>
          </cell>
          <cell r="H1320">
            <v>2</v>
          </cell>
          <cell r="O1320">
            <v>334164</v>
          </cell>
          <cell r="P1320" t="str">
            <v>2022/175-0008-01</v>
          </cell>
          <cell r="Q1320" t="str">
            <v>EST CADEIRA JULIETA (JEQ PECAN) (COURO PIGUIMENTADO AREIA)</v>
          </cell>
          <cell r="R1320"/>
          <cell r="S1320"/>
          <cell r="T1320">
            <v>0.6</v>
          </cell>
          <cell r="U1320">
            <v>0.54</v>
          </cell>
          <cell r="V1320">
            <v>0.71</v>
          </cell>
          <cell r="W1320">
            <v>0</v>
          </cell>
          <cell r="X1320" t="str">
            <v>EST CADEIRA JULIETA (JEQ PECAN) (COURO PIGUIMENTADO AREIA) - 0,6x0,54x0,71H</v>
          </cell>
          <cell r="Y1320">
            <v>9657.4</v>
          </cell>
          <cell r="Z1320">
            <v>0.35</v>
          </cell>
          <cell r="AA1320">
            <v>6277.3099999999995</v>
          </cell>
          <cell r="AB1320"/>
        </row>
        <row r="1321">
          <cell r="C1321">
            <v>0</v>
          </cell>
          <cell r="D1321">
            <v>0</v>
          </cell>
          <cell r="E1321">
            <v>1</v>
          </cell>
          <cell r="F1321">
            <v>0</v>
          </cell>
          <cell r="H1321">
            <v>0</v>
          </cell>
          <cell r="O1321">
            <v>337718</v>
          </cell>
          <cell r="P1321" t="str">
            <v>2022/221-0019-01</v>
          </cell>
          <cell r="Q1321" t="str">
            <v>EST ESTANTE BURLE (MTZ MARROM COBRE) (LAM 2 PRAT CANELA)</v>
          </cell>
          <cell r="R1321"/>
          <cell r="S1321"/>
          <cell r="T1321">
            <v>1.3</v>
          </cell>
          <cell r="U1321">
            <v>0.45</v>
          </cell>
          <cell r="V1321">
            <v>1.83</v>
          </cell>
          <cell r="W1321">
            <v>0</v>
          </cell>
          <cell r="X1321" t="str">
            <v>EST ESTANTE BURLE (MTZ MARROM COBRE) (LAM 2 PRAT CANELA) - 1,3x0,45x1,83H</v>
          </cell>
          <cell r="Y1321">
            <v>44856.36</v>
          </cell>
          <cell r="Z1321">
            <v>0.35</v>
          </cell>
          <cell r="AA1321">
            <v>29156.634000000002</v>
          </cell>
          <cell r="AB1321"/>
        </row>
        <row r="1322">
          <cell r="C1322">
            <v>0</v>
          </cell>
          <cell r="D1322">
            <v>1</v>
          </cell>
          <cell r="E1322">
            <v>1</v>
          </cell>
          <cell r="F1322">
            <v>0</v>
          </cell>
          <cell r="H1322">
            <v>0</v>
          </cell>
          <cell r="O1322">
            <v>379648</v>
          </cell>
          <cell r="P1322" t="str">
            <v>2024/081-0060-01</v>
          </cell>
          <cell r="Q1322" t="str">
            <v>EST POLTRONA PATER (JEQUITIBA) COURO 1 CAMEL/ALMOF FX6649</v>
          </cell>
          <cell r="R1322"/>
          <cell r="S1322"/>
          <cell r="T1322">
            <v>0.82</v>
          </cell>
          <cell r="U1322">
            <v>0.94</v>
          </cell>
          <cell r="V1322">
            <v>0.83</v>
          </cell>
          <cell r="W1322">
            <v>0</v>
          </cell>
          <cell r="X1322" t="str">
            <v>EST POLTRONA PATER (JEQUITIBA) COURO 1 CAMEL/ALMOF FX6649 - 0,82x0,94x0,83H</v>
          </cell>
          <cell r="Y1322">
            <v>32716.68</v>
          </cell>
          <cell r="Z1322">
            <v>0.35</v>
          </cell>
          <cell r="AA1322">
            <v>21265.842000000001</v>
          </cell>
          <cell r="AB1322"/>
        </row>
        <row r="1323">
          <cell r="C1323">
            <v>0</v>
          </cell>
          <cell r="D1323">
            <v>1</v>
          </cell>
          <cell r="E1323">
            <v>1</v>
          </cell>
          <cell r="F1323">
            <v>0</v>
          </cell>
          <cell r="H1323">
            <v>0</v>
          </cell>
          <cell r="O1323">
            <v>379649</v>
          </cell>
          <cell r="P1323" t="str">
            <v>2024/081-0061-01</v>
          </cell>
          <cell r="Q1323" t="str">
            <v>EST BANQUETA PATER (JEQUITIBA) COURO 1 CAMEL/ALMOF FX6649</v>
          </cell>
          <cell r="R1323"/>
          <cell r="S1323"/>
          <cell r="T1323">
            <v>0.66</v>
          </cell>
          <cell r="U1323">
            <v>0.51</v>
          </cell>
          <cell r="V1323">
            <v>0.47</v>
          </cell>
          <cell r="W1323">
            <v>0</v>
          </cell>
          <cell r="X1323" t="str">
            <v>EST BANQUETA PATER (JEQUITIBA) COURO 1 CAMEL/ALMOF FX6649 - 0,66x0,51x0,47H</v>
          </cell>
          <cell r="Y1323">
            <v>14786.6</v>
          </cell>
          <cell r="Z1323">
            <v>0.35</v>
          </cell>
          <cell r="AA1323">
            <v>9611.2900000000009</v>
          </cell>
          <cell r="AB1323"/>
        </row>
        <row r="1324">
          <cell r="C1324">
            <v>0</v>
          </cell>
          <cell r="D1324">
            <v>0</v>
          </cell>
          <cell r="E1324">
            <v>1</v>
          </cell>
          <cell r="F1324">
            <v>0</v>
          </cell>
          <cell r="H1324">
            <v>0</v>
          </cell>
          <cell r="O1324">
            <v>390792</v>
          </cell>
          <cell r="P1324" t="str">
            <v>2024/226-0034-01</v>
          </cell>
          <cell r="Q1324" t="str">
            <v>EST MESA LATERAL EXOTICA H50 (MARM 3 JADORE) MTX CINZA F MED</v>
          </cell>
          <cell r="R1324"/>
          <cell r="S1324"/>
          <cell r="T1324">
            <v>0.25</v>
          </cell>
          <cell r="U1324">
            <v>0</v>
          </cell>
          <cell r="V1324">
            <v>0.5</v>
          </cell>
          <cell r="W1324">
            <v>0.25</v>
          </cell>
          <cell r="X1324" t="str">
            <v>EST MESA LATERAL EXOTICA H50 (MARM 3 JADORE) MTX CINZA F MED - Ø0,25x0,5H</v>
          </cell>
          <cell r="Y1324">
            <v>8902.9699999999993</v>
          </cell>
          <cell r="Z1324">
            <v>0.35</v>
          </cell>
          <cell r="AA1324">
            <v>5786.9305000000004</v>
          </cell>
          <cell r="AB1324"/>
        </row>
        <row r="1325">
          <cell r="C1325">
            <v>0</v>
          </cell>
          <cell r="D1325">
            <v>0</v>
          </cell>
          <cell r="E1325">
            <v>1</v>
          </cell>
          <cell r="F1325">
            <v>0</v>
          </cell>
          <cell r="H1325">
            <v>0</v>
          </cell>
          <cell r="O1325">
            <v>394909</v>
          </cell>
          <cell r="P1325" t="str">
            <v>2025/014-0043-01</v>
          </cell>
          <cell r="Q1325" t="str">
            <v>EST POLTRONA COCON (GIR) (ENC FX G7126) (FX G7126)</v>
          </cell>
          <cell r="R1325"/>
          <cell r="S1325"/>
          <cell r="T1325">
            <v>0.95</v>
          </cell>
          <cell r="U1325">
            <v>0.9</v>
          </cell>
          <cell r="V1325">
            <v>0.74</v>
          </cell>
          <cell r="W1325">
            <v>0</v>
          </cell>
          <cell r="X1325" t="str">
            <v>EST POLTRONA COCON (GIR) (ENC FX G7126) (FX G7126) - 0,95x0,9x0,74H</v>
          </cell>
          <cell r="Y1325">
            <v>10886.62</v>
          </cell>
          <cell r="Z1325">
            <v>0.35</v>
          </cell>
          <cell r="AA1325">
            <v>7076.3030000000008</v>
          </cell>
          <cell r="AB1325"/>
        </row>
        <row r="1326">
          <cell r="C1326">
            <v>0</v>
          </cell>
          <cell r="D1326">
            <v>0</v>
          </cell>
          <cell r="E1326">
            <v>1</v>
          </cell>
          <cell r="F1326">
            <v>0</v>
          </cell>
          <cell r="H1326">
            <v>0</v>
          </cell>
          <cell r="O1326">
            <v>394909</v>
          </cell>
          <cell r="P1326" t="str">
            <v>2025/014-0044-01</v>
          </cell>
          <cell r="Q1326" t="str">
            <v>EST POLTRONA COCON (GIR) (ENC FX G7126) (FX G7126)</v>
          </cell>
          <cell r="R1326"/>
          <cell r="S1326"/>
          <cell r="T1326">
            <v>0.95</v>
          </cell>
          <cell r="U1326">
            <v>0.9</v>
          </cell>
          <cell r="V1326">
            <v>0.74</v>
          </cell>
          <cell r="W1326">
            <v>0</v>
          </cell>
          <cell r="X1326" t="str">
            <v>EST POLTRONA COCON (GIR) (ENC FX G7126) (FX G7126) - 0,95x0,9x0,74H</v>
          </cell>
          <cell r="Y1326">
            <v>10886.62</v>
          </cell>
          <cell r="Z1326">
            <v>0.35</v>
          </cell>
          <cell r="AA1326">
            <v>7076.3030000000008</v>
          </cell>
          <cell r="AB1326"/>
        </row>
        <row r="1327">
          <cell r="C1327">
            <v>0</v>
          </cell>
          <cell r="D1327">
            <v>0</v>
          </cell>
          <cell r="E1327">
            <v>1</v>
          </cell>
          <cell r="F1327">
            <v>0</v>
          </cell>
          <cell r="H1327">
            <v>1</v>
          </cell>
          <cell r="O1327">
            <v>394921</v>
          </cell>
          <cell r="P1327" t="str">
            <v>2025/014-0037-01</v>
          </cell>
          <cell r="Q1327" t="str">
            <v>EST CADEIRA DESIREE (GIR) (ENC FX D4236) (FX D4236)</v>
          </cell>
          <cell r="R1327"/>
          <cell r="S1327"/>
          <cell r="T1327">
            <v>0.66</v>
          </cell>
          <cell r="U1327">
            <v>0.62</v>
          </cell>
          <cell r="V1327">
            <v>0.81</v>
          </cell>
          <cell r="W1327">
            <v>0</v>
          </cell>
          <cell r="X1327" t="str">
            <v>EST CADEIRA DESIREE (GIR) (ENC FX D4236) (FX D4236) - 0,66x0,62x0,81H</v>
          </cell>
          <cell r="Y1327">
            <v>8114.22</v>
          </cell>
          <cell r="Z1327">
            <v>0.35</v>
          </cell>
          <cell r="AA1327">
            <v>5274.2430000000004</v>
          </cell>
          <cell r="AB1327"/>
        </row>
        <row r="1328">
          <cell r="C1328">
            <v>0</v>
          </cell>
          <cell r="D1328">
            <v>0</v>
          </cell>
          <cell r="E1328">
            <v>1</v>
          </cell>
          <cell r="F1328">
            <v>0</v>
          </cell>
          <cell r="H1328">
            <v>1</v>
          </cell>
          <cell r="O1328">
            <v>394921</v>
          </cell>
          <cell r="P1328" t="str">
            <v>2025/014-0038-01</v>
          </cell>
          <cell r="Q1328" t="str">
            <v>EST CADEIRA DESIREE (GIR) (ENC FX D4236) (FX D4236)</v>
          </cell>
          <cell r="R1328"/>
          <cell r="S1328"/>
          <cell r="T1328">
            <v>0.66</v>
          </cell>
          <cell r="U1328">
            <v>0.62</v>
          </cell>
          <cell r="V1328">
            <v>0.81</v>
          </cell>
          <cell r="W1328">
            <v>0</v>
          </cell>
          <cell r="X1328" t="str">
            <v>EST CADEIRA DESIREE (GIR) (ENC FX D4236) (FX D4236) - 0,66x0,62x0,81H</v>
          </cell>
          <cell r="Y1328">
            <v>8114.22</v>
          </cell>
          <cell r="Z1328">
            <v>0.35</v>
          </cell>
          <cell r="AA1328">
            <v>5274.2430000000004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H1329">
            <v>0</v>
          </cell>
          <cell r="O1329">
            <v>394925</v>
          </cell>
          <cell r="P1329" t="str">
            <v>2025/069-0082-01</v>
          </cell>
          <cell r="Q1329" t="str">
            <v>EST MESA CENTRO ESSENCE OBLONGO (MTZ CAPUCCINO) CLEAR/NUVOLA</v>
          </cell>
          <cell r="R1329"/>
          <cell r="S1329"/>
          <cell r="T1329">
            <v>1.28</v>
          </cell>
          <cell r="U1329">
            <v>1</v>
          </cell>
          <cell r="V1329">
            <v>0.3</v>
          </cell>
          <cell r="W1329">
            <v>0</v>
          </cell>
          <cell r="X1329" t="str">
            <v>EST MESA CENTRO ESSENCE OBLONGO (MTZ CAPUCCINO) CLEAR/NUVOLA - 1,28x1x0,3H</v>
          </cell>
          <cell r="Y1329">
            <v>29859.96</v>
          </cell>
          <cell r="Z1329">
            <v>0.35</v>
          </cell>
          <cell r="AA1329">
            <v>19408.974000000002</v>
          </cell>
          <cell r="AB1329"/>
        </row>
        <row r="1330">
          <cell r="C1330">
            <v>0</v>
          </cell>
          <cell r="D1330">
            <v>0</v>
          </cell>
          <cell r="E1330">
            <v>1</v>
          </cell>
          <cell r="F1330">
            <v>0</v>
          </cell>
          <cell r="H1330">
            <v>0</v>
          </cell>
          <cell r="O1330">
            <v>404834</v>
          </cell>
          <cell r="P1330" t="str">
            <v>2025/129-0038-01</v>
          </cell>
          <cell r="Q1330" t="str">
            <v>EST TAPETE SISAL CY (BARRA VIRADA)</v>
          </cell>
          <cell r="R1330"/>
          <cell r="S1330"/>
          <cell r="T1330">
            <v>4</v>
          </cell>
          <cell r="U1330">
            <v>0</v>
          </cell>
          <cell r="V1330">
            <v>0</v>
          </cell>
          <cell r="W1330">
            <v>4</v>
          </cell>
          <cell r="X1330" t="str">
            <v>EST TAPETE SISAL CY (BARRA VIRADA) - Ø4x0H</v>
          </cell>
          <cell r="Y1330">
            <v>8951.49</v>
          </cell>
          <cell r="Z1330">
            <v>0.35</v>
          </cell>
          <cell r="AA1330">
            <v>5818.4684999999999</v>
          </cell>
          <cell r="AB1330"/>
        </row>
        <row r="1331">
          <cell r="C1331">
            <v>0</v>
          </cell>
          <cell r="D1331">
            <v>0</v>
          </cell>
          <cell r="E1331">
            <v>1</v>
          </cell>
          <cell r="F1331">
            <v>0</v>
          </cell>
          <cell r="H1331">
            <v>0</v>
          </cell>
          <cell r="O1331">
            <v>404835</v>
          </cell>
          <cell r="P1331" t="str">
            <v>2025/129-0039-01</v>
          </cell>
          <cell r="Q1331" t="str">
            <v>EST TAPETE SISAL CD (BARRA VIRADA)</v>
          </cell>
          <cell r="R1331"/>
          <cell r="S1331"/>
          <cell r="T1331">
            <v>5</v>
          </cell>
          <cell r="U1331">
            <v>3.5</v>
          </cell>
          <cell r="V1331">
            <v>0</v>
          </cell>
          <cell r="W1331">
            <v>0</v>
          </cell>
          <cell r="X1331" t="str">
            <v>EST TAPETE SISAL CD (BARRA VIRADA) - 5x3,5x0H</v>
          </cell>
          <cell r="Y1331">
            <v>10836.76</v>
          </cell>
          <cell r="Z1331">
            <v>0.35</v>
          </cell>
          <cell r="AA1331">
            <v>7043.8940000000002</v>
          </cell>
          <cell r="AB1331"/>
        </row>
        <row r="1332">
          <cell r="C1332">
            <v>0</v>
          </cell>
          <cell r="D1332">
            <v>0</v>
          </cell>
          <cell r="E1332">
            <v>1</v>
          </cell>
          <cell r="F1332">
            <v>0</v>
          </cell>
          <cell r="H1332">
            <v>0</v>
          </cell>
          <cell r="O1332">
            <v>302844</v>
          </cell>
          <cell r="P1332" t="str">
            <v>2022/034-0016-01</v>
          </cell>
          <cell r="Q1332" t="str">
            <v>EST BANDEJA RITMO Ø55 (MARMORE 1 MAORI)</v>
          </cell>
          <cell r="R1332"/>
          <cell r="S1332"/>
          <cell r="T1332">
            <v>0.55000000000000004</v>
          </cell>
          <cell r="U1332">
            <v>0</v>
          </cell>
          <cell r="V1332">
            <v>0.02</v>
          </cell>
          <cell r="W1332">
            <v>0.55000000000000004</v>
          </cell>
          <cell r="X1332" t="str">
            <v>EST BANDEJA RITMO Ø55 (MARMORE 1 MAORI) - Ø0,55x0,02H</v>
          </cell>
          <cell r="Y1332">
            <v>8586.23</v>
          </cell>
          <cell r="Z1332">
            <v>0.5</v>
          </cell>
          <cell r="AA1332">
            <v>4293.1149999999998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1</v>
          </cell>
          <cell r="H1333">
            <v>0</v>
          </cell>
          <cell r="O1333">
            <v>328741</v>
          </cell>
          <cell r="P1333" t="str">
            <v>2022/153-0046-01</v>
          </cell>
          <cell r="Q1333" t="str">
            <v>EST MODULO ENCOSTO (L) LENCOIS M (DET BG4) (FX8173)</v>
          </cell>
          <cell r="R1333"/>
          <cell r="S1333"/>
          <cell r="T1333">
            <v>1.1000000000000001</v>
          </cell>
          <cell r="U1333">
            <v>0.8</v>
          </cell>
          <cell r="V1333">
            <v>0.26</v>
          </cell>
          <cell r="W1333">
            <v>0</v>
          </cell>
          <cell r="X1333" t="str">
            <v>EST MODULO ENCOSTO (L) LENCOIS M (DET BG4) (FX8173) - 1,1x0,8x0,26H</v>
          </cell>
          <cell r="Y1333">
            <v>7282.37</v>
          </cell>
          <cell r="Z1333">
            <v>0.35</v>
          </cell>
          <cell r="AA1333">
            <v>4733.5405000000001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328742</v>
          </cell>
          <cell r="P1334" t="str">
            <v>2022/153-0047-01</v>
          </cell>
          <cell r="Q1334" t="str">
            <v>EST MODULO ENCOSTO RETO LENCOIS M (DET BG4) (FX8173)</v>
          </cell>
          <cell r="R1334"/>
          <cell r="S1334"/>
          <cell r="T1334">
            <v>1.1000000000000001</v>
          </cell>
          <cell r="U1334">
            <v>0.26</v>
          </cell>
          <cell r="V1334">
            <v>0.26</v>
          </cell>
          <cell r="W1334">
            <v>0</v>
          </cell>
          <cell r="X1334" t="str">
            <v>EST MODULO ENCOSTO RETO LENCOIS M (DET BG4) (FX8173) - 1,1x0,26x0,26H</v>
          </cell>
          <cell r="Y1334">
            <v>4711.03</v>
          </cell>
          <cell r="Z1334">
            <v>0.35</v>
          </cell>
          <cell r="AA1334">
            <v>3062.1695</v>
          </cell>
          <cell r="AB1334"/>
        </row>
        <row r="1335">
          <cell r="C1335">
            <v>0</v>
          </cell>
          <cell r="D1335">
            <v>0</v>
          </cell>
          <cell r="E1335">
            <v>0</v>
          </cell>
          <cell r="F1335">
            <v>2</v>
          </cell>
          <cell r="H1335">
            <v>0</v>
          </cell>
          <cell r="O1335">
            <v>328742</v>
          </cell>
          <cell r="P1335" t="str">
            <v>2022/153-0048-01</v>
          </cell>
          <cell r="Q1335" t="str">
            <v>EST MODULO ENCOSTO RETO LENCOIS M (DET BG4) (FX8173)</v>
          </cell>
          <cell r="R1335"/>
          <cell r="S1335"/>
          <cell r="T1335">
            <v>1.1000000000000001</v>
          </cell>
          <cell r="U1335">
            <v>0.26</v>
          </cell>
          <cell r="V1335">
            <v>0.26</v>
          </cell>
          <cell r="W1335">
            <v>0</v>
          </cell>
          <cell r="X1335" t="str">
            <v>EST MODULO ENCOSTO RETO LENCOIS M (DET BG4) (FX8173) - 1,1x0,26x0,26H</v>
          </cell>
          <cell r="Y1335">
            <v>4711.03</v>
          </cell>
          <cell r="Z1335">
            <v>0.35</v>
          </cell>
          <cell r="AA1335">
            <v>3062.1695</v>
          </cell>
          <cell r="AB1335"/>
        </row>
        <row r="1336">
          <cell r="C1336">
            <v>0</v>
          </cell>
          <cell r="D1336">
            <v>0</v>
          </cell>
          <cell r="E1336">
            <v>0</v>
          </cell>
          <cell r="F1336">
            <v>3</v>
          </cell>
          <cell r="H1336">
            <v>0</v>
          </cell>
          <cell r="O1336">
            <v>328743</v>
          </cell>
          <cell r="P1336" t="str">
            <v>2022/153-0049-01</v>
          </cell>
          <cell r="Q1336" t="str">
            <v>EST MODULO ENCOSTO RETO LENCOIS M (DET BG4) (FX8173)</v>
          </cell>
          <cell r="R1336"/>
          <cell r="S1336"/>
          <cell r="T1336">
            <v>0.7</v>
          </cell>
          <cell r="U1336">
            <v>0.26</v>
          </cell>
          <cell r="V1336">
            <v>0.26</v>
          </cell>
          <cell r="W1336">
            <v>0</v>
          </cell>
          <cell r="X1336" t="str">
            <v>EST MODULO ENCOSTO RETO LENCOIS M (DET BG4) (FX8173) - 0,7x0,26x0,26H</v>
          </cell>
          <cell r="Y1336">
            <v>3650.57</v>
          </cell>
          <cell r="Z1336">
            <v>0.35</v>
          </cell>
          <cell r="AA1336">
            <v>2372.8705</v>
          </cell>
          <cell r="AB1336"/>
        </row>
        <row r="1337">
          <cell r="C1337">
            <v>0</v>
          </cell>
          <cell r="D1337">
            <v>0</v>
          </cell>
          <cell r="E1337">
            <v>0</v>
          </cell>
          <cell r="F1337">
            <v>3</v>
          </cell>
          <cell r="H1337">
            <v>0</v>
          </cell>
          <cell r="O1337">
            <v>328743</v>
          </cell>
          <cell r="P1337" t="str">
            <v>2022/153-0050-01</v>
          </cell>
          <cell r="Q1337" t="str">
            <v>EST MODULO ENCOSTO RETO LENCOIS M (DET BG4) (FX8173)</v>
          </cell>
          <cell r="R1337"/>
          <cell r="S1337"/>
          <cell r="T1337">
            <v>0.7</v>
          </cell>
          <cell r="U1337">
            <v>0.26</v>
          </cell>
          <cell r="V1337">
            <v>0.26</v>
          </cell>
          <cell r="W1337">
            <v>0</v>
          </cell>
          <cell r="X1337" t="str">
            <v>EST MODULO ENCOSTO RETO LENCOIS M (DET BG4) (FX8173) - 0,7x0,26x0,26H</v>
          </cell>
          <cell r="Y1337">
            <v>3650.57</v>
          </cell>
          <cell r="Z1337">
            <v>0.35</v>
          </cell>
          <cell r="AA1337">
            <v>2372.8705</v>
          </cell>
          <cell r="AB1337"/>
        </row>
        <row r="1338">
          <cell r="C1338">
            <v>0</v>
          </cell>
          <cell r="D1338">
            <v>0</v>
          </cell>
          <cell r="E1338">
            <v>0</v>
          </cell>
          <cell r="F1338">
            <v>3</v>
          </cell>
          <cell r="H1338">
            <v>0</v>
          </cell>
          <cell r="O1338">
            <v>328743</v>
          </cell>
          <cell r="P1338" t="str">
            <v>2022/153-0051-01</v>
          </cell>
          <cell r="Q1338" t="str">
            <v>EST MODULO ENCOSTO RETO LENCOIS M (DET BG4) (FX8173)</v>
          </cell>
          <cell r="R1338"/>
          <cell r="S1338"/>
          <cell r="T1338">
            <v>0.7</v>
          </cell>
          <cell r="U1338">
            <v>0.26</v>
          </cell>
          <cell r="V1338">
            <v>0.26</v>
          </cell>
          <cell r="W1338">
            <v>0</v>
          </cell>
          <cell r="X1338" t="str">
            <v>EST MODULO ENCOSTO RETO LENCOIS M (DET BG4) (FX8173) - 0,7x0,26x0,26H</v>
          </cell>
          <cell r="Y1338">
            <v>3650.57</v>
          </cell>
          <cell r="Z1338">
            <v>0.35</v>
          </cell>
          <cell r="AA1338">
            <v>2372.8705</v>
          </cell>
          <cell r="AB1338"/>
        </row>
        <row r="1339">
          <cell r="C1339">
            <v>0</v>
          </cell>
          <cell r="D1339">
            <v>0</v>
          </cell>
          <cell r="E1339">
            <v>0</v>
          </cell>
          <cell r="F1339">
            <v>1</v>
          </cell>
          <cell r="H1339">
            <v>0</v>
          </cell>
          <cell r="O1339">
            <v>328745</v>
          </cell>
          <cell r="P1339" t="str">
            <v>2022/153-0052-01</v>
          </cell>
          <cell r="Q1339" t="str">
            <v>EST MODULO PUFF LENCOIS M (RVST BG4) (FX8173)</v>
          </cell>
          <cell r="R1339"/>
          <cell r="S1339"/>
          <cell r="T1339">
            <v>2.4</v>
          </cell>
          <cell r="U1339">
            <v>1</v>
          </cell>
          <cell r="V1339">
            <v>0.38</v>
          </cell>
          <cell r="W1339">
            <v>0</v>
          </cell>
          <cell r="X1339" t="str">
            <v>EST MODULO PUFF LENCOIS M (RVST BG4) (FX8173) - 2,4x1x0,38H</v>
          </cell>
          <cell r="Y1339">
            <v>18482.73</v>
          </cell>
          <cell r="Z1339">
            <v>0.35</v>
          </cell>
          <cell r="AA1339">
            <v>12013.7745</v>
          </cell>
          <cell r="AB1339"/>
        </row>
        <row r="1340">
          <cell r="C1340">
            <v>0</v>
          </cell>
          <cell r="D1340">
            <v>0</v>
          </cell>
          <cell r="E1340">
            <v>0</v>
          </cell>
          <cell r="F1340">
            <v>1</v>
          </cell>
          <cell r="H1340">
            <v>0</v>
          </cell>
          <cell r="O1340">
            <v>328746</v>
          </cell>
          <cell r="P1340" t="str">
            <v>2022/153-0053-01</v>
          </cell>
          <cell r="Q1340" t="str">
            <v>EST MODULO PUFF CHAISE LENCOIS M (RVST BG4) (FX8173)</v>
          </cell>
          <cell r="R1340"/>
          <cell r="S1340"/>
          <cell r="T1340">
            <v>2.4</v>
          </cell>
          <cell r="U1340">
            <v>1.55</v>
          </cell>
          <cell r="V1340">
            <v>0.38</v>
          </cell>
          <cell r="W1340">
            <v>0</v>
          </cell>
          <cell r="X1340" t="str">
            <v>EST MODULO PUFF CHAISE LENCOIS M (RVST BG4) (FX8173) - 2,4x1,55x0,38H</v>
          </cell>
          <cell r="Y1340">
            <v>27360.44</v>
          </cell>
          <cell r="Z1340">
            <v>0.35</v>
          </cell>
          <cell r="AA1340">
            <v>17784.286</v>
          </cell>
          <cell r="AB1340"/>
        </row>
        <row r="1341">
          <cell r="C1341">
            <v>0</v>
          </cell>
          <cell r="D1341">
            <v>0</v>
          </cell>
          <cell r="E1341">
            <v>0</v>
          </cell>
          <cell r="F1341">
            <v>1</v>
          </cell>
          <cell r="H1341">
            <v>0</v>
          </cell>
          <cell r="O1341">
            <v>328890</v>
          </cell>
          <cell r="P1341" t="str">
            <v>2022/153-0054-01</v>
          </cell>
          <cell r="Q1341" t="str">
            <v>EST MODULO PUFF CANTO 90 LENCOIS M (RVST BG4) (FX8173)</v>
          </cell>
          <cell r="R1341"/>
          <cell r="S1341"/>
          <cell r="T1341">
            <v>1</v>
          </cell>
          <cell r="U1341">
            <v>1</v>
          </cell>
          <cell r="V1341">
            <v>0.38</v>
          </cell>
          <cell r="W1341">
            <v>0</v>
          </cell>
          <cell r="X1341" t="str">
            <v>EST MODULO PUFF CANTO 90 LENCOIS M (RVST BG4) (FX8173) - 1x1x0,38H</v>
          </cell>
          <cell r="Y1341">
            <v>11125.27</v>
          </cell>
          <cell r="Z1341">
            <v>0.35</v>
          </cell>
          <cell r="AA1341">
            <v>7231.4255000000012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1</v>
          </cell>
          <cell r="H1342">
            <v>0</v>
          </cell>
          <cell r="O1342">
            <v>334195</v>
          </cell>
          <cell r="P1342" t="str">
            <v>2022/221-0013-01</v>
          </cell>
          <cell r="Q1342" t="str">
            <v>EST MESA CENTRO CRUX (RED MST) (MARM 4 NERO/NOG) (BS PTO)</v>
          </cell>
          <cell r="R1342"/>
          <cell r="S1342"/>
          <cell r="T1342">
            <v>1.6</v>
          </cell>
          <cell r="U1342">
            <v>1</v>
          </cell>
          <cell r="V1342">
            <v>0.35</v>
          </cell>
          <cell r="W1342">
            <v>0</v>
          </cell>
          <cell r="X1342" t="str">
            <v>EST MESA CENTRO CRUX (RED MST) (MARM 4 NERO/NOG) (BS PTO) - 1,6x1x0,35H</v>
          </cell>
          <cell r="Y1342">
            <v>40704.79</v>
          </cell>
          <cell r="Z1342">
            <v>0.35</v>
          </cell>
          <cell r="AA1342">
            <v>26458.113499999999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1</v>
          </cell>
          <cell r="H1343">
            <v>0</v>
          </cell>
          <cell r="O1343">
            <v>334263</v>
          </cell>
          <cell r="P1343" t="str">
            <v>2022/221-0015-01</v>
          </cell>
          <cell r="Q1343" t="str">
            <v>EST MESA LATERAL METAIS H49 (MTZ ONIX COBREADO)</v>
          </cell>
          <cell r="R1343"/>
          <cell r="S1343"/>
          <cell r="T1343">
            <v>0.25</v>
          </cell>
          <cell r="U1343">
            <v>0</v>
          </cell>
          <cell r="V1343">
            <v>0.49</v>
          </cell>
          <cell r="W1343">
            <v>0.25</v>
          </cell>
          <cell r="X1343" t="str">
            <v>EST MESA LATERAL METAIS H49 (MTZ ONIX COBREADO) - Ø0,25x0,49H</v>
          </cell>
          <cell r="Y1343">
            <v>7170.91</v>
          </cell>
          <cell r="Z1343">
            <v>0.35</v>
          </cell>
          <cell r="AA1343">
            <v>4661.0915000000005</v>
          </cell>
          <cell r="AB1343"/>
        </row>
        <row r="1344">
          <cell r="C1344">
            <v>0</v>
          </cell>
          <cell r="D1344">
            <v>0</v>
          </cell>
          <cell r="E1344">
            <v>0</v>
          </cell>
          <cell r="F1344">
            <v>1</v>
          </cell>
          <cell r="H1344">
            <v>0</v>
          </cell>
          <cell r="O1344">
            <v>334264</v>
          </cell>
          <cell r="P1344" t="str">
            <v>2022/221-0016-01</v>
          </cell>
          <cell r="Q1344" t="str">
            <v>EST MESA LATERAL METAIS H53 (MTZ ACIZENTADO)</v>
          </cell>
          <cell r="R1344"/>
          <cell r="S1344"/>
          <cell r="T1344">
            <v>0.35</v>
          </cell>
          <cell r="U1344">
            <v>0</v>
          </cell>
          <cell r="V1344">
            <v>0.53</v>
          </cell>
          <cell r="W1344">
            <v>0.35</v>
          </cell>
          <cell r="X1344" t="str">
            <v>EST MESA LATERAL METAIS H53 (MTZ ACIZENTADO) - Ø0,35x0,53H</v>
          </cell>
          <cell r="Y1344">
            <v>7898.37</v>
          </cell>
          <cell r="Z1344">
            <v>0.35</v>
          </cell>
          <cell r="AA1344">
            <v>5133.9405000000006</v>
          </cell>
          <cell r="AB1344"/>
        </row>
        <row r="1345">
          <cell r="C1345">
            <v>0</v>
          </cell>
          <cell r="D1345">
            <v>0</v>
          </cell>
          <cell r="E1345">
            <v>0</v>
          </cell>
          <cell r="F1345">
            <v>1</v>
          </cell>
          <cell r="H1345">
            <v>0</v>
          </cell>
          <cell r="O1345">
            <v>334265</v>
          </cell>
          <cell r="P1345" t="str">
            <v>2022/221-0017-01</v>
          </cell>
          <cell r="Q1345" t="str">
            <v>EST MESA LATERAL METAIS H57 (MTZ ACIZENTADO)</v>
          </cell>
          <cell r="R1345"/>
          <cell r="S1345"/>
          <cell r="T1345">
            <v>0.25</v>
          </cell>
          <cell r="U1345">
            <v>0</v>
          </cell>
          <cell r="V1345">
            <v>0.56999999999999995</v>
          </cell>
          <cell r="W1345">
            <v>0.25</v>
          </cell>
          <cell r="X1345" t="str">
            <v>EST MESA LATERAL METAIS H57 (MTZ ACIZENTADO) - Ø0,25x0,57H</v>
          </cell>
          <cell r="Y1345">
            <v>7170.91</v>
          </cell>
          <cell r="Z1345">
            <v>0.35</v>
          </cell>
          <cell r="AA1345">
            <v>4661.0915000000005</v>
          </cell>
          <cell r="AB1345"/>
        </row>
        <row r="1346">
          <cell r="C1346">
            <v>0</v>
          </cell>
          <cell r="D1346">
            <v>0</v>
          </cell>
          <cell r="E1346">
            <v>0</v>
          </cell>
          <cell r="F1346">
            <v>1</v>
          </cell>
          <cell r="H1346">
            <v>0</v>
          </cell>
          <cell r="O1346">
            <v>334267</v>
          </cell>
          <cell r="P1346" t="str">
            <v>2022/221-0018-01</v>
          </cell>
          <cell r="Q1346" t="str">
            <v>EST MESA LATERAL METAIS H57 (MTZ ONIX COBREADO)</v>
          </cell>
          <cell r="R1346"/>
          <cell r="S1346"/>
          <cell r="T1346">
            <v>0.35</v>
          </cell>
          <cell r="U1346">
            <v>0</v>
          </cell>
          <cell r="V1346">
            <v>0.56999999999999995</v>
          </cell>
          <cell r="W1346">
            <v>0.35</v>
          </cell>
          <cell r="X1346" t="str">
            <v>EST MESA LATERAL METAIS H57 (MTZ ONIX COBREADO) - Ø0,35x0,57H</v>
          </cell>
          <cell r="Y1346">
            <v>7898.37</v>
          </cell>
          <cell r="Z1346">
            <v>0.35</v>
          </cell>
          <cell r="AA1346">
            <v>5133.9405000000006</v>
          </cell>
          <cell r="AB1346"/>
        </row>
        <row r="1347">
          <cell r="C1347">
            <v>0</v>
          </cell>
          <cell r="D1347">
            <v>0</v>
          </cell>
          <cell r="E1347">
            <v>0</v>
          </cell>
          <cell r="F1347">
            <v>1</v>
          </cell>
          <cell r="H1347">
            <v>0</v>
          </cell>
          <cell r="O1347">
            <v>334269</v>
          </cell>
          <cell r="P1347" t="str">
            <v>2022/213-0036-01</v>
          </cell>
          <cell r="Q1347" t="str">
            <v>EST BUFFET CHUVA (CORPO/PT MTZ COBRE ESC) (BS MTZ COBRE ESC)</v>
          </cell>
          <cell r="R1347"/>
          <cell r="S1347"/>
          <cell r="T1347">
            <v>2.2400000000000002</v>
          </cell>
          <cell r="U1347">
            <v>0.5</v>
          </cell>
          <cell r="V1347">
            <v>0.75</v>
          </cell>
          <cell r="W1347">
            <v>0</v>
          </cell>
          <cell r="X1347" t="str">
            <v>EST BUFFET CHUVA (CORPO/PT MTZ COBRE ESC) (BS MTZ COBRE ESC) - 2,24x0,5x0,75H</v>
          </cell>
          <cell r="Y1347">
            <v>41784.096000000005</v>
          </cell>
          <cell r="Z1347">
            <v>0.35</v>
          </cell>
          <cell r="AA1347">
            <v>27159.662400000005</v>
          </cell>
          <cell r="AB1347"/>
        </row>
        <row r="1348">
          <cell r="C1348">
            <v>0</v>
          </cell>
          <cell r="D1348">
            <v>0</v>
          </cell>
          <cell r="E1348">
            <v>0</v>
          </cell>
          <cell r="F1348">
            <v>1</v>
          </cell>
          <cell r="H1348">
            <v>0</v>
          </cell>
          <cell r="O1348">
            <v>334451</v>
          </cell>
          <cell r="P1348" t="str">
            <v>2022/222-0016-01</v>
          </cell>
          <cell r="Q1348" t="str">
            <v>EST MESA LATERAL METAIS H49 (MTZ MARROM CLARO COBREADO)</v>
          </cell>
          <cell r="R1348"/>
          <cell r="S1348"/>
          <cell r="T1348">
            <v>0.35</v>
          </cell>
          <cell r="U1348">
            <v>0</v>
          </cell>
          <cell r="V1348">
            <v>0.49</v>
          </cell>
          <cell r="W1348">
            <v>0.35</v>
          </cell>
          <cell r="X1348" t="str">
            <v>EST MESA LATERAL METAIS H49 (MTZ MARROM CLARO COBREADO) - Ø0,35x0,49H</v>
          </cell>
          <cell r="Y1348">
            <v>7898.37</v>
          </cell>
          <cell r="Z1348">
            <v>0.35</v>
          </cell>
          <cell r="AA1348">
            <v>5133.9405000000006</v>
          </cell>
          <cell r="AB1348"/>
        </row>
        <row r="1349">
          <cell r="C1349">
            <v>0</v>
          </cell>
          <cell r="D1349">
            <v>0</v>
          </cell>
          <cell r="E1349">
            <v>0</v>
          </cell>
          <cell r="F1349">
            <v>2</v>
          </cell>
          <cell r="H1349">
            <v>0</v>
          </cell>
          <cell r="O1349">
            <v>334453</v>
          </cell>
          <cell r="P1349" t="str">
            <v>2022/222-0018-01</v>
          </cell>
          <cell r="Q1349" t="str">
            <v>EST MESA LATERAL METAIS H57 (MTZ MARROM COBREADO)</v>
          </cell>
          <cell r="R1349"/>
          <cell r="S1349"/>
          <cell r="T1349">
            <v>0.25</v>
          </cell>
          <cell r="U1349">
            <v>0</v>
          </cell>
          <cell r="V1349">
            <v>0.56999999999999995</v>
          </cell>
          <cell r="W1349">
            <v>0.25</v>
          </cell>
          <cell r="X1349" t="str">
            <v>EST MESA LATERAL METAIS H57 (MTZ MARROM COBREADO) - Ø0,25x0,57H</v>
          </cell>
          <cell r="Y1349">
            <v>7170.91</v>
          </cell>
          <cell r="Z1349">
            <v>0.35</v>
          </cell>
          <cell r="AA1349">
            <v>4661.0915000000005</v>
          </cell>
          <cell r="AB1349"/>
        </row>
        <row r="1350">
          <cell r="C1350">
            <v>0</v>
          </cell>
          <cell r="D1350">
            <v>0</v>
          </cell>
          <cell r="E1350">
            <v>0</v>
          </cell>
          <cell r="F1350">
            <v>2</v>
          </cell>
          <cell r="H1350">
            <v>0</v>
          </cell>
          <cell r="O1350">
            <v>334453</v>
          </cell>
          <cell r="P1350" t="str">
            <v>2022/222-0019-01</v>
          </cell>
          <cell r="Q1350" t="str">
            <v>EST MESA LATERAL METAIS H57 (MTZ MARROM COBREADO)</v>
          </cell>
          <cell r="R1350"/>
          <cell r="S1350"/>
          <cell r="T1350">
            <v>0.25</v>
          </cell>
          <cell r="U1350">
            <v>0</v>
          </cell>
          <cell r="V1350">
            <v>0.56999999999999995</v>
          </cell>
          <cell r="W1350">
            <v>0.25</v>
          </cell>
          <cell r="X1350" t="str">
            <v>EST MESA LATERAL METAIS H57 (MTZ MARROM COBREADO) - Ø0,25x0,57H</v>
          </cell>
          <cell r="Y1350">
            <v>7170.91</v>
          </cell>
          <cell r="Z1350">
            <v>0.35</v>
          </cell>
          <cell r="AA1350">
            <v>4661.0915000000005</v>
          </cell>
          <cell r="AB1350"/>
        </row>
        <row r="1351">
          <cell r="C1351">
            <v>0</v>
          </cell>
          <cell r="D1351">
            <v>0</v>
          </cell>
          <cell r="E1351">
            <v>0</v>
          </cell>
          <cell r="F1351">
            <v>2</v>
          </cell>
          <cell r="H1351">
            <v>0</v>
          </cell>
          <cell r="O1351">
            <v>334455</v>
          </cell>
          <cell r="P1351" t="str">
            <v>2022/222-0021-01</v>
          </cell>
          <cell r="Q1351" t="str">
            <v>EST MESA LATERAL EXOTICA H54 (MARM 2 ROSA) MTZ MARROM C COB</v>
          </cell>
          <cell r="R1351"/>
          <cell r="S1351"/>
          <cell r="T1351">
            <v>0.25</v>
          </cell>
          <cell r="U1351">
            <v>0</v>
          </cell>
          <cell r="V1351">
            <v>0.54</v>
          </cell>
          <cell r="W1351">
            <v>0.25</v>
          </cell>
          <cell r="X1351" t="str">
            <v>EST MESA LATERAL EXOTICA H54 (MARM 2 ROSA) MTZ MARROM C COB - Ø0,25x0,54H</v>
          </cell>
          <cell r="Y1351">
            <v>9793.82</v>
          </cell>
          <cell r="Z1351">
            <v>0.35</v>
          </cell>
          <cell r="AA1351">
            <v>6365.9830000000002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334455</v>
          </cell>
          <cell r="P1352" t="str">
            <v>2022/222-0020-01</v>
          </cell>
          <cell r="Q1352" t="str">
            <v>EST MESA LATERAL EXOTICA H54 (MARM 2 ROSA) MTZ MARROM C COB</v>
          </cell>
          <cell r="R1352"/>
          <cell r="S1352"/>
          <cell r="T1352">
            <v>0.25</v>
          </cell>
          <cell r="U1352">
            <v>0</v>
          </cell>
          <cell r="V1352">
            <v>0.54</v>
          </cell>
          <cell r="W1352">
            <v>0.25</v>
          </cell>
          <cell r="X1352" t="str">
            <v>EST MESA LATERAL EXOTICA H54 (MARM 2 ROSA) MTZ MARROM C COB - Ø0,25x0,54H</v>
          </cell>
          <cell r="Y1352">
            <v>9793.82</v>
          </cell>
          <cell r="Z1352">
            <v>0.35</v>
          </cell>
          <cell r="AA1352">
            <v>6365.9830000000002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1</v>
          </cell>
          <cell r="H1353">
            <v>0</v>
          </cell>
          <cell r="O1353">
            <v>334456</v>
          </cell>
          <cell r="P1353" t="str">
            <v>2023/171-0053-01</v>
          </cell>
          <cell r="Q1353" t="str">
            <v>EST MESA LATERAL EXOTICA H54 (MARM 4 MADRE P) MTZ MARROM COB</v>
          </cell>
          <cell r="R1353"/>
          <cell r="S1353"/>
          <cell r="T1353">
            <v>0.35</v>
          </cell>
          <cell r="U1353">
            <v>0</v>
          </cell>
          <cell r="V1353">
            <v>0.54</v>
          </cell>
          <cell r="W1353">
            <v>0.35</v>
          </cell>
          <cell r="X1353" t="str">
            <v>EST MESA LATERAL EXOTICA H54 (MARM 4 MADRE P) MTZ MARROM COB - Ø0,35x0,54H</v>
          </cell>
          <cell r="Y1353">
            <v>10828.07</v>
          </cell>
          <cell r="Z1353">
            <v>0.35</v>
          </cell>
          <cell r="AA1353">
            <v>7038.2455</v>
          </cell>
          <cell r="AB1353"/>
        </row>
        <row r="1354">
          <cell r="C1354">
            <v>0</v>
          </cell>
          <cell r="D1354">
            <v>0</v>
          </cell>
          <cell r="E1354">
            <v>0</v>
          </cell>
          <cell r="F1354">
            <v>1</v>
          </cell>
          <cell r="H1354">
            <v>0</v>
          </cell>
          <cell r="O1354">
            <v>335143</v>
          </cell>
          <cell r="P1354" t="str">
            <v>2022/207-0015-01</v>
          </cell>
          <cell r="Q1354" t="str">
            <v>EST MODULO ENCOSTO RETO LENCOIS M (DET BG4) (FX8285)</v>
          </cell>
          <cell r="R1354"/>
          <cell r="S1354"/>
          <cell r="T1354">
            <v>0.7</v>
          </cell>
          <cell r="U1354">
            <v>0.26</v>
          </cell>
          <cell r="V1354">
            <v>0.26</v>
          </cell>
          <cell r="W1354">
            <v>0</v>
          </cell>
          <cell r="X1354" t="str">
            <v>EST MODULO ENCOSTO RETO LENCOIS M (DET BG4) (FX8285) - 0,7x0,26x0,26H</v>
          </cell>
          <cell r="Y1354">
            <v>3650.57</v>
          </cell>
          <cell r="Z1354">
            <v>0.35</v>
          </cell>
          <cell r="AA1354">
            <v>2372.8705</v>
          </cell>
          <cell r="AB1354"/>
        </row>
        <row r="1355">
          <cell r="C1355">
            <v>0</v>
          </cell>
          <cell r="D1355">
            <v>0</v>
          </cell>
          <cell r="E1355">
            <v>0</v>
          </cell>
          <cell r="F1355">
            <v>4</v>
          </cell>
          <cell r="H1355">
            <v>0</v>
          </cell>
          <cell r="O1355">
            <v>373888</v>
          </cell>
          <cell r="P1355" t="str">
            <v>2023/307-0035-01</v>
          </cell>
          <cell r="Q1355" t="str">
            <v>EST ALMOFADA DECORATIVA LENCOIS M (DET BG4) (FX8173)</v>
          </cell>
          <cell r="R1355"/>
          <cell r="S1355"/>
          <cell r="T1355">
            <v>0.6</v>
          </cell>
          <cell r="U1355">
            <v>0.6</v>
          </cell>
          <cell r="V1355">
            <v>0</v>
          </cell>
          <cell r="W1355">
            <v>0</v>
          </cell>
          <cell r="X1355" t="str">
            <v>EST ALMOFADA DECORATIVA LENCOIS M (DET BG4) (FX8173) - 0,6x0,6x0H</v>
          </cell>
          <cell r="Y1355">
            <v>1511.91</v>
          </cell>
          <cell r="Z1355">
            <v>0.35</v>
          </cell>
          <cell r="AA1355">
            <v>982.74150000000009</v>
          </cell>
          <cell r="AB1355"/>
        </row>
        <row r="1356">
          <cell r="C1356">
            <v>0</v>
          </cell>
          <cell r="D1356">
            <v>0</v>
          </cell>
          <cell r="E1356">
            <v>0</v>
          </cell>
          <cell r="F1356">
            <v>4</v>
          </cell>
          <cell r="H1356">
            <v>0</v>
          </cell>
          <cell r="O1356">
            <v>373888</v>
          </cell>
          <cell r="P1356" t="str">
            <v>2023/307-0036-01</v>
          </cell>
          <cell r="Q1356" t="str">
            <v>EST ALMOFADA DECORATIVA LENCOIS M (DET BG4) (FX8173)</v>
          </cell>
          <cell r="R1356"/>
          <cell r="S1356"/>
          <cell r="T1356">
            <v>0.6</v>
          </cell>
          <cell r="U1356">
            <v>0.6</v>
          </cell>
          <cell r="V1356">
            <v>0</v>
          </cell>
          <cell r="W1356">
            <v>0</v>
          </cell>
          <cell r="X1356" t="str">
            <v>EST ALMOFADA DECORATIVA LENCOIS M (DET BG4) (FX8173) - 0,6x0,6x0H</v>
          </cell>
          <cell r="Y1356">
            <v>1511.91</v>
          </cell>
          <cell r="Z1356">
            <v>0.35</v>
          </cell>
          <cell r="AA1356">
            <v>982.74150000000009</v>
          </cell>
          <cell r="AB1356"/>
        </row>
        <row r="1357">
          <cell r="C1357">
            <v>0</v>
          </cell>
          <cell r="D1357">
            <v>0</v>
          </cell>
          <cell r="E1357">
            <v>0</v>
          </cell>
          <cell r="F1357">
            <v>4</v>
          </cell>
          <cell r="H1357">
            <v>0</v>
          </cell>
          <cell r="O1357">
            <v>373888</v>
          </cell>
          <cell r="P1357" t="str">
            <v>2023/307-0037-01</v>
          </cell>
          <cell r="Q1357" t="str">
            <v>EST ALMOFADA DECORATIVA LENCOIS M (DET BG4) (FX8173)</v>
          </cell>
          <cell r="R1357"/>
          <cell r="S1357"/>
          <cell r="T1357">
            <v>0.6</v>
          </cell>
          <cell r="U1357">
            <v>0.6</v>
          </cell>
          <cell r="V1357">
            <v>0</v>
          </cell>
          <cell r="W1357">
            <v>0</v>
          </cell>
          <cell r="X1357" t="str">
            <v>EST ALMOFADA DECORATIVA LENCOIS M (DET BG4) (FX8173) - 0,6x0,6x0H</v>
          </cell>
          <cell r="Y1357">
            <v>1511.91</v>
          </cell>
          <cell r="Z1357">
            <v>0.35</v>
          </cell>
          <cell r="AA1357">
            <v>982.74150000000009</v>
          </cell>
          <cell r="AB1357"/>
        </row>
        <row r="1358">
          <cell r="C1358">
            <v>0</v>
          </cell>
          <cell r="D1358">
            <v>0</v>
          </cell>
          <cell r="E1358">
            <v>0</v>
          </cell>
          <cell r="F1358">
            <v>4</v>
          </cell>
          <cell r="H1358">
            <v>0</v>
          </cell>
          <cell r="O1358">
            <v>373888</v>
          </cell>
          <cell r="P1358" t="str">
            <v>2023/307-0038-01</v>
          </cell>
          <cell r="Q1358" t="str">
            <v>EST ALMOFADA DECORATIVA LENCOIS M (DET BG4) (FX8173)</v>
          </cell>
          <cell r="R1358"/>
          <cell r="S1358"/>
          <cell r="T1358">
            <v>0.6</v>
          </cell>
          <cell r="U1358">
            <v>0.6</v>
          </cell>
          <cell r="V1358">
            <v>0</v>
          </cell>
          <cell r="W1358">
            <v>0</v>
          </cell>
          <cell r="X1358" t="str">
            <v>EST ALMOFADA DECORATIVA LENCOIS M (DET BG4) (FX8173) - 0,6x0,6x0H</v>
          </cell>
          <cell r="Y1358">
            <v>1511.91</v>
          </cell>
          <cell r="Z1358">
            <v>0.35</v>
          </cell>
          <cell r="AA1358">
            <v>982.74150000000009</v>
          </cell>
          <cell r="AB1358"/>
        </row>
        <row r="1359">
          <cell r="C1359">
            <v>2</v>
          </cell>
          <cell r="D1359">
            <v>1</v>
          </cell>
          <cell r="E1359">
            <v>0</v>
          </cell>
          <cell r="F1359">
            <v>5</v>
          </cell>
          <cell r="H1359">
            <v>1</v>
          </cell>
          <cell r="O1359">
            <v>379867</v>
          </cell>
          <cell r="P1359" t="str">
            <v>2024/068-0034-01</v>
          </cell>
          <cell r="Q1359" t="str">
            <v>EST BANDEJA MONDRIAN (DARK BRONZE) MAMMUT</v>
          </cell>
          <cell r="R1359"/>
          <cell r="S1359"/>
          <cell r="T1359">
            <v>0.56000000000000005</v>
          </cell>
          <cell r="U1359">
            <v>0.41</v>
          </cell>
          <cell r="V1359">
            <v>0.04</v>
          </cell>
          <cell r="W1359">
            <v>0</v>
          </cell>
          <cell r="X1359" t="str">
            <v>EST BANDEJA MONDRIAN (DARK BRONZE) MAMMUT - 0,56x0,41x0,04H</v>
          </cell>
          <cell r="Y1359">
            <v>4954.84</v>
          </cell>
          <cell r="Z1359">
            <v>0.35</v>
          </cell>
          <cell r="AA1359">
            <v>3220.6460000000002</v>
          </cell>
          <cell r="AB1359"/>
        </row>
        <row r="1360">
          <cell r="C1360">
            <v>2</v>
          </cell>
          <cell r="D1360">
            <v>1</v>
          </cell>
          <cell r="E1360">
            <v>0</v>
          </cell>
          <cell r="F1360">
            <v>5</v>
          </cell>
          <cell r="H1360">
            <v>1</v>
          </cell>
          <cell r="O1360">
            <v>379867</v>
          </cell>
          <cell r="P1360" t="str">
            <v>2024/068-0036-01</v>
          </cell>
          <cell r="Q1360" t="str">
            <v>EST BANDEJA MONDRIAN (DARK BRONZE) MAMMUT</v>
          </cell>
          <cell r="R1360"/>
          <cell r="S1360"/>
          <cell r="T1360">
            <v>0.56000000000000005</v>
          </cell>
          <cell r="U1360">
            <v>0.41</v>
          </cell>
          <cell r="V1360">
            <v>0.04</v>
          </cell>
          <cell r="W1360">
            <v>0</v>
          </cell>
          <cell r="X1360" t="str">
            <v>EST BANDEJA MONDRIAN (DARK BRONZE) MAMMUT - 0,56x0,41x0,04H</v>
          </cell>
          <cell r="Y1360">
            <v>4954.84</v>
          </cell>
          <cell r="Z1360">
            <v>0.35</v>
          </cell>
          <cell r="AA1360">
            <v>3220.6460000000002</v>
          </cell>
          <cell r="AB1360"/>
        </row>
        <row r="1361">
          <cell r="C1361">
            <v>2</v>
          </cell>
          <cell r="D1361">
            <v>1</v>
          </cell>
          <cell r="E1361">
            <v>0</v>
          </cell>
          <cell r="F1361">
            <v>5</v>
          </cell>
          <cell r="H1361">
            <v>1</v>
          </cell>
          <cell r="O1361">
            <v>379867</v>
          </cell>
          <cell r="P1361" t="str">
            <v>2024/068-0037-01</v>
          </cell>
          <cell r="Q1361" t="str">
            <v>EST BANDEJA MONDRIAN (DARK BRONZE) MAMMUT</v>
          </cell>
          <cell r="R1361"/>
          <cell r="S1361"/>
          <cell r="T1361">
            <v>0.56000000000000005</v>
          </cell>
          <cell r="U1361">
            <v>0.41</v>
          </cell>
          <cell r="V1361">
            <v>0.04</v>
          </cell>
          <cell r="W1361">
            <v>0</v>
          </cell>
          <cell r="X1361" t="str">
            <v>EST BANDEJA MONDRIAN (DARK BRONZE) MAMMUT - 0,56x0,41x0,04H</v>
          </cell>
          <cell r="Y1361">
            <v>4954.84</v>
          </cell>
          <cell r="Z1361">
            <v>0.35</v>
          </cell>
          <cell r="AA1361">
            <v>3220.6460000000002</v>
          </cell>
          <cell r="AB1361"/>
        </row>
        <row r="1362">
          <cell r="C1362">
            <v>2</v>
          </cell>
          <cell r="D1362">
            <v>1</v>
          </cell>
          <cell r="E1362">
            <v>0</v>
          </cell>
          <cell r="F1362">
            <v>5</v>
          </cell>
          <cell r="H1362">
            <v>1</v>
          </cell>
          <cell r="O1362">
            <v>379867</v>
          </cell>
          <cell r="P1362" t="str">
            <v>2024/068-0038-01</v>
          </cell>
          <cell r="Q1362" t="str">
            <v>EST BANDEJA MONDRIAN (DARK BRONZE) MAMMUT</v>
          </cell>
          <cell r="R1362"/>
          <cell r="S1362"/>
          <cell r="T1362">
            <v>0.56000000000000005</v>
          </cell>
          <cell r="U1362">
            <v>0.41</v>
          </cell>
          <cell r="V1362">
            <v>0.04</v>
          </cell>
          <cell r="W1362">
            <v>0</v>
          </cell>
          <cell r="X1362" t="str">
            <v>EST BANDEJA MONDRIAN (DARK BRONZE) MAMMUT - 0,56x0,41x0,04H</v>
          </cell>
          <cell r="Y1362">
            <v>4954.84</v>
          </cell>
          <cell r="Z1362">
            <v>0.35</v>
          </cell>
          <cell r="AA1362">
            <v>3220.6460000000002</v>
          </cell>
          <cell r="AB1362"/>
        </row>
        <row r="1363">
          <cell r="C1363">
            <v>2</v>
          </cell>
          <cell r="D1363">
            <v>1</v>
          </cell>
          <cell r="E1363">
            <v>0</v>
          </cell>
          <cell r="F1363">
            <v>5</v>
          </cell>
          <cell r="H1363">
            <v>1</v>
          </cell>
          <cell r="O1363">
            <v>379867</v>
          </cell>
          <cell r="P1363" t="str">
            <v>2024/068-0039-01</v>
          </cell>
          <cell r="Q1363" t="str">
            <v>EST BANDEJA MONDRIAN (DARK BRONZE) MAMMUT</v>
          </cell>
          <cell r="R1363"/>
          <cell r="S1363"/>
          <cell r="T1363">
            <v>0.56000000000000005</v>
          </cell>
          <cell r="U1363">
            <v>0.41</v>
          </cell>
          <cell r="V1363">
            <v>0.04</v>
          </cell>
          <cell r="W1363">
            <v>0</v>
          </cell>
          <cell r="X1363" t="str">
            <v>EST BANDEJA MONDRIAN (DARK BRONZE) MAMMUT - 0,56x0,41x0,04H</v>
          </cell>
          <cell r="Y1363">
            <v>4954.84</v>
          </cell>
          <cell r="Z1363">
            <v>0.35</v>
          </cell>
          <cell r="AA1363">
            <v>3220.6460000000002</v>
          </cell>
          <cell r="AB1363"/>
        </row>
        <row r="1364">
          <cell r="C1364">
            <v>2</v>
          </cell>
          <cell r="D1364">
            <v>1</v>
          </cell>
          <cell r="E1364">
            <v>0</v>
          </cell>
          <cell r="F1364">
            <v>5</v>
          </cell>
          <cell r="H1364">
            <v>1</v>
          </cell>
          <cell r="O1364">
            <v>379867</v>
          </cell>
          <cell r="P1364" t="str">
            <v>2024/068-0040-01</v>
          </cell>
          <cell r="Q1364" t="str">
            <v>EST BANDEJA MONDRIAN (DARK BRONZE) MAMMUT</v>
          </cell>
          <cell r="R1364"/>
          <cell r="S1364"/>
          <cell r="T1364">
            <v>0.56000000000000005</v>
          </cell>
          <cell r="U1364">
            <v>0.41</v>
          </cell>
          <cell r="V1364">
            <v>0.04</v>
          </cell>
          <cell r="W1364">
            <v>0</v>
          </cell>
          <cell r="X1364" t="str">
            <v>EST BANDEJA MONDRIAN (DARK BRONZE) MAMMUT - 0,56x0,41x0,04H</v>
          </cell>
          <cell r="Y1364">
            <v>4954.84</v>
          </cell>
          <cell r="Z1364">
            <v>0.35</v>
          </cell>
          <cell r="AA1364">
            <v>3220.6460000000002</v>
          </cell>
          <cell r="AB1364"/>
        </row>
        <row r="1365">
          <cell r="C1365">
            <v>2</v>
          </cell>
          <cell r="D1365">
            <v>1</v>
          </cell>
          <cell r="E1365">
            <v>0</v>
          </cell>
          <cell r="F1365">
            <v>5</v>
          </cell>
          <cell r="H1365">
            <v>1</v>
          </cell>
          <cell r="O1365">
            <v>379867</v>
          </cell>
          <cell r="P1365" t="str">
            <v>2024/068-0041-01</v>
          </cell>
          <cell r="Q1365" t="str">
            <v>EST BANDEJA MONDRIAN (DARK BRONZE) MAMMUT</v>
          </cell>
          <cell r="R1365"/>
          <cell r="S1365"/>
          <cell r="T1365">
            <v>0.56000000000000005</v>
          </cell>
          <cell r="U1365">
            <v>0.41</v>
          </cell>
          <cell r="V1365">
            <v>0.04</v>
          </cell>
          <cell r="W1365">
            <v>0</v>
          </cell>
          <cell r="X1365" t="str">
            <v>EST BANDEJA MONDRIAN (DARK BRONZE) MAMMUT - 0,56x0,41x0,04H</v>
          </cell>
          <cell r="Y1365">
            <v>4954.84</v>
          </cell>
          <cell r="Z1365">
            <v>0.35</v>
          </cell>
          <cell r="AA1365">
            <v>3220.6460000000002</v>
          </cell>
          <cell r="AB1365"/>
        </row>
        <row r="1366">
          <cell r="C1366">
            <v>1</v>
          </cell>
          <cell r="D1366">
            <v>0</v>
          </cell>
          <cell r="E1366">
            <v>0</v>
          </cell>
          <cell r="F1366">
            <v>2</v>
          </cell>
          <cell r="H1366">
            <v>2</v>
          </cell>
          <cell r="O1366">
            <v>389953</v>
          </cell>
          <cell r="P1366" t="str">
            <v>2024/267-0074-01</v>
          </cell>
          <cell r="Q1366" t="str">
            <v>EST MODULO PUFF LENCOIS M OUTDOOR TC KEEPSAKE TAUPE</v>
          </cell>
          <cell r="R1366"/>
          <cell r="S1366"/>
          <cell r="T1366">
            <v>1.7</v>
          </cell>
          <cell r="U1366">
            <v>1</v>
          </cell>
          <cell r="V1366">
            <v>0.38</v>
          </cell>
          <cell r="W1366">
            <v>0</v>
          </cell>
          <cell r="X1366" t="str">
            <v>EST MODULO PUFF LENCOIS M OUTDOOR TC KEEPSAKE TAUPE - 1,7x1x0,38H</v>
          </cell>
          <cell r="Y1366">
            <v>26097.426900000002</v>
          </cell>
          <cell r="Z1366">
            <v>0.35</v>
          </cell>
          <cell r="AA1366">
            <v>16963.327485000002</v>
          </cell>
          <cell r="AB1366"/>
        </row>
        <row r="1367">
          <cell r="C1367">
            <v>1</v>
          </cell>
          <cell r="D1367">
            <v>0</v>
          </cell>
          <cell r="E1367">
            <v>0</v>
          </cell>
          <cell r="F1367">
            <v>2</v>
          </cell>
          <cell r="H1367">
            <v>2</v>
          </cell>
          <cell r="O1367">
            <v>389953</v>
          </cell>
          <cell r="P1367" t="str">
            <v>2024/267-0075-01</v>
          </cell>
          <cell r="Q1367" t="str">
            <v>EST MODULO PUFF LENCOIS M OUTDOOR TC KEEPSAKE TAUPE</v>
          </cell>
          <cell r="R1367"/>
          <cell r="S1367"/>
          <cell r="T1367">
            <v>1.7</v>
          </cell>
          <cell r="U1367">
            <v>1</v>
          </cell>
          <cell r="V1367">
            <v>0.38</v>
          </cell>
          <cell r="W1367">
            <v>0</v>
          </cell>
          <cell r="X1367" t="str">
            <v>EST MODULO PUFF LENCOIS M OUTDOOR TC KEEPSAKE TAUPE - 1,7x1x0,38H</v>
          </cell>
          <cell r="Y1367">
            <v>26097.426900000002</v>
          </cell>
          <cell r="Z1367">
            <v>0.35</v>
          </cell>
          <cell r="AA1367">
            <v>16963.327485000002</v>
          </cell>
          <cell r="AB1367"/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2</v>
          </cell>
          <cell r="H1368">
            <v>0</v>
          </cell>
          <cell r="O1368">
            <v>389955</v>
          </cell>
          <cell r="P1368" t="str">
            <v>2024/267-0079-01</v>
          </cell>
          <cell r="Q1368" t="str">
            <v>EST MODULO ENCOSTO RTO LENCOIS M OUTDOOR TC KEEPSAKE TAUPE</v>
          </cell>
          <cell r="R1368"/>
          <cell r="S1368"/>
          <cell r="T1368">
            <v>0.7</v>
          </cell>
          <cell r="U1368">
            <v>0.26</v>
          </cell>
          <cell r="V1368">
            <v>0.26</v>
          </cell>
          <cell r="W1368">
            <v>0</v>
          </cell>
          <cell r="X1368" t="str">
            <v>EST MODULO ENCOSTO RTO LENCOIS M OUTDOOR TC KEEPSAKE TAUPE - 0,7x0,26x0,26H</v>
          </cell>
          <cell r="Y1368">
            <v>4161.7422999999999</v>
          </cell>
          <cell r="Z1368">
            <v>0.35</v>
          </cell>
          <cell r="AA1368">
            <v>2705.1324949999998</v>
          </cell>
          <cell r="AB1368"/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2</v>
          </cell>
          <cell r="H1369">
            <v>0</v>
          </cell>
          <cell r="O1369">
            <v>389955</v>
          </cell>
          <cell r="P1369" t="str">
            <v>2024/267-0080-01</v>
          </cell>
          <cell r="Q1369" t="str">
            <v>EST MODULO ENCOSTO RTO LENCOIS M OUTDOOR TC KEEPSAKE TAUPE</v>
          </cell>
          <cell r="R1369"/>
          <cell r="S1369"/>
          <cell r="T1369">
            <v>0.7</v>
          </cell>
          <cell r="U1369">
            <v>0.26</v>
          </cell>
          <cell r="V1369">
            <v>0.26</v>
          </cell>
          <cell r="W1369">
            <v>0</v>
          </cell>
          <cell r="X1369" t="str">
            <v>EST MODULO ENCOSTO RTO LENCOIS M OUTDOOR TC KEEPSAKE TAUPE - 0,7x0,26x0,26H</v>
          </cell>
          <cell r="Y1369">
            <v>4161.7422999999999</v>
          </cell>
          <cell r="Z1369">
            <v>0.35</v>
          </cell>
          <cell r="AA1369">
            <v>2705.1324949999998</v>
          </cell>
          <cell r="AB1369"/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2</v>
          </cell>
          <cell r="H1370">
            <v>0</v>
          </cell>
          <cell r="O1370">
            <v>389956</v>
          </cell>
          <cell r="P1370" t="str">
            <v>2024/267-0084-01</v>
          </cell>
          <cell r="Q1370" t="str">
            <v>EST CAPA PUFF LENCOIS M OUTDOOR (CAPA LISO) TC 8599</v>
          </cell>
          <cell r="R1370"/>
          <cell r="S1370"/>
          <cell r="T1370">
            <v>1.7</v>
          </cell>
          <cell r="U1370">
            <v>0</v>
          </cell>
          <cell r="V1370">
            <v>0</v>
          </cell>
          <cell r="W1370">
            <v>0</v>
          </cell>
          <cell r="X1370" t="str">
            <v>EST CAPA PUFF LENCOIS M OUTDOOR (CAPA LISO) TC 8599 - Ø0x0H</v>
          </cell>
          <cell r="Y1370">
            <v>5320.99</v>
          </cell>
          <cell r="Z1370">
            <v>0.35</v>
          </cell>
          <cell r="AA1370">
            <v>3458.6435000000001</v>
          </cell>
          <cell r="AB1370"/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2</v>
          </cell>
          <cell r="H1371">
            <v>0</v>
          </cell>
          <cell r="O1371">
            <v>389956</v>
          </cell>
          <cell r="P1371" t="str">
            <v>2024/267-0081-01</v>
          </cell>
          <cell r="Q1371" t="str">
            <v>EST CAPA PUFF LENCOIS M OUTDOOR (CAPA LISO) TC 8599</v>
          </cell>
          <cell r="R1371"/>
          <cell r="S1371"/>
          <cell r="T1371">
            <v>1.7</v>
          </cell>
          <cell r="U1371">
            <v>0</v>
          </cell>
          <cell r="V1371">
            <v>0</v>
          </cell>
          <cell r="W1371">
            <v>0</v>
          </cell>
          <cell r="X1371" t="str">
            <v>EST CAPA PUFF LENCOIS M OUTDOOR (CAPA LISO) TC 8599 - Ø0x0H</v>
          </cell>
          <cell r="Y1371">
            <v>5320.99</v>
          </cell>
          <cell r="Z1371">
            <v>0.35</v>
          </cell>
          <cell r="AA1371">
            <v>3458.6435000000001</v>
          </cell>
          <cell r="AB1371"/>
        </row>
        <row r="1372">
          <cell r="C1372">
            <v>1</v>
          </cell>
          <cell r="D1372">
            <v>0</v>
          </cell>
          <cell r="E1372">
            <v>0</v>
          </cell>
          <cell r="F1372">
            <v>2</v>
          </cell>
          <cell r="H1372">
            <v>1</v>
          </cell>
          <cell r="O1372">
            <v>389958</v>
          </cell>
          <cell r="P1372" t="str">
            <v>2024/267-0086-01</v>
          </cell>
          <cell r="Q1372" t="str">
            <v>EST ALMOFADA DECORATIVA LENCOIS M OUTDOOR TC KEEPSAKE TAUPE</v>
          </cell>
          <cell r="R1372"/>
          <cell r="S1372"/>
          <cell r="T1372">
            <v>0.6</v>
          </cell>
          <cell r="U1372">
            <v>0.6</v>
          </cell>
          <cell r="V1372">
            <v>0</v>
          </cell>
          <cell r="W1372">
            <v>0</v>
          </cell>
          <cell r="X1372" t="str">
            <v>EST ALMOFADA DECORATIVA LENCOIS M OUTDOOR TC KEEPSAKE TAUPE - 0,6x0,6x0H</v>
          </cell>
          <cell r="Y1372">
            <v>1751.3990200000003</v>
          </cell>
          <cell r="Z1372">
            <v>0.35</v>
          </cell>
          <cell r="AA1372">
            <v>1138.4093630000002</v>
          </cell>
          <cell r="AB1372"/>
        </row>
        <row r="1373">
          <cell r="C1373">
            <v>1</v>
          </cell>
          <cell r="D1373">
            <v>0</v>
          </cell>
          <cell r="E1373">
            <v>0</v>
          </cell>
          <cell r="F1373">
            <v>2</v>
          </cell>
          <cell r="H1373">
            <v>1</v>
          </cell>
          <cell r="O1373">
            <v>389958</v>
          </cell>
          <cell r="P1373" t="str">
            <v>2024/267-0087-01</v>
          </cell>
          <cell r="Q1373" t="str">
            <v>EST ALMOFADA DECORATIVA LENCOIS M OUTDOOR TC KEEPSAKE TAUPE</v>
          </cell>
          <cell r="R1373"/>
          <cell r="S1373"/>
          <cell r="T1373">
            <v>0.6</v>
          </cell>
          <cell r="U1373">
            <v>0.6</v>
          </cell>
          <cell r="V1373">
            <v>0</v>
          </cell>
          <cell r="W1373">
            <v>0</v>
          </cell>
          <cell r="X1373" t="str">
            <v>EST ALMOFADA DECORATIVA LENCOIS M OUTDOOR TC KEEPSAKE TAUPE - 0,6x0,6x0H</v>
          </cell>
          <cell r="Y1373">
            <v>1751.3990200000003</v>
          </cell>
          <cell r="Z1373">
            <v>0.35</v>
          </cell>
          <cell r="AA1373">
            <v>1138.4093630000002</v>
          </cell>
          <cell r="AB1373"/>
        </row>
        <row r="1374">
          <cell r="C1374">
            <v>0</v>
          </cell>
          <cell r="D1374">
            <v>0</v>
          </cell>
          <cell r="E1374">
            <v>0</v>
          </cell>
          <cell r="F1374">
            <v>2</v>
          </cell>
          <cell r="H1374">
            <v>0</v>
          </cell>
          <cell r="O1374">
            <v>394910</v>
          </cell>
          <cell r="P1374" t="str">
            <v>2025/016-0112-01</v>
          </cell>
          <cell r="Q1374" t="str">
            <v>EST POLTRONA COCON (GIR) (ENC FX E5159) (FX E5159)</v>
          </cell>
          <cell r="R1374"/>
          <cell r="S1374"/>
          <cell r="T1374">
            <v>0.95</v>
          </cell>
          <cell r="U1374">
            <v>0.9</v>
          </cell>
          <cell r="V1374">
            <v>0.74</v>
          </cell>
          <cell r="W1374">
            <v>0</v>
          </cell>
          <cell r="X1374" t="str">
            <v>EST POLTRONA COCON (GIR) (ENC FX E5159) (FX E5159) - 0,95x0,9x0,74H</v>
          </cell>
          <cell r="Y1374">
            <v>10035.16</v>
          </cell>
          <cell r="Z1374">
            <v>0.35</v>
          </cell>
          <cell r="AA1374">
            <v>6522.8540000000003</v>
          </cell>
          <cell r="AB1374"/>
        </row>
        <row r="1375">
          <cell r="C1375">
            <v>0</v>
          </cell>
          <cell r="D1375">
            <v>0</v>
          </cell>
          <cell r="E1375">
            <v>0</v>
          </cell>
          <cell r="F1375">
            <v>2</v>
          </cell>
          <cell r="H1375">
            <v>0</v>
          </cell>
          <cell r="O1375">
            <v>394910</v>
          </cell>
          <cell r="P1375" t="str">
            <v>2025/016-0113-01</v>
          </cell>
          <cell r="Q1375" t="str">
            <v>EST POLTRONA COCON (GIR) (ENC FX E5159) (FX E5159)</v>
          </cell>
          <cell r="R1375"/>
          <cell r="S1375"/>
          <cell r="T1375">
            <v>0.95</v>
          </cell>
          <cell r="U1375">
            <v>0.9</v>
          </cell>
          <cell r="V1375">
            <v>0.74</v>
          </cell>
          <cell r="W1375">
            <v>0</v>
          </cell>
          <cell r="X1375" t="str">
            <v>EST POLTRONA COCON (GIR) (ENC FX E5159) (FX E5159) - 0,95x0,9x0,74H</v>
          </cell>
          <cell r="Y1375">
            <v>10035.16</v>
          </cell>
          <cell r="Z1375">
            <v>0.35</v>
          </cell>
          <cell r="AA1375">
            <v>6522.8540000000003</v>
          </cell>
          <cell r="AB1375"/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6</v>
          </cell>
          <cell r="H1376">
            <v>0</v>
          </cell>
          <cell r="O1376">
            <v>394923</v>
          </cell>
          <cell r="P1376" t="str">
            <v>2025/014-0031-01</v>
          </cell>
          <cell r="Q1376" t="str">
            <v>EST CADEIRA DESIREE (GIR) (ENC FX C3185) (FX C3185)</v>
          </cell>
          <cell r="R1376"/>
          <cell r="S1376"/>
          <cell r="T1376">
            <v>0.66</v>
          </cell>
          <cell r="U1376">
            <v>0.62</v>
          </cell>
          <cell r="V1376">
            <v>0.81</v>
          </cell>
          <cell r="W1376">
            <v>0</v>
          </cell>
          <cell r="X1376" t="str">
            <v>EST CADEIRA DESIREE (GIR) (ENC FX C3185) (FX C3185) - 0,66x0,62x0,81H</v>
          </cell>
          <cell r="Y1376">
            <v>7945.91</v>
          </cell>
          <cell r="Z1376">
            <v>0.35</v>
          </cell>
          <cell r="AA1376">
            <v>5164.8415000000005</v>
          </cell>
          <cell r="AB1376"/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6</v>
          </cell>
          <cell r="H1377">
            <v>0</v>
          </cell>
          <cell r="O1377">
            <v>394923</v>
          </cell>
          <cell r="P1377" t="str">
            <v>2025/014-0032-01</v>
          </cell>
          <cell r="Q1377" t="str">
            <v>EST CADEIRA DESIREE (GIR) (ENC FX C3185) (FX C3185)</v>
          </cell>
          <cell r="R1377"/>
          <cell r="S1377"/>
          <cell r="T1377">
            <v>0.66</v>
          </cell>
          <cell r="U1377">
            <v>0.62</v>
          </cell>
          <cell r="V1377">
            <v>0.81</v>
          </cell>
          <cell r="W1377">
            <v>0</v>
          </cell>
          <cell r="X1377" t="str">
            <v>EST CADEIRA DESIREE (GIR) (ENC FX C3185) (FX C3185) - 0,66x0,62x0,81H</v>
          </cell>
          <cell r="Y1377">
            <v>7945.91</v>
          </cell>
          <cell r="Z1377">
            <v>0.35</v>
          </cell>
          <cell r="AA1377">
            <v>5164.8415000000005</v>
          </cell>
          <cell r="AB1377"/>
        </row>
        <row r="1378">
          <cell r="C1378">
            <v>0</v>
          </cell>
          <cell r="D1378">
            <v>0</v>
          </cell>
          <cell r="E1378">
            <v>0</v>
          </cell>
          <cell r="F1378">
            <v>6</v>
          </cell>
          <cell r="H1378">
            <v>0</v>
          </cell>
          <cell r="O1378">
            <v>394923</v>
          </cell>
          <cell r="P1378" t="str">
            <v>2025/014-0033-01</v>
          </cell>
          <cell r="Q1378" t="str">
            <v>EST CADEIRA DESIREE (GIR) (ENC FX C3185) (FX C3185)</v>
          </cell>
          <cell r="R1378"/>
          <cell r="S1378"/>
          <cell r="T1378">
            <v>0.66</v>
          </cell>
          <cell r="U1378">
            <v>0.62</v>
          </cell>
          <cell r="V1378">
            <v>0.81</v>
          </cell>
          <cell r="W1378">
            <v>0</v>
          </cell>
          <cell r="X1378" t="str">
            <v>EST CADEIRA DESIREE (GIR) (ENC FX C3185) (FX C3185) - 0,66x0,62x0,81H</v>
          </cell>
          <cell r="Y1378">
            <v>7945.91</v>
          </cell>
          <cell r="Z1378">
            <v>0.35</v>
          </cell>
          <cell r="AA1378">
            <v>5164.8415000000005</v>
          </cell>
          <cell r="AB1378"/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6</v>
          </cell>
          <cell r="H1379">
            <v>0</v>
          </cell>
          <cell r="O1379">
            <v>394923</v>
          </cell>
          <cell r="P1379" t="str">
            <v>2025/014-0034-01</v>
          </cell>
          <cell r="Q1379" t="str">
            <v>EST CADEIRA DESIREE (GIR) (ENC FX C3185) (FX C3185)</v>
          </cell>
          <cell r="R1379"/>
          <cell r="S1379"/>
          <cell r="T1379">
            <v>0.66</v>
          </cell>
          <cell r="U1379">
            <v>0.62</v>
          </cell>
          <cell r="V1379">
            <v>0.81</v>
          </cell>
          <cell r="W1379">
            <v>0</v>
          </cell>
          <cell r="X1379" t="str">
            <v>EST CADEIRA DESIREE (GIR) (ENC FX C3185) (FX C3185) - 0,66x0,62x0,81H</v>
          </cell>
          <cell r="Y1379">
            <v>7945.91</v>
          </cell>
          <cell r="Z1379">
            <v>0.35</v>
          </cell>
          <cell r="AA1379">
            <v>5164.8415000000005</v>
          </cell>
          <cell r="AB1379"/>
        </row>
        <row r="1380">
          <cell r="C1380">
            <v>0</v>
          </cell>
          <cell r="D1380">
            <v>0</v>
          </cell>
          <cell r="E1380">
            <v>0</v>
          </cell>
          <cell r="F1380">
            <v>6</v>
          </cell>
          <cell r="H1380">
            <v>0</v>
          </cell>
          <cell r="O1380">
            <v>394923</v>
          </cell>
          <cell r="P1380" t="str">
            <v>2025/014-0035-01</v>
          </cell>
          <cell r="Q1380" t="str">
            <v>EST CADEIRA DESIREE (GIR) (ENC FX C3185) (FX C3185)</v>
          </cell>
          <cell r="R1380"/>
          <cell r="S1380"/>
          <cell r="T1380">
            <v>0.66</v>
          </cell>
          <cell r="U1380">
            <v>0.62</v>
          </cell>
          <cell r="V1380">
            <v>0.81</v>
          </cell>
          <cell r="W1380">
            <v>0</v>
          </cell>
          <cell r="X1380" t="str">
            <v>EST CADEIRA DESIREE (GIR) (ENC FX C3185) (FX C3185) - 0,66x0,62x0,81H</v>
          </cell>
          <cell r="Y1380">
            <v>7945.91</v>
          </cell>
          <cell r="Z1380">
            <v>0.35</v>
          </cell>
          <cell r="AA1380">
            <v>5164.8415000000005</v>
          </cell>
          <cell r="AB1380"/>
        </row>
        <row r="1381">
          <cell r="C1381">
            <v>0</v>
          </cell>
          <cell r="D1381">
            <v>0</v>
          </cell>
          <cell r="E1381">
            <v>0</v>
          </cell>
          <cell r="F1381">
            <v>6</v>
          </cell>
          <cell r="H1381">
            <v>0</v>
          </cell>
          <cell r="O1381">
            <v>394923</v>
          </cell>
          <cell r="P1381" t="str">
            <v>2025/014-0036-01</v>
          </cell>
          <cell r="Q1381" t="str">
            <v>EST CADEIRA DESIREE (GIR) (ENC FX C3185) (FX C3185)</v>
          </cell>
          <cell r="R1381"/>
          <cell r="S1381"/>
          <cell r="T1381">
            <v>0.66</v>
          </cell>
          <cell r="U1381">
            <v>0.62</v>
          </cell>
          <cell r="V1381">
            <v>0.81</v>
          </cell>
          <cell r="W1381">
            <v>0</v>
          </cell>
          <cell r="X1381" t="str">
            <v>EST CADEIRA DESIREE (GIR) (ENC FX C3185) (FX C3185) - 0,66x0,62x0,81H</v>
          </cell>
          <cell r="Y1381">
            <v>7945.91</v>
          </cell>
          <cell r="Z1381">
            <v>0.35</v>
          </cell>
          <cell r="AA1381">
            <v>5164.8415000000005</v>
          </cell>
          <cell r="AB1381"/>
        </row>
        <row r="1382">
          <cell r="C1382">
            <v>0</v>
          </cell>
          <cell r="D1382">
            <v>0</v>
          </cell>
          <cell r="E1382">
            <v>0</v>
          </cell>
          <cell r="F1382">
            <v>1</v>
          </cell>
          <cell r="H1382">
            <v>0</v>
          </cell>
          <cell r="O1382">
            <v>394927</v>
          </cell>
          <cell r="P1382" t="str">
            <v>2025/118-0023-01</v>
          </cell>
          <cell r="Q1382" t="str">
            <v>EST MESA CENTRO ESSENCE ORGANICA (MTZ CAPPUC) CLEAR/TRAV ROM</v>
          </cell>
          <cell r="R1382"/>
          <cell r="S1382"/>
          <cell r="T1382">
            <v>1.2</v>
          </cell>
          <cell r="U1382">
            <v>1.19</v>
          </cell>
          <cell r="V1382">
            <v>0.3</v>
          </cell>
          <cell r="W1382">
            <v>0</v>
          </cell>
          <cell r="X1382" t="str">
            <v>EST MESA CENTRO ESSENCE ORGANICA (MTZ CAPPUC) CLEAR/TRAV ROM - 1,2x1,19x0,3H</v>
          </cell>
          <cell r="Y1382">
            <v>31679.65</v>
          </cell>
          <cell r="Z1382">
            <v>0.35</v>
          </cell>
          <cell r="AA1382">
            <v>20591.772499999999</v>
          </cell>
          <cell r="AB1382"/>
        </row>
        <row r="1383"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H1383">
            <v>1</v>
          </cell>
          <cell r="O1383">
            <v>402443</v>
          </cell>
          <cell r="P1383" t="str">
            <v>2025/085-0062-01</v>
          </cell>
          <cell r="Q1383" t="str">
            <v>EST MESA JANTAR MONIZ (C/GIR) (ESPINHADA D) (LAM 3 FREIJO)</v>
          </cell>
          <cell r="R1383"/>
          <cell r="S1383"/>
          <cell r="T1383">
            <v>1.8</v>
          </cell>
          <cell r="U1383">
            <v>0</v>
          </cell>
          <cell r="V1383">
            <v>0.75</v>
          </cell>
          <cell r="W1383">
            <v>1.8</v>
          </cell>
          <cell r="X1383" t="str">
            <v>EST MESA JANTAR MONIZ (C/GIR) (ESPINHADA D) (LAM 3 FREIJO) - Ø1,8x0,75H</v>
          </cell>
          <cell r="Y1383">
            <v>49371.53</v>
          </cell>
          <cell r="Z1383">
            <v>0.35</v>
          </cell>
          <cell r="AA1383">
            <v>32091.494500000001</v>
          </cell>
          <cell r="AB1383"/>
        </row>
        <row r="1384">
          <cell r="C1384">
            <v>0</v>
          </cell>
          <cell r="D1384">
            <v>0</v>
          </cell>
          <cell r="E1384">
            <v>0</v>
          </cell>
          <cell r="F1384">
            <v>1</v>
          </cell>
          <cell r="H1384">
            <v>0</v>
          </cell>
          <cell r="O1384">
            <v>402449</v>
          </cell>
          <cell r="P1384" t="str">
            <v>2025/077-0049-01</v>
          </cell>
          <cell r="Q1384" t="str">
            <v>EST POLTRONA WAVE (MISTA) INT LEATHER 10017/EXT TRAMA 10020</v>
          </cell>
          <cell r="R1384"/>
          <cell r="S1384"/>
          <cell r="T1384">
            <v>0.8</v>
          </cell>
          <cell r="U1384">
            <v>0.95</v>
          </cell>
          <cell r="V1384">
            <v>0.65</v>
          </cell>
          <cell r="W1384">
            <v>0</v>
          </cell>
          <cell r="X1384" t="str">
            <v>EST POLTRONA WAVE (MISTA) INT LEATHER 10017/EXT TRAMA 10020 - 0,8x0,95x0,65H</v>
          </cell>
          <cell r="Y1384">
            <v>46227.96</v>
          </cell>
          <cell r="Z1384">
            <v>0.35</v>
          </cell>
          <cell r="AA1384">
            <v>30048.173999999999</v>
          </cell>
          <cell r="AB1384"/>
        </row>
        <row r="1385">
          <cell r="C1385">
            <v>0</v>
          </cell>
          <cell r="D1385">
            <v>0</v>
          </cell>
          <cell r="E1385">
            <v>0</v>
          </cell>
          <cell r="F1385">
            <v>1</v>
          </cell>
          <cell r="H1385">
            <v>1</v>
          </cell>
          <cell r="O1385">
            <v>402454</v>
          </cell>
          <cell r="P1385" t="str">
            <v>2025/077-0050-01</v>
          </cell>
          <cell r="Q1385" t="str">
            <v>EST POLTRONA PATER (JEQUITIBA) COURO 1 SEPIA/ALMOF FX8560</v>
          </cell>
          <cell r="R1385"/>
          <cell r="S1385"/>
          <cell r="T1385">
            <v>0.82</v>
          </cell>
          <cell r="U1385">
            <v>0.94</v>
          </cell>
          <cell r="V1385">
            <v>0.83</v>
          </cell>
          <cell r="W1385">
            <v>0</v>
          </cell>
          <cell r="X1385" t="str">
            <v>EST POLTRONA PATER (JEQUITIBA) COURO 1 SEPIA/ALMOF FX8560 - 0,82x0,94x0,83H</v>
          </cell>
          <cell r="Y1385">
            <v>33633.96</v>
          </cell>
          <cell r="Z1385">
            <v>0.35</v>
          </cell>
          <cell r="AA1385">
            <v>21862.074000000001</v>
          </cell>
          <cell r="AB1385"/>
        </row>
        <row r="1386">
          <cell r="C1386">
            <v>0</v>
          </cell>
          <cell r="D1386">
            <v>0</v>
          </cell>
          <cell r="E1386">
            <v>0</v>
          </cell>
          <cell r="F1386">
            <v>1</v>
          </cell>
          <cell r="H1386">
            <v>1</v>
          </cell>
          <cell r="O1386">
            <v>402454</v>
          </cell>
          <cell r="P1386" t="str">
            <v>2025/077-0051-01</v>
          </cell>
          <cell r="Q1386" t="str">
            <v>EST POLTRONA PATER (JEQUITIBA) COURO 1 SEPIA/ALMOF FX8560</v>
          </cell>
          <cell r="R1386"/>
          <cell r="S1386"/>
          <cell r="T1386">
            <v>0.82</v>
          </cell>
          <cell r="U1386">
            <v>0.94</v>
          </cell>
          <cell r="V1386">
            <v>0.83</v>
          </cell>
          <cell r="W1386">
            <v>0</v>
          </cell>
          <cell r="X1386" t="str">
            <v>EST POLTRONA PATER (JEQUITIBA) COURO 1 SEPIA/ALMOF FX8560 - 0,82x0,94x0,83H</v>
          </cell>
          <cell r="Y1386">
            <v>33633.96</v>
          </cell>
          <cell r="Z1386">
            <v>0.35</v>
          </cell>
          <cell r="AA1386">
            <v>21862.074000000001</v>
          </cell>
          <cell r="AB1386"/>
        </row>
        <row r="1387">
          <cell r="C1387">
            <v>0</v>
          </cell>
          <cell r="D1387">
            <v>0</v>
          </cell>
          <cell r="E1387">
            <v>0</v>
          </cell>
          <cell r="F1387">
            <v>1</v>
          </cell>
          <cell r="H1387">
            <v>1</v>
          </cell>
          <cell r="O1387">
            <v>402455</v>
          </cell>
          <cell r="P1387" t="str">
            <v>2025/077-0052-01</v>
          </cell>
          <cell r="Q1387" t="str">
            <v>EST BANQUETA PATER (JEQUITIBA) COURO 1 SEPIA/ALMOF FX8560</v>
          </cell>
          <cell r="R1387"/>
          <cell r="S1387"/>
          <cell r="T1387">
            <v>0.66</v>
          </cell>
          <cell r="U1387">
            <v>0.51</v>
          </cell>
          <cell r="V1387">
            <v>0.47</v>
          </cell>
          <cell r="W1387">
            <v>0</v>
          </cell>
          <cell r="X1387" t="str">
            <v>EST BANQUETA PATER (JEQUITIBA) COURO 1 SEPIA/ALMOF FX8560 - 0,66x0,51x0,47H</v>
          </cell>
          <cell r="Y1387">
            <v>14989.27</v>
          </cell>
          <cell r="Z1387">
            <v>0.35</v>
          </cell>
          <cell r="AA1387">
            <v>9743.0254999999997</v>
          </cell>
          <cell r="AB1387"/>
        </row>
        <row r="1388">
          <cell r="C1388">
            <v>0</v>
          </cell>
          <cell r="D1388">
            <v>0</v>
          </cell>
          <cell r="E1388">
            <v>0</v>
          </cell>
          <cell r="F1388">
            <v>1</v>
          </cell>
          <cell r="H1388">
            <v>1</v>
          </cell>
          <cell r="O1388">
            <v>402455</v>
          </cell>
          <cell r="P1388" t="str">
            <v>2025/077-0053-01</v>
          </cell>
          <cell r="Q1388" t="str">
            <v>EST BANQUETA PATER (JEQUITIBA) COURO 1 SEPIA/ALMOF FX8560</v>
          </cell>
          <cell r="R1388"/>
          <cell r="S1388"/>
          <cell r="T1388">
            <v>0.66</v>
          </cell>
          <cell r="U1388">
            <v>0.51</v>
          </cell>
          <cell r="V1388">
            <v>0.47</v>
          </cell>
          <cell r="W1388">
            <v>0</v>
          </cell>
          <cell r="X1388" t="str">
            <v>EST BANQUETA PATER (JEQUITIBA) COURO 1 SEPIA/ALMOF FX8560 - 0,66x0,51x0,47H</v>
          </cell>
          <cell r="Y1388">
            <v>14989.27</v>
          </cell>
          <cell r="Z1388">
            <v>0.35</v>
          </cell>
          <cell r="AA1388">
            <v>9743.0254999999997</v>
          </cell>
          <cell r="AB1388"/>
        </row>
        <row r="1389">
          <cell r="C1389">
            <v>0</v>
          </cell>
          <cell r="D1389">
            <v>0</v>
          </cell>
          <cell r="E1389">
            <v>0</v>
          </cell>
          <cell r="F1389">
            <v>1</v>
          </cell>
          <cell r="H1389">
            <v>0</v>
          </cell>
          <cell r="O1389">
            <v>404828</v>
          </cell>
          <cell r="P1389" t="str">
            <v>2025/129-0032-01</v>
          </cell>
          <cell r="Q1389" t="str">
            <v>EST TAPETE SISAL CY (BARRA VIRADA)</v>
          </cell>
          <cell r="R1389"/>
          <cell r="S1389"/>
          <cell r="T1389">
            <v>5.5</v>
          </cell>
          <cell r="U1389">
            <v>4.5</v>
          </cell>
          <cell r="V1389">
            <v>0</v>
          </cell>
          <cell r="W1389">
            <v>0</v>
          </cell>
          <cell r="X1389" t="str">
            <v>EST TAPETE SISAL CY (BARRA VIRADA) - 5,5x4,5x0H</v>
          </cell>
          <cell r="Y1389">
            <v>17561.060000000001</v>
          </cell>
          <cell r="Z1389">
            <v>0.35</v>
          </cell>
          <cell r="AA1389">
            <v>11414.689000000002</v>
          </cell>
          <cell r="AB1389"/>
        </row>
        <row r="1390">
          <cell r="C1390">
            <v>1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186566</v>
          </cell>
          <cell r="P1390" t="str">
            <v>2016/133-0169-01</v>
          </cell>
          <cell r="Q1390" t="str">
            <v>EST MESA LATERAL CANCUN (MAD LAM CARVALHO NT) (AUT SAND)</v>
          </cell>
          <cell r="R1390"/>
          <cell r="S1390"/>
          <cell r="T1390">
            <v>0.55000000000000004</v>
          </cell>
          <cell r="U1390">
            <v>0</v>
          </cell>
          <cell r="V1390">
            <v>0.52</v>
          </cell>
          <cell r="W1390">
            <v>0.55000000000000004</v>
          </cell>
          <cell r="X1390" t="str">
            <v>EST MESA LATERAL CANCUN (MAD LAM CARVALHO NT) (AUT SAND) - Ø0,55x0,52H</v>
          </cell>
          <cell r="Y1390">
            <v>8089.85</v>
          </cell>
          <cell r="Z1390">
            <v>0.35</v>
          </cell>
          <cell r="AA1390">
            <v>5258.4025000000001</v>
          </cell>
          <cell r="AB1390"/>
        </row>
        <row r="1391">
          <cell r="C1391">
            <v>1</v>
          </cell>
          <cell r="D1391">
            <v>2</v>
          </cell>
          <cell r="E1391">
            <v>0</v>
          </cell>
          <cell r="F1391">
            <v>0</v>
          </cell>
          <cell r="H1391">
            <v>0</v>
          </cell>
          <cell r="O1391">
            <v>186567</v>
          </cell>
          <cell r="P1391" t="str">
            <v>2016/133-0170-01</v>
          </cell>
          <cell r="Q1391" t="str">
            <v>EST MESA LATERAL CANCUN (MAD PINT AUT SAND) (AUT SAND)</v>
          </cell>
          <cell r="R1391"/>
          <cell r="S1391"/>
          <cell r="T1391">
            <v>0.48</v>
          </cell>
          <cell r="U1391">
            <v>0</v>
          </cell>
          <cell r="V1391">
            <v>0.56999999999999995</v>
          </cell>
          <cell r="W1391">
            <v>0.48</v>
          </cell>
          <cell r="X1391" t="str">
            <v>EST MESA LATERAL CANCUN (MAD PINT AUT SAND) (AUT SAND) - Ø0,48x0,57H</v>
          </cell>
          <cell r="Y1391">
            <v>7729.66</v>
          </cell>
          <cell r="Z1391">
            <v>0.35</v>
          </cell>
          <cell r="AA1391">
            <v>5024.2790000000005</v>
          </cell>
          <cell r="AB1391"/>
        </row>
        <row r="1392">
          <cell r="C1392">
            <v>1</v>
          </cell>
          <cell r="D1392">
            <v>2</v>
          </cell>
          <cell r="E1392">
            <v>0</v>
          </cell>
          <cell r="F1392">
            <v>0</v>
          </cell>
          <cell r="H1392">
            <v>0</v>
          </cell>
          <cell r="O1392">
            <v>186567</v>
          </cell>
          <cell r="P1392" t="str">
            <v>2016/133-0184-01</v>
          </cell>
          <cell r="Q1392" t="str">
            <v>EST MESA LATERAL CANCUN (MAD PINT AUT SAND) (AUT SAND)</v>
          </cell>
          <cell r="R1392"/>
          <cell r="S1392"/>
          <cell r="T1392">
            <v>0.48</v>
          </cell>
          <cell r="U1392">
            <v>0</v>
          </cell>
          <cell r="V1392">
            <v>0.56999999999999995</v>
          </cell>
          <cell r="W1392">
            <v>0.48</v>
          </cell>
          <cell r="X1392" t="str">
            <v>EST MESA LATERAL CANCUN (MAD PINT AUT SAND) (AUT SAND) - Ø0,48x0,57H</v>
          </cell>
          <cell r="Y1392">
            <v>7729.66</v>
          </cell>
          <cell r="Z1392">
            <v>0.35</v>
          </cell>
          <cell r="AA1392">
            <v>5024.2790000000005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221183</v>
          </cell>
          <cell r="P1393" t="str">
            <v>2018/169-0068-01</v>
          </cell>
          <cell r="Q1393" t="str">
            <v>EST MESA LATERAL CANCUN (FX5 IMPERADOR) (AUT BRONW)</v>
          </cell>
          <cell r="R1393"/>
          <cell r="S1393"/>
          <cell r="T1393">
            <v>0.55000000000000004</v>
          </cell>
          <cell r="U1393">
            <v>0</v>
          </cell>
          <cell r="V1393">
            <v>0.52</v>
          </cell>
          <cell r="W1393">
            <v>0.55000000000000004</v>
          </cell>
          <cell r="X1393" t="str">
            <v>EST MESA LATERAL CANCUN (FX5 IMPERADOR) (AUT BRONW) - Ø0,55x0,52H</v>
          </cell>
          <cell r="Y1393">
            <v>18510.37</v>
          </cell>
          <cell r="Z1393">
            <v>0.35</v>
          </cell>
          <cell r="AA1393">
            <v>12031.7405</v>
          </cell>
          <cell r="AB1393"/>
        </row>
        <row r="1394">
          <cell r="C1394">
            <v>0</v>
          </cell>
          <cell r="D1394">
            <v>1</v>
          </cell>
          <cell r="E1394">
            <v>1</v>
          </cell>
          <cell r="F1394">
            <v>0</v>
          </cell>
          <cell r="H1394">
            <v>0</v>
          </cell>
          <cell r="O1394">
            <v>253847</v>
          </cell>
          <cell r="P1394" t="str">
            <v>2019/337-0031-01</v>
          </cell>
          <cell r="Q1394" t="str">
            <v>EST BANDEJA RITMO Ø55 (MARMORE 4 NERO MARQUINA FOSCO)</v>
          </cell>
          <cell r="R1394"/>
          <cell r="S1394"/>
          <cell r="T1394">
            <v>0.55000000000000004</v>
          </cell>
          <cell r="U1394">
            <v>0</v>
          </cell>
          <cell r="V1394">
            <v>0.02</v>
          </cell>
          <cell r="W1394">
            <v>0.55000000000000004</v>
          </cell>
          <cell r="X1394" t="str">
            <v>EST BANDEJA RITMO Ø55 (MARMORE 4 NERO MARQUINA FOSCO) - Ø0,55x0,02H</v>
          </cell>
          <cell r="Y1394">
            <v>9892.7800000000007</v>
          </cell>
          <cell r="Z1394">
            <v>0.35</v>
          </cell>
          <cell r="AA1394">
            <v>6430.3070000000007</v>
          </cell>
          <cell r="AB1394"/>
        </row>
        <row r="1395">
          <cell r="C1395">
            <v>1</v>
          </cell>
          <cell r="D1395">
            <v>2</v>
          </cell>
          <cell r="E1395">
            <v>0</v>
          </cell>
          <cell r="F1395">
            <v>0</v>
          </cell>
          <cell r="H1395">
            <v>0</v>
          </cell>
          <cell r="O1395">
            <v>253852</v>
          </cell>
          <cell r="P1395" t="str">
            <v>2019/330-0014-01</v>
          </cell>
          <cell r="Q1395" t="str">
            <v>EST BANDEJA URBANA (M) H18 (DET LATAO) (TAUARI EBANIZADA)</v>
          </cell>
          <cell r="R1395"/>
          <cell r="S1395"/>
          <cell r="T1395">
            <v>0.25</v>
          </cell>
          <cell r="U1395">
            <v>0</v>
          </cell>
          <cell r="V1395">
            <v>0.18</v>
          </cell>
          <cell r="W1395">
            <v>0.25</v>
          </cell>
          <cell r="X1395" t="str">
            <v>EST BANDEJA URBANA (M) H18 (DET LATAO) (TAUARI EBANIZADA) - Ø0,25x0,18H</v>
          </cell>
          <cell r="Y1395">
            <v>2687.24</v>
          </cell>
          <cell r="Z1395">
            <v>0.35</v>
          </cell>
          <cell r="AA1395">
            <v>1746.7059999999999</v>
          </cell>
          <cell r="AB1395"/>
        </row>
        <row r="1396">
          <cell r="C1396">
            <v>1</v>
          </cell>
          <cell r="D1396">
            <v>2</v>
          </cell>
          <cell r="E1396">
            <v>0</v>
          </cell>
          <cell r="F1396">
            <v>0</v>
          </cell>
          <cell r="H1396">
            <v>0</v>
          </cell>
          <cell r="O1396">
            <v>253852</v>
          </cell>
          <cell r="P1396" t="str">
            <v>2019/330-0015-01</v>
          </cell>
          <cell r="Q1396" t="str">
            <v>EST BANDEJA URBANA (M) H18 (DET LATAO) (TAUARI EBANIZADA)</v>
          </cell>
          <cell r="R1396"/>
          <cell r="S1396"/>
          <cell r="T1396">
            <v>0.25</v>
          </cell>
          <cell r="U1396">
            <v>0</v>
          </cell>
          <cell r="V1396">
            <v>0.18</v>
          </cell>
          <cell r="W1396">
            <v>0.25</v>
          </cell>
          <cell r="X1396" t="str">
            <v>EST BANDEJA URBANA (M) H18 (DET LATAO) (TAUARI EBANIZADA) - Ø0,25x0,18H</v>
          </cell>
          <cell r="Y1396">
            <v>2687.24</v>
          </cell>
          <cell r="Z1396">
            <v>0.35</v>
          </cell>
          <cell r="AA1396">
            <v>1746.7059999999999</v>
          </cell>
          <cell r="AB1396"/>
        </row>
        <row r="1397">
          <cell r="C1397">
            <v>0</v>
          </cell>
          <cell r="D1397">
            <v>1</v>
          </cell>
          <cell r="E1397">
            <v>0</v>
          </cell>
          <cell r="F1397">
            <v>0</v>
          </cell>
          <cell r="H1397">
            <v>0</v>
          </cell>
          <cell r="O1397">
            <v>255045</v>
          </cell>
          <cell r="P1397" t="str">
            <v>2021/007-0096-01</v>
          </cell>
          <cell r="Q1397" t="str">
            <v>EST LUMINARIA FOLK CHAO (PONTEIRA MARROM FSC) (CUP/BS RAIZ)</v>
          </cell>
          <cell r="R1397"/>
          <cell r="S1397"/>
          <cell r="T1397">
            <v>0.4</v>
          </cell>
          <cell r="U1397">
            <v>0.4</v>
          </cell>
          <cell r="V1397">
            <v>1.8</v>
          </cell>
          <cell r="W1397">
            <v>0</v>
          </cell>
          <cell r="X1397" t="str">
            <v>EST LUMINARIA FOLK CHAO (PONTEIRA MARROM FSC) (CUP/BS RAIZ) - 0,4x0,4x1,8H</v>
          </cell>
          <cell r="Y1397">
            <v>20541.52</v>
          </cell>
          <cell r="Z1397">
            <v>0.35</v>
          </cell>
          <cell r="AA1397">
            <v>13351.988000000001</v>
          </cell>
          <cell r="AB1397"/>
        </row>
        <row r="1398">
          <cell r="C1398">
            <v>0</v>
          </cell>
          <cell r="D1398">
            <v>1</v>
          </cell>
          <cell r="E1398">
            <v>0</v>
          </cell>
          <cell r="F1398">
            <v>0</v>
          </cell>
          <cell r="H1398">
            <v>0</v>
          </cell>
          <cell r="O1398">
            <v>255052</v>
          </cell>
          <cell r="P1398" t="str">
            <v>2020/072-0080-01</v>
          </cell>
          <cell r="Q1398" t="str">
            <v>EST MESA CENTRO CANCUN (FX5 EXOTIC BRI) (AUT FRAPE)</v>
          </cell>
          <cell r="R1398"/>
          <cell r="S1398"/>
          <cell r="T1398">
            <v>1.1000000000000001</v>
          </cell>
          <cell r="U1398">
            <v>0</v>
          </cell>
          <cell r="V1398">
            <v>0.27</v>
          </cell>
          <cell r="W1398">
            <v>1.1000000000000001</v>
          </cell>
          <cell r="X1398" t="str">
            <v>EST MESA CENTRO CANCUN (FX5 EXOTIC BRI) (AUT FRAPE) - Ø1,1x0,27H</v>
          </cell>
          <cell r="Y1398">
            <v>37749.82</v>
          </cell>
          <cell r="Z1398">
            <v>0.35</v>
          </cell>
          <cell r="AA1398">
            <v>24537.383000000002</v>
          </cell>
          <cell r="AB1398"/>
        </row>
        <row r="1399">
          <cell r="C1399">
            <v>0</v>
          </cell>
          <cell r="D1399">
            <v>1</v>
          </cell>
          <cell r="E1399">
            <v>1</v>
          </cell>
          <cell r="F1399">
            <v>0</v>
          </cell>
          <cell r="H1399">
            <v>0</v>
          </cell>
          <cell r="O1399">
            <v>255054</v>
          </cell>
          <cell r="P1399" t="str">
            <v>2020/027-0058-01</v>
          </cell>
          <cell r="Q1399" t="str">
            <v>EST MESA LATERAL CANCUN (MAD PINT AUT CARBONE) (MARROM FSC)</v>
          </cell>
          <cell r="R1399"/>
          <cell r="S1399"/>
          <cell r="T1399">
            <v>0.6</v>
          </cell>
          <cell r="U1399">
            <v>0</v>
          </cell>
          <cell r="V1399">
            <v>0.62</v>
          </cell>
          <cell r="W1399">
            <v>0.6</v>
          </cell>
          <cell r="X1399" t="str">
            <v>EST MESA LATERAL CANCUN (MAD PINT AUT CARBONE) (MARROM FSC) - Ø0,6x0,62H</v>
          </cell>
          <cell r="Y1399">
            <v>7981.39</v>
          </cell>
          <cell r="Z1399">
            <v>0.35</v>
          </cell>
          <cell r="AA1399">
            <v>5187.9035000000003</v>
          </cell>
          <cell r="AB1399"/>
        </row>
        <row r="1400">
          <cell r="C1400">
            <v>0</v>
          </cell>
          <cell r="D1400">
            <v>1</v>
          </cell>
          <cell r="E1400">
            <v>0</v>
          </cell>
          <cell r="F1400">
            <v>1</v>
          </cell>
          <cell r="H1400">
            <v>0</v>
          </cell>
          <cell r="O1400">
            <v>273070</v>
          </cell>
          <cell r="P1400" t="str">
            <v>2021/018-0035-01</v>
          </cell>
          <cell r="Q1400" t="str">
            <v>EST MESA JANTAR MONIZ (C/GIR) (ESPINHADA D) (LAM 3 FREIJO)</v>
          </cell>
          <cell r="R1400"/>
          <cell r="S1400"/>
          <cell r="T1400">
            <v>1.8</v>
          </cell>
          <cell r="U1400">
            <v>0</v>
          </cell>
          <cell r="V1400">
            <v>0.75</v>
          </cell>
          <cell r="W1400">
            <v>1.8</v>
          </cell>
          <cell r="X1400" t="str">
            <v>EST MESA JANTAR MONIZ (C/GIR) (ESPINHADA D) (LAM 3 FREIJO) - Ø1,8x0,75H</v>
          </cell>
          <cell r="Y1400">
            <v>49371.53</v>
          </cell>
          <cell r="Z1400">
            <v>0.35</v>
          </cell>
          <cell r="AA1400">
            <v>32091.494500000001</v>
          </cell>
          <cell r="AB1400"/>
        </row>
        <row r="1401">
          <cell r="C1401">
            <v>0</v>
          </cell>
          <cell r="D1401">
            <v>1</v>
          </cell>
          <cell r="E1401">
            <v>0</v>
          </cell>
          <cell r="F1401">
            <v>0</v>
          </cell>
          <cell r="H1401">
            <v>0</v>
          </cell>
          <cell r="O1401">
            <v>328739</v>
          </cell>
          <cell r="P1401" t="str">
            <v>2022/199-0009-01</v>
          </cell>
          <cell r="Q1401" t="str">
            <v>EST BUFFET CHUVA (CORPO/PT MTX AZUL ACINZ) (BASE MTZ ONIX)</v>
          </cell>
          <cell r="R1401"/>
          <cell r="S1401"/>
          <cell r="T1401">
            <v>2.7</v>
          </cell>
          <cell r="U1401">
            <v>0.5</v>
          </cell>
          <cell r="V1401">
            <v>0.75</v>
          </cell>
          <cell r="W1401">
            <v>0</v>
          </cell>
          <cell r="X1401" t="str">
            <v>EST BUFFET CHUVA (CORPO/PT MTX AZUL ACINZ) (BASE MTZ ONIX) - 2,7x0,5x0,75H</v>
          </cell>
          <cell r="Y1401">
            <v>38071.49</v>
          </cell>
          <cell r="Z1401">
            <v>0.35</v>
          </cell>
          <cell r="AA1401">
            <v>24746.468499999999</v>
          </cell>
          <cell r="AB1401"/>
        </row>
        <row r="1402">
          <cell r="C1402">
            <v>0</v>
          </cell>
          <cell r="D1402">
            <v>1</v>
          </cell>
          <cell r="E1402">
            <v>0</v>
          </cell>
          <cell r="F1402">
            <v>0</v>
          </cell>
          <cell r="H1402">
            <v>0</v>
          </cell>
          <cell r="O1402">
            <v>353808</v>
          </cell>
          <cell r="P1402" t="str">
            <v>2022/308-0051-01</v>
          </cell>
          <cell r="Q1402" t="str">
            <v>EST MESA CENTRO CRUX (RED MST) (MARM 5 SCARLAT/FREIJO)</v>
          </cell>
          <cell r="R1402"/>
          <cell r="S1402"/>
          <cell r="T1402">
            <v>1.8</v>
          </cell>
          <cell r="U1402">
            <v>1.1000000000000001</v>
          </cell>
          <cell r="V1402">
            <v>0.35</v>
          </cell>
          <cell r="W1402">
            <v>0</v>
          </cell>
          <cell r="X1402" t="str">
            <v>EST MESA CENTRO CRUX (RED MST) (MARM 5 SCARLAT/FREIJO) - 1,8x1,1x0,35H</v>
          </cell>
          <cell r="Y1402">
            <v>51091.89</v>
          </cell>
          <cell r="Z1402">
            <v>0.35</v>
          </cell>
          <cell r="AA1402">
            <v>33209.728499999997</v>
          </cell>
          <cell r="AB1402"/>
        </row>
        <row r="1403">
          <cell r="C1403">
            <v>0</v>
          </cell>
          <cell r="D1403">
            <v>1</v>
          </cell>
          <cell r="E1403">
            <v>0</v>
          </cell>
          <cell r="F1403">
            <v>0</v>
          </cell>
          <cell r="H1403">
            <v>0</v>
          </cell>
          <cell r="O1403">
            <v>378740</v>
          </cell>
          <cell r="P1403" t="str">
            <v>2024/037-0035-01</v>
          </cell>
          <cell r="Q1403" t="str">
            <v>EST MESA JANTAR ELISE (MTX F100 FSC C/VD CLEAR 4MM/BS NOG)</v>
          </cell>
          <cell r="R1403"/>
          <cell r="S1403"/>
          <cell r="T1403">
            <v>3</v>
          </cell>
          <cell r="U1403">
            <v>1.2</v>
          </cell>
          <cell r="V1403">
            <v>0.75</v>
          </cell>
          <cell r="W1403">
            <v>0</v>
          </cell>
          <cell r="X1403" t="str">
            <v>EST MESA JANTAR ELISE (MTX F100 FSC C/VD CLEAR 4MM/BS NOG) - 3x1,2x0,75H</v>
          </cell>
          <cell r="Y1403">
            <v>43430.6</v>
          </cell>
          <cell r="Z1403">
            <v>0.35</v>
          </cell>
          <cell r="AA1403">
            <v>28229.89</v>
          </cell>
          <cell r="AB1403"/>
        </row>
        <row r="1404">
          <cell r="C1404">
            <v>0</v>
          </cell>
          <cell r="D1404">
            <v>1</v>
          </cell>
          <cell r="E1404">
            <v>1</v>
          </cell>
          <cell r="F1404">
            <v>0</v>
          </cell>
          <cell r="H1404">
            <v>0</v>
          </cell>
          <cell r="O1404">
            <v>379648</v>
          </cell>
          <cell r="P1404" t="str">
            <v>2024/081-0059-01</v>
          </cell>
          <cell r="Q1404" t="str">
            <v>EST POLTRONA PATER (JEQUITIBA) COURO 1 CAMEL/ALMOF FX6649</v>
          </cell>
          <cell r="R1404"/>
          <cell r="S1404"/>
          <cell r="T1404">
            <v>0.82</v>
          </cell>
          <cell r="U1404">
            <v>0.94</v>
          </cell>
          <cell r="V1404">
            <v>0.83</v>
          </cell>
          <cell r="W1404">
            <v>0</v>
          </cell>
          <cell r="X1404" t="str">
            <v>EST POLTRONA PATER (JEQUITIBA) COURO 1 CAMEL/ALMOF FX6649 - 0,82x0,94x0,83H</v>
          </cell>
          <cell r="Y1404">
            <v>32716.68</v>
          </cell>
          <cell r="Z1404">
            <v>0.35</v>
          </cell>
          <cell r="AA1404">
            <v>21265.842000000001</v>
          </cell>
          <cell r="AB1404"/>
        </row>
        <row r="1405">
          <cell r="C1405">
            <v>0</v>
          </cell>
          <cell r="D1405">
            <v>1</v>
          </cell>
          <cell r="E1405">
            <v>1</v>
          </cell>
          <cell r="F1405">
            <v>0</v>
          </cell>
          <cell r="H1405">
            <v>0</v>
          </cell>
          <cell r="O1405">
            <v>379649</v>
          </cell>
          <cell r="P1405" t="str">
            <v>2024/081-0062-01</v>
          </cell>
          <cell r="Q1405" t="str">
            <v>EST BANQUETA PATER (JEQUITIBA) COURO 1 CAMEL/ALMOF FX6649</v>
          </cell>
          <cell r="R1405"/>
          <cell r="S1405"/>
          <cell r="T1405">
            <v>0.66</v>
          </cell>
          <cell r="U1405">
            <v>0.51</v>
          </cell>
          <cell r="V1405">
            <v>0.47</v>
          </cell>
          <cell r="W1405">
            <v>0</v>
          </cell>
          <cell r="X1405" t="str">
            <v>EST BANQUETA PATER (JEQUITIBA) COURO 1 CAMEL/ALMOF FX6649 - 0,66x0,51x0,47H</v>
          </cell>
          <cell r="Y1405">
            <v>14786.6</v>
          </cell>
          <cell r="Z1405">
            <v>0.35</v>
          </cell>
          <cell r="AA1405">
            <v>9611.2900000000009</v>
          </cell>
          <cell r="AB1405"/>
        </row>
        <row r="1406">
          <cell r="C1406">
            <v>0</v>
          </cell>
          <cell r="D1406">
            <v>1</v>
          </cell>
          <cell r="E1406">
            <v>0</v>
          </cell>
          <cell r="F1406">
            <v>0</v>
          </cell>
          <cell r="H1406">
            <v>0</v>
          </cell>
          <cell r="O1406">
            <v>379659</v>
          </cell>
          <cell r="P1406" t="str">
            <v>2024/099-0032-01</v>
          </cell>
          <cell r="Q1406" t="str">
            <v>EST APOIO DE CABECA NEW ARAGON (MTZ CAPU) TC B2271</v>
          </cell>
          <cell r="R1406"/>
          <cell r="S1406"/>
          <cell r="T1406">
            <v>0.65</v>
          </cell>
          <cell r="U1406">
            <v>0.12</v>
          </cell>
          <cell r="V1406">
            <v>0.75</v>
          </cell>
          <cell r="W1406">
            <v>0</v>
          </cell>
          <cell r="X1406" t="str">
            <v>EST APOIO DE CABECA NEW ARAGON (MTZ CAPU) TC B2271 - 0,65x0,12x0,75H</v>
          </cell>
          <cell r="Y1406">
            <v>5034.8500000000004</v>
          </cell>
          <cell r="Z1406">
            <v>0.35</v>
          </cell>
          <cell r="AA1406">
            <v>3272.6525000000001</v>
          </cell>
          <cell r="AB1406"/>
        </row>
        <row r="1407">
          <cell r="C1407">
            <v>2</v>
          </cell>
          <cell r="D1407">
            <v>1</v>
          </cell>
          <cell r="E1407">
            <v>0</v>
          </cell>
          <cell r="F1407">
            <v>5</v>
          </cell>
          <cell r="H1407">
            <v>1</v>
          </cell>
          <cell r="O1407">
            <v>379867</v>
          </cell>
          <cell r="P1407" t="str">
            <v>2024/072-0093-01</v>
          </cell>
          <cell r="Q1407" t="str">
            <v>EST BANDEJA MONDRIAN (DARK BRONZE) MAMMUT</v>
          </cell>
          <cell r="R1407"/>
          <cell r="S1407"/>
          <cell r="T1407">
            <v>0.56000000000000005</v>
          </cell>
          <cell r="U1407">
            <v>0.41</v>
          </cell>
          <cell r="V1407">
            <v>0.04</v>
          </cell>
          <cell r="W1407">
            <v>0</v>
          </cell>
          <cell r="X1407" t="str">
            <v>EST BANDEJA MONDRIAN (DARK BRONZE) MAMMUT - 0,56x0,41x0,04H</v>
          </cell>
          <cell r="Y1407">
            <v>4954.84</v>
          </cell>
          <cell r="Z1407">
            <v>0.35</v>
          </cell>
          <cell r="AA1407">
            <v>3220.6460000000002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2</v>
          </cell>
          <cell r="H1408">
            <v>2</v>
          </cell>
          <cell r="O1408">
            <v>389953</v>
          </cell>
          <cell r="P1408" t="str">
            <v>2024/267-0072-01</v>
          </cell>
          <cell r="Q1408" t="str">
            <v>EST MODULO PUFF LENCOIS M OUTDOOR TC KEEPSAKE TAUPE</v>
          </cell>
          <cell r="R1408"/>
          <cell r="S1408"/>
          <cell r="T1408">
            <v>1.7</v>
          </cell>
          <cell r="U1408">
            <v>1</v>
          </cell>
          <cell r="V1408">
            <v>0.38</v>
          </cell>
          <cell r="W1408">
            <v>0</v>
          </cell>
          <cell r="X1408" t="str">
            <v>EST MODULO PUFF LENCOIS M OUTDOOR TC KEEPSAKE TAUPE - 1,7x1x0,38H</v>
          </cell>
          <cell r="Y1408">
            <v>26097.426900000002</v>
          </cell>
          <cell r="Z1408">
            <v>0.35</v>
          </cell>
          <cell r="AA1408">
            <v>16963.327485000002</v>
          </cell>
          <cell r="AB1408"/>
        </row>
        <row r="1409"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H1409">
            <v>2</v>
          </cell>
          <cell r="O1409">
            <v>389954</v>
          </cell>
          <cell r="P1409" t="str">
            <v>2024/267-0077-01</v>
          </cell>
          <cell r="Q1409" t="str">
            <v>EST MODULO ENCOSTO (L) LENCOIS M OUTDOOR TC KEEPSAKE TAUPE</v>
          </cell>
          <cell r="R1409"/>
          <cell r="S1409"/>
          <cell r="T1409">
            <v>0.8</v>
          </cell>
          <cell r="U1409">
            <v>0.8</v>
          </cell>
          <cell r="V1409">
            <v>0.26</v>
          </cell>
          <cell r="W1409">
            <v>0</v>
          </cell>
          <cell r="X1409" t="str">
            <v>EST MODULO ENCOSTO (L) LENCOIS M OUTDOOR TC KEEPSAKE TAUPE - 0,8x0,8x0,26H</v>
          </cell>
          <cell r="Y1409">
            <v>6989.4105</v>
          </cell>
          <cell r="Z1409">
            <v>0.35</v>
          </cell>
          <cell r="AA1409">
            <v>4543.1168250000001</v>
          </cell>
          <cell r="AB1409"/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2</v>
          </cell>
          <cell r="H1410">
            <v>1</v>
          </cell>
          <cell r="O1410">
            <v>389958</v>
          </cell>
          <cell r="P1410" t="str">
            <v>2024/267-0088-01</v>
          </cell>
          <cell r="Q1410" t="str">
            <v>EST ALMOFADA DECORATIVA LENCOIS M OUTDOOR TC KEEPSAKE TAUPE</v>
          </cell>
          <cell r="R1410"/>
          <cell r="S1410"/>
          <cell r="T1410">
            <v>0.6</v>
          </cell>
          <cell r="U1410">
            <v>0.6</v>
          </cell>
          <cell r="V1410">
            <v>0</v>
          </cell>
          <cell r="W1410">
            <v>0</v>
          </cell>
          <cell r="X1410" t="str">
            <v>EST ALMOFADA DECORATIVA LENCOIS M OUTDOOR TC KEEPSAKE TAUPE - 0,6x0,6x0H</v>
          </cell>
          <cell r="Y1410">
            <v>1751.3990200000003</v>
          </cell>
          <cell r="Z1410">
            <v>0.35</v>
          </cell>
          <cell r="AA1410">
            <v>1138.4093630000002</v>
          </cell>
          <cell r="AB1410"/>
        </row>
        <row r="1411">
          <cell r="C1411">
            <v>0</v>
          </cell>
          <cell r="D1411">
            <v>2</v>
          </cell>
          <cell r="E1411">
            <v>0</v>
          </cell>
          <cell r="F1411">
            <v>0</v>
          </cell>
          <cell r="H1411">
            <v>0</v>
          </cell>
          <cell r="O1411">
            <v>394911</v>
          </cell>
          <cell r="P1411" t="str">
            <v>2025/014-0029-01</v>
          </cell>
          <cell r="Q1411" t="str">
            <v>EST POLTRONA COCON (GIR) (ENC FX D4235) (FX D4235)</v>
          </cell>
          <cell r="R1411"/>
          <cell r="S1411"/>
          <cell r="T1411">
            <v>0.95</v>
          </cell>
          <cell r="U1411">
            <v>0.9</v>
          </cell>
          <cell r="V1411">
            <v>0.74</v>
          </cell>
          <cell r="W1411">
            <v>0</v>
          </cell>
          <cell r="X1411" t="str">
            <v>EST POLTRONA COCON (GIR) (ENC FX D4235) (FX D4235) - 0,95x0,9x0,74H</v>
          </cell>
          <cell r="Y1411">
            <v>9757.84</v>
          </cell>
          <cell r="Z1411">
            <v>0.35</v>
          </cell>
          <cell r="AA1411">
            <v>6342.5960000000005</v>
          </cell>
          <cell r="AB1411"/>
        </row>
        <row r="1412">
          <cell r="C1412">
            <v>0</v>
          </cell>
          <cell r="D1412">
            <v>2</v>
          </cell>
          <cell r="E1412">
            <v>0</v>
          </cell>
          <cell r="F1412">
            <v>0</v>
          </cell>
          <cell r="H1412">
            <v>0</v>
          </cell>
          <cell r="O1412">
            <v>394911</v>
          </cell>
          <cell r="P1412" t="str">
            <v>2025/014-0030-01</v>
          </cell>
          <cell r="Q1412" t="str">
            <v>EST POLTRONA COCON (GIR) (ENC FX D4235) (FX D4235)</v>
          </cell>
          <cell r="R1412"/>
          <cell r="S1412"/>
          <cell r="T1412">
            <v>0.95</v>
          </cell>
          <cell r="U1412">
            <v>0.9</v>
          </cell>
          <cell r="V1412">
            <v>0.74</v>
          </cell>
          <cell r="W1412">
            <v>0</v>
          </cell>
          <cell r="X1412" t="str">
            <v>EST POLTRONA COCON (GIR) (ENC FX D4235) (FX D4235) - 0,95x0,9x0,74H</v>
          </cell>
          <cell r="Y1412">
            <v>9757.84</v>
          </cell>
          <cell r="Z1412">
            <v>0.35</v>
          </cell>
          <cell r="AA1412">
            <v>6342.5960000000005</v>
          </cell>
          <cell r="AB1412"/>
        </row>
        <row r="1413">
          <cell r="C1413">
            <v>0</v>
          </cell>
          <cell r="D1413">
            <v>1</v>
          </cell>
          <cell r="E1413">
            <v>0</v>
          </cell>
          <cell r="F1413">
            <v>0</v>
          </cell>
          <cell r="H1413">
            <v>0</v>
          </cell>
          <cell r="O1413">
            <v>394926</v>
          </cell>
          <cell r="P1413" t="str">
            <v>2025/118-0022-01</v>
          </cell>
          <cell r="Q1413" t="str">
            <v>EST MESA CENTRO ESSENCE ORGANICA (MTZ CAPPUC) CLEAR/WALNUT</v>
          </cell>
          <cell r="R1413"/>
          <cell r="S1413"/>
          <cell r="T1413">
            <v>0.8</v>
          </cell>
          <cell r="U1413">
            <v>0.8</v>
          </cell>
          <cell r="V1413">
            <v>0.35</v>
          </cell>
          <cell r="W1413">
            <v>0</v>
          </cell>
          <cell r="X1413" t="str">
            <v>EST MESA CENTRO ESSENCE ORGANICA (MTZ CAPPUC) CLEAR/WALNUT - 0,8x0,8x0,35H</v>
          </cell>
          <cell r="Y1413">
            <v>18075.099999999999</v>
          </cell>
          <cell r="Z1413">
            <v>0.35</v>
          </cell>
          <cell r="AA1413">
            <v>11748.814999999999</v>
          </cell>
          <cell r="AB1413"/>
        </row>
        <row r="1414">
          <cell r="C1414">
            <v>0</v>
          </cell>
          <cell r="D1414">
            <v>1</v>
          </cell>
          <cell r="E1414">
            <v>0</v>
          </cell>
          <cell r="F1414">
            <v>0</v>
          </cell>
          <cell r="H1414">
            <v>0</v>
          </cell>
          <cell r="O1414">
            <v>206589</v>
          </cell>
          <cell r="P1414" t="str">
            <v>2017/080-0140-01</v>
          </cell>
          <cell r="Q1414" t="str">
            <v>EST MESA LATERAL BORDER (TP NOGAL/BS ALCA PINT BROWN)</v>
          </cell>
          <cell r="R1414"/>
          <cell r="S1414"/>
          <cell r="T1414">
            <v>0.53</v>
          </cell>
          <cell r="U1414">
            <v>0.53</v>
          </cell>
          <cell r="V1414">
            <v>0.56999999999999995</v>
          </cell>
          <cell r="W1414">
            <v>0</v>
          </cell>
          <cell r="X1414" t="str">
            <v>EST MESA LATERAL BORDER (TP NOGAL/BS ALCA PINT BROWN) - 0,53x0,53x0,57H</v>
          </cell>
          <cell r="Y1414">
            <v>3953.73</v>
          </cell>
          <cell r="Z1414">
            <v>0.5</v>
          </cell>
          <cell r="AA1414">
            <v>1976.865</v>
          </cell>
          <cell r="AB1414"/>
        </row>
        <row r="1415">
          <cell r="C1415">
            <v>0</v>
          </cell>
          <cell r="D1415">
            <v>2</v>
          </cell>
          <cell r="E1415">
            <v>0</v>
          </cell>
          <cell r="F1415">
            <v>0</v>
          </cell>
          <cell r="H1415">
            <v>0</v>
          </cell>
          <cell r="O1415">
            <v>255046</v>
          </cell>
          <cell r="P1415" t="str">
            <v>2021/050-0204-01</v>
          </cell>
          <cell r="Q1415" t="str">
            <v>EST LUMINARIA FOLK MESA (PONTEIRA MARROM FSC) (CUP/BS RAIZ)</v>
          </cell>
          <cell r="R1415"/>
          <cell r="S1415"/>
          <cell r="T1415">
            <v>0.3</v>
          </cell>
          <cell r="U1415">
            <v>0.3</v>
          </cell>
          <cell r="V1415">
            <v>0.72</v>
          </cell>
          <cell r="W1415">
            <v>0</v>
          </cell>
          <cell r="X1415" t="str">
            <v>EST LUMINARIA FOLK MESA (PONTEIRA MARROM FSC) (CUP/BS RAIZ) - 0,3x0,3x0,72H</v>
          </cell>
          <cell r="Y1415">
            <v>16370.68</v>
          </cell>
          <cell r="Z1415">
            <v>0.5</v>
          </cell>
          <cell r="AA1415">
            <v>8185.34</v>
          </cell>
          <cell r="AB1415"/>
        </row>
        <row r="1416">
          <cell r="C1416">
            <v>0</v>
          </cell>
          <cell r="D1416">
            <v>2</v>
          </cell>
          <cell r="E1416">
            <v>0</v>
          </cell>
          <cell r="F1416">
            <v>0</v>
          </cell>
          <cell r="H1416">
            <v>0</v>
          </cell>
          <cell r="O1416">
            <v>255046</v>
          </cell>
          <cell r="P1416" t="str">
            <v>2020/072-0086-01</v>
          </cell>
          <cell r="Q1416" t="str">
            <v>EST LUMINARIA FOLK MESA (PONTEIRA MARROM FSC) (CUP/BS RAIZ)</v>
          </cell>
          <cell r="R1416"/>
          <cell r="S1416"/>
          <cell r="T1416">
            <v>0.3</v>
          </cell>
          <cell r="U1416">
            <v>0.3</v>
          </cell>
          <cell r="V1416">
            <v>0.72</v>
          </cell>
          <cell r="W1416">
            <v>0</v>
          </cell>
          <cell r="X1416" t="str">
            <v>EST LUMINARIA FOLK MESA (PONTEIRA MARROM FSC) (CUP/BS RAIZ) - 0,3x0,3x0,72H</v>
          </cell>
          <cell r="Y1416">
            <v>16370.68</v>
          </cell>
          <cell r="Z1416">
            <v>0.5</v>
          </cell>
          <cell r="AA1416">
            <v>8185.34</v>
          </cell>
          <cell r="AB1416"/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H1417">
            <v>0</v>
          </cell>
          <cell r="O1417">
            <v>255047</v>
          </cell>
          <cell r="P1417" t="str">
            <v>2020/072-0087-01</v>
          </cell>
          <cell r="Q1417" t="str">
            <v>EST LUMINARIA FOLK MESA (PONTEIRA AUT FRAPE) (CUP/BS FAJO)</v>
          </cell>
          <cell r="R1417"/>
          <cell r="S1417"/>
          <cell r="T1417">
            <v>0.3</v>
          </cell>
          <cell r="U1417">
            <v>0.3</v>
          </cell>
          <cell r="V1417">
            <v>0.72</v>
          </cell>
          <cell r="W1417">
            <v>0</v>
          </cell>
          <cell r="X1417" t="str">
            <v>EST LUMINARIA FOLK MESA (PONTEIRA AUT FRAPE) (CUP/BS FAJO) - 0,3x0,3x0,72H</v>
          </cell>
          <cell r="Y1417">
            <v>16370.68</v>
          </cell>
          <cell r="Z1417">
            <v>0.5</v>
          </cell>
          <cell r="AA1417">
            <v>8185.34</v>
          </cell>
          <cell r="AB1417"/>
        </row>
        <row r="1418">
          <cell r="C1418">
            <v>0</v>
          </cell>
          <cell r="D1418">
            <v>1</v>
          </cell>
          <cell r="E1418">
            <v>0</v>
          </cell>
          <cell r="F1418">
            <v>0</v>
          </cell>
          <cell r="H1418">
            <v>0</v>
          </cell>
          <cell r="O1418">
            <v>255049</v>
          </cell>
          <cell r="P1418" t="str">
            <v>2020/066-0040-01</v>
          </cell>
          <cell r="Q1418" t="str">
            <v>EST BANDEJA PLENN 2269W (LAMINA FAJO)</v>
          </cell>
          <cell r="R1418"/>
          <cell r="S1418"/>
          <cell r="T1418">
            <v>0.57999999999999996</v>
          </cell>
          <cell r="U1418">
            <v>0</v>
          </cell>
          <cell r="V1418">
            <v>0.04</v>
          </cell>
          <cell r="W1418">
            <v>0.57999999999999996</v>
          </cell>
          <cell r="X1418" t="str">
            <v>EST BANDEJA PLENN 2269W (LAMINA FAJO) - Ø0,58x0,04H</v>
          </cell>
          <cell r="Y1418">
            <v>3083.9</v>
          </cell>
          <cell r="Z1418">
            <v>0.5</v>
          </cell>
          <cell r="AA1418">
            <v>1541.95</v>
          </cell>
          <cell r="AB1418"/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H1419">
            <v>0</v>
          </cell>
          <cell r="O1419">
            <v>328886</v>
          </cell>
          <cell r="P1419" t="str">
            <v>2022/200-0049-01</v>
          </cell>
          <cell r="Q1419" t="str">
            <v>EST MESA CENTRO BALLET II (FX4 CALACATA BRI) (COMBINATA FSC)</v>
          </cell>
          <cell r="R1419"/>
          <cell r="S1419"/>
          <cell r="T1419">
            <v>1</v>
          </cell>
          <cell r="U1419">
            <v>0</v>
          </cell>
          <cell r="V1419">
            <v>0.35</v>
          </cell>
          <cell r="W1419">
            <v>1</v>
          </cell>
          <cell r="X1419" t="str">
            <v>EST MESA CENTRO BALLET II (FX4 CALACATA BRI) (COMBINATA FSC) - Ø1x0,35H</v>
          </cell>
          <cell r="Y1419">
            <v>47723.29</v>
          </cell>
          <cell r="Z1419">
            <v>0.5</v>
          </cell>
          <cell r="AA1419">
            <v>23861.645</v>
          </cell>
          <cell r="AB1419"/>
        </row>
        <row r="1420"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H1420">
            <v>2</v>
          </cell>
          <cell r="O1420">
            <v>334175</v>
          </cell>
          <cell r="P1420" t="str">
            <v>2022/196-0062-01</v>
          </cell>
          <cell r="Q1420" t="str">
            <v>EST POLTRONA PATER (IMBUIA) TAURUS 30/ALMOF FX10008</v>
          </cell>
          <cell r="R1420"/>
          <cell r="S1420"/>
          <cell r="T1420">
            <v>0.82</v>
          </cell>
          <cell r="U1420">
            <v>0.94</v>
          </cell>
          <cell r="V1420">
            <v>0.83</v>
          </cell>
          <cell r="W1420">
            <v>0</v>
          </cell>
          <cell r="X1420" t="str">
            <v>EST POLTRONA PATER (IMBUIA) TAURUS 30/ALMOF FX10008 - 0,82x0,94x0,83H</v>
          </cell>
          <cell r="Y1420">
            <v>32157.17</v>
          </cell>
          <cell r="Z1420">
            <v>0.5</v>
          </cell>
          <cell r="AA1420">
            <v>16078.584999999999</v>
          </cell>
          <cell r="AB1420"/>
        </row>
        <row r="1421"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H1421">
            <v>1</v>
          </cell>
          <cell r="O1421">
            <v>334465</v>
          </cell>
          <cell r="P1421" t="str">
            <v>2022/222-0048-01</v>
          </cell>
          <cell r="Q1421" t="str">
            <v>EST BANQUETA PATER (IMBUIA) TAURUS 30/ALMOF  FX10008</v>
          </cell>
          <cell r="R1421"/>
          <cell r="S1421"/>
          <cell r="T1421">
            <v>0.66</v>
          </cell>
          <cell r="U1421">
            <v>0.51</v>
          </cell>
          <cell r="V1421">
            <v>0.47</v>
          </cell>
          <cell r="W1421">
            <v>0</v>
          </cell>
          <cell r="X1421" t="str">
            <v>EST BANQUETA PATER (IMBUIA) TAURUS 30/ALMOF  FX10008 - 0,66x0,51x0,47H</v>
          </cell>
          <cell r="Y1421">
            <v>16580.84</v>
          </cell>
          <cell r="Z1421">
            <v>0.5</v>
          </cell>
          <cell r="AA1421">
            <v>8290.42</v>
          </cell>
          <cell r="AB1421"/>
        </row>
        <row r="1422">
          <cell r="C1422">
            <v>0</v>
          </cell>
          <cell r="D1422">
            <v>8</v>
          </cell>
          <cell r="E1422">
            <v>0</v>
          </cell>
          <cell r="F1422">
            <v>0</v>
          </cell>
          <cell r="H1422">
            <v>0</v>
          </cell>
          <cell r="O1422">
            <v>371344</v>
          </cell>
          <cell r="P1422" t="str">
            <v>2023/247-0001-01</v>
          </cell>
          <cell r="Q1422" t="str">
            <v>EST CADEIRA JUSSARA (AMENDOA) COURO CH ENV 16</v>
          </cell>
          <cell r="R1422"/>
          <cell r="S1422"/>
          <cell r="T1422">
            <v>0.48</v>
          </cell>
          <cell r="U1422">
            <v>0.6</v>
          </cell>
          <cell r="V1422">
            <v>0.89</v>
          </cell>
          <cell r="W1422">
            <v>0</v>
          </cell>
          <cell r="X1422" t="str">
            <v>EST CADEIRA JUSSARA (AMENDOA) COURO CH ENV 16 - 0,48x0,6x0,89H</v>
          </cell>
          <cell r="Y1422">
            <v>6661.49</v>
          </cell>
          <cell r="Z1422">
            <v>0.5</v>
          </cell>
          <cell r="AA1422">
            <v>3330.7449999999999</v>
          </cell>
          <cell r="AB1422"/>
        </row>
        <row r="1423">
          <cell r="C1423">
            <v>0</v>
          </cell>
          <cell r="D1423">
            <v>8</v>
          </cell>
          <cell r="E1423">
            <v>0</v>
          </cell>
          <cell r="F1423">
            <v>0</v>
          </cell>
          <cell r="H1423">
            <v>0</v>
          </cell>
          <cell r="O1423">
            <v>371344</v>
          </cell>
          <cell r="P1423" t="str">
            <v>2023/247-0002-01</v>
          </cell>
          <cell r="Q1423" t="str">
            <v>EST CADEIRA JUSSARA (AMENDOA) COURO CH ENV 16</v>
          </cell>
          <cell r="R1423"/>
          <cell r="S1423"/>
          <cell r="T1423">
            <v>0.48</v>
          </cell>
          <cell r="U1423">
            <v>0.6</v>
          </cell>
          <cell r="V1423">
            <v>0.89</v>
          </cell>
          <cell r="W1423">
            <v>0</v>
          </cell>
          <cell r="X1423" t="str">
            <v>EST CADEIRA JUSSARA (AMENDOA) COURO CH ENV 16 - 0,48x0,6x0,89H</v>
          </cell>
          <cell r="Y1423">
            <v>6661.49</v>
          </cell>
          <cell r="Z1423">
            <v>0.5</v>
          </cell>
          <cell r="AA1423">
            <v>3330.7449999999999</v>
          </cell>
          <cell r="AB1423"/>
        </row>
        <row r="1424">
          <cell r="C1424">
            <v>0</v>
          </cell>
          <cell r="D1424">
            <v>8</v>
          </cell>
          <cell r="E1424">
            <v>0</v>
          </cell>
          <cell r="F1424">
            <v>0</v>
          </cell>
          <cell r="H1424">
            <v>0</v>
          </cell>
          <cell r="O1424">
            <v>371344</v>
          </cell>
          <cell r="P1424" t="str">
            <v>2023/247-0003-01</v>
          </cell>
          <cell r="Q1424" t="str">
            <v>EST CADEIRA JUSSARA (AMENDOA) COURO CH ENV 16</v>
          </cell>
          <cell r="R1424"/>
          <cell r="S1424"/>
          <cell r="T1424">
            <v>0.48</v>
          </cell>
          <cell r="U1424">
            <v>0.6</v>
          </cell>
          <cell r="V1424">
            <v>0.89</v>
          </cell>
          <cell r="W1424">
            <v>0</v>
          </cell>
          <cell r="X1424" t="str">
            <v>EST CADEIRA JUSSARA (AMENDOA) COURO CH ENV 16 - 0,48x0,6x0,89H</v>
          </cell>
          <cell r="Y1424">
            <v>6661.49</v>
          </cell>
          <cell r="Z1424">
            <v>0.5</v>
          </cell>
          <cell r="AA1424">
            <v>3330.7449999999999</v>
          </cell>
          <cell r="AB1424"/>
        </row>
        <row r="1425">
          <cell r="C1425">
            <v>0</v>
          </cell>
          <cell r="D1425">
            <v>8</v>
          </cell>
          <cell r="E1425">
            <v>0</v>
          </cell>
          <cell r="F1425">
            <v>0</v>
          </cell>
          <cell r="H1425">
            <v>0</v>
          </cell>
          <cell r="O1425">
            <v>371344</v>
          </cell>
          <cell r="P1425" t="str">
            <v>2023/247-0004-01</v>
          </cell>
          <cell r="Q1425" t="str">
            <v>EST CADEIRA JUSSARA (AMENDOA) COURO CH ENV 16</v>
          </cell>
          <cell r="R1425"/>
          <cell r="S1425"/>
          <cell r="T1425">
            <v>0.48</v>
          </cell>
          <cell r="U1425">
            <v>0.6</v>
          </cell>
          <cell r="V1425">
            <v>0.89</v>
          </cell>
          <cell r="W1425">
            <v>0</v>
          </cell>
          <cell r="X1425" t="str">
            <v>EST CADEIRA JUSSARA (AMENDOA) COURO CH ENV 16 - 0,48x0,6x0,89H</v>
          </cell>
          <cell r="Y1425">
            <v>6661.49</v>
          </cell>
          <cell r="Z1425">
            <v>0.5</v>
          </cell>
          <cell r="AA1425">
            <v>3330.7449999999999</v>
          </cell>
          <cell r="AB1425"/>
        </row>
        <row r="1426">
          <cell r="C1426">
            <v>0</v>
          </cell>
          <cell r="D1426">
            <v>8</v>
          </cell>
          <cell r="E1426">
            <v>0</v>
          </cell>
          <cell r="F1426">
            <v>0</v>
          </cell>
          <cell r="H1426">
            <v>0</v>
          </cell>
          <cell r="O1426">
            <v>371344</v>
          </cell>
          <cell r="P1426" t="str">
            <v>2023/247-0005-01</v>
          </cell>
          <cell r="Q1426" t="str">
            <v>EST CADEIRA JUSSARA (AMENDOA) COURO CH ENV 16</v>
          </cell>
          <cell r="R1426"/>
          <cell r="S1426"/>
          <cell r="T1426">
            <v>0.48</v>
          </cell>
          <cell r="U1426">
            <v>0.6</v>
          </cell>
          <cell r="V1426">
            <v>0.89</v>
          </cell>
          <cell r="W1426">
            <v>0</v>
          </cell>
          <cell r="X1426" t="str">
            <v>EST CADEIRA JUSSARA (AMENDOA) COURO CH ENV 16 - 0,48x0,6x0,89H</v>
          </cell>
          <cell r="Y1426">
            <v>6661.49</v>
          </cell>
          <cell r="Z1426">
            <v>0.5</v>
          </cell>
          <cell r="AA1426">
            <v>3330.7449999999999</v>
          </cell>
          <cell r="AB1426"/>
        </row>
        <row r="1427">
          <cell r="C1427">
            <v>0</v>
          </cell>
          <cell r="D1427">
            <v>8</v>
          </cell>
          <cell r="E1427">
            <v>0</v>
          </cell>
          <cell r="F1427">
            <v>0</v>
          </cell>
          <cell r="H1427">
            <v>0</v>
          </cell>
          <cell r="O1427">
            <v>371344</v>
          </cell>
          <cell r="P1427" t="str">
            <v>2023/247-0007-01</v>
          </cell>
          <cell r="Q1427" t="str">
            <v>EST CADEIRA JUSSARA (AMENDOA) COURO CH ENV 16</v>
          </cell>
          <cell r="R1427"/>
          <cell r="S1427"/>
          <cell r="T1427">
            <v>0.48</v>
          </cell>
          <cell r="U1427">
            <v>0.6</v>
          </cell>
          <cell r="V1427">
            <v>0.89</v>
          </cell>
          <cell r="W1427">
            <v>0</v>
          </cell>
          <cell r="X1427" t="str">
            <v>EST CADEIRA JUSSARA (AMENDOA) COURO CH ENV 16 - 0,48x0,6x0,89H</v>
          </cell>
          <cell r="Y1427">
            <v>6661.49</v>
          </cell>
          <cell r="Z1427">
            <v>0.5</v>
          </cell>
          <cell r="AA1427">
            <v>3330.7449999999999</v>
          </cell>
          <cell r="AB1427"/>
        </row>
        <row r="1428">
          <cell r="C1428">
            <v>0</v>
          </cell>
          <cell r="D1428">
            <v>8</v>
          </cell>
          <cell r="E1428">
            <v>0</v>
          </cell>
          <cell r="F1428">
            <v>0</v>
          </cell>
          <cell r="H1428">
            <v>0</v>
          </cell>
          <cell r="O1428">
            <v>371344</v>
          </cell>
          <cell r="P1428" t="str">
            <v>2023/247-0008-01</v>
          </cell>
          <cell r="Q1428" t="str">
            <v>EST CADEIRA JUSSARA (AMENDOA) COURO CH ENV 16</v>
          </cell>
          <cell r="R1428"/>
          <cell r="S1428"/>
          <cell r="T1428">
            <v>0.48</v>
          </cell>
          <cell r="U1428">
            <v>0.6</v>
          </cell>
          <cell r="V1428">
            <v>0.89</v>
          </cell>
          <cell r="W1428">
            <v>0</v>
          </cell>
          <cell r="X1428" t="str">
            <v>EST CADEIRA JUSSARA (AMENDOA) COURO CH ENV 16 - 0,48x0,6x0,89H</v>
          </cell>
          <cell r="Y1428">
            <v>6661.49</v>
          </cell>
          <cell r="Z1428">
            <v>0.5</v>
          </cell>
          <cell r="AA1428">
            <v>3330.7449999999999</v>
          </cell>
          <cell r="AB1428"/>
        </row>
        <row r="1429">
          <cell r="C1429">
            <v>0</v>
          </cell>
          <cell r="D1429">
            <v>8</v>
          </cell>
          <cell r="E1429">
            <v>0</v>
          </cell>
          <cell r="F1429">
            <v>0</v>
          </cell>
          <cell r="H1429">
            <v>0</v>
          </cell>
          <cell r="O1429">
            <v>371344</v>
          </cell>
          <cell r="P1429" t="str">
            <v>2023/247-0006-01</v>
          </cell>
          <cell r="Q1429" t="str">
            <v>EST CADEIRA JUSSARA (AMENDOA) COURO CH ENV 16</v>
          </cell>
          <cell r="R1429"/>
          <cell r="S1429"/>
          <cell r="T1429">
            <v>0.48</v>
          </cell>
          <cell r="U1429">
            <v>0.6</v>
          </cell>
          <cell r="V1429">
            <v>0.89</v>
          </cell>
          <cell r="W1429">
            <v>0</v>
          </cell>
          <cell r="X1429" t="str">
            <v>EST CADEIRA JUSSARA (AMENDOA) COURO CH ENV 16 - 0,48x0,6x0,89H</v>
          </cell>
          <cell r="Y1429">
            <v>6661.49</v>
          </cell>
          <cell r="Z1429">
            <v>0.5</v>
          </cell>
          <cell r="AA1429">
            <v>3330.7449999999999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1</v>
          </cell>
          <cell r="O1430">
            <v>233669</v>
          </cell>
          <cell r="P1430" t="str">
            <v>2019/149-0128-01</v>
          </cell>
          <cell r="Q1430" t="str">
            <v>EST PUFF DINN (CARVALHO CARBONO) COURO BLACK 7</v>
          </cell>
          <cell r="R1430"/>
          <cell r="S1430"/>
          <cell r="T1430">
            <v>1.5</v>
          </cell>
          <cell r="U1430">
            <v>0.7</v>
          </cell>
          <cell r="V1430">
            <v>0.4</v>
          </cell>
          <cell r="W1430">
            <v>0</v>
          </cell>
          <cell r="X1430" t="str">
            <v>EST PUFF DINN (CARVALHO CARBONO) COURO BLACK 7 - 1,5x0,7x0,4H</v>
          </cell>
          <cell r="Y1430">
            <v>26880.01</v>
          </cell>
          <cell r="Z1430">
            <v>0.5</v>
          </cell>
          <cell r="AA1430">
            <v>13440.004999999999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253850</v>
          </cell>
          <cell r="P1431" t="str">
            <v>2019/330-0012-01</v>
          </cell>
          <cell r="Q1431" t="str">
            <v>EST BANDEJA URBANA (M) H18 (DET LATAO) (TAUARI NATURAL)</v>
          </cell>
          <cell r="R1431"/>
          <cell r="S1431"/>
          <cell r="T1431">
            <v>0.25</v>
          </cell>
          <cell r="U1431">
            <v>0</v>
          </cell>
          <cell r="V1431">
            <v>0.18</v>
          </cell>
          <cell r="W1431">
            <v>0.25</v>
          </cell>
          <cell r="X1431" t="str">
            <v>EST BANDEJA URBANA (M) H18 (DET LATAO) (TAUARI NATURAL) - Ø0,25x0,18H</v>
          </cell>
          <cell r="Y1431">
            <v>2687.24</v>
          </cell>
          <cell r="Z1431">
            <v>0.5</v>
          </cell>
          <cell r="AA1431">
            <v>1343.62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253850</v>
          </cell>
          <cell r="P1432" t="str">
            <v>2019/337-0034-01</v>
          </cell>
          <cell r="Q1432" t="str">
            <v>EST BANDEJA URBANA (M) H18 (DET LATAO) (TAUARI NATURAL)</v>
          </cell>
          <cell r="R1432"/>
          <cell r="S1432"/>
          <cell r="T1432">
            <v>0.25</v>
          </cell>
          <cell r="U1432">
            <v>0</v>
          </cell>
          <cell r="V1432">
            <v>0.18</v>
          </cell>
          <cell r="W1432">
            <v>0.25</v>
          </cell>
          <cell r="X1432" t="str">
            <v>EST BANDEJA URBANA (M) H18 (DET LATAO) (TAUARI NATURAL) - Ø0,25x0,18H</v>
          </cell>
          <cell r="Y1432">
            <v>2687.24</v>
          </cell>
          <cell r="Z1432">
            <v>0.5</v>
          </cell>
          <cell r="AA1432">
            <v>1343.62</v>
          </cell>
          <cell r="AB1432"/>
        </row>
        <row r="1433">
          <cell r="C1433">
            <v>1</v>
          </cell>
          <cell r="D1433">
            <v>2</v>
          </cell>
          <cell r="E1433">
            <v>0</v>
          </cell>
          <cell r="F1433">
            <v>0</v>
          </cell>
          <cell r="H1433">
            <v>0</v>
          </cell>
          <cell r="O1433">
            <v>253852</v>
          </cell>
          <cell r="P1433" t="str">
            <v>2019/337-0035-01</v>
          </cell>
          <cell r="Q1433" t="str">
            <v>EST BANDEJA URBANA (M) H18 (DET LATAO) (TAUARI EBANIZADA)</v>
          </cell>
          <cell r="R1433"/>
          <cell r="S1433"/>
          <cell r="T1433">
            <v>0.25</v>
          </cell>
          <cell r="U1433">
            <v>0</v>
          </cell>
          <cell r="V1433">
            <v>0.18</v>
          </cell>
          <cell r="W1433">
            <v>0.25</v>
          </cell>
          <cell r="X1433" t="str">
            <v>EST BANDEJA URBANA (M) H18 (DET LATAO) (TAUARI EBANIZADA) - Ø0,25x0,18H</v>
          </cell>
          <cell r="Y1433">
            <v>2687.24</v>
          </cell>
          <cell r="Z1433">
            <v>0.5</v>
          </cell>
          <cell r="AA1433">
            <v>1343.62</v>
          </cell>
          <cell r="AB1433"/>
        </row>
        <row r="1434">
          <cell r="C1434">
            <v>2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253854</v>
          </cell>
          <cell r="P1434" t="str">
            <v>2019/337-0037-01</v>
          </cell>
          <cell r="Q1434" t="str">
            <v>EST BANDEJA URBANA (B) H28 (DET LATAO) (TAUARI NATURAL)</v>
          </cell>
          <cell r="R1434"/>
          <cell r="S1434"/>
          <cell r="T1434">
            <v>0.25</v>
          </cell>
          <cell r="U1434">
            <v>0</v>
          </cell>
          <cell r="V1434">
            <v>0.28000000000000003</v>
          </cell>
          <cell r="W1434">
            <v>0</v>
          </cell>
          <cell r="X1434" t="str">
            <v>EST BANDEJA URBANA (B) H28 (DET LATAO) (TAUARI NATURAL) - Ø0x0,28H</v>
          </cell>
          <cell r="Y1434">
            <v>2518.92</v>
          </cell>
          <cell r="Z1434">
            <v>0.5</v>
          </cell>
          <cell r="AA1434">
            <v>1259.46</v>
          </cell>
          <cell r="AB1434"/>
        </row>
        <row r="1435">
          <cell r="C1435">
            <v>2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253854</v>
          </cell>
          <cell r="P1435" t="str">
            <v>2019/337-0038-01</v>
          </cell>
          <cell r="Q1435" t="str">
            <v>EST BANDEJA URBANA (B) H28 (DET LATAO) (TAUARI NATURAL)</v>
          </cell>
          <cell r="R1435"/>
          <cell r="S1435"/>
          <cell r="T1435">
            <v>0.25</v>
          </cell>
          <cell r="U1435">
            <v>0</v>
          </cell>
          <cell r="V1435">
            <v>0.28000000000000003</v>
          </cell>
          <cell r="W1435">
            <v>0</v>
          </cell>
          <cell r="X1435" t="str">
            <v>EST BANDEJA URBANA (B) H28 (DET LATAO) (TAUARI NATURAL) - Ø0x0,28H</v>
          </cell>
          <cell r="Y1435">
            <v>2518.92</v>
          </cell>
          <cell r="Z1435">
            <v>0.5</v>
          </cell>
          <cell r="AA1435">
            <v>1259.46</v>
          </cell>
          <cell r="AB1435"/>
        </row>
        <row r="1436">
          <cell r="C1436">
            <v>1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299527</v>
          </cell>
          <cell r="P1436" t="str">
            <v>2022/034-0009-01</v>
          </cell>
          <cell r="Q1436" t="str">
            <v>EST ESTANTE BURLE (MTZ MARROM COBRE) (LAM 2 PRAT CANELA)</v>
          </cell>
          <cell r="R1436"/>
          <cell r="S1436"/>
          <cell r="T1436">
            <v>1.3</v>
          </cell>
          <cell r="U1436">
            <v>0.45</v>
          </cell>
          <cell r="V1436">
            <v>1.83</v>
          </cell>
          <cell r="W1436">
            <v>0</v>
          </cell>
          <cell r="X1436" t="str">
            <v>EST ESTANTE BURLE (MTZ MARROM COBRE) (LAM 2 PRAT CANELA) - 1,3x0,45x1,83H</v>
          </cell>
          <cell r="Y1436">
            <v>44856.36</v>
          </cell>
          <cell r="Z1436">
            <v>0.5</v>
          </cell>
          <cell r="AA1436">
            <v>22428.18</v>
          </cell>
          <cell r="AB1436"/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334458</v>
          </cell>
          <cell r="P1437" t="str">
            <v>2022/222-0024-01</v>
          </cell>
          <cell r="Q1437" t="str">
            <v>EST ESTANTE VO (A) (MTZ ONIX PRETO) (LAM 3 LOURO PRETO)</v>
          </cell>
          <cell r="R1437"/>
          <cell r="S1437"/>
          <cell r="T1437">
            <v>1.04</v>
          </cell>
          <cell r="U1437">
            <v>0.45</v>
          </cell>
          <cell r="V1437">
            <v>2.11</v>
          </cell>
          <cell r="W1437">
            <v>0</v>
          </cell>
          <cell r="X1437" t="str">
            <v>EST ESTANTE VO (A) (MTZ ONIX PRETO) (LAM 3 LOURO PRETO) - 1,04x0,45x2,11H</v>
          </cell>
          <cell r="Y1437">
            <v>69758.98</v>
          </cell>
          <cell r="Z1437">
            <v>0.5</v>
          </cell>
          <cell r="AA1437">
            <v>34879.49</v>
          </cell>
          <cell r="AB1437"/>
        </row>
        <row r="1438">
          <cell r="C1438">
            <v>2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334458</v>
          </cell>
          <cell r="P1438" t="str">
            <v>2022/222-0025-01</v>
          </cell>
          <cell r="Q1438" t="str">
            <v>EST ESTANTE VO (A) (MTZ ONIX PRETO) (LAM 3 LOURO PRETO)</v>
          </cell>
          <cell r="R1438"/>
          <cell r="S1438"/>
          <cell r="T1438">
            <v>1.04</v>
          </cell>
          <cell r="U1438">
            <v>0.45</v>
          </cell>
          <cell r="V1438">
            <v>2.11</v>
          </cell>
          <cell r="W1438">
            <v>0</v>
          </cell>
          <cell r="X1438" t="str">
            <v>EST ESTANTE VO (A) (MTZ ONIX PRETO) (LAM 3 LOURO PRETO) - 1,04x0,45x2,11H</v>
          </cell>
          <cell r="Y1438">
            <v>69758.98</v>
          </cell>
          <cell r="Z1438">
            <v>0.5</v>
          </cell>
          <cell r="AA1438">
            <v>34879.49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6</v>
          </cell>
          <cell r="O1439">
            <v>334461</v>
          </cell>
          <cell r="P1439" t="str">
            <v>2022/222-0028-01</v>
          </cell>
          <cell r="Q1439" t="str">
            <v>EST COMPONENTE PRATELEIRA ESTANTE VO (UNIAO) (LAM 3 LOURO P)</v>
          </cell>
          <cell r="R1439"/>
          <cell r="S1439"/>
          <cell r="T1439">
            <v>0.6</v>
          </cell>
          <cell r="U1439">
            <v>0.39</v>
          </cell>
          <cell r="V1439">
            <v>0.03</v>
          </cell>
          <cell r="W1439">
            <v>0</v>
          </cell>
          <cell r="X1439" t="str">
            <v>EST COMPONENTE PRATELEIRA ESTANTE VO (UNIAO) (LAM 3 LOURO P) - 0,6x0,39x0,03H</v>
          </cell>
          <cell r="Y1439">
            <v>2825.8</v>
          </cell>
          <cell r="Z1439">
            <v>0.5</v>
          </cell>
          <cell r="AA1439">
            <v>1412.9</v>
          </cell>
          <cell r="AB1439"/>
        </row>
        <row r="1440">
          <cell r="C1440">
            <v>6</v>
          </cell>
          <cell r="D1440">
            <v>0</v>
          </cell>
          <cell r="E1440">
            <v>0</v>
          </cell>
          <cell r="F1440">
            <v>0</v>
          </cell>
          <cell r="H1440">
            <v>6</v>
          </cell>
          <cell r="O1440">
            <v>334461</v>
          </cell>
          <cell r="P1440" t="str">
            <v>2022/222-0032-01</v>
          </cell>
          <cell r="Q1440" t="str">
            <v>EST COMPONENTE PRATELEIRA ESTANTE VO (UNIAO) (LAM 3 LOURO P)</v>
          </cell>
          <cell r="R1440"/>
          <cell r="S1440"/>
          <cell r="T1440">
            <v>0.6</v>
          </cell>
          <cell r="U1440">
            <v>0.39</v>
          </cell>
          <cell r="V1440">
            <v>0.03</v>
          </cell>
          <cell r="W1440">
            <v>0</v>
          </cell>
          <cell r="X1440" t="str">
            <v>EST COMPONENTE PRATELEIRA ESTANTE VO (UNIAO) (LAM 3 LOURO P) - 0,6x0,39x0,03H</v>
          </cell>
          <cell r="Y1440">
            <v>2825.8</v>
          </cell>
          <cell r="Z1440">
            <v>0.5</v>
          </cell>
          <cell r="AA1440">
            <v>1412.9</v>
          </cell>
          <cell r="AB1440"/>
        </row>
        <row r="1441">
          <cell r="C1441">
            <v>6</v>
          </cell>
          <cell r="D1441">
            <v>0</v>
          </cell>
          <cell r="E1441">
            <v>0</v>
          </cell>
          <cell r="F1441">
            <v>0</v>
          </cell>
          <cell r="H1441">
            <v>6</v>
          </cell>
          <cell r="O1441">
            <v>334461</v>
          </cell>
          <cell r="P1441" t="str">
            <v>2022/222-0034-01</v>
          </cell>
          <cell r="Q1441" t="str">
            <v>EST COMPONENTE PRATELEIRA ESTANTE VO (UNIAO) (LAM 3 LOURO P)</v>
          </cell>
          <cell r="R1441"/>
          <cell r="S1441"/>
          <cell r="T1441">
            <v>0.6</v>
          </cell>
          <cell r="U1441">
            <v>0.39</v>
          </cell>
          <cell r="V1441">
            <v>0.03</v>
          </cell>
          <cell r="W1441">
            <v>0</v>
          </cell>
          <cell r="X1441" t="str">
            <v>EST COMPONENTE PRATELEIRA ESTANTE VO (UNIAO) (LAM 3 LOURO P) - 0,6x0,39x0,03H</v>
          </cell>
          <cell r="Y1441">
            <v>2825.8</v>
          </cell>
          <cell r="Z1441">
            <v>0.5</v>
          </cell>
          <cell r="AA1441">
            <v>1412.9</v>
          </cell>
          <cell r="AB1441"/>
        </row>
        <row r="1442">
          <cell r="C1442">
            <v>6</v>
          </cell>
          <cell r="D1442">
            <v>0</v>
          </cell>
          <cell r="E1442">
            <v>0</v>
          </cell>
          <cell r="F1442">
            <v>0</v>
          </cell>
          <cell r="H1442">
            <v>6</v>
          </cell>
          <cell r="O1442">
            <v>334461</v>
          </cell>
          <cell r="P1442" t="str">
            <v>2022/222-0035-01</v>
          </cell>
          <cell r="Q1442" t="str">
            <v>EST COMPONENTE PRATELEIRA ESTANTE VO (UNIAO) (LAM 3 LOURO P)</v>
          </cell>
          <cell r="R1442"/>
          <cell r="S1442"/>
          <cell r="T1442">
            <v>0.6</v>
          </cell>
          <cell r="U1442">
            <v>0.39</v>
          </cell>
          <cell r="V1442">
            <v>0.03</v>
          </cell>
          <cell r="W1442">
            <v>0</v>
          </cell>
          <cell r="X1442" t="str">
            <v>EST COMPONENTE PRATELEIRA ESTANTE VO (UNIAO) (LAM 3 LOURO P) - 0,6x0,39x0,03H</v>
          </cell>
          <cell r="Y1442">
            <v>2825.8</v>
          </cell>
          <cell r="Z1442">
            <v>0.5</v>
          </cell>
          <cell r="AA1442">
            <v>1412.9</v>
          </cell>
          <cell r="AB1442"/>
        </row>
        <row r="1443">
          <cell r="C1443">
            <v>6</v>
          </cell>
          <cell r="D1443">
            <v>0</v>
          </cell>
          <cell r="E1443">
            <v>0</v>
          </cell>
          <cell r="F1443">
            <v>0</v>
          </cell>
          <cell r="H1443">
            <v>6</v>
          </cell>
          <cell r="O1443">
            <v>334461</v>
          </cell>
          <cell r="P1443" t="str">
            <v>2022/222-0037-01</v>
          </cell>
          <cell r="Q1443" t="str">
            <v>EST COMPONENTE PRATELEIRA ESTANTE VO (UNIAO) (LAM 3 LOURO P)</v>
          </cell>
          <cell r="R1443"/>
          <cell r="S1443"/>
          <cell r="T1443">
            <v>0.6</v>
          </cell>
          <cell r="U1443">
            <v>0.39</v>
          </cell>
          <cell r="V1443">
            <v>0.03</v>
          </cell>
          <cell r="W1443">
            <v>0</v>
          </cell>
          <cell r="X1443" t="str">
            <v>EST COMPONENTE PRATELEIRA ESTANTE VO (UNIAO) (LAM 3 LOURO P) - 0,6x0,39x0,03H</v>
          </cell>
          <cell r="Y1443">
            <v>2825.8</v>
          </cell>
          <cell r="Z1443">
            <v>0.5</v>
          </cell>
          <cell r="AA1443">
            <v>1412.9</v>
          </cell>
          <cell r="AB1443"/>
        </row>
        <row r="1444">
          <cell r="C1444">
            <v>6</v>
          </cell>
          <cell r="D1444">
            <v>0</v>
          </cell>
          <cell r="E1444">
            <v>0</v>
          </cell>
          <cell r="F1444">
            <v>0</v>
          </cell>
          <cell r="H1444">
            <v>6</v>
          </cell>
          <cell r="O1444">
            <v>334461</v>
          </cell>
          <cell r="P1444" t="str">
            <v>2022/222-0038-01</v>
          </cell>
          <cell r="Q1444" t="str">
            <v>EST COMPONENTE PRATELEIRA ESTANTE VO (UNIAO) (LAM 3 LOURO P)</v>
          </cell>
          <cell r="R1444"/>
          <cell r="S1444"/>
          <cell r="T1444">
            <v>0.6</v>
          </cell>
          <cell r="U1444">
            <v>0.39</v>
          </cell>
          <cell r="V1444">
            <v>0.03</v>
          </cell>
          <cell r="W1444">
            <v>0</v>
          </cell>
          <cell r="X1444" t="str">
            <v>EST COMPONENTE PRATELEIRA ESTANTE VO (UNIAO) (LAM 3 LOURO P) - 0,6x0,39x0,03H</v>
          </cell>
          <cell r="Y1444">
            <v>2825.8</v>
          </cell>
          <cell r="Z1444">
            <v>0.5</v>
          </cell>
          <cell r="AA1444">
            <v>1412.9</v>
          </cell>
          <cell r="AB1444"/>
        </row>
        <row r="1445">
          <cell r="C1445">
            <v>6</v>
          </cell>
          <cell r="D1445">
            <v>0</v>
          </cell>
          <cell r="E1445">
            <v>0</v>
          </cell>
          <cell r="F1445">
            <v>0</v>
          </cell>
          <cell r="H1445">
            <v>2</v>
          </cell>
          <cell r="O1445">
            <v>378282</v>
          </cell>
          <cell r="P1445" t="str">
            <v>2024/033-0001-01</v>
          </cell>
          <cell r="Q1445" t="str">
            <v>EST CADEIRA PI C/BRACO (MARROM) TC BOUCLE REIMS 5323-001</v>
          </cell>
          <cell r="R1445"/>
          <cell r="S1445"/>
          <cell r="T1445">
            <v>0.75</v>
          </cell>
          <cell r="U1445">
            <v>0.6</v>
          </cell>
          <cell r="V1445">
            <v>0.76</v>
          </cell>
          <cell r="W1445">
            <v>0</v>
          </cell>
          <cell r="X1445" t="str">
            <v>EST CADEIRA PI C/BRACO (MARROM) TC BOUCLE REIMS 5323-001 - 0,75x0,6x0,76H</v>
          </cell>
          <cell r="Y1445">
            <v>9997.93</v>
          </cell>
          <cell r="Z1445">
            <v>0.49999994879216059</v>
          </cell>
          <cell r="AA1445">
            <v>4998.9655119723939</v>
          </cell>
          <cell r="AB1445"/>
        </row>
        <row r="1446">
          <cell r="C1446">
            <v>6</v>
          </cell>
          <cell r="D1446">
            <v>0</v>
          </cell>
          <cell r="E1446">
            <v>0</v>
          </cell>
          <cell r="F1446">
            <v>0</v>
          </cell>
          <cell r="H1446">
            <v>2</v>
          </cell>
          <cell r="O1446">
            <v>378282</v>
          </cell>
          <cell r="P1446" t="str">
            <v>2024/033-0003-01</v>
          </cell>
          <cell r="Q1446" t="str">
            <v>EST CADEIRA PI C/BRACO (MARROM) TC BOUCLE REIMS 5323-001</v>
          </cell>
          <cell r="R1446"/>
          <cell r="S1446"/>
          <cell r="T1446">
            <v>0.75</v>
          </cell>
          <cell r="U1446">
            <v>0.6</v>
          </cell>
          <cell r="V1446">
            <v>0.76</v>
          </cell>
          <cell r="W1446">
            <v>0</v>
          </cell>
          <cell r="X1446" t="str">
            <v>EST CADEIRA PI C/BRACO (MARROM) TC BOUCLE REIMS 5323-001 - 0,75x0,6x0,76H</v>
          </cell>
          <cell r="Y1446">
            <v>9997.93</v>
          </cell>
          <cell r="Z1446">
            <v>0.49999994879216059</v>
          </cell>
          <cell r="AA1446">
            <v>4998.9655119723939</v>
          </cell>
          <cell r="AB1446"/>
        </row>
        <row r="1447">
          <cell r="C1447">
            <v>6</v>
          </cell>
          <cell r="D1447">
            <v>0</v>
          </cell>
          <cell r="E1447">
            <v>0</v>
          </cell>
          <cell r="F1447">
            <v>0</v>
          </cell>
          <cell r="H1447">
            <v>2</v>
          </cell>
          <cell r="O1447">
            <v>378282</v>
          </cell>
          <cell r="P1447" t="str">
            <v>2024/033-0005-01</v>
          </cell>
          <cell r="Q1447" t="str">
            <v>EST CADEIRA PI C/BRACO (MARROM) TC BOUCLE REIMS 5323-001</v>
          </cell>
          <cell r="R1447"/>
          <cell r="S1447"/>
          <cell r="T1447">
            <v>0.75</v>
          </cell>
          <cell r="U1447">
            <v>0.6</v>
          </cell>
          <cell r="V1447">
            <v>0.76</v>
          </cell>
          <cell r="W1447">
            <v>0</v>
          </cell>
          <cell r="X1447" t="str">
            <v>EST CADEIRA PI C/BRACO (MARROM) TC BOUCLE REIMS 5323-001 - 0,75x0,6x0,76H</v>
          </cell>
          <cell r="Y1447">
            <v>9997.93</v>
          </cell>
          <cell r="Z1447">
            <v>0.49999994879216059</v>
          </cell>
          <cell r="AA1447">
            <v>4998.9655119723939</v>
          </cell>
          <cell r="AB1447"/>
        </row>
        <row r="1448">
          <cell r="C1448">
            <v>6</v>
          </cell>
          <cell r="D1448">
            <v>0</v>
          </cell>
          <cell r="E1448">
            <v>0</v>
          </cell>
          <cell r="F1448">
            <v>0</v>
          </cell>
          <cell r="H1448">
            <v>2</v>
          </cell>
          <cell r="O1448">
            <v>378282</v>
          </cell>
          <cell r="P1448" t="str">
            <v>2024/033-0006-01</v>
          </cell>
          <cell r="Q1448" t="str">
            <v>EST CADEIRA PI C/BRACO (MARROM) TC BOUCLE REIMS 5323-001</v>
          </cell>
          <cell r="R1448"/>
          <cell r="S1448"/>
          <cell r="T1448">
            <v>0.75</v>
          </cell>
          <cell r="U1448">
            <v>0.6</v>
          </cell>
          <cell r="V1448">
            <v>0.76</v>
          </cell>
          <cell r="W1448">
            <v>0</v>
          </cell>
          <cell r="X1448" t="str">
            <v>EST CADEIRA PI C/BRACO (MARROM) TC BOUCLE REIMS 5323-001 - 0,75x0,6x0,76H</v>
          </cell>
          <cell r="Y1448">
            <v>9997.93</v>
          </cell>
          <cell r="Z1448">
            <v>0.49999994879216059</v>
          </cell>
          <cell r="AA1448">
            <v>4998.9655119723939</v>
          </cell>
          <cell r="AB1448"/>
        </row>
        <row r="1449">
          <cell r="C1449">
            <v>6</v>
          </cell>
          <cell r="D1449">
            <v>0</v>
          </cell>
          <cell r="E1449">
            <v>0</v>
          </cell>
          <cell r="F1449">
            <v>0</v>
          </cell>
          <cell r="H1449">
            <v>2</v>
          </cell>
          <cell r="O1449">
            <v>378282</v>
          </cell>
          <cell r="P1449" t="str">
            <v>2024/033-0007-01</v>
          </cell>
          <cell r="Q1449" t="str">
            <v>EST CADEIRA PI C/BRACO (MARROM) TC BOUCLE REIMS 5323-001</v>
          </cell>
          <cell r="R1449"/>
          <cell r="S1449"/>
          <cell r="T1449">
            <v>0.75</v>
          </cell>
          <cell r="U1449">
            <v>0.6</v>
          </cell>
          <cell r="V1449">
            <v>0.76</v>
          </cell>
          <cell r="W1449">
            <v>0</v>
          </cell>
          <cell r="X1449" t="str">
            <v>EST CADEIRA PI C/BRACO (MARROM) TC BOUCLE REIMS 5323-001 - 0,75x0,6x0,76H</v>
          </cell>
          <cell r="Y1449">
            <v>9997.93</v>
          </cell>
          <cell r="Z1449">
            <v>0.49999994879216059</v>
          </cell>
          <cell r="AA1449">
            <v>4998.9655119723939</v>
          </cell>
          <cell r="AB1449"/>
        </row>
        <row r="1450">
          <cell r="C1450">
            <v>6</v>
          </cell>
          <cell r="D1450">
            <v>0</v>
          </cell>
          <cell r="E1450">
            <v>0</v>
          </cell>
          <cell r="F1450">
            <v>0</v>
          </cell>
          <cell r="H1450">
            <v>2</v>
          </cell>
          <cell r="O1450">
            <v>378282</v>
          </cell>
          <cell r="P1450" t="str">
            <v>2024/033-0008-01</v>
          </cell>
          <cell r="Q1450" t="str">
            <v>EST CADEIRA PI C/BRACO (MARROM) TC BOUCLE REIMS 5323-001</v>
          </cell>
          <cell r="R1450"/>
          <cell r="S1450"/>
          <cell r="T1450">
            <v>0.75</v>
          </cell>
          <cell r="U1450">
            <v>0.6</v>
          </cell>
          <cell r="V1450">
            <v>0.76</v>
          </cell>
          <cell r="W1450">
            <v>0</v>
          </cell>
          <cell r="X1450" t="str">
            <v>EST CADEIRA PI C/BRACO (MARROM) TC BOUCLE REIMS 5323-001 - 0,75x0,6x0,76H</v>
          </cell>
          <cell r="Y1450">
            <v>9997.93</v>
          </cell>
          <cell r="Z1450">
            <v>0.49999994879216059</v>
          </cell>
          <cell r="AA1450">
            <v>4998.9655119723939</v>
          </cell>
          <cell r="AB1450"/>
        </row>
        <row r="1451">
          <cell r="C1451">
            <v>1</v>
          </cell>
          <cell r="D1451">
            <v>0</v>
          </cell>
          <cell r="E1451">
            <v>0</v>
          </cell>
          <cell r="F1451">
            <v>0</v>
          </cell>
          <cell r="H1451">
            <v>0</v>
          </cell>
          <cell r="O1451">
            <v>379888</v>
          </cell>
          <cell r="P1451" t="str">
            <v>2024/068-0051-01</v>
          </cell>
          <cell r="Q1451" t="str">
            <v>EST CHAISE B/DIR MONDRIAN (ESTOF) (C2 MAMMUT/NOG) (TC 7637)</v>
          </cell>
          <cell r="R1451"/>
          <cell r="S1451"/>
          <cell r="T1451">
            <v>1.04</v>
          </cell>
          <cell r="U1451">
            <v>1.7</v>
          </cell>
          <cell r="V1451">
            <v>0.71</v>
          </cell>
          <cell r="W1451">
            <v>0</v>
          </cell>
          <cell r="X1451" t="str">
            <v>EST CHAISE B/DIR MONDRIAN (ESTOF) (C2 MAMMUT/NOG) (TC 7637) - 1,04x1,7x0,71H</v>
          </cell>
          <cell r="Y1451">
            <v>46650.6</v>
          </cell>
          <cell r="Z1451">
            <v>0.35</v>
          </cell>
          <cell r="AA1451">
            <v>30322.89</v>
          </cell>
          <cell r="AB1451"/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H1452">
            <v>2</v>
          </cell>
          <cell r="O1452">
            <v>274795</v>
          </cell>
          <cell r="P1452" t="str">
            <v>2021/091-0033-01</v>
          </cell>
          <cell r="Q1452" t="str">
            <v>EST MESA JANTAR ELISE (MTX OFF WHITE C/VD CLEAR 4MM/BS NOG)</v>
          </cell>
          <cell r="R1452"/>
          <cell r="S1452"/>
          <cell r="T1452">
            <v>2.6</v>
          </cell>
          <cell r="U1452">
            <v>1.2</v>
          </cell>
          <cell r="V1452">
            <v>0.75</v>
          </cell>
          <cell r="W1452">
            <v>0</v>
          </cell>
          <cell r="X1452" t="str">
            <v>EST MESA JANTAR ELISE (MTX OFF WHITE C/VD CLEAR 4MM/BS NOG) - 2,6x1,2x0,75H</v>
          </cell>
          <cell r="Y1452">
            <v>40011.550000000003</v>
          </cell>
          <cell r="Z1452">
            <v>0.35</v>
          </cell>
          <cell r="AA1452">
            <v>26007.507500000003</v>
          </cell>
          <cell r="AB1452"/>
        </row>
        <row r="1453">
          <cell r="C1453">
            <v>1</v>
          </cell>
          <cell r="D1453">
            <v>0</v>
          </cell>
          <cell r="E1453">
            <v>0</v>
          </cell>
          <cell r="F1453">
            <v>0</v>
          </cell>
          <cell r="H1453">
            <v>0</v>
          </cell>
          <cell r="O1453">
            <v>275435</v>
          </cell>
          <cell r="P1453" t="str">
            <v>2021/056-0144-01</v>
          </cell>
          <cell r="Q1453" t="str">
            <v>EST MESA JANTAR MONIZ (C/GIR) (PADRAO B) (LAM 1 CARV NAT)</v>
          </cell>
          <cell r="R1453"/>
          <cell r="S1453"/>
          <cell r="T1453">
            <v>1.8</v>
          </cell>
          <cell r="U1453">
            <v>0</v>
          </cell>
          <cell r="V1453">
            <v>0.75</v>
          </cell>
          <cell r="W1453">
            <v>1.8</v>
          </cell>
          <cell r="X1453" t="str">
            <v>EST MESA JANTAR MONIZ (C/GIR) (PADRAO B) (LAM 1 CARV NAT) - Ø1,8x0,75H</v>
          </cell>
          <cell r="Y1453">
            <v>39288.879999999997</v>
          </cell>
          <cell r="Z1453">
            <v>0.35</v>
          </cell>
          <cell r="AA1453">
            <v>25537.771999999997</v>
          </cell>
          <cell r="AB1453"/>
        </row>
        <row r="1454">
          <cell r="C1454">
            <v>1</v>
          </cell>
          <cell r="D1454">
            <v>0</v>
          </cell>
          <cell r="E1454">
            <v>0</v>
          </cell>
          <cell r="F1454">
            <v>0</v>
          </cell>
          <cell r="H1454">
            <v>0</v>
          </cell>
          <cell r="O1454">
            <v>299528</v>
          </cell>
          <cell r="P1454" t="str">
            <v>2022/034-0018-01</v>
          </cell>
          <cell r="Q1454" t="str">
            <v>EST MESA LATERAL METAIS H53 (MTZ CHAMPAGNE ACINZENTADO)</v>
          </cell>
          <cell r="R1454"/>
          <cell r="S1454"/>
          <cell r="T1454">
            <v>0.25</v>
          </cell>
          <cell r="U1454">
            <v>0</v>
          </cell>
          <cell r="V1454">
            <v>0.53</v>
          </cell>
          <cell r="W1454">
            <v>0.25</v>
          </cell>
          <cell r="X1454" t="str">
            <v>EST MESA LATERAL METAIS H53 (MTZ CHAMPAGNE ACINZENTADO) - Ø0,25x0,53H</v>
          </cell>
          <cell r="Y1454">
            <v>7170.91</v>
          </cell>
          <cell r="Z1454">
            <v>0.35</v>
          </cell>
          <cell r="AA1454">
            <v>4661.0915000000005</v>
          </cell>
          <cell r="AB1454"/>
        </row>
        <row r="1455">
          <cell r="C1455">
            <v>3</v>
          </cell>
          <cell r="D1455">
            <v>0</v>
          </cell>
          <cell r="E1455">
            <v>0</v>
          </cell>
          <cell r="F1455">
            <v>0</v>
          </cell>
          <cell r="H1455">
            <v>0</v>
          </cell>
          <cell r="O1455">
            <v>299555</v>
          </cell>
          <cell r="P1455" t="str">
            <v>2025/038-0025-01</v>
          </cell>
          <cell r="Q1455" t="str">
            <v>EST ESTANTE BURLE (MTX MARROM FSC) (LAM 2 PRAT FREIJO NAT)</v>
          </cell>
          <cell r="R1455"/>
          <cell r="S1455"/>
          <cell r="T1455">
            <v>1.3</v>
          </cell>
          <cell r="U1455">
            <v>0.45</v>
          </cell>
          <cell r="V1455">
            <v>1.83</v>
          </cell>
          <cell r="W1455">
            <v>0</v>
          </cell>
          <cell r="X1455" t="str">
            <v>EST ESTANTE BURLE (MTX MARROM FSC) (LAM 2 PRAT FREIJO NAT) - 1,3x0,45x1,83H</v>
          </cell>
          <cell r="Y1455">
            <v>44856.36</v>
          </cell>
          <cell r="Z1455">
            <v>0.35</v>
          </cell>
          <cell r="AA1455">
            <v>29156.634000000002</v>
          </cell>
          <cell r="AB1455"/>
        </row>
        <row r="1456">
          <cell r="C1456">
            <v>3</v>
          </cell>
          <cell r="D1456">
            <v>0</v>
          </cell>
          <cell r="E1456">
            <v>0</v>
          </cell>
          <cell r="F1456">
            <v>0</v>
          </cell>
          <cell r="H1456">
            <v>0</v>
          </cell>
          <cell r="O1456">
            <v>299555</v>
          </cell>
          <cell r="P1456" t="str">
            <v>2025/038-0026-01</v>
          </cell>
          <cell r="Q1456" t="str">
            <v>EST ESTANTE BURLE (MTX MARROM FSC) (LAM 2 PRAT FREIJO NAT)</v>
          </cell>
          <cell r="R1456"/>
          <cell r="S1456"/>
          <cell r="T1456">
            <v>1.3</v>
          </cell>
          <cell r="U1456">
            <v>0.45</v>
          </cell>
          <cell r="V1456">
            <v>1.83</v>
          </cell>
          <cell r="W1456">
            <v>0</v>
          </cell>
          <cell r="X1456" t="str">
            <v>EST ESTANTE BURLE (MTX MARROM FSC) (LAM 2 PRAT FREIJO NAT) - 1,3x0,45x1,83H</v>
          </cell>
          <cell r="Y1456">
            <v>44856.36</v>
          </cell>
          <cell r="Z1456">
            <v>0.35</v>
          </cell>
          <cell r="AA1456">
            <v>29156.634000000002</v>
          </cell>
          <cell r="AB1456"/>
        </row>
        <row r="1457">
          <cell r="C1457">
            <v>1</v>
          </cell>
          <cell r="D1457">
            <v>0</v>
          </cell>
          <cell r="E1457">
            <v>0</v>
          </cell>
          <cell r="F1457">
            <v>0</v>
          </cell>
          <cell r="H1457">
            <v>0</v>
          </cell>
          <cell r="O1457">
            <v>300090</v>
          </cell>
          <cell r="P1457" t="str">
            <v>2022/034-0025-01</v>
          </cell>
          <cell r="Q1457" t="str">
            <v>EST MESA LATERAL EXOTICA H50 (MARM 4 MADRE P) MTZ CHAMP ACIZ</v>
          </cell>
          <cell r="R1457"/>
          <cell r="S1457"/>
          <cell r="T1457">
            <v>0.25</v>
          </cell>
          <cell r="U1457">
            <v>0</v>
          </cell>
          <cell r="V1457">
            <v>0.5</v>
          </cell>
          <cell r="W1457">
            <v>0.25</v>
          </cell>
          <cell r="X1457" t="str">
            <v>EST MESA LATERAL EXOTICA H50 (MARM 4 MADRE P) MTZ CHAMP ACIZ - Ø0,25x0,5H</v>
          </cell>
          <cell r="Y1457">
            <v>8902.9699999999993</v>
          </cell>
          <cell r="Z1457">
            <v>0.35</v>
          </cell>
          <cell r="AA1457">
            <v>5786.9305000000004</v>
          </cell>
          <cell r="AB1457"/>
        </row>
        <row r="1458">
          <cell r="C1458">
            <v>2</v>
          </cell>
          <cell r="D1458">
            <v>0</v>
          </cell>
          <cell r="E1458">
            <v>0</v>
          </cell>
          <cell r="F1458">
            <v>0</v>
          </cell>
          <cell r="H1458">
            <v>0</v>
          </cell>
          <cell r="O1458">
            <v>320760</v>
          </cell>
          <cell r="P1458" t="str">
            <v>2022/040-0116-01</v>
          </cell>
          <cell r="Q1458" t="str">
            <v>EST POLTRONA PATER (JEQUITIBA) TAURUS 81/ALMOF FX7266</v>
          </cell>
          <cell r="R1458"/>
          <cell r="S1458"/>
          <cell r="T1458">
            <v>0.82</v>
          </cell>
          <cell r="U1458">
            <v>0.94</v>
          </cell>
          <cell r="V1458">
            <v>0.83</v>
          </cell>
          <cell r="W1458">
            <v>0</v>
          </cell>
          <cell r="X1458" t="str">
            <v>EST POLTRONA PATER (JEQUITIBA) TAURUS 81/ALMOF FX7266 - 0,82x0,94x0,83H</v>
          </cell>
          <cell r="Y1458">
            <v>29521.27</v>
          </cell>
          <cell r="Z1458">
            <v>0.35</v>
          </cell>
          <cell r="AA1458">
            <v>19188.825499999999</v>
          </cell>
          <cell r="AB1458"/>
        </row>
        <row r="1459">
          <cell r="C1459">
            <v>2</v>
          </cell>
          <cell r="D1459">
            <v>0</v>
          </cell>
          <cell r="E1459">
            <v>0</v>
          </cell>
          <cell r="F1459">
            <v>0</v>
          </cell>
          <cell r="H1459">
            <v>0</v>
          </cell>
          <cell r="O1459">
            <v>320760</v>
          </cell>
          <cell r="P1459" t="str">
            <v>2022/040-0117-01</v>
          </cell>
          <cell r="Q1459" t="str">
            <v>EST POLTRONA PATER (JEQUITIBA) TAURUS 81/ALMOF FX7266</v>
          </cell>
          <cell r="R1459"/>
          <cell r="S1459"/>
          <cell r="T1459">
            <v>0.82</v>
          </cell>
          <cell r="U1459">
            <v>0.94</v>
          </cell>
          <cell r="V1459">
            <v>0.83</v>
          </cell>
          <cell r="W1459">
            <v>0</v>
          </cell>
          <cell r="X1459" t="str">
            <v>EST POLTRONA PATER (JEQUITIBA) TAURUS 81/ALMOF FX7266 - 0,82x0,94x0,83H</v>
          </cell>
          <cell r="Y1459">
            <v>29521.27</v>
          </cell>
          <cell r="Z1459">
            <v>0.35</v>
          </cell>
          <cell r="AA1459">
            <v>19188.825499999999</v>
          </cell>
          <cell r="AB1459"/>
        </row>
        <row r="1460">
          <cell r="C1460">
            <v>1</v>
          </cell>
          <cell r="D1460">
            <v>0</v>
          </cell>
          <cell r="E1460">
            <v>0</v>
          </cell>
          <cell r="F1460">
            <v>0</v>
          </cell>
          <cell r="H1460">
            <v>0</v>
          </cell>
          <cell r="O1460">
            <v>331257</v>
          </cell>
          <cell r="P1460" t="str">
            <v>2022/187-0061-01</v>
          </cell>
          <cell r="Q1460" t="str">
            <v>EST MESA JANTAR ABACATE (LAM 2 NOGUEIRA) (MARM 4 M.PEROLA)</v>
          </cell>
          <cell r="R1460"/>
          <cell r="S1460"/>
          <cell r="T1460">
            <v>2.7</v>
          </cell>
          <cell r="U1460">
            <v>1.6</v>
          </cell>
          <cell r="V1460">
            <v>0.75</v>
          </cell>
          <cell r="W1460">
            <v>0</v>
          </cell>
          <cell r="X1460" t="str">
            <v>EST MESA JANTAR ABACATE (LAM 2 NOGUEIRA) (MARM 4 M.PEROLA) - 2,7x1,6x0,75H</v>
          </cell>
          <cell r="Y1460">
            <v>156621.74</v>
          </cell>
          <cell r="Z1460">
            <v>0.35</v>
          </cell>
          <cell r="AA1460">
            <v>101804.13099999999</v>
          </cell>
          <cell r="AB1460"/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H1461">
            <v>2</v>
          </cell>
          <cell r="O1461">
            <v>334164</v>
          </cell>
          <cell r="P1461" t="str">
            <v>2022/175-0012-01</v>
          </cell>
          <cell r="Q1461" t="str">
            <v>EST CADEIRA JULIETA (JEQ PECAN) (COURO PIGUIMENTADO AREIA)</v>
          </cell>
          <cell r="R1461"/>
          <cell r="S1461"/>
          <cell r="T1461">
            <v>0.6</v>
          </cell>
          <cell r="U1461">
            <v>0.54</v>
          </cell>
          <cell r="V1461">
            <v>0.71</v>
          </cell>
          <cell r="W1461">
            <v>0</v>
          </cell>
          <cell r="X1461" t="str">
            <v>EST CADEIRA JULIETA (JEQ PECAN) (COURO PIGUIMENTADO AREIA) - 0,6x0,54x0,71H</v>
          </cell>
          <cell r="Y1461">
            <v>9657.4</v>
          </cell>
          <cell r="Z1461">
            <v>0.35</v>
          </cell>
          <cell r="AA1461">
            <v>6277.3099999999995</v>
          </cell>
          <cell r="AB1461"/>
        </row>
        <row r="1462">
          <cell r="C1462">
            <v>2</v>
          </cell>
          <cell r="D1462">
            <v>0</v>
          </cell>
          <cell r="E1462">
            <v>0</v>
          </cell>
          <cell r="F1462">
            <v>0</v>
          </cell>
          <cell r="H1462">
            <v>0</v>
          </cell>
          <cell r="O1462">
            <v>337681</v>
          </cell>
          <cell r="P1462" t="str">
            <v>2022/210-0105-01</v>
          </cell>
          <cell r="Q1462" t="str">
            <v>EST BANQUETA PATER (JEQUITIBA) TAURUS 81/ALMOF FX7266</v>
          </cell>
          <cell r="R1462"/>
          <cell r="S1462"/>
          <cell r="T1462">
            <v>0.66</v>
          </cell>
          <cell r="U1462">
            <v>0.51</v>
          </cell>
          <cell r="V1462">
            <v>0.47</v>
          </cell>
          <cell r="W1462">
            <v>0</v>
          </cell>
          <cell r="X1462" t="str">
            <v>EST BANQUETA PATER (JEQUITIBA) TAURUS 81/ALMOF FX7266 - 0,66x0,51x0,47H</v>
          </cell>
          <cell r="Y1462">
            <v>14725.13</v>
          </cell>
          <cell r="Z1462">
            <v>0.35</v>
          </cell>
          <cell r="AA1462">
            <v>9571.3345000000008</v>
          </cell>
          <cell r="AB1462"/>
        </row>
        <row r="1463">
          <cell r="C1463">
            <v>2</v>
          </cell>
          <cell r="D1463">
            <v>0</v>
          </cell>
          <cell r="E1463">
            <v>0</v>
          </cell>
          <cell r="F1463">
            <v>0</v>
          </cell>
          <cell r="H1463">
            <v>0</v>
          </cell>
          <cell r="O1463">
            <v>337681</v>
          </cell>
          <cell r="P1463" t="str">
            <v>2022/210-0106-01</v>
          </cell>
          <cell r="Q1463" t="str">
            <v>EST BANQUETA PATER (JEQUITIBA) TAURUS 81/ALMOF FX7266</v>
          </cell>
          <cell r="R1463"/>
          <cell r="S1463"/>
          <cell r="T1463">
            <v>0.66</v>
          </cell>
          <cell r="U1463">
            <v>0.51</v>
          </cell>
          <cell r="V1463">
            <v>0.47</v>
          </cell>
          <cell r="W1463">
            <v>0</v>
          </cell>
          <cell r="X1463" t="str">
            <v>EST BANQUETA PATER (JEQUITIBA) TAURUS 81/ALMOF FX7266 - 0,66x0,51x0,47H</v>
          </cell>
          <cell r="Y1463">
            <v>14725.13</v>
          </cell>
          <cell r="Z1463">
            <v>0.35</v>
          </cell>
          <cell r="AA1463">
            <v>9571.3345000000008</v>
          </cell>
          <cell r="AB1463"/>
        </row>
        <row r="1464">
          <cell r="C1464">
            <v>1</v>
          </cell>
          <cell r="D1464">
            <v>0</v>
          </cell>
          <cell r="E1464">
            <v>0</v>
          </cell>
          <cell r="F1464">
            <v>0</v>
          </cell>
          <cell r="H1464">
            <v>0</v>
          </cell>
          <cell r="O1464">
            <v>353807</v>
          </cell>
          <cell r="P1464" t="str">
            <v>2022/308-0050-01</v>
          </cell>
          <cell r="Q1464" t="str">
            <v>EST MESA CENTRO CRUX (RED MST) (MARM 1 NOTTE/NOG) (BS ONIX)</v>
          </cell>
          <cell r="R1464"/>
          <cell r="S1464"/>
          <cell r="T1464">
            <v>1.8</v>
          </cell>
          <cell r="U1464">
            <v>1.1000000000000001</v>
          </cell>
          <cell r="V1464">
            <v>0.35</v>
          </cell>
          <cell r="W1464">
            <v>0</v>
          </cell>
          <cell r="X1464" t="str">
            <v>EST MESA CENTRO CRUX (RED MST) (MARM 1 NOTTE/NOG) (BS ONIX) - 1,8x1,1x0,35H</v>
          </cell>
          <cell r="Y1464">
            <v>38866.65</v>
          </cell>
          <cell r="Z1464">
            <v>0.35</v>
          </cell>
          <cell r="AA1464">
            <v>25263.322500000002</v>
          </cell>
          <cell r="AB1464"/>
        </row>
        <row r="1465">
          <cell r="C1465">
            <v>1</v>
          </cell>
          <cell r="D1465">
            <v>0</v>
          </cell>
          <cell r="E1465">
            <v>0</v>
          </cell>
          <cell r="F1465">
            <v>0</v>
          </cell>
          <cell r="H1465">
            <v>0</v>
          </cell>
          <cell r="O1465">
            <v>379861</v>
          </cell>
          <cell r="P1465" t="str">
            <v>2024/068-0020-01</v>
          </cell>
          <cell r="Q1465" t="str">
            <v>EST BANDEJA MONDRIAN (PRATA) KURKUMA</v>
          </cell>
          <cell r="R1465"/>
          <cell r="S1465"/>
          <cell r="T1465">
            <v>0.56000000000000005</v>
          </cell>
          <cell r="U1465">
            <v>0.41</v>
          </cell>
          <cell r="V1465">
            <v>0.04</v>
          </cell>
          <cell r="W1465">
            <v>0</v>
          </cell>
          <cell r="X1465" t="str">
            <v>EST BANDEJA MONDRIAN (PRATA) KURKUMA - 0,56x0,41x0,04H</v>
          </cell>
          <cell r="Y1465">
            <v>4954.84</v>
          </cell>
          <cell r="Z1465">
            <v>0.35</v>
          </cell>
          <cell r="AA1465">
            <v>3220.6460000000002</v>
          </cell>
          <cell r="AB1465"/>
        </row>
        <row r="1466">
          <cell r="C1466">
            <v>2</v>
          </cell>
          <cell r="D1466">
            <v>1</v>
          </cell>
          <cell r="E1466">
            <v>0</v>
          </cell>
          <cell r="F1466">
            <v>5</v>
          </cell>
          <cell r="H1466">
            <v>1</v>
          </cell>
          <cell r="O1466">
            <v>379867</v>
          </cell>
          <cell r="P1466" t="str">
            <v>2024/068-0035-01</v>
          </cell>
          <cell r="Q1466" t="str">
            <v>EST BANDEJA MONDRIAN (DARK BRONZE) MAMMUT</v>
          </cell>
          <cell r="R1466"/>
          <cell r="S1466"/>
          <cell r="T1466">
            <v>0.56000000000000005</v>
          </cell>
          <cell r="U1466">
            <v>0.41</v>
          </cell>
          <cell r="V1466">
            <v>0.04</v>
          </cell>
          <cell r="W1466">
            <v>0</v>
          </cell>
          <cell r="X1466" t="str">
            <v>EST BANDEJA MONDRIAN (DARK BRONZE) MAMMUT - 0,56x0,41x0,04H</v>
          </cell>
          <cell r="Y1466">
            <v>4954.84</v>
          </cell>
          <cell r="Z1466">
            <v>0.35</v>
          </cell>
          <cell r="AA1466">
            <v>3220.6460000000002</v>
          </cell>
          <cell r="AB1466"/>
        </row>
        <row r="1467">
          <cell r="C1467">
            <v>2</v>
          </cell>
          <cell r="D1467">
            <v>1</v>
          </cell>
          <cell r="E1467">
            <v>0</v>
          </cell>
          <cell r="F1467">
            <v>5</v>
          </cell>
          <cell r="H1467">
            <v>1</v>
          </cell>
          <cell r="O1467">
            <v>379867</v>
          </cell>
          <cell r="P1467" t="str">
            <v>2024/068-0042-01</v>
          </cell>
          <cell r="Q1467" t="str">
            <v>EST BANDEJA MONDRIAN (DARK BRONZE) MAMMUT</v>
          </cell>
          <cell r="R1467"/>
          <cell r="S1467"/>
          <cell r="T1467">
            <v>0.56000000000000005</v>
          </cell>
          <cell r="U1467">
            <v>0.41</v>
          </cell>
          <cell r="V1467">
            <v>0.04</v>
          </cell>
          <cell r="W1467">
            <v>0</v>
          </cell>
          <cell r="X1467" t="str">
            <v>EST BANDEJA MONDRIAN (DARK BRONZE) MAMMUT - 0,56x0,41x0,04H</v>
          </cell>
          <cell r="Y1467">
            <v>4954.84</v>
          </cell>
          <cell r="Z1467">
            <v>0.35</v>
          </cell>
          <cell r="AA1467">
            <v>3220.6460000000002</v>
          </cell>
          <cell r="AB1467"/>
        </row>
        <row r="1468">
          <cell r="C1468">
            <v>2</v>
          </cell>
          <cell r="D1468">
            <v>1</v>
          </cell>
          <cell r="E1468">
            <v>0</v>
          </cell>
          <cell r="F1468">
            <v>5</v>
          </cell>
          <cell r="H1468">
            <v>1</v>
          </cell>
          <cell r="O1468">
            <v>379867</v>
          </cell>
          <cell r="P1468" t="str">
            <v>2024/072-0094-01</v>
          </cell>
          <cell r="Q1468" t="str">
            <v>EST BANDEJA MONDRIAN (DARK BRONZE) MAMMUT</v>
          </cell>
          <cell r="R1468"/>
          <cell r="S1468"/>
          <cell r="T1468">
            <v>0.56000000000000005</v>
          </cell>
          <cell r="U1468">
            <v>0.41</v>
          </cell>
          <cell r="V1468">
            <v>0.04</v>
          </cell>
          <cell r="W1468">
            <v>0</v>
          </cell>
          <cell r="X1468" t="str">
            <v>EST BANDEJA MONDRIAN (DARK BRONZE) MAMMUT - 0,56x0,41x0,04H</v>
          </cell>
          <cell r="Y1468">
            <v>4954.84</v>
          </cell>
          <cell r="Z1468">
            <v>0.35</v>
          </cell>
          <cell r="AA1468">
            <v>3220.6460000000002</v>
          </cell>
          <cell r="AB1468"/>
        </row>
        <row r="1469">
          <cell r="C1469">
            <v>1</v>
          </cell>
          <cell r="D1469">
            <v>0</v>
          </cell>
          <cell r="E1469">
            <v>0</v>
          </cell>
          <cell r="F1469">
            <v>0</v>
          </cell>
          <cell r="H1469">
            <v>0</v>
          </cell>
          <cell r="O1469">
            <v>386526</v>
          </cell>
          <cell r="P1469" t="str">
            <v>2024/170-0023-01</v>
          </cell>
          <cell r="Q1469" t="str">
            <v>EST BUFFET CHUVA (CORPO/PT/BS MARROM CLARO COBREADO)</v>
          </cell>
          <cell r="R1469"/>
          <cell r="S1469"/>
          <cell r="T1469">
            <v>2.2400000000000002</v>
          </cell>
          <cell r="U1469">
            <v>0.5</v>
          </cell>
          <cell r="V1469">
            <v>0.75</v>
          </cell>
          <cell r="W1469">
            <v>0</v>
          </cell>
          <cell r="X1469" t="str">
            <v>EST BUFFET CHUVA (CORPO/PT/BS MARROM CLARO COBREADO) - 2,24x0,5x0,75H</v>
          </cell>
          <cell r="Y1469">
            <v>41784.096000000005</v>
          </cell>
          <cell r="Z1469">
            <v>0.35</v>
          </cell>
          <cell r="AA1469">
            <v>27159.662400000005</v>
          </cell>
          <cell r="AB1469"/>
        </row>
        <row r="1470">
          <cell r="C1470">
            <v>1</v>
          </cell>
          <cell r="D1470">
            <v>0</v>
          </cell>
          <cell r="E1470">
            <v>0</v>
          </cell>
          <cell r="F1470">
            <v>0</v>
          </cell>
          <cell r="H1470">
            <v>0</v>
          </cell>
          <cell r="O1470">
            <v>386701</v>
          </cell>
          <cell r="P1470" t="str">
            <v>2024/186-0012-01</v>
          </cell>
          <cell r="Q1470" t="str">
            <v>EST SOFA CAMA EVANS STILL (TC RUSTICO VAT 5238/COR 352)</v>
          </cell>
          <cell r="R1470"/>
          <cell r="S1470"/>
          <cell r="T1470">
            <v>1.92</v>
          </cell>
          <cell r="U1470">
            <v>1.05</v>
          </cell>
          <cell r="V1470">
            <v>0.91</v>
          </cell>
          <cell r="W1470">
            <v>0</v>
          </cell>
          <cell r="X1470" t="str">
            <v>EST SOFA CAMA EVANS STILL (TC RUSTICO VAT 5238/COR 352) - 1,92x1,05x0,91H</v>
          </cell>
          <cell r="Y1470">
            <v>26617.85</v>
          </cell>
          <cell r="Z1470">
            <v>0.35</v>
          </cell>
          <cell r="AA1470">
            <v>17301.602500000001</v>
          </cell>
          <cell r="AB1470"/>
        </row>
        <row r="1471">
          <cell r="C1471">
            <v>1</v>
          </cell>
          <cell r="D1471">
            <v>0</v>
          </cell>
          <cell r="E1471">
            <v>0</v>
          </cell>
          <cell r="F1471">
            <v>2</v>
          </cell>
          <cell r="H1471">
            <v>0</v>
          </cell>
          <cell r="O1471">
            <v>389955</v>
          </cell>
          <cell r="P1471" t="str">
            <v>2024/267-0078-01</v>
          </cell>
          <cell r="Q1471" t="str">
            <v>EST MODULO ENCOSTO RTO LENCOIS M OUTDOOR TC KEEPSAKE TAUPE</v>
          </cell>
          <cell r="R1471"/>
          <cell r="S1471"/>
          <cell r="T1471">
            <v>0.7</v>
          </cell>
          <cell r="U1471">
            <v>0.26</v>
          </cell>
          <cell r="V1471">
            <v>0.26</v>
          </cell>
          <cell r="W1471">
            <v>0</v>
          </cell>
          <cell r="X1471" t="str">
            <v>EST MODULO ENCOSTO RTO LENCOIS M OUTDOOR TC KEEPSAKE TAUPE - 0,7x0,26x0,26H</v>
          </cell>
          <cell r="Y1471">
            <v>4161.7422999999999</v>
          </cell>
          <cell r="Z1471">
            <v>0.35</v>
          </cell>
          <cell r="AA1471">
            <v>2705.1324949999998</v>
          </cell>
          <cell r="AB1471"/>
        </row>
        <row r="1472">
          <cell r="C1472">
            <v>2</v>
          </cell>
          <cell r="D1472">
            <v>0</v>
          </cell>
          <cell r="E1472">
            <v>0</v>
          </cell>
          <cell r="F1472">
            <v>0</v>
          </cell>
          <cell r="H1472">
            <v>0</v>
          </cell>
          <cell r="O1472">
            <v>394913</v>
          </cell>
          <cell r="P1472" t="str">
            <v>2025/014-0047-01</v>
          </cell>
          <cell r="Q1472" t="str">
            <v>EST POLTRONA COCON (GIR) (ENC FX G7139) (FX G7139)</v>
          </cell>
          <cell r="R1472"/>
          <cell r="S1472"/>
          <cell r="T1472">
            <v>0.95</v>
          </cell>
          <cell r="U1472">
            <v>0.9</v>
          </cell>
          <cell r="V1472">
            <v>0.74</v>
          </cell>
          <cell r="W1472">
            <v>0</v>
          </cell>
          <cell r="X1472" t="str">
            <v>EST POLTRONA COCON (GIR) (ENC FX G7139) (FX G7139) - 0,95x0,9x0,74H</v>
          </cell>
          <cell r="Y1472">
            <v>10886.62</v>
          </cell>
          <cell r="Z1472">
            <v>0.35</v>
          </cell>
          <cell r="AA1472">
            <v>7076.3030000000008</v>
          </cell>
          <cell r="AB1472"/>
        </row>
        <row r="1473">
          <cell r="C1473">
            <v>2</v>
          </cell>
          <cell r="D1473">
            <v>0</v>
          </cell>
          <cell r="E1473">
            <v>0</v>
          </cell>
          <cell r="F1473">
            <v>0</v>
          </cell>
          <cell r="H1473">
            <v>0</v>
          </cell>
          <cell r="O1473">
            <v>394913</v>
          </cell>
          <cell r="P1473" t="str">
            <v>2025/014-0048-01</v>
          </cell>
          <cell r="Q1473" t="str">
            <v>EST POLTRONA COCON (GIR) (ENC FX G7139) (FX G7139)</v>
          </cell>
          <cell r="R1473"/>
          <cell r="S1473"/>
          <cell r="T1473">
            <v>0.95</v>
          </cell>
          <cell r="U1473">
            <v>0.9</v>
          </cell>
          <cell r="V1473">
            <v>0.74</v>
          </cell>
          <cell r="W1473">
            <v>0</v>
          </cell>
          <cell r="X1473" t="str">
            <v>EST POLTRONA COCON (GIR) (ENC FX G7139) (FX G7139) - 0,95x0,9x0,74H</v>
          </cell>
          <cell r="Y1473">
            <v>10886.62</v>
          </cell>
          <cell r="Z1473">
            <v>0.35</v>
          </cell>
          <cell r="AA1473">
            <v>7076.3030000000008</v>
          </cell>
          <cell r="AB1473"/>
        </row>
        <row r="1474">
          <cell r="C1474">
            <v>2</v>
          </cell>
          <cell r="D1474">
            <v>0</v>
          </cell>
          <cell r="E1474">
            <v>0</v>
          </cell>
          <cell r="F1474">
            <v>0</v>
          </cell>
          <cell r="H1474">
            <v>0</v>
          </cell>
          <cell r="O1474">
            <v>394924</v>
          </cell>
          <cell r="P1474" t="str">
            <v>2025/014-0041-01</v>
          </cell>
          <cell r="Q1474" t="str">
            <v>EST CADEIRA DESIREE (GIR) (ENC COURO NOZES) (FX F6224)</v>
          </cell>
          <cell r="R1474"/>
          <cell r="S1474"/>
          <cell r="T1474">
            <v>0.66</v>
          </cell>
          <cell r="U1474">
            <v>0.62</v>
          </cell>
          <cell r="V1474">
            <v>0.81</v>
          </cell>
          <cell r="W1474">
            <v>0</v>
          </cell>
          <cell r="X1474" t="str">
            <v>EST CADEIRA DESIREE (GIR) (ENC COURO NOZES) (FX F6224) - 0,66x0,62x0,81H</v>
          </cell>
          <cell r="Y1474">
            <v>9931.1299999999992</v>
          </cell>
          <cell r="Z1474">
            <v>0.35</v>
          </cell>
          <cell r="AA1474">
            <v>6455.2344999999996</v>
          </cell>
          <cell r="AB1474"/>
        </row>
        <row r="1475">
          <cell r="C1475">
            <v>2</v>
          </cell>
          <cell r="D1475">
            <v>0</v>
          </cell>
          <cell r="E1475">
            <v>0</v>
          </cell>
          <cell r="F1475">
            <v>0</v>
          </cell>
          <cell r="H1475">
            <v>0</v>
          </cell>
          <cell r="O1475">
            <v>394924</v>
          </cell>
          <cell r="P1475" t="str">
            <v>2025/014-0042-01</v>
          </cell>
          <cell r="Q1475" t="str">
            <v>EST CADEIRA DESIREE (GIR) (ENC COURO NOZES) (FX F6224)</v>
          </cell>
          <cell r="R1475"/>
          <cell r="S1475"/>
          <cell r="T1475">
            <v>0.66</v>
          </cell>
          <cell r="U1475">
            <v>0.62</v>
          </cell>
          <cell r="V1475">
            <v>0.81</v>
          </cell>
          <cell r="W1475">
            <v>0</v>
          </cell>
          <cell r="X1475" t="str">
            <v>EST CADEIRA DESIREE (GIR) (ENC COURO NOZES) (FX F6224) - 0,66x0,62x0,81H</v>
          </cell>
          <cell r="Y1475">
            <v>9931.1299999999992</v>
          </cell>
          <cell r="Z1475">
            <v>0.35</v>
          </cell>
          <cell r="AA1475">
            <v>6455.2344999999996</v>
          </cell>
          <cell r="AB1475"/>
        </row>
        <row r="1476">
          <cell r="C1476">
            <v>1</v>
          </cell>
          <cell r="D1476">
            <v>0</v>
          </cell>
          <cell r="E1476">
            <v>0</v>
          </cell>
          <cell r="F1476">
            <v>0</v>
          </cell>
          <cell r="H1476">
            <v>0</v>
          </cell>
          <cell r="O1476">
            <v>394929</v>
          </cell>
          <cell r="P1476" t="str">
            <v>2025/080-0033-01</v>
          </cell>
          <cell r="Q1476" t="str">
            <v>EST MESA CENTRO ESSENCE ORGANICA (MTZ CONHAQUE) CLEAR/GRIGIO</v>
          </cell>
          <cell r="R1476"/>
          <cell r="S1476"/>
          <cell r="T1476">
            <v>1</v>
          </cell>
          <cell r="U1476">
            <v>0.98</v>
          </cell>
          <cell r="V1476">
            <v>0.3</v>
          </cell>
          <cell r="W1476">
            <v>0</v>
          </cell>
          <cell r="X1476" t="str">
            <v>EST MESA CENTRO ESSENCE ORGANICA (MTZ CONHAQUE) CLEAR/GRIGIO - 1x0,98x0,3H</v>
          </cell>
          <cell r="Y1476">
            <v>23372.38</v>
          </cell>
          <cell r="Z1476">
            <v>0.35</v>
          </cell>
          <cell r="AA1476">
            <v>15192.047000000002</v>
          </cell>
          <cell r="AB1476"/>
        </row>
        <row r="1477">
          <cell r="C1477">
            <v>1</v>
          </cell>
          <cell r="D1477">
            <v>0</v>
          </cell>
          <cell r="E1477">
            <v>0</v>
          </cell>
          <cell r="F1477">
            <v>0</v>
          </cell>
          <cell r="H1477">
            <v>0</v>
          </cell>
          <cell r="O1477">
            <v>394934</v>
          </cell>
          <cell r="P1477" t="str">
            <v>2025/113-0013-01</v>
          </cell>
          <cell r="Q1477" t="str">
            <v>EST MESA CENTRO ESSENCE OBLONGO (MTZ CONHAQUE) CLEAR/GREY</v>
          </cell>
          <cell r="R1477"/>
          <cell r="S1477"/>
          <cell r="T1477">
            <v>1.28</v>
          </cell>
          <cell r="U1477">
            <v>1</v>
          </cell>
          <cell r="V1477">
            <v>0.3</v>
          </cell>
          <cell r="W1477">
            <v>0</v>
          </cell>
          <cell r="X1477" t="str">
            <v>EST MESA CENTRO ESSENCE OBLONGO (MTZ CONHAQUE) CLEAR/GREY - 1,28x1x0,3H</v>
          </cell>
          <cell r="Y1477">
            <v>17253.29</v>
          </cell>
          <cell r="Z1477">
            <v>0.35</v>
          </cell>
          <cell r="AA1477">
            <v>11214.638500000001</v>
          </cell>
          <cell r="AB1477"/>
        </row>
        <row r="1478">
          <cell r="C1478">
            <v>3</v>
          </cell>
          <cell r="D1478">
            <v>0</v>
          </cell>
          <cell r="E1478">
            <v>0</v>
          </cell>
          <cell r="F1478">
            <v>0</v>
          </cell>
          <cell r="H1478">
            <v>0</v>
          </cell>
          <cell r="O1478">
            <v>402463</v>
          </cell>
          <cell r="P1478" t="str">
            <v>2025/113-0023-01</v>
          </cell>
          <cell r="Q1478" t="str">
            <v>EST ALMOFADA DECORATIVA LENCOIS M (LISO) TC LEROY MARINHO</v>
          </cell>
          <cell r="R1478"/>
          <cell r="S1478"/>
          <cell r="T1478">
            <v>0.6</v>
          </cell>
          <cell r="U1478">
            <v>0.6</v>
          </cell>
          <cell r="V1478">
            <v>0</v>
          </cell>
          <cell r="W1478">
            <v>0</v>
          </cell>
          <cell r="X1478" t="str">
            <v>EST ALMOFADA DECORATIVA LENCOIS M (LISO) TC LEROY MARINHO - 0,6x0,6x0H</v>
          </cell>
          <cell r="Y1478">
            <v>1879.3870000000002</v>
          </cell>
          <cell r="Z1478">
            <v>0.35</v>
          </cell>
          <cell r="AA1478">
            <v>1221.6015500000003</v>
          </cell>
          <cell r="AB1478"/>
        </row>
        <row r="1479">
          <cell r="C1479">
            <v>3</v>
          </cell>
          <cell r="D1479">
            <v>0</v>
          </cell>
          <cell r="E1479">
            <v>0</v>
          </cell>
          <cell r="F1479">
            <v>0</v>
          </cell>
          <cell r="H1479">
            <v>0</v>
          </cell>
          <cell r="O1479">
            <v>402463</v>
          </cell>
          <cell r="P1479" t="str">
            <v>2025/113-0024-01</v>
          </cell>
          <cell r="Q1479" t="str">
            <v>EST ALMOFADA DECORATIVA LENCOIS M (LISO) TC LEROY MARINHO</v>
          </cell>
          <cell r="R1479"/>
          <cell r="S1479"/>
          <cell r="T1479">
            <v>0.6</v>
          </cell>
          <cell r="U1479">
            <v>0.6</v>
          </cell>
          <cell r="V1479">
            <v>0</v>
          </cell>
          <cell r="W1479">
            <v>0</v>
          </cell>
          <cell r="X1479" t="str">
            <v>EST ALMOFADA DECORATIVA LENCOIS M (LISO) TC LEROY MARINHO - 0,6x0,6x0H</v>
          </cell>
          <cell r="Y1479">
            <v>1879.3870000000002</v>
          </cell>
          <cell r="Z1479">
            <v>0.35</v>
          </cell>
          <cell r="AA1479">
            <v>1221.6015500000003</v>
          </cell>
          <cell r="AB1479"/>
        </row>
        <row r="1480">
          <cell r="C1480">
            <v>3</v>
          </cell>
          <cell r="D1480">
            <v>0</v>
          </cell>
          <cell r="E1480">
            <v>0</v>
          </cell>
          <cell r="F1480">
            <v>0</v>
          </cell>
          <cell r="H1480">
            <v>0</v>
          </cell>
          <cell r="O1480">
            <v>402463</v>
          </cell>
          <cell r="P1480" t="str">
            <v>2025/113-0025-01</v>
          </cell>
          <cell r="Q1480" t="str">
            <v>EST ALMOFADA DECORATIVA LENCOIS M (LISO) TC LEROY MARINHO</v>
          </cell>
          <cell r="R1480"/>
          <cell r="S1480"/>
          <cell r="T1480">
            <v>0.6</v>
          </cell>
          <cell r="U1480">
            <v>0.6</v>
          </cell>
          <cell r="V1480">
            <v>0</v>
          </cell>
          <cell r="W1480">
            <v>0</v>
          </cell>
          <cell r="X1480" t="str">
            <v>EST ALMOFADA DECORATIVA LENCOIS M (LISO) TC LEROY MARINHO - 0,6x0,6x0H</v>
          </cell>
          <cell r="Y1480">
            <v>1879.3870000000002</v>
          </cell>
          <cell r="Z1480">
            <v>0.35</v>
          </cell>
          <cell r="AA1480">
            <v>1221.6015500000003</v>
          </cell>
          <cell r="AB1480"/>
        </row>
        <row r="1481">
          <cell r="C1481">
            <v>1</v>
          </cell>
          <cell r="D1481">
            <v>0</v>
          </cell>
          <cell r="E1481">
            <v>0</v>
          </cell>
          <cell r="F1481">
            <v>0</v>
          </cell>
          <cell r="H1481">
            <v>0</v>
          </cell>
          <cell r="O1481">
            <v>402464</v>
          </cell>
          <cell r="P1481" t="str">
            <v>2025/113-0026-01</v>
          </cell>
          <cell r="Q1481" t="str">
            <v>EST MODULO ENCOSTO RETO LENCOIS M (LISO) TC LEROY MARINHO</v>
          </cell>
          <cell r="R1481"/>
          <cell r="S1481"/>
          <cell r="T1481">
            <v>0.7</v>
          </cell>
          <cell r="U1481">
            <v>0.26</v>
          </cell>
          <cell r="V1481">
            <v>0.26</v>
          </cell>
          <cell r="W1481">
            <v>0</v>
          </cell>
          <cell r="X1481" t="str">
            <v>EST MODULO ENCOSTO RETO LENCOIS M (LISO) TC LEROY MARINHO - 0,7x0,26x0,26H</v>
          </cell>
          <cell r="Y1481">
            <v>3923.605</v>
          </cell>
          <cell r="Z1481">
            <v>0.35</v>
          </cell>
          <cell r="AA1481">
            <v>2550.3432499999999</v>
          </cell>
          <cell r="AB1481"/>
        </row>
        <row r="1482">
          <cell r="C1482">
            <v>1</v>
          </cell>
          <cell r="D1482">
            <v>0</v>
          </cell>
          <cell r="E1482">
            <v>0</v>
          </cell>
          <cell r="F1482">
            <v>0</v>
          </cell>
          <cell r="H1482">
            <v>0</v>
          </cell>
          <cell r="O1482">
            <v>402465</v>
          </cell>
          <cell r="P1482" t="str">
            <v>2025/113-0027-01</v>
          </cell>
          <cell r="Q1482" t="str">
            <v>EST MODULO PUFF CANTO 90 LENCOIS M (LISO) TC LEROY MARINHO</v>
          </cell>
          <cell r="R1482"/>
          <cell r="S1482"/>
          <cell r="T1482">
            <v>1</v>
          </cell>
          <cell r="U1482">
            <v>1</v>
          </cell>
          <cell r="V1482">
            <v>0.38</v>
          </cell>
          <cell r="W1482">
            <v>0</v>
          </cell>
          <cell r="X1482" t="str">
            <v>EST MODULO PUFF CANTO 90 LENCOIS M (LISO) TC LEROY MARINHO - 1x1x0,38H</v>
          </cell>
          <cell r="Y1482">
            <v>10114.416000000001</v>
          </cell>
          <cell r="Z1482">
            <v>0.35</v>
          </cell>
          <cell r="AA1482">
            <v>6574.3704000000007</v>
          </cell>
          <cell r="AB1482"/>
        </row>
        <row r="1483">
          <cell r="C1483">
            <v>3</v>
          </cell>
          <cell r="D1483">
            <v>0</v>
          </cell>
          <cell r="E1483">
            <v>0</v>
          </cell>
          <cell r="F1483">
            <v>0</v>
          </cell>
          <cell r="H1483">
            <v>0</v>
          </cell>
          <cell r="O1483">
            <v>402466</v>
          </cell>
          <cell r="P1483" t="str">
            <v>2025/113-0028-01</v>
          </cell>
          <cell r="Q1483" t="str">
            <v>EST ALMOFADA DECORATIVA LENCOIS M (LISO) TC STELLA MARINHO</v>
          </cell>
          <cell r="R1483"/>
          <cell r="S1483"/>
          <cell r="T1483">
            <v>0.5</v>
          </cell>
          <cell r="U1483">
            <v>0.5</v>
          </cell>
          <cell r="V1483">
            <v>0</v>
          </cell>
          <cell r="W1483">
            <v>0</v>
          </cell>
          <cell r="X1483" t="str">
            <v>EST ALMOFADA DECORATIVA LENCOIS M (LISO) TC STELLA MARINHO - 0,5x0,5x0H</v>
          </cell>
          <cell r="Y1483">
            <v>1640.2199999999998</v>
          </cell>
          <cell r="Z1483">
            <v>0.35</v>
          </cell>
          <cell r="AA1483">
            <v>1066.143</v>
          </cell>
          <cell r="AB1483"/>
        </row>
        <row r="1484">
          <cell r="C1484">
            <v>3</v>
          </cell>
          <cell r="D1484">
            <v>0</v>
          </cell>
          <cell r="E1484">
            <v>0</v>
          </cell>
          <cell r="F1484">
            <v>0</v>
          </cell>
          <cell r="H1484">
            <v>0</v>
          </cell>
          <cell r="O1484">
            <v>402466</v>
          </cell>
          <cell r="P1484" t="str">
            <v>2025/113-0029-01</v>
          </cell>
          <cell r="Q1484" t="str">
            <v>EST ALMOFADA DECORATIVA LENCOIS M (LISO) TC STELLA MARINHO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DECORATIVA LENCOIS M (LISO) TC STELLA MARINHO - 0,5x0,5x0H</v>
          </cell>
          <cell r="Y1484">
            <v>1640.2199999999998</v>
          </cell>
          <cell r="Z1484">
            <v>0.35</v>
          </cell>
          <cell r="AA1484">
            <v>1066.143</v>
          </cell>
          <cell r="AB1484"/>
        </row>
        <row r="1485">
          <cell r="C1485">
            <v>3</v>
          </cell>
          <cell r="D1485">
            <v>0</v>
          </cell>
          <cell r="E1485">
            <v>0</v>
          </cell>
          <cell r="F1485">
            <v>0</v>
          </cell>
          <cell r="H1485">
            <v>0</v>
          </cell>
          <cell r="O1485">
            <v>402466</v>
          </cell>
          <cell r="P1485" t="str">
            <v>2025/113-0030-01</v>
          </cell>
          <cell r="Q1485" t="str">
            <v>EST ALMOFADA DECORATIVA LENCOIS M (LISO) TC STELLA MARINHO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DECORATIVA LENCOIS M (LISO) TC STELLA MARINHO - 0,5x0,5x0H</v>
          </cell>
          <cell r="Y1485">
            <v>1640.2199999999998</v>
          </cell>
          <cell r="Z1485">
            <v>0.35</v>
          </cell>
          <cell r="AA1485">
            <v>1066.143</v>
          </cell>
          <cell r="AB1485"/>
        </row>
        <row r="1486">
          <cell r="C1486">
            <v>3</v>
          </cell>
          <cell r="D1486">
            <v>0</v>
          </cell>
          <cell r="E1486">
            <v>0</v>
          </cell>
          <cell r="F1486">
            <v>0</v>
          </cell>
          <cell r="H1486">
            <v>0</v>
          </cell>
          <cell r="O1486">
            <v>402477</v>
          </cell>
          <cell r="P1486" t="str">
            <v>2025/113-0031-01</v>
          </cell>
          <cell r="Q1486" t="str">
            <v>EST MODULO ENCOSTO RETO LENCOIS M (RVST BG4) TC LONA AZUL</v>
          </cell>
          <cell r="R1486"/>
          <cell r="S1486"/>
          <cell r="T1486">
            <v>1.1000000000000001</v>
          </cell>
          <cell r="U1486">
            <v>0.26</v>
          </cell>
          <cell r="V1486">
            <v>0.26</v>
          </cell>
          <cell r="W1486">
            <v>0</v>
          </cell>
          <cell r="X1486" t="str">
            <v>EST MODULO ENCOSTO RETO LENCOIS M (RVST BG4) TC LONA AZUL - 1,1x0,26x0,26H</v>
          </cell>
          <cell r="Y1486">
            <v>4453.3490000000002</v>
          </cell>
          <cell r="Z1486">
            <v>0.35</v>
          </cell>
          <cell r="AA1486">
            <v>2894.6768500000003</v>
          </cell>
          <cell r="AB1486"/>
        </row>
        <row r="1487">
          <cell r="C1487">
            <v>3</v>
          </cell>
          <cell r="D1487">
            <v>0</v>
          </cell>
          <cell r="E1487">
            <v>0</v>
          </cell>
          <cell r="F1487">
            <v>0</v>
          </cell>
          <cell r="H1487">
            <v>0</v>
          </cell>
          <cell r="O1487">
            <v>402477</v>
          </cell>
          <cell r="P1487" t="str">
            <v>2025/113-0032-01</v>
          </cell>
          <cell r="Q1487" t="str">
            <v>EST MODULO ENCOSTO RETO LENCOIS M (RVST BG4) TC LONA AZUL</v>
          </cell>
          <cell r="R1487"/>
          <cell r="S1487"/>
          <cell r="T1487">
            <v>1.1000000000000001</v>
          </cell>
          <cell r="U1487">
            <v>0.26</v>
          </cell>
          <cell r="V1487">
            <v>0.26</v>
          </cell>
          <cell r="W1487">
            <v>0</v>
          </cell>
          <cell r="X1487" t="str">
            <v>EST MODULO ENCOSTO RETO LENCOIS M (RVST BG4) TC LONA AZUL - 1,1x0,26x0,26H</v>
          </cell>
          <cell r="Y1487">
            <v>4453.3490000000002</v>
          </cell>
          <cell r="Z1487">
            <v>0.35</v>
          </cell>
          <cell r="AA1487">
            <v>2894.6768500000003</v>
          </cell>
          <cell r="AB1487"/>
        </row>
        <row r="1488">
          <cell r="C1488">
            <v>3</v>
          </cell>
          <cell r="D1488">
            <v>0</v>
          </cell>
          <cell r="E1488">
            <v>0</v>
          </cell>
          <cell r="F1488">
            <v>0</v>
          </cell>
          <cell r="H1488">
            <v>0</v>
          </cell>
          <cell r="O1488">
            <v>402477</v>
          </cell>
          <cell r="P1488" t="str">
            <v>2025/113-0033-01</v>
          </cell>
          <cell r="Q1488" t="str">
            <v>EST MODULO ENCOSTO RETO LENCOIS M (RVST BG4) TC LONA AZUL</v>
          </cell>
          <cell r="R1488"/>
          <cell r="S1488"/>
          <cell r="T1488">
            <v>1.1000000000000001</v>
          </cell>
          <cell r="U1488">
            <v>0.26</v>
          </cell>
          <cell r="V1488">
            <v>0.26</v>
          </cell>
          <cell r="W1488">
            <v>0</v>
          </cell>
          <cell r="X1488" t="str">
            <v>EST MODULO ENCOSTO RETO LENCOIS M (RVST BG4) TC LONA AZUL - 1,1x0,26x0,26H</v>
          </cell>
          <cell r="Y1488">
            <v>4453.3490000000002</v>
          </cell>
          <cell r="Z1488">
            <v>0.35</v>
          </cell>
          <cell r="AA1488">
            <v>2894.6768500000003</v>
          </cell>
          <cell r="AB1488"/>
        </row>
        <row r="1489">
          <cell r="C1489">
            <v>1</v>
          </cell>
          <cell r="D1489">
            <v>0</v>
          </cell>
          <cell r="E1489">
            <v>0</v>
          </cell>
          <cell r="F1489">
            <v>0</v>
          </cell>
          <cell r="H1489">
            <v>0</v>
          </cell>
          <cell r="O1489">
            <v>402478</v>
          </cell>
          <cell r="P1489" t="str">
            <v>2025/113-0034-01</v>
          </cell>
          <cell r="Q1489" t="str">
            <v>EST MODULO ENCOSTO (L) LENCOIS M (RVST BG4) TC LONA AZUL</v>
          </cell>
          <cell r="R1489"/>
          <cell r="S1489"/>
          <cell r="T1489">
            <v>1.1000000000000001</v>
          </cell>
          <cell r="U1489">
            <v>0.8</v>
          </cell>
          <cell r="V1489">
            <v>0.26</v>
          </cell>
          <cell r="W1489">
            <v>0</v>
          </cell>
          <cell r="X1489" t="str">
            <v>EST MODULO ENCOSTO (L) LENCOIS M (RVST BG4) TC LONA AZUL - 1,1x0,8x0,26H</v>
          </cell>
          <cell r="Y1489">
            <v>6917.4179999999997</v>
          </cell>
          <cell r="Z1489">
            <v>0.35</v>
          </cell>
          <cell r="AA1489">
            <v>4496.3217000000004</v>
          </cell>
          <cell r="AB1489"/>
        </row>
        <row r="1490">
          <cell r="C1490">
            <v>1</v>
          </cell>
          <cell r="D1490">
            <v>0</v>
          </cell>
          <cell r="E1490">
            <v>0</v>
          </cell>
          <cell r="F1490">
            <v>0</v>
          </cell>
          <cell r="H1490">
            <v>0</v>
          </cell>
          <cell r="O1490">
            <v>402479</v>
          </cell>
          <cell r="P1490" t="str">
            <v>2025/113-0035-01</v>
          </cell>
          <cell r="Q1490" t="str">
            <v>EST MODULO ENCOSTO RETO LENCOIS M (RVST BG4) TC LONA AZUL</v>
          </cell>
          <cell r="R1490"/>
          <cell r="S1490"/>
          <cell r="T1490">
            <v>0.7</v>
          </cell>
          <cell r="U1490">
            <v>0.26</v>
          </cell>
          <cell r="V1490">
            <v>0.26</v>
          </cell>
          <cell r="W1490">
            <v>0</v>
          </cell>
          <cell r="X1490" t="str">
            <v>EST MODULO ENCOSTO RETO LENCOIS M (RVST BG4) TC LONA AZUL - 0,7x0,26x0,26H</v>
          </cell>
          <cell r="Y1490">
            <v>3515.0039999999999</v>
          </cell>
          <cell r="Z1490">
            <v>0.35</v>
          </cell>
          <cell r="AA1490">
            <v>2284.7525999999998</v>
          </cell>
          <cell r="AB1490"/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0</v>
          </cell>
          <cell r="H1491">
            <v>0</v>
          </cell>
          <cell r="O1491">
            <v>402480</v>
          </cell>
          <cell r="P1491" t="str">
            <v>2025/113-0036-01</v>
          </cell>
          <cell r="Q1491" t="str">
            <v>EST MODULO PUFF CHAISE LENCOIS M (RVST BG4) TC LONA AZUL</v>
          </cell>
          <cell r="R1491"/>
          <cell r="S1491"/>
          <cell r="T1491">
            <v>2.4</v>
          </cell>
          <cell r="U1491">
            <v>1.55</v>
          </cell>
          <cell r="V1491">
            <v>0.38</v>
          </cell>
          <cell r="W1491">
            <v>0</v>
          </cell>
          <cell r="X1491" t="str">
            <v>EST MODULO PUFF CHAISE LENCOIS M (RVST BG4) TC LONA AZUL - 2,4x1,55x0,38H</v>
          </cell>
          <cell r="Y1491">
            <v>24755.937999999998</v>
          </cell>
          <cell r="Z1491">
            <v>0.35</v>
          </cell>
          <cell r="AA1491">
            <v>16091.359699999999</v>
          </cell>
          <cell r="AB1491"/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0</v>
          </cell>
          <cell r="H1492">
            <v>0</v>
          </cell>
          <cell r="O1492">
            <v>402481</v>
          </cell>
          <cell r="P1492" t="str">
            <v>2025/113-0037-01</v>
          </cell>
          <cell r="Q1492" t="str">
            <v>EST MODULO PUFF LENCOIS M (RVST BG4) TC LONA AZUL</v>
          </cell>
          <cell r="R1492"/>
          <cell r="S1492"/>
          <cell r="T1492">
            <v>2.4</v>
          </cell>
          <cell r="U1492">
            <v>1</v>
          </cell>
          <cell r="V1492">
            <v>0.38</v>
          </cell>
          <cell r="W1492">
            <v>0</v>
          </cell>
          <cell r="X1492" t="str">
            <v>EST MODULO PUFF LENCOIS M (RVST BG4) TC LONA AZUL - 2,4x1x0,38H</v>
          </cell>
          <cell r="Y1492">
            <v>17814.77</v>
          </cell>
          <cell r="Z1492">
            <v>0.35</v>
          </cell>
          <cell r="AA1492">
            <v>11579.6005</v>
          </cell>
          <cell r="AB1492"/>
        </row>
        <row r="1493">
          <cell r="C1493">
            <v>0</v>
          </cell>
          <cell r="D1493">
            <v>0</v>
          </cell>
          <cell r="E1493">
            <v>1</v>
          </cell>
          <cell r="F1493">
            <v>0</v>
          </cell>
          <cell r="H1493">
            <v>0</v>
          </cell>
          <cell r="O1493">
            <v>378171</v>
          </cell>
          <cell r="P1493" t="str">
            <v>2024/023-0008-01</v>
          </cell>
          <cell r="Q1493" t="str">
            <v>EST TAPETE SISAL CD (BARRA VIRADA)</v>
          </cell>
          <cell r="R1493"/>
          <cell r="S1493"/>
          <cell r="T1493">
            <v>4</v>
          </cell>
          <cell r="U1493">
            <v>3</v>
          </cell>
          <cell r="V1493">
            <v>0</v>
          </cell>
          <cell r="W1493">
            <v>0</v>
          </cell>
          <cell r="X1493" t="str">
            <v>EST TAPETE SISAL CD (BARRA VIRADA) - 4x3x0H</v>
          </cell>
          <cell r="Y1493">
            <v>5398.4</v>
          </cell>
          <cell r="Z1493">
            <v>0.35</v>
          </cell>
          <cell r="AA1493">
            <v>3508.96</v>
          </cell>
          <cell r="AB1493"/>
        </row>
        <row r="1494">
          <cell r="C1494">
            <v>0</v>
          </cell>
          <cell r="D1494">
            <v>0</v>
          </cell>
          <cell r="E1494">
            <v>1</v>
          </cell>
          <cell r="F1494">
            <v>0</v>
          </cell>
          <cell r="H1494">
            <v>0</v>
          </cell>
          <cell r="O1494">
            <v>63168</v>
          </cell>
          <cell r="P1494" t="str">
            <v>2013/294-0084-01</v>
          </cell>
          <cell r="Q1494" t="str">
            <v>EST CADEIRA BASICA (LACA GELO)</v>
          </cell>
          <cell r="R1494"/>
          <cell r="S1494"/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 t="str">
            <v>EST CADEIRA BASICA (LACA GELO) - Ø0x0H</v>
          </cell>
          <cell r="Y1494">
            <v>4250</v>
          </cell>
          <cell r="Z1494">
            <v>0.5</v>
          </cell>
          <cell r="AA1494">
            <v>2125</v>
          </cell>
          <cell r="AB1494"/>
        </row>
        <row r="1495">
          <cell r="C1495">
            <v>0</v>
          </cell>
          <cell r="D1495">
            <v>0</v>
          </cell>
          <cell r="E1495">
            <v>1</v>
          </cell>
          <cell r="F1495">
            <v>0</v>
          </cell>
          <cell r="H1495">
            <v>0</v>
          </cell>
          <cell r="O1495">
            <v>351053</v>
          </cell>
          <cell r="P1495" t="str">
            <v>2022/263-0002-01</v>
          </cell>
          <cell r="Q1495" t="str">
            <v>EST BANDEJA MATISSE (CIRCULAR) (DUETTO RUST PINT CHAMPAGNE)</v>
          </cell>
          <cell r="R1495"/>
          <cell r="S1495"/>
          <cell r="T1495">
            <v>0.3</v>
          </cell>
          <cell r="U1495">
            <v>0</v>
          </cell>
          <cell r="V1495">
            <v>0.06</v>
          </cell>
          <cell r="W1495">
            <v>0.3</v>
          </cell>
          <cell r="X1495" t="str">
            <v>EST BANDEJA MATISSE (CIRCULAR) (DUETTO RUST PINT CHAMPAGNE) - Ø0,3x0,06H</v>
          </cell>
          <cell r="Y1495">
            <v>2307.96</v>
          </cell>
          <cell r="Z1495">
            <v>0.4</v>
          </cell>
          <cell r="AA1495">
            <v>1384.7759999999998</v>
          </cell>
          <cell r="AB1495"/>
        </row>
        <row r="1496">
          <cell r="C1496">
            <v>0</v>
          </cell>
          <cell r="D1496">
            <v>0</v>
          </cell>
          <cell r="E1496">
            <v>1</v>
          </cell>
          <cell r="F1496">
            <v>0</v>
          </cell>
          <cell r="H1496">
            <v>0</v>
          </cell>
          <cell r="O1496">
            <v>351071</v>
          </cell>
          <cell r="P1496" t="str">
            <v>2025/050-0034-01</v>
          </cell>
          <cell r="Q1496" t="str">
            <v>EST BANDEJA MATISSE (GRIS ARMANI) (INOX COOPER)</v>
          </cell>
          <cell r="R1496"/>
          <cell r="S1496"/>
          <cell r="T1496">
            <v>0.6</v>
          </cell>
          <cell r="U1496">
            <v>0.3</v>
          </cell>
          <cell r="V1496">
            <v>0.06</v>
          </cell>
          <cell r="W1496">
            <v>0</v>
          </cell>
          <cell r="X1496" t="str">
            <v>EST BANDEJA MATISSE (GRIS ARMANI) (INOX COOPER) - 0,6x0,3x0,06H</v>
          </cell>
          <cell r="Y1496">
            <v>4538.91</v>
          </cell>
          <cell r="Z1496">
            <v>0.4</v>
          </cell>
          <cell r="AA1496">
            <v>2723.3459999999995</v>
          </cell>
          <cell r="AB1496"/>
        </row>
        <row r="1497">
          <cell r="C1497">
            <v>0</v>
          </cell>
          <cell r="D1497">
            <v>0</v>
          </cell>
          <cell r="E1497">
            <v>1</v>
          </cell>
          <cell r="F1497">
            <v>0</v>
          </cell>
          <cell r="H1497">
            <v>0</v>
          </cell>
          <cell r="O1497">
            <v>351072</v>
          </cell>
          <cell r="P1497" t="str">
            <v>2022/263-0021-01</v>
          </cell>
          <cell r="Q1497" t="str">
            <v>EST BANDEJA MATISSE (CARRARA G) (PINT CINZA CHUMBO)</v>
          </cell>
          <cell r="R1497"/>
          <cell r="S1497"/>
          <cell r="T1497">
            <v>0.3</v>
          </cell>
          <cell r="U1497">
            <v>0.3</v>
          </cell>
          <cell r="V1497">
            <v>0.06</v>
          </cell>
          <cell r="W1497">
            <v>0</v>
          </cell>
          <cell r="X1497" t="str">
            <v>EST BANDEJA MATISSE (CARRARA G) (PINT CINZA CHUMBO) - 0,3x0,3x0,06H</v>
          </cell>
          <cell r="Y1497">
            <v>2307.96</v>
          </cell>
          <cell r="Z1497">
            <v>0.4</v>
          </cell>
          <cell r="AA1497">
            <v>1384.7759999999998</v>
          </cell>
          <cell r="AB1497"/>
        </row>
        <row r="1498">
          <cell r="C1498">
            <v>0</v>
          </cell>
          <cell r="D1498">
            <v>0</v>
          </cell>
          <cell r="E1498">
            <v>1</v>
          </cell>
          <cell r="F1498">
            <v>0</v>
          </cell>
          <cell r="H1498">
            <v>0</v>
          </cell>
          <cell r="O1498">
            <v>351079</v>
          </cell>
          <cell r="P1498" t="str">
            <v>2022/263-0028-01</v>
          </cell>
          <cell r="Q1498" t="str">
            <v>EST BANDEJA MATISSE ORGANICA (CARV EBNZ) (PINT CINZA CHUMBO)</v>
          </cell>
          <cell r="R1498"/>
          <cell r="S1498"/>
          <cell r="T1498">
            <v>0.6</v>
          </cell>
          <cell r="U1498">
            <v>0.6</v>
          </cell>
          <cell r="V1498">
            <v>0.06</v>
          </cell>
          <cell r="W1498">
            <v>0</v>
          </cell>
          <cell r="X1498" t="str">
            <v>EST BANDEJA MATISSE ORGANICA (CARV EBNZ) (PINT CINZA CHUMBO) - 0,6x0,6x0,06H</v>
          </cell>
          <cell r="Y1498">
            <v>2841.31</v>
          </cell>
          <cell r="Z1498">
            <v>0.4</v>
          </cell>
          <cell r="AA1498">
            <v>1704.7859999999998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350008</v>
          </cell>
          <cell r="P1499" t="str">
            <v>2022/222-0009-01</v>
          </cell>
          <cell r="Q1499" t="str">
            <v>EST MESA CENTRO MATISSE ORGANICA (TP NOG PURE) (BS NOG PURE)</v>
          </cell>
          <cell r="R1499"/>
          <cell r="S1499"/>
          <cell r="T1499">
            <v>0.8</v>
          </cell>
          <cell r="U1499">
            <v>0.85</v>
          </cell>
          <cell r="V1499">
            <v>0.35</v>
          </cell>
          <cell r="W1499">
            <v>0</v>
          </cell>
          <cell r="X1499" t="str">
            <v>EST MESA CENTRO MATISSE ORGANICA (TP NOG PURE) (BS NOG PURE) - 0,8x0,85x0,35H</v>
          </cell>
          <cell r="Y1499">
            <v>12426.85</v>
          </cell>
          <cell r="Z1499">
            <v>0.35</v>
          </cell>
          <cell r="AA1499">
            <v>8077.4525000000003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350008</v>
          </cell>
          <cell r="P1500" t="str">
            <v>2022/222-0010-01</v>
          </cell>
          <cell r="Q1500" t="str">
            <v>EST MESA CENTRO MATISSE ORGANICA (TP NOG PURE) (BS NOG PURE)</v>
          </cell>
          <cell r="R1500"/>
          <cell r="S1500"/>
          <cell r="T1500">
            <v>0.8</v>
          </cell>
          <cell r="U1500">
            <v>0.85</v>
          </cell>
          <cell r="V1500">
            <v>0.35</v>
          </cell>
          <cell r="W1500">
            <v>0</v>
          </cell>
          <cell r="X1500" t="str">
            <v>EST MESA CENTRO MATISSE ORGANICA (TP NOG PURE) (BS NOG PURE) - 0,8x0,85x0,35H</v>
          </cell>
          <cell r="Y1500">
            <v>12426.85</v>
          </cell>
          <cell r="Z1500">
            <v>0.35</v>
          </cell>
          <cell r="AA1500">
            <v>8077.4525000000003</v>
          </cell>
          <cell r="AB1500"/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1</v>
          </cell>
          <cell r="H1501">
            <v>0</v>
          </cell>
          <cell r="O1501">
            <v>350009</v>
          </cell>
          <cell r="P1501" t="str">
            <v>2022/222-0011-01</v>
          </cell>
          <cell r="Q1501" t="str">
            <v>EST MESA CENTRO MATISSE ORGANICA (TP IMP DUETTO) (BS BRONZE)</v>
          </cell>
          <cell r="R1501"/>
          <cell r="S1501"/>
          <cell r="T1501">
            <v>0.8</v>
          </cell>
          <cell r="U1501">
            <v>0.85</v>
          </cell>
          <cell r="V1501">
            <v>0.3</v>
          </cell>
          <cell r="W1501">
            <v>0</v>
          </cell>
          <cell r="X1501" t="str">
            <v>EST MESA CENTRO MATISSE ORGANICA (TP IMP DUETTO) (BS BRONZE) - 0,8x0,85x0,3H</v>
          </cell>
          <cell r="Y1501">
            <v>16699.07</v>
          </cell>
          <cell r="Z1501">
            <v>0.35</v>
          </cell>
          <cell r="AA1501">
            <v>10854.395500000001</v>
          </cell>
          <cell r="AB1501"/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1</v>
          </cell>
          <cell r="H1502">
            <v>0</v>
          </cell>
          <cell r="O1502">
            <v>350010</v>
          </cell>
          <cell r="P1502" t="str">
            <v>2022/222-0012-01</v>
          </cell>
          <cell r="Q1502" t="str">
            <v>EST MESA CENTRO MATISSE (TP IMP GRIS ARMANI) (BS BRONZE CF)</v>
          </cell>
          <cell r="R1502"/>
          <cell r="S1502"/>
          <cell r="T1502">
            <v>0.5</v>
          </cell>
          <cell r="U1502">
            <v>0</v>
          </cell>
          <cell r="V1502">
            <v>0.35</v>
          </cell>
          <cell r="W1502">
            <v>0.5</v>
          </cell>
          <cell r="X1502" t="str">
            <v>EST MESA CENTRO MATISSE (TP IMP GRIS ARMANI) (BS BRONZE CF) - Ø0,5x0,35H</v>
          </cell>
          <cell r="Y1502">
            <v>8749.57</v>
          </cell>
          <cell r="Z1502">
            <v>0.35</v>
          </cell>
          <cell r="AA1502">
            <v>5687.2204999999994</v>
          </cell>
          <cell r="AB1502"/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1</v>
          </cell>
          <cell r="H1503">
            <v>0</v>
          </cell>
          <cell r="O1503">
            <v>373053</v>
          </cell>
          <cell r="P1503" t="str">
            <v>2023/270-0024-01</v>
          </cell>
          <cell r="Q1503" t="str">
            <v>EST MESA CENTRO MATISSE ORGANICA (TP GRIS ARMAMI) (BS NOG P)</v>
          </cell>
          <cell r="R1503"/>
          <cell r="S1503"/>
          <cell r="T1503">
            <v>1.9</v>
          </cell>
          <cell r="U1503">
            <v>1.8</v>
          </cell>
          <cell r="V1503">
            <v>0.3</v>
          </cell>
          <cell r="W1503">
            <v>0</v>
          </cell>
          <cell r="X1503" t="str">
            <v>EST MESA CENTRO MATISSE ORGANICA (TP GRIS ARMAMI) (BS NOG P) - 1,9x1,8x0,3H</v>
          </cell>
          <cell r="Y1503">
            <v>68816.97</v>
          </cell>
          <cell r="Z1503">
            <v>0.35</v>
          </cell>
          <cell r="AA1503">
            <v>44731.030500000001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1</v>
          </cell>
          <cell r="H1504">
            <v>0</v>
          </cell>
          <cell r="O1504">
            <v>373148</v>
          </cell>
          <cell r="P1504" t="str">
            <v>2023/270-0026-01</v>
          </cell>
          <cell r="Q1504" t="str">
            <v>EST MESA JANTAR MATISSE (TP VERDE GUAT TRIP) (BS NOG PURE)</v>
          </cell>
          <cell r="R1504"/>
          <cell r="S1504"/>
          <cell r="T1504">
            <v>1.83</v>
          </cell>
          <cell r="U1504">
            <v>0</v>
          </cell>
          <cell r="V1504">
            <v>0.75</v>
          </cell>
          <cell r="W1504">
            <v>1.83</v>
          </cell>
          <cell r="X1504" t="str">
            <v>EST MESA JANTAR MATISSE (TP VERDE GUAT TRIP) (BS NOG PURE) - Ø1,83x0,75H</v>
          </cell>
          <cell r="Y1504">
            <v>87818.8</v>
          </cell>
          <cell r="Z1504">
            <v>0.35</v>
          </cell>
          <cell r="AA1504">
            <v>57082.22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1</v>
          </cell>
          <cell r="H1505">
            <v>0</v>
          </cell>
          <cell r="O1505">
            <v>404433</v>
          </cell>
          <cell r="P1505" t="str">
            <v>2025/076-0011-01</v>
          </cell>
          <cell r="Q1505" t="str">
            <v>EST MESA JANTAR MATISSE (TP E BS FREIO PURE S/DET)</v>
          </cell>
          <cell r="R1505"/>
          <cell r="S1505"/>
          <cell r="T1505">
            <v>3</v>
          </cell>
          <cell r="U1505">
            <v>1.05</v>
          </cell>
          <cell r="V1505">
            <v>0.75</v>
          </cell>
          <cell r="W1505">
            <v>0</v>
          </cell>
          <cell r="X1505" t="str">
            <v>EST MESA JANTAR MATISSE (TP E BS FREIO PURE S/DET) - 3x1,05x0,75H</v>
          </cell>
          <cell r="Y1505">
            <v>59262.2</v>
          </cell>
          <cell r="Z1505">
            <v>0.35</v>
          </cell>
          <cell r="AA1505">
            <v>38520.43</v>
          </cell>
          <cell r="AB1505"/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1</v>
          </cell>
          <cell r="H1506">
            <v>0</v>
          </cell>
          <cell r="O1506">
            <v>351062</v>
          </cell>
          <cell r="P1506" t="str">
            <v>2022/263-0011-01</v>
          </cell>
          <cell r="Q1506" t="str">
            <v>EST BANDEJA MATISSE 90 (CIRCULAR) (CARV CAFE PINT BRNZ CAFE)</v>
          </cell>
          <cell r="R1506"/>
          <cell r="S1506"/>
          <cell r="T1506">
            <v>0.3</v>
          </cell>
          <cell r="U1506">
            <v>0</v>
          </cell>
          <cell r="V1506">
            <v>0.06</v>
          </cell>
          <cell r="W1506">
            <v>0.3</v>
          </cell>
          <cell r="X1506" t="str">
            <v>EST BANDEJA MATISSE 90 (CIRCULAR) (CARV CAFE PINT BRNZ CAFE) - Ø0,3x0,06H</v>
          </cell>
          <cell r="Y1506">
            <v>1046.26</v>
          </cell>
          <cell r="Z1506">
            <v>0.4</v>
          </cell>
          <cell r="AA1506">
            <v>627.75599999999997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1</v>
          </cell>
          <cell r="H1507">
            <v>0</v>
          </cell>
          <cell r="O1507">
            <v>351064</v>
          </cell>
          <cell r="P1507" t="str">
            <v>2022/263-0013-01</v>
          </cell>
          <cell r="Q1507" t="str">
            <v>EST BANDEJA MATISSE (CIRCULAR) (CARV CAFE) (PINT BRNZ CAFE)</v>
          </cell>
          <cell r="R1507"/>
          <cell r="S1507"/>
          <cell r="T1507">
            <v>0.6</v>
          </cell>
          <cell r="U1507">
            <v>0</v>
          </cell>
          <cell r="V1507">
            <v>0.06</v>
          </cell>
          <cell r="W1507">
            <v>0.6</v>
          </cell>
          <cell r="X1507" t="str">
            <v>EST BANDEJA MATISSE (CIRCULAR) (CARV CAFE) (PINT BRNZ CAFE) - Ø0,6x0,06H</v>
          </cell>
          <cell r="Y1507">
            <v>2502.8000000000002</v>
          </cell>
          <cell r="Z1507">
            <v>0.4</v>
          </cell>
          <cell r="AA1507">
            <v>1501.68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1</v>
          </cell>
          <cell r="H1508">
            <v>0</v>
          </cell>
          <cell r="O1508">
            <v>351074</v>
          </cell>
          <cell r="P1508" t="str">
            <v>2022/263-0023-01</v>
          </cell>
          <cell r="Q1508" t="str">
            <v>EST BANDEJA MATISSE (CARVALHO CAFE) (PINT BRONZE CAFE)</v>
          </cell>
          <cell r="R1508"/>
          <cell r="S1508"/>
          <cell r="T1508">
            <v>0.3</v>
          </cell>
          <cell r="U1508">
            <v>0.3</v>
          </cell>
          <cell r="V1508">
            <v>0.06</v>
          </cell>
          <cell r="W1508">
            <v>0</v>
          </cell>
          <cell r="X1508" t="str">
            <v>EST BANDEJA MATISSE (CARVALHO CAFE) (PINT BRONZE CAFE) - 0,3x0,3x0,06H</v>
          </cell>
          <cell r="Y1508">
            <v>1046.26</v>
          </cell>
          <cell r="Z1508">
            <v>0.4</v>
          </cell>
          <cell r="AA1508">
            <v>627.75599999999997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351075</v>
          </cell>
          <cell r="P1509" t="str">
            <v>2022/263-0024-01</v>
          </cell>
          <cell r="Q1509" t="str">
            <v>EST BANDEJA MATISSE (CARVALHO CAFE) (PINT BRONZE CAFE)</v>
          </cell>
          <cell r="R1509"/>
          <cell r="S1509"/>
          <cell r="T1509">
            <v>0.6</v>
          </cell>
          <cell r="U1509">
            <v>0.3</v>
          </cell>
          <cell r="V1509">
            <v>0.06</v>
          </cell>
          <cell r="W1509">
            <v>0</v>
          </cell>
          <cell r="X1509" t="str">
            <v>EST BANDEJA MATISSE (CARVALHO CAFE) (PINT BRONZE CAFE) - 0,6x0,3x0,06H</v>
          </cell>
          <cell r="Y1509">
            <v>1477.06</v>
          </cell>
          <cell r="Z1509">
            <v>0.4</v>
          </cell>
          <cell r="AA1509">
            <v>886.23599999999999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352608</v>
          </cell>
          <cell r="P1510" t="str">
            <v>2022/266-0099-01</v>
          </cell>
          <cell r="Q1510" t="str">
            <v>EST BANDEJA MATISSE RED (LAM NOGUEIRA) (PINT CORTEN)</v>
          </cell>
          <cell r="R1510"/>
          <cell r="S1510"/>
          <cell r="T1510">
            <v>0.3</v>
          </cell>
          <cell r="U1510">
            <v>0</v>
          </cell>
          <cell r="V1510">
            <v>0.06</v>
          </cell>
          <cell r="W1510">
            <v>0.3</v>
          </cell>
          <cell r="X1510" t="str">
            <v>EST BANDEJA MATISSE RED (LAM NOGUEIRA) (PINT CORTEN) - Ø0,3x0,06H</v>
          </cell>
          <cell r="Y1510">
            <v>1046.26</v>
          </cell>
          <cell r="Z1510">
            <v>0.4</v>
          </cell>
          <cell r="AA1510">
            <v>627.75599999999997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352609</v>
          </cell>
          <cell r="P1511" t="str">
            <v>2022/266-0100-01</v>
          </cell>
          <cell r="Q1511" t="str">
            <v>EST BANDEJA MATISSE RED (CRISTAL COBRE) (PINT COBRE)</v>
          </cell>
          <cell r="R1511"/>
          <cell r="S1511"/>
          <cell r="T1511">
            <v>0.4</v>
          </cell>
          <cell r="U1511">
            <v>0</v>
          </cell>
          <cell r="V1511">
            <v>0.06</v>
          </cell>
          <cell r="W1511">
            <v>0.4</v>
          </cell>
          <cell r="X1511" t="str">
            <v>EST BANDEJA MATISSE RED (CRISTAL COBRE) (PINT COBRE) - Ø0,4x0,06H</v>
          </cell>
          <cell r="Y1511">
            <v>1507.88</v>
          </cell>
          <cell r="Z1511">
            <v>0.4</v>
          </cell>
          <cell r="AA1511">
            <v>904.72800000000007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352610</v>
          </cell>
          <cell r="P1512" t="str">
            <v>2022/266-0101-01</v>
          </cell>
          <cell r="Q1512" t="str">
            <v>EST BANDEJA MATISSE RED (ESP FUME) (PINT CINZA CHUMBO)</v>
          </cell>
          <cell r="R1512"/>
          <cell r="S1512"/>
          <cell r="T1512">
            <v>0.6</v>
          </cell>
          <cell r="U1512">
            <v>0</v>
          </cell>
          <cell r="V1512">
            <v>0.06</v>
          </cell>
          <cell r="W1512">
            <v>0.6</v>
          </cell>
          <cell r="X1512" t="str">
            <v>EST BANDEJA MATISSE RED (ESP FUME) (PINT CINZA CHUMBO) - Ø0,6x0,06H</v>
          </cell>
          <cell r="Y1512">
            <v>2584.87</v>
          </cell>
          <cell r="Z1512">
            <v>0.4</v>
          </cell>
          <cell r="AA1512">
            <v>1550.9219999999998</v>
          </cell>
          <cell r="AB1512"/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352611</v>
          </cell>
          <cell r="P1513" t="str">
            <v>2022/266-0102-01</v>
          </cell>
          <cell r="Q1513" t="str">
            <v>EST BANDEJA MATISSE QUAD (PORCELANATO) (LAMINA CARV NT)</v>
          </cell>
          <cell r="R1513"/>
          <cell r="S1513"/>
          <cell r="T1513">
            <v>0.3</v>
          </cell>
          <cell r="U1513">
            <v>0.3</v>
          </cell>
          <cell r="V1513">
            <v>0.06</v>
          </cell>
          <cell r="W1513">
            <v>0</v>
          </cell>
          <cell r="X1513" t="str">
            <v>EST BANDEJA MATISSE QUAD (PORCELANATO) (LAMINA CARV NT) - 0,3x0,3x0,06H</v>
          </cell>
          <cell r="Y1513">
            <v>1564.24</v>
          </cell>
          <cell r="Z1513">
            <v>0.4</v>
          </cell>
          <cell r="AA1513">
            <v>938.54399999999998</v>
          </cell>
          <cell r="AB1513"/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1</v>
          </cell>
          <cell r="H1514">
            <v>0</v>
          </cell>
          <cell r="O1514">
            <v>352612</v>
          </cell>
          <cell r="P1514" t="str">
            <v>2022/266-0103-01</v>
          </cell>
          <cell r="Q1514" t="str">
            <v>EST BANDEJA MATISSE RET (LAM CARV TITANIUM) (PINT CHAMPAGNE)</v>
          </cell>
          <cell r="R1514"/>
          <cell r="S1514"/>
          <cell r="T1514">
            <v>0.6</v>
          </cell>
          <cell r="U1514">
            <v>0.3</v>
          </cell>
          <cell r="V1514">
            <v>0.06</v>
          </cell>
          <cell r="W1514">
            <v>0</v>
          </cell>
          <cell r="X1514" t="str">
            <v>EST BANDEJA MATISSE RET (LAM CARV TITANIUM) (PINT CHAMPAGNE) - 0,6x0,3x0,06H</v>
          </cell>
          <cell r="Y1514">
            <v>1477.06</v>
          </cell>
          <cell r="Z1514">
            <v>0.4</v>
          </cell>
          <cell r="AA1514">
            <v>886.23599999999999</v>
          </cell>
          <cell r="AB1514"/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1</v>
          </cell>
          <cell r="H1515">
            <v>0</v>
          </cell>
          <cell r="O1515">
            <v>352613</v>
          </cell>
          <cell r="P1515" t="str">
            <v>2022/266-0104-01</v>
          </cell>
          <cell r="Q1515" t="str">
            <v>EST BANDEJA MATISSE ORG (LAM PED KINGS) (PINT CHAMPAGNE)</v>
          </cell>
          <cell r="R1515"/>
          <cell r="S1515"/>
          <cell r="T1515">
            <v>0.6</v>
          </cell>
          <cell r="U1515">
            <v>0.6</v>
          </cell>
          <cell r="V1515">
            <v>0.06</v>
          </cell>
          <cell r="W1515">
            <v>0</v>
          </cell>
          <cell r="X1515" t="str">
            <v>EST BANDEJA MATISSE ORG (LAM PED KINGS) (PINT CHAMPAGNE) - 0,6x0,6x0,06H</v>
          </cell>
          <cell r="Y1515">
            <v>6036.49</v>
          </cell>
          <cell r="Z1515">
            <v>0.4</v>
          </cell>
          <cell r="AA1515">
            <v>3621.8939999999998</v>
          </cell>
          <cell r="AB1515"/>
        </row>
        <row r="1516">
          <cell r="C1516">
            <v>0</v>
          </cell>
          <cell r="D1516">
            <v>1</v>
          </cell>
          <cell r="E1516">
            <v>0</v>
          </cell>
          <cell r="F1516">
            <v>0</v>
          </cell>
          <cell r="H1516">
            <v>0</v>
          </cell>
          <cell r="O1516">
            <v>350006</v>
          </cell>
          <cell r="P1516" t="str">
            <v>2022/222-0007-01</v>
          </cell>
          <cell r="Q1516" t="str">
            <v>EST MESA CENTRO MATISSE (TP IMP NERO MARQUINA) (BS CINZA CH)</v>
          </cell>
          <cell r="R1516"/>
          <cell r="S1516"/>
          <cell r="T1516">
            <v>1.1000000000000001</v>
          </cell>
          <cell r="U1516">
            <v>0</v>
          </cell>
          <cell r="V1516">
            <v>0.3</v>
          </cell>
          <cell r="W1516">
            <v>1.1000000000000001</v>
          </cell>
          <cell r="X1516" t="str">
            <v>EST MESA CENTRO MATISSE (TP IMP NERO MARQUINA) (BS CINZA CH) - Ø1,1x0,3H</v>
          </cell>
          <cell r="Y1516">
            <v>26110.25</v>
          </cell>
          <cell r="Z1516">
            <v>0.35</v>
          </cell>
          <cell r="AA1516">
            <v>16971.662499999999</v>
          </cell>
          <cell r="AB1516"/>
        </row>
        <row r="1517">
          <cell r="C1517">
            <v>0</v>
          </cell>
          <cell r="D1517">
            <v>1</v>
          </cell>
          <cell r="E1517">
            <v>0</v>
          </cell>
          <cell r="F1517">
            <v>0</v>
          </cell>
          <cell r="H1517">
            <v>0</v>
          </cell>
          <cell r="O1517">
            <v>151276</v>
          </cell>
          <cell r="P1517" t="str">
            <v>2014/219-0055-01</v>
          </cell>
          <cell r="Q1517" t="str">
            <v>EST BANDEJA DESCOLAMENTO GRANDE (CAMURCA VANILLA)</v>
          </cell>
          <cell r="R1517"/>
          <cell r="S1517"/>
          <cell r="T1517">
            <v>0.63</v>
          </cell>
          <cell r="U1517">
            <v>0.45</v>
          </cell>
          <cell r="V1517">
            <v>0.06</v>
          </cell>
          <cell r="W1517">
            <v>0</v>
          </cell>
          <cell r="X1517" t="str">
            <v>EST BANDEJA DESCOLAMENTO GRANDE (CAMURCA VANILLA) - 0,63x0,45x0,06H</v>
          </cell>
          <cell r="Y1517">
            <v>5891.2</v>
          </cell>
          <cell r="Z1517">
            <v>0.5</v>
          </cell>
          <cell r="AA1517">
            <v>2945.6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250137</v>
          </cell>
          <cell r="P1518" t="str">
            <v>2019/252-0116-01</v>
          </cell>
          <cell r="Q1518" t="str">
            <v>EST ALMOFADA ONDAS (TERRACOTA COD 4006)</v>
          </cell>
          <cell r="R1518"/>
          <cell r="S1518"/>
          <cell r="T1518">
            <v>0.5</v>
          </cell>
          <cell r="U1518">
            <v>0.5</v>
          </cell>
          <cell r="V1518">
            <v>0</v>
          </cell>
          <cell r="W1518">
            <v>0</v>
          </cell>
          <cell r="X1518" t="str">
            <v>EST ALMOFADA ONDAS (TERRACOTA COD 4006) - 0,5x0,5x0H</v>
          </cell>
          <cell r="Y1518">
            <v>1059.6099999999999</v>
          </cell>
          <cell r="Z1518">
            <v>0.5</v>
          </cell>
          <cell r="AA1518">
            <v>529.80499999999995</v>
          </cell>
          <cell r="AB1518"/>
        </row>
        <row r="1519">
          <cell r="C1519">
            <v>0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253848</v>
          </cell>
          <cell r="P1519" t="str">
            <v>2019/337-0032-01</v>
          </cell>
          <cell r="Q1519" t="str">
            <v>EST BANDEJA RITMO Ø55 (MARMORE 2 ROSA PARANA FOSCO)</v>
          </cell>
          <cell r="R1519"/>
          <cell r="S1519"/>
          <cell r="T1519">
            <v>0.55000000000000004</v>
          </cell>
          <cell r="U1519">
            <v>0</v>
          </cell>
          <cell r="V1519">
            <v>0.02</v>
          </cell>
          <cell r="W1519">
            <v>0.55000000000000004</v>
          </cell>
          <cell r="X1519" t="str">
            <v>EST BANDEJA RITMO Ø55 (MARMORE 2 ROSA PARANA FOSCO) - Ø0,55x0,02H</v>
          </cell>
          <cell r="Y1519">
            <v>9892.7800000000007</v>
          </cell>
          <cell r="Z1519">
            <v>0.5</v>
          </cell>
          <cell r="AA1519">
            <v>4946.3900000000003</v>
          </cell>
          <cell r="AB1519"/>
        </row>
        <row r="1520">
          <cell r="C1520">
            <v>0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351054</v>
          </cell>
          <cell r="P1520" t="str">
            <v>2022/263-0003-01</v>
          </cell>
          <cell r="Q1520" t="str">
            <v>EST BANDEJA MATISSE (CIRCULAR) (DUETTO RUST PINT CHAMPAGNE)</v>
          </cell>
          <cell r="R1520"/>
          <cell r="S1520"/>
          <cell r="T1520">
            <v>0.4</v>
          </cell>
          <cell r="U1520">
            <v>0</v>
          </cell>
          <cell r="V1520">
            <v>0.06</v>
          </cell>
          <cell r="W1520">
            <v>0.4</v>
          </cell>
          <cell r="X1520" t="str">
            <v>EST BANDEJA MATISSE (CIRCULAR) (DUETTO RUST PINT CHAMPAGNE) - Ø0,4x0,06H</v>
          </cell>
          <cell r="Y1520">
            <v>3518.32</v>
          </cell>
          <cell r="Z1520">
            <v>0.4</v>
          </cell>
          <cell r="AA1520">
            <v>2110.9920000000002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351056</v>
          </cell>
          <cell r="P1521" t="str">
            <v>2022/263-0005-01</v>
          </cell>
          <cell r="Q1521" t="str">
            <v>EST BANDEJA MATISSE (CIRCULAR) (GRIS ARMANI INOX COOPER)</v>
          </cell>
          <cell r="R1521"/>
          <cell r="S1521"/>
          <cell r="T1521">
            <v>0.3</v>
          </cell>
          <cell r="U1521">
            <v>0</v>
          </cell>
          <cell r="V1521">
            <v>0.06</v>
          </cell>
          <cell r="W1521">
            <v>0.3</v>
          </cell>
          <cell r="X1521" t="str">
            <v>EST BANDEJA MATISSE (CIRCULAR) (GRIS ARMANI INOX COOPER) - Ø0,3x0,06H</v>
          </cell>
          <cell r="Y1521">
            <v>2995.15</v>
          </cell>
          <cell r="Z1521">
            <v>0.4</v>
          </cell>
          <cell r="AA1521">
            <v>1797.09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351058</v>
          </cell>
          <cell r="P1522" t="str">
            <v>2022/263-0007-01</v>
          </cell>
          <cell r="Q1522" t="str">
            <v>EST BANDEJA MATISSE(CIRCULAR) (GRIS ARMANI INOX COOPER)</v>
          </cell>
          <cell r="R1522"/>
          <cell r="S1522"/>
          <cell r="T1522">
            <v>0.6</v>
          </cell>
          <cell r="U1522">
            <v>0</v>
          </cell>
          <cell r="V1522">
            <v>0.06</v>
          </cell>
          <cell r="W1522">
            <v>0.6</v>
          </cell>
          <cell r="X1522" t="str">
            <v>EST BANDEJA MATISSE(CIRCULAR) (GRIS ARMANI INOX COOPER) - Ø0,6x0,06H</v>
          </cell>
          <cell r="Y1522">
            <v>7513.54</v>
          </cell>
          <cell r="Z1522">
            <v>0.4</v>
          </cell>
          <cell r="AA1522">
            <v>4508.1239999999998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351068</v>
          </cell>
          <cell r="P1523" t="str">
            <v>2022/263-0017-01</v>
          </cell>
          <cell r="Q1523" t="str">
            <v>EST BANDEJA MATISSE (DUETTO RUST) (PINT CHAMPAGNE)</v>
          </cell>
          <cell r="R1523"/>
          <cell r="S1523"/>
          <cell r="T1523">
            <v>0.3</v>
          </cell>
          <cell r="U1523">
            <v>0.3</v>
          </cell>
          <cell r="V1523">
            <v>0.06</v>
          </cell>
          <cell r="W1523">
            <v>0</v>
          </cell>
          <cell r="X1523" t="str">
            <v>EST BANDEJA MATISSE (DUETTO RUST) (PINT CHAMPAGNE) - 0,3x0,3x0,06H</v>
          </cell>
          <cell r="Y1523">
            <v>2307.96</v>
          </cell>
          <cell r="Z1523">
            <v>0.4</v>
          </cell>
          <cell r="AA1523">
            <v>1384.7759999999998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351070</v>
          </cell>
          <cell r="P1524" t="str">
            <v>2022/263-0019-01</v>
          </cell>
          <cell r="Q1524" t="str">
            <v>EST BANDEJA MATISSE (GRIS ARMANI) (INOX COOPER)</v>
          </cell>
          <cell r="R1524"/>
          <cell r="S1524"/>
          <cell r="T1524">
            <v>0.3</v>
          </cell>
          <cell r="U1524">
            <v>0.3</v>
          </cell>
          <cell r="V1524">
            <v>0.06</v>
          </cell>
          <cell r="W1524">
            <v>0</v>
          </cell>
          <cell r="X1524" t="str">
            <v>EST BANDEJA MATISSE (GRIS ARMANI) (INOX COOPER) - 0,3x0,3x0,06H</v>
          </cell>
          <cell r="Y1524">
            <v>2995.15</v>
          </cell>
          <cell r="Z1524">
            <v>0.4</v>
          </cell>
          <cell r="AA1524">
            <v>1797.09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351073</v>
          </cell>
          <cell r="P1525" t="str">
            <v>2022/263-0022-01</v>
          </cell>
          <cell r="Q1525" t="str">
            <v>EST BANDEJA MATISSE (CARRARA G) (PINT CINZA CHUMBO)</v>
          </cell>
          <cell r="R1525"/>
          <cell r="S1525"/>
          <cell r="T1525">
            <v>0.6</v>
          </cell>
          <cell r="U1525">
            <v>0.3</v>
          </cell>
          <cell r="V1525">
            <v>0.06</v>
          </cell>
          <cell r="W1525">
            <v>0</v>
          </cell>
          <cell r="X1525" t="str">
            <v>EST BANDEJA MATISSE (CARRARA G) (PINT CINZA CHUMBO) - 0,6x0,3x0,06H</v>
          </cell>
          <cell r="Y1525">
            <v>3779.87</v>
          </cell>
          <cell r="Z1525">
            <v>0.4</v>
          </cell>
          <cell r="AA1525">
            <v>2267.9219999999996</v>
          </cell>
          <cell r="AB1525"/>
        </row>
        <row r="1526">
          <cell r="C1526">
            <v>0</v>
          </cell>
          <cell r="D1526">
            <v>1</v>
          </cell>
          <cell r="E1526">
            <v>0</v>
          </cell>
          <cell r="F1526">
            <v>0</v>
          </cell>
          <cell r="H1526">
            <v>0</v>
          </cell>
          <cell r="O1526">
            <v>351077</v>
          </cell>
          <cell r="P1526" t="str">
            <v>2022/263-0026-01</v>
          </cell>
          <cell r="Q1526" t="str">
            <v>EST BANDEJA MATISSE (NOGUEIRA) (INOX COOPER)</v>
          </cell>
          <cell r="R1526"/>
          <cell r="S1526"/>
          <cell r="T1526">
            <v>0.6</v>
          </cell>
          <cell r="U1526">
            <v>0.3</v>
          </cell>
          <cell r="V1526">
            <v>0.06</v>
          </cell>
          <cell r="W1526">
            <v>0</v>
          </cell>
          <cell r="X1526" t="str">
            <v>EST BANDEJA MATISSE (NOGUEIRA) (INOX COOPER) - 0,6x0,3x0,06H</v>
          </cell>
          <cell r="Y1526">
            <v>2236.1</v>
          </cell>
          <cell r="Z1526">
            <v>0.4</v>
          </cell>
          <cell r="AA1526">
            <v>1341.6599999999999</v>
          </cell>
          <cell r="AB1526"/>
        </row>
        <row r="1527">
          <cell r="C1527">
            <v>0</v>
          </cell>
          <cell r="D1527">
            <v>1</v>
          </cell>
          <cell r="E1527">
            <v>0</v>
          </cell>
          <cell r="F1527">
            <v>0</v>
          </cell>
          <cell r="H1527">
            <v>0</v>
          </cell>
          <cell r="O1527">
            <v>351081</v>
          </cell>
          <cell r="P1527" t="str">
            <v>2022/263-0030-01</v>
          </cell>
          <cell r="Q1527" t="str">
            <v>EST BANDEJA MATISSE ORGANICA (CARVALHO CRIS B) (INOX COOPER)</v>
          </cell>
          <cell r="R1527"/>
          <cell r="S1527"/>
          <cell r="T1527">
            <v>0.6</v>
          </cell>
          <cell r="U1527">
            <v>0.6</v>
          </cell>
          <cell r="V1527">
            <v>0.06</v>
          </cell>
          <cell r="W1527">
            <v>0</v>
          </cell>
          <cell r="X1527" t="str">
            <v>EST BANDEJA MATISSE ORGANICA (CARVALHO CRIS B) (INOX COOPER) - 0,6x0,6x0,06H</v>
          </cell>
          <cell r="Y1527">
            <v>4251.7</v>
          </cell>
          <cell r="Z1527">
            <v>0.4</v>
          </cell>
          <cell r="AA1527">
            <v>2551.0199999999995</v>
          </cell>
          <cell r="AB1527"/>
        </row>
        <row r="1528"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H1528">
            <v>1</v>
          </cell>
          <cell r="O1528">
            <v>221178</v>
          </cell>
          <cell r="P1528" t="str">
            <v>2020/031-0041-01</v>
          </cell>
          <cell r="Q1528" t="str">
            <v>EST POLTRONA KAZZ FX E5007/REC 2562/ESTRUTURA PRETA</v>
          </cell>
          <cell r="R1528"/>
          <cell r="S1528"/>
          <cell r="T1528">
            <v>0.85</v>
          </cell>
          <cell r="U1528">
            <v>0.85</v>
          </cell>
          <cell r="V1528">
            <v>0.75</v>
          </cell>
          <cell r="W1528">
            <v>0</v>
          </cell>
          <cell r="X1528" t="str">
            <v>EST POLTRONA KAZZ FX E5007/REC 2562/ESTRUTURA PRETA - 0,85x0,85x0,75H</v>
          </cell>
          <cell r="Y1528">
            <v>18609.61</v>
          </cell>
          <cell r="Z1528">
            <v>0.5</v>
          </cell>
          <cell r="AA1528">
            <v>9304.8050000000003</v>
          </cell>
          <cell r="AB1528"/>
        </row>
        <row r="1529">
          <cell r="C1529">
            <v>5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234034</v>
          </cell>
          <cell r="P1529" t="str">
            <v>2019/164-0050-01</v>
          </cell>
          <cell r="Q1529" t="str">
            <v>EST ALMOFADA (SKYSCRAPER) (COD 120550081)</v>
          </cell>
          <cell r="R1529"/>
          <cell r="S1529"/>
          <cell r="T1529">
            <v>0.5</v>
          </cell>
          <cell r="U1529">
            <v>0.5</v>
          </cell>
          <cell r="V1529">
            <v>0.15</v>
          </cell>
          <cell r="W1529">
            <v>0</v>
          </cell>
          <cell r="X1529" t="str">
            <v>EST ALMOFADA (SKYSCRAPER) (COD 120550081) - 0,5x0,5x0,15H</v>
          </cell>
          <cell r="Y1529">
            <v>500</v>
          </cell>
          <cell r="Z1529">
            <v>0.5</v>
          </cell>
          <cell r="AA1529">
            <v>250</v>
          </cell>
          <cell r="AB1529"/>
        </row>
        <row r="1530">
          <cell r="C1530">
            <v>5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234034</v>
          </cell>
          <cell r="P1530" t="str">
            <v>2019/164-0051-01</v>
          </cell>
          <cell r="Q1530" t="str">
            <v>EST ALMOFADA (SKYSCRAPER) (COD 120550081)</v>
          </cell>
          <cell r="R1530"/>
          <cell r="S1530"/>
          <cell r="T1530">
            <v>0.5</v>
          </cell>
          <cell r="U1530">
            <v>0.5</v>
          </cell>
          <cell r="V1530">
            <v>0.15</v>
          </cell>
          <cell r="W1530">
            <v>0</v>
          </cell>
          <cell r="X1530" t="str">
            <v>EST ALMOFADA (SKYSCRAPER) (COD 120550081) - 0,5x0,5x0,15H</v>
          </cell>
          <cell r="Y1530">
            <v>500</v>
          </cell>
          <cell r="Z1530">
            <v>0.5</v>
          </cell>
          <cell r="AA1530">
            <v>250</v>
          </cell>
          <cell r="AB1530"/>
        </row>
        <row r="1531">
          <cell r="C1531">
            <v>5</v>
          </cell>
          <cell r="D1531">
            <v>0</v>
          </cell>
          <cell r="E1531">
            <v>0</v>
          </cell>
          <cell r="F1531">
            <v>0</v>
          </cell>
          <cell r="H1531">
            <v>0</v>
          </cell>
          <cell r="O1531">
            <v>234034</v>
          </cell>
          <cell r="P1531" t="str">
            <v>2019/164-0052-01</v>
          </cell>
          <cell r="Q1531" t="str">
            <v>EST ALMOFADA (SKYSCRAPER) (COD 120550081)</v>
          </cell>
          <cell r="R1531"/>
          <cell r="S1531"/>
          <cell r="T1531">
            <v>0.5</v>
          </cell>
          <cell r="U1531">
            <v>0.5</v>
          </cell>
          <cell r="V1531">
            <v>0.15</v>
          </cell>
          <cell r="W1531">
            <v>0</v>
          </cell>
          <cell r="X1531" t="str">
            <v>EST ALMOFADA (SKYSCRAPER) (COD 120550081) - 0,5x0,5x0,15H</v>
          </cell>
          <cell r="Y1531">
            <v>500</v>
          </cell>
          <cell r="Z1531">
            <v>0.5</v>
          </cell>
          <cell r="AA1531">
            <v>250</v>
          </cell>
          <cell r="AB1531"/>
        </row>
        <row r="1532">
          <cell r="C1532">
            <v>5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234034</v>
          </cell>
          <cell r="P1532" t="str">
            <v>2019/164-0054-01</v>
          </cell>
          <cell r="Q1532" t="str">
            <v>EST ALMOFADA (SKYSCRAPER) (COD 120550081)</v>
          </cell>
          <cell r="R1532"/>
          <cell r="S1532"/>
          <cell r="T1532">
            <v>0.5</v>
          </cell>
          <cell r="U1532">
            <v>0.5</v>
          </cell>
          <cell r="V1532">
            <v>0.15</v>
          </cell>
          <cell r="W1532">
            <v>0</v>
          </cell>
          <cell r="X1532" t="str">
            <v>EST ALMOFADA (SKYSCRAPER) (COD 120550081) - 0,5x0,5x0,15H</v>
          </cell>
          <cell r="Y1532">
            <v>500</v>
          </cell>
          <cell r="Z1532">
            <v>0.5</v>
          </cell>
          <cell r="AA1532">
            <v>250</v>
          </cell>
          <cell r="AB1532"/>
        </row>
        <row r="1533">
          <cell r="C1533">
            <v>5</v>
          </cell>
          <cell r="D1533">
            <v>0</v>
          </cell>
          <cell r="E1533">
            <v>0</v>
          </cell>
          <cell r="F1533">
            <v>0</v>
          </cell>
          <cell r="H1533">
            <v>0</v>
          </cell>
          <cell r="O1533">
            <v>234034</v>
          </cell>
          <cell r="P1533" t="str">
            <v>2019/164-0055-01</v>
          </cell>
          <cell r="Q1533" t="str">
            <v>EST ALMOFADA (SKYSCRAPER) (COD 120550081)</v>
          </cell>
          <cell r="R1533"/>
          <cell r="S1533"/>
          <cell r="T1533">
            <v>0.5</v>
          </cell>
          <cell r="U1533">
            <v>0.5</v>
          </cell>
          <cell r="V1533">
            <v>0.15</v>
          </cell>
          <cell r="W1533">
            <v>0</v>
          </cell>
          <cell r="X1533" t="str">
            <v>EST ALMOFADA (SKYSCRAPER) (COD 120550081) - 0,5x0,5x0,15H</v>
          </cell>
          <cell r="Y1533">
            <v>500</v>
          </cell>
          <cell r="Z1533">
            <v>0.5</v>
          </cell>
          <cell r="AA1533">
            <v>250</v>
          </cell>
          <cell r="AB1533"/>
        </row>
        <row r="1534">
          <cell r="C1534">
            <v>2</v>
          </cell>
          <cell r="D1534">
            <v>2</v>
          </cell>
          <cell r="E1534">
            <v>0</v>
          </cell>
          <cell r="F1534">
            <v>0</v>
          </cell>
          <cell r="H1534">
            <v>0</v>
          </cell>
          <cell r="O1534">
            <v>234040</v>
          </cell>
          <cell r="P1534" t="str">
            <v>2019/164-0084-01</v>
          </cell>
          <cell r="Q1534" t="str">
            <v>EST ALMOFADA (ADELE ROSSO ED) (COD 120550037)</v>
          </cell>
          <cell r="R1534"/>
          <cell r="S1534"/>
          <cell r="T1534">
            <v>0.5</v>
          </cell>
          <cell r="U1534">
            <v>0.5</v>
          </cell>
          <cell r="V1534">
            <v>0.15</v>
          </cell>
          <cell r="W1534">
            <v>0</v>
          </cell>
          <cell r="X1534" t="str">
            <v>EST ALMOFADA (ADELE ROSSO ED) (COD 120550037) - 0,5x0,5x0,15H</v>
          </cell>
          <cell r="Y1534">
            <v>500</v>
          </cell>
          <cell r="Z1534">
            <v>0.5</v>
          </cell>
          <cell r="AA1534">
            <v>250</v>
          </cell>
          <cell r="AB1534"/>
        </row>
        <row r="1535">
          <cell r="C1535">
            <v>2</v>
          </cell>
          <cell r="D1535">
            <v>2</v>
          </cell>
          <cell r="E1535">
            <v>0</v>
          </cell>
          <cell r="F1535">
            <v>0</v>
          </cell>
          <cell r="H1535">
            <v>0</v>
          </cell>
          <cell r="O1535">
            <v>234040</v>
          </cell>
          <cell r="P1535" t="str">
            <v>2019/164-0085-01</v>
          </cell>
          <cell r="Q1535" t="str">
            <v>EST ALMOFADA (ADELE ROSSO ED) (COD 120550037)</v>
          </cell>
          <cell r="R1535"/>
          <cell r="S1535"/>
          <cell r="T1535">
            <v>0.5</v>
          </cell>
          <cell r="U1535">
            <v>0.5</v>
          </cell>
          <cell r="V1535">
            <v>0.15</v>
          </cell>
          <cell r="W1535">
            <v>0</v>
          </cell>
          <cell r="X1535" t="str">
            <v>EST ALMOFADA (ADELE ROSSO ED) (COD 120550037) - 0,5x0,5x0,15H</v>
          </cell>
          <cell r="Y1535">
            <v>500</v>
          </cell>
          <cell r="Z1535">
            <v>0.5</v>
          </cell>
          <cell r="AA1535">
            <v>250</v>
          </cell>
          <cell r="AB1535"/>
        </row>
        <row r="1536">
          <cell r="C1536">
            <v>2</v>
          </cell>
          <cell r="D1536">
            <v>2</v>
          </cell>
          <cell r="E1536">
            <v>0</v>
          </cell>
          <cell r="F1536">
            <v>0</v>
          </cell>
          <cell r="H1536">
            <v>0</v>
          </cell>
          <cell r="O1536">
            <v>234040</v>
          </cell>
          <cell r="P1536" t="str">
            <v>2019/164-0086-01</v>
          </cell>
          <cell r="Q1536" t="str">
            <v>EST ALMOFADA (ADELE ROSSO ED) (COD 120550037)</v>
          </cell>
          <cell r="R1536"/>
          <cell r="S1536"/>
          <cell r="T1536">
            <v>0.5</v>
          </cell>
          <cell r="U1536">
            <v>0.5</v>
          </cell>
          <cell r="V1536">
            <v>0.15</v>
          </cell>
          <cell r="W1536">
            <v>0</v>
          </cell>
          <cell r="X1536" t="str">
            <v>EST ALMOFADA (ADELE ROSSO ED) (COD 120550037) - 0,5x0,5x0,15H</v>
          </cell>
          <cell r="Y1536">
            <v>500</v>
          </cell>
          <cell r="Z1536">
            <v>0.5</v>
          </cell>
          <cell r="AA1536">
            <v>250</v>
          </cell>
          <cell r="AB1536"/>
        </row>
        <row r="1537">
          <cell r="C1537">
            <v>2</v>
          </cell>
          <cell r="D1537">
            <v>2</v>
          </cell>
          <cell r="E1537">
            <v>0</v>
          </cell>
          <cell r="F1537">
            <v>0</v>
          </cell>
          <cell r="H1537">
            <v>0</v>
          </cell>
          <cell r="O1537">
            <v>234040</v>
          </cell>
          <cell r="P1537" t="str">
            <v>2019/164-0087-01</v>
          </cell>
          <cell r="Q1537" t="str">
            <v>EST ALMOFADA (ADELE ROSSO ED) (COD 120550037)</v>
          </cell>
          <cell r="R1537"/>
          <cell r="S1537"/>
          <cell r="T1537">
            <v>0.5</v>
          </cell>
          <cell r="U1537">
            <v>0.5</v>
          </cell>
          <cell r="V1537">
            <v>0.15</v>
          </cell>
          <cell r="W1537">
            <v>0</v>
          </cell>
          <cell r="X1537" t="str">
            <v>EST ALMOFADA (ADELE ROSSO ED) (COD 120550037) - 0,5x0,5x0,15H</v>
          </cell>
          <cell r="Y1537">
            <v>500</v>
          </cell>
          <cell r="Z1537">
            <v>0.5</v>
          </cell>
          <cell r="AA1537">
            <v>250</v>
          </cell>
          <cell r="AB1537"/>
        </row>
        <row r="1538">
          <cell r="C1538">
            <v>1</v>
          </cell>
          <cell r="D1538">
            <v>0</v>
          </cell>
          <cell r="E1538">
            <v>0</v>
          </cell>
          <cell r="F1538">
            <v>0</v>
          </cell>
          <cell r="H1538">
            <v>0</v>
          </cell>
          <cell r="O1538">
            <v>234044</v>
          </cell>
          <cell r="P1538" t="str">
            <v>2019/164-0100-01</v>
          </cell>
          <cell r="Q1538" t="str">
            <v>EST ALMOFADA (TIGERLILY) (COD 120250011)</v>
          </cell>
          <cell r="R1538"/>
          <cell r="S1538"/>
          <cell r="T1538">
            <v>0.5</v>
          </cell>
          <cell r="U1538">
            <v>0.5</v>
          </cell>
          <cell r="V1538">
            <v>0.15</v>
          </cell>
          <cell r="W1538">
            <v>0</v>
          </cell>
          <cell r="X1538" t="str">
            <v>EST ALMOFADA (TIGERLILY) (COD 120250011) - 0,5x0,5x0,15H</v>
          </cell>
          <cell r="Y1538">
            <v>500</v>
          </cell>
          <cell r="Z1538">
            <v>0.5</v>
          </cell>
          <cell r="AA1538">
            <v>250</v>
          </cell>
          <cell r="AB1538"/>
        </row>
        <row r="1539">
          <cell r="C1539">
            <v>2</v>
          </cell>
          <cell r="D1539">
            <v>0</v>
          </cell>
          <cell r="E1539">
            <v>0</v>
          </cell>
          <cell r="F1539">
            <v>0</v>
          </cell>
          <cell r="H1539">
            <v>0</v>
          </cell>
          <cell r="O1539">
            <v>234046</v>
          </cell>
          <cell r="P1539" t="str">
            <v>2019/164-0105-01</v>
          </cell>
          <cell r="Q1539" t="str">
            <v>EST ALMOFADA (VERDE ESCURO) (COD 120550018)</v>
          </cell>
          <cell r="R1539"/>
          <cell r="S1539"/>
          <cell r="T1539">
            <v>0.5</v>
          </cell>
          <cell r="U1539">
            <v>0.5</v>
          </cell>
          <cell r="V1539">
            <v>0.15</v>
          </cell>
          <cell r="W1539">
            <v>0</v>
          </cell>
          <cell r="X1539" t="str">
            <v>EST ALMOFADA (VERDE ESCURO) (COD 120550018) - 0,5x0,5x0,15H</v>
          </cell>
          <cell r="Y1539">
            <v>500</v>
          </cell>
          <cell r="Z1539">
            <v>0.5</v>
          </cell>
          <cell r="AA1539">
            <v>250</v>
          </cell>
          <cell r="AB1539"/>
        </row>
        <row r="1540">
          <cell r="C1540">
            <v>2</v>
          </cell>
          <cell r="D1540">
            <v>0</v>
          </cell>
          <cell r="E1540">
            <v>0</v>
          </cell>
          <cell r="F1540">
            <v>0</v>
          </cell>
          <cell r="H1540">
            <v>0</v>
          </cell>
          <cell r="O1540">
            <v>234046</v>
          </cell>
          <cell r="P1540" t="str">
            <v>2019/164-0108-01</v>
          </cell>
          <cell r="Q1540" t="str">
            <v>EST ALMOFADA (VERDE ESCURO) (COD 120550018)</v>
          </cell>
          <cell r="R1540"/>
          <cell r="S1540"/>
          <cell r="T1540">
            <v>0.5</v>
          </cell>
          <cell r="U1540">
            <v>0.5</v>
          </cell>
          <cell r="V1540">
            <v>0.15</v>
          </cell>
          <cell r="W1540">
            <v>0</v>
          </cell>
          <cell r="X1540" t="str">
            <v>EST ALMOFADA (VERDE ESCURO) (COD 120550018) - 0,5x0,5x0,15H</v>
          </cell>
          <cell r="Y1540">
            <v>500</v>
          </cell>
          <cell r="Z1540">
            <v>0.5</v>
          </cell>
          <cell r="AA1540">
            <v>250</v>
          </cell>
          <cell r="AB1540"/>
        </row>
        <row r="1541">
          <cell r="C1541">
            <v>1</v>
          </cell>
          <cell r="D1541">
            <v>0</v>
          </cell>
          <cell r="E1541">
            <v>0</v>
          </cell>
          <cell r="F1541">
            <v>0</v>
          </cell>
          <cell r="H1541">
            <v>0</v>
          </cell>
          <cell r="O1541">
            <v>351055</v>
          </cell>
          <cell r="P1541" t="str">
            <v>2022/263-0004-01</v>
          </cell>
          <cell r="Q1541" t="str">
            <v>EST BANDEJA MATISSE (CIRCULAR) (DUETTO RUST PINT CHAMPAGNE)</v>
          </cell>
          <cell r="R1541"/>
          <cell r="S1541"/>
          <cell r="T1541">
            <v>0.6</v>
          </cell>
          <cell r="U1541">
            <v>0</v>
          </cell>
          <cell r="V1541">
            <v>0.06</v>
          </cell>
          <cell r="W1541">
            <v>0.6</v>
          </cell>
          <cell r="X1541" t="str">
            <v>EST BANDEJA MATISSE (CIRCULAR) (DUETTO RUST PINT CHAMPAGNE) - Ø0,6x0,06H</v>
          </cell>
          <cell r="Y1541">
            <v>6657.1</v>
          </cell>
          <cell r="Z1541">
            <v>0.5</v>
          </cell>
          <cell r="AA1541">
            <v>3328.55</v>
          </cell>
          <cell r="AB1541"/>
        </row>
        <row r="1542">
          <cell r="C1542">
            <v>1</v>
          </cell>
          <cell r="D1542">
            <v>0</v>
          </cell>
          <cell r="E1542">
            <v>0</v>
          </cell>
          <cell r="F1542">
            <v>0</v>
          </cell>
          <cell r="H1542">
            <v>0</v>
          </cell>
          <cell r="O1542">
            <v>351061</v>
          </cell>
          <cell r="P1542" t="str">
            <v>2022/263-0010-01</v>
          </cell>
          <cell r="Q1542" t="str">
            <v>EST BANDEJA MATISSE (CIRCULAR) (CARRARA G PINT CINZA CHUMBO)</v>
          </cell>
          <cell r="R1542"/>
          <cell r="S1542"/>
          <cell r="T1542">
            <v>0.6</v>
          </cell>
          <cell r="U1542">
            <v>0</v>
          </cell>
          <cell r="V1542">
            <v>0.06</v>
          </cell>
          <cell r="W1542">
            <v>0.6</v>
          </cell>
          <cell r="X1542" t="str">
            <v>EST BANDEJA MATISSE (CIRCULAR) (CARRARA G PINT CINZA CHUMBO) - Ø0,6x0,06H</v>
          </cell>
          <cell r="Y1542">
            <v>6657.1</v>
          </cell>
          <cell r="Z1542">
            <v>0.5</v>
          </cell>
          <cell r="AA1542">
            <v>3328.55</v>
          </cell>
          <cell r="AB1542"/>
        </row>
        <row r="1543">
          <cell r="C1543">
            <v>1</v>
          </cell>
          <cell r="D1543">
            <v>0</v>
          </cell>
          <cell r="E1543">
            <v>0</v>
          </cell>
          <cell r="F1543">
            <v>0</v>
          </cell>
          <cell r="H1543">
            <v>0</v>
          </cell>
          <cell r="O1543">
            <v>351066</v>
          </cell>
          <cell r="P1543" t="str">
            <v>2022/263-0015-01</v>
          </cell>
          <cell r="Q1543" t="str">
            <v>EST BANDEJA MATISSE (CIRCULAR) (NOGUEIRA) (INOX COOPER)</v>
          </cell>
          <cell r="R1543"/>
          <cell r="S1543"/>
          <cell r="T1543">
            <v>0.4</v>
          </cell>
          <cell r="U1543">
            <v>0</v>
          </cell>
          <cell r="V1543">
            <v>0.06</v>
          </cell>
          <cell r="W1543">
            <v>0.4</v>
          </cell>
          <cell r="X1543" t="str">
            <v>EST BANDEJA MATISSE (CIRCULAR) (NOGUEIRA) (INOX COOPER) - Ø0,4x0,06H</v>
          </cell>
          <cell r="Y1543">
            <v>2307.96</v>
          </cell>
          <cell r="Z1543">
            <v>0.5</v>
          </cell>
          <cell r="AA1543">
            <v>1153.98</v>
          </cell>
          <cell r="AB1543"/>
        </row>
        <row r="1544">
          <cell r="C1544">
            <v>1</v>
          </cell>
          <cell r="D1544">
            <v>0</v>
          </cell>
          <cell r="E1544">
            <v>0</v>
          </cell>
          <cell r="F1544">
            <v>0</v>
          </cell>
          <cell r="H1544">
            <v>0</v>
          </cell>
          <cell r="O1544">
            <v>351067</v>
          </cell>
          <cell r="P1544" t="str">
            <v>2022/263-0016-01</v>
          </cell>
          <cell r="Q1544" t="str">
            <v>EST BANDEJA MATISSE (CIRCULAR) (NOGUEIRA) (INOX COOPER)</v>
          </cell>
          <cell r="R1544"/>
          <cell r="S1544"/>
          <cell r="T1544">
            <v>0.6</v>
          </cell>
          <cell r="U1544">
            <v>0</v>
          </cell>
          <cell r="V1544">
            <v>0.06</v>
          </cell>
          <cell r="W1544">
            <v>0.6</v>
          </cell>
          <cell r="X1544" t="str">
            <v>EST BANDEJA MATISSE (CIRCULAR) (NOGUEIRA) (INOX COOPER) - Ø0,6x0,06H</v>
          </cell>
          <cell r="Y1544">
            <v>3359.33</v>
          </cell>
          <cell r="Z1544">
            <v>0.5</v>
          </cell>
          <cell r="AA1544">
            <v>1679.665</v>
          </cell>
          <cell r="AB1544"/>
        </row>
        <row r="1545">
          <cell r="C1545">
            <v>1</v>
          </cell>
          <cell r="D1545">
            <v>0</v>
          </cell>
          <cell r="E1545">
            <v>0</v>
          </cell>
          <cell r="F1545">
            <v>0</v>
          </cell>
          <cell r="H1545">
            <v>0</v>
          </cell>
          <cell r="O1545">
            <v>351080</v>
          </cell>
          <cell r="P1545" t="str">
            <v>2022/263-0029-01</v>
          </cell>
          <cell r="Q1545" t="str">
            <v>EST BANDEJA MATISSE ORGANICA (CARVALHO CAFE) (BRONZE CAFE)</v>
          </cell>
          <cell r="R1545"/>
          <cell r="S1545"/>
          <cell r="T1545">
            <v>0.6</v>
          </cell>
          <cell r="U1545">
            <v>0.6</v>
          </cell>
          <cell r="V1545">
            <v>0.06</v>
          </cell>
          <cell r="W1545">
            <v>0</v>
          </cell>
          <cell r="X1545" t="str">
            <v>EST BANDEJA MATISSE ORGANICA (CARVALHO CAFE) (BRONZE CAFE) - 0,6x0,6x0,06H</v>
          </cell>
          <cell r="Y1545">
            <v>2841.31</v>
          </cell>
          <cell r="Z1545">
            <v>0.5</v>
          </cell>
          <cell r="AA1545">
            <v>1420.655</v>
          </cell>
          <cell r="AB1545"/>
        </row>
        <row r="1546">
          <cell r="C1546">
            <v>1</v>
          </cell>
          <cell r="D1546">
            <v>0</v>
          </cell>
          <cell r="E1546">
            <v>0</v>
          </cell>
          <cell r="F1546">
            <v>0</v>
          </cell>
          <cell r="H1546">
            <v>0</v>
          </cell>
          <cell r="O1546">
            <v>351082</v>
          </cell>
          <cell r="P1546" t="str">
            <v>2022/263-0031-01</v>
          </cell>
          <cell r="Q1546" t="str">
            <v>EST BANDEJA MATISSE ORGANICA (PED PLATINUN) (PINT CHAMPAGNE)</v>
          </cell>
          <cell r="R1546"/>
          <cell r="S1546"/>
          <cell r="T1546">
            <v>0.6</v>
          </cell>
          <cell r="U1546">
            <v>0.6</v>
          </cell>
          <cell r="V1546">
            <v>0.06</v>
          </cell>
          <cell r="W1546">
            <v>0</v>
          </cell>
          <cell r="X1546" t="str">
            <v>EST BANDEJA MATISSE ORGANICA (PED PLATINUN) (PINT CHAMPAGNE) - 0,6x0,6x0,06H</v>
          </cell>
          <cell r="Y1546">
            <v>6036.49</v>
          </cell>
          <cell r="Z1546">
            <v>0.35</v>
          </cell>
          <cell r="AA1546">
            <v>3923.7184999999999</v>
          </cell>
          <cell r="AB1546"/>
        </row>
        <row r="1547">
          <cell r="C1547">
            <v>1</v>
          </cell>
          <cell r="D1547">
            <v>0</v>
          </cell>
          <cell r="E1547">
            <v>0</v>
          </cell>
          <cell r="F1547">
            <v>0</v>
          </cell>
          <cell r="H1547">
            <v>0</v>
          </cell>
          <cell r="O1547">
            <v>365949</v>
          </cell>
          <cell r="P1547" t="str">
            <v>2023/118-0094-01</v>
          </cell>
          <cell r="Q1547" t="str">
            <v>EST MESA JANTAR MATISSE (TP MARM IMP TRAVERT) (BS NOG PURE)</v>
          </cell>
          <cell r="R1547"/>
          <cell r="S1547"/>
          <cell r="T1547">
            <v>2.7</v>
          </cell>
          <cell r="U1547">
            <v>1.25</v>
          </cell>
          <cell r="V1547">
            <v>0.75</v>
          </cell>
          <cell r="W1547">
            <v>0</v>
          </cell>
          <cell r="X1547" t="str">
            <v>EST MESA JANTAR MATISSE (TP MARM IMP TRAVERT) (BS NOG PURE) - 2,7x1,25x0,75H</v>
          </cell>
          <cell r="Y1547">
            <v>102661.26</v>
          </cell>
          <cell r="Z1547">
            <v>0.35</v>
          </cell>
          <cell r="AA1547">
            <v>66729.818999999989</v>
          </cell>
          <cell r="AB1547"/>
        </row>
        <row r="1548">
          <cell r="C1548">
            <v>1</v>
          </cell>
          <cell r="D1548">
            <v>0</v>
          </cell>
          <cell r="E1548">
            <v>0</v>
          </cell>
          <cell r="F1548">
            <v>0</v>
          </cell>
          <cell r="H1548">
            <v>0</v>
          </cell>
          <cell r="O1548">
            <v>373052</v>
          </cell>
          <cell r="P1548" t="str">
            <v>2023/270-0023-01</v>
          </cell>
          <cell r="Q1548" t="str">
            <v>EST MESA CENTRO MATISSE ORGANICA (TP CARRARA G) (BS NOG P)</v>
          </cell>
          <cell r="R1548"/>
          <cell r="S1548"/>
          <cell r="T1548">
            <v>1.9</v>
          </cell>
          <cell r="U1548">
            <v>1.8</v>
          </cell>
          <cell r="V1548">
            <v>0.3</v>
          </cell>
          <cell r="W1548">
            <v>0</v>
          </cell>
          <cell r="X1548" t="str">
            <v>EST MESA CENTRO MATISSE ORGANICA (TP CARRARA G) (BS NOG P) - 1,9x1,8x0,3H</v>
          </cell>
          <cell r="Y1548">
            <v>68816.97</v>
          </cell>
          <cell r="Z1548">
            <v>0.35</v>
          </cell>
          <cell r="AA1548">
            <v>44731.030500000001</v>
          </cell>
          <cell r="AB1548"/>
        </row>
        <row r="1549">
          <cell r="C1549">
            <v>1</v>
          </cell>
          <cell r="D1549">
            <v>0</v>
          </cell>
          <cell r="E1549">
            <v>0</v>
          </cell>
          <cell r="F1549">
            <v>0</v>
          </cell>
          <cell r="H1549">
            <v>0</v>
          </cell>
          <cell r="O1549">
            <v>373147</v>
          </cell>
          <cell r="P1549" t="str">
            <v>2023/270-0025-01</v>
          </cell>
          <cell r="Q1549" t="str">
            <v>EST MESA JANTAR MATISSE (TP GRIS ARMANI TRIP) (BS NOG PURE)</v>
          </cell>
          <cell r="R1549"/>
          <cell r="S1549"/>
          <cell r="T1549">
            <v>1.83</v>
          </cell>
          <cell r="U1549">
            <v>0</v>
          </cell>
          <cell r="V1549">
            <v>0.75</v>
          </cell>
          <cell r="W1549">
            <v>1.83</v>
          </cell>
          <cell r="X1549" t="str">
            <v>EST MESA JANTAR MATISSE (TP GRIS ARMANI TRIP) (BS NOG PURE) - Ø1,83x0,75H</v>
          </cell>
          <cell r="Y1549">
            <v>87818.8</v>
          </cell>
          <cell r="Z1549">
            <v>0.35</v>
          </cell>
          <cell r="AA1549">
            <v>57082.22</v>
          </cell>
          <cell r="AB1549"/>
        </row>
        <row r="1550">
          <cell r="C1550">
            <v>1</v>
          </cell>
          <cell r="D1550">
            <v>0</v>
          </cell>
          <cell r="E1550">
            <v>0</v>
          </cell>
          <cell r="F1550">
            <v>0</v>
          </cell>
          <cell r="H1550">
            <v>0</v>
          </cell>
          <cell r="O1550">
            <v>390204</v>
          </cell>
          <cell r="P1550" t="str">
            <v>2024/264-0043-01</v>
          </cell>
          <cell r="Q1550" t="str">
            <v>EST MESA JANTAR AURORA (TPO CHANF LAM FREIJO TNZ) BS LAMINDA</v>
          </cell>
          <cell r="R1550"/>
          <cell r="S1550"/>
          <cell r="T1550">
            <v>3</v>
          </cell>
          <cell r="U1550">
            <v>1.2</v>
          </cell>
          <cell r="V1550">
            <v>0.75</v>
          </cell>
          <cell r="W1550">
            <v>0</v>
          </cell>
          <cell r="X1550" t="str">
            <v>EST MESA JANTAR AURORA (TPO CHANF LAM FREIJO TNZ) BS LAMINDA - 3x1,2x0,75H</v>
          </cell>
          <cell r="Y1550">
            <v>55277.519</v>
          </cell>
          <cell r="Z1550">
            <v>0.35</v>
          </cell>
          <cell r="AA1550">
            <v>35930.387350000005</v>
          </cell>
          <cell r="AB1550"/>
        </row>
        <row r="1551">
          <cell r="C1551">
            <v>1</v>
          </cell>
          <cell r="D1551">
            <v>0</v>
          </cell>
          <cell r="E1551">
            <v>0</v>
          </cell>
          <cell r="F1551">
            <v>0</v>
          </cell>
          <cell r="H1551">
            <v>0</v>
          </cell>
          <cell r="O1551">
            <v>404829</v>
          </cell>
          <cell r="P1551" t="str">
            <v>2025/129-0033-01</v>
          </cell>
          <cell r="Q1551" t="str">
            <v>EST TAPETE SISAL CY (BARRA VIRADA)</v>
          </cell>
          <cell r="R1551"/>
          <cell r="S1551"/>
          <cell r="T1551">
            <v>5</v>
          </cell>
          <cell r="U1551">
            <v>4</v>
          </cell>
          <cell r="V1551">
            <v>0</v>
          </cell>
          <cell r="W1551">
            <v>0</v>
          </cell>
          <cell r="X1551" t="str">
            <v>EST TAPETE SISAL CY (BARRA VIRADA) - 5x4x0H</v>
          </cell>
          <cell r="Y1551">
            <v>11192.92</v>
          </cell>
          <cell r="Z1551">
            <v>0.35</v>
          </cell>
          <cell r="AA1551">
            <v>7275.3980000000001</v>
          </cell>
          <cell r="AB1551"/>
        </row>
        <row r="1552">
          <cell r="C1552">
            <v>1</v>
          </cell>
          <cell r="D1552">
            <v>0</v>
          </cell>
          <cell r="E1552">
            <v>0</v>
          </cell>
          <cell r="F1552">
            <v>0</v>
          </cell>
          <cell r="H1552">
            <v>0</v>
          </cell>
          <cell r="O1552">
            <v>404830</v>
          </cell>
          <cell r="P1552" t="str">
            <v>2025/129-0034-01</v>
          </cell>
          <cell r="Q1552" t="str">
            <v>EST TAPETE SISAL CD (BARRA VIRADA)</v>
          </cell>
          <cell r="R1552"/>
          <cell r="S1552"/>
          <cell r="T1552">
            <v>6</v>
          </cell>
          <cell r="U1552">
            <v>5</v>
          </cell>
          <cell r="V1552">
            <v>0</v>
          </cell>
          <cell r="W1552">
            <v>0</v>
          </cell>
          <cell r="X1552" t="str">
            <v>EST TAPETE SISAL CD (BARRA VIRADA) - 6x5x0H</v>
          </cell>
          <cell r="Y1552">
            <v>17086.18</v>
          </cell>
          <cell r="Z1552">
            <v>0.35</v>
          </cell>
          <cell r="AA1552">
            <v>11106.017</v>
          </cell>
          <cell r="AB1552"/>
        </row>
        <row r="1553">
          <cell r="C1553">
            <v>1</v>
          </cell>
          <cell r="D1553">
            <v>0</v>
          </cell>
          <cell r="E1553">
            <v>0</v>
          </cell>
          <cell r="F1553">
            <v>0</v>
          </cell>
          <cell r="H1553">
            <v>0</v>
          </cell>
          <cell r="O1553">
            <v>404831</v>
          </cell>
          <cell r="P1553" t="str">
            <v>2025/129-0035-01</v>
          </cell>
          <cell r="Q1553" t="str">
            <v>EST TAPETE SISAL CH (BARRA VIRADA)</v>
          </cell>
          <cell r="R1553"/>
          <cell r="S1553"/>
          <cell r="T1553">
            <v>4</v>
          </cell>
          <cell r="U1553">
            <v>0</v>
          </cell>
          <cell r="V1553">
            <v>0</v>
          </cell>
          <cell r="W1553">
            <v>4</v>
          </cell>
          <cell r="X1553" t="str">
            <v>EST TAPETE SISAL CH (BARRA VIRADA) - Ø4x0H</v>
          </cell>
          <cell r="Y1553">
            <v>8951.49</v>
          </cell>
          <cell r="Z1553">
            <v>0.35</v>
          </cell>
          <cell r="AA1553">
            <v>5818.4684999999999</v>
          </cell>
          <cell r="AB1553"/>
        </row>
        <row r="1554">
          <cell r="C1554">
            <v>0</v>
          </cell>
          <cell r="D1554">
            <v>0</v>
          </cell>
          <cell r="E1554">
            <v>0</v>
          </cell>
          <cell r="F1554">
            <v>2</v>
          </cell>
          <cell r="H1554">
            <v>0</v>
          </cell>
          <cell r="O1554">
            <v>404588</v>
          </cell>
          <cell r="P1554" t="str">
            <v>2025/154-0028-01</v>
          </cell>
          <cell r="Q1554" t="str">
            <v>EST CHAISE BELLAGIO (ALU C29 | CORD V01)</v>
          </cell>
          <cell r="R1554"/>
          <cell r="S1554"/>
          <cell r="T1554">
            <v>1.7</v>
          </cell>
          <cell r="U1554">
            <v>0.7</v>
          </cell>
          <cell r="V1554">
            <v>0.66</v>
          </cell>
          <cell r="W1554">
            <v>0</v>
          </cell>
          <cell r="X1554" t="str">
            <v>EST CHAISE BELLAGIO (ALU C29 | CORD V01) - 1,7x0,7x0,66H</v>
          </cell>
          <cell r="Y1554">
            <v>14625.32</v>
          </cell>
          <cell r="Z1554">
            <v>0.35</v>
          </cell>
          <cell r="AA1554">
            <v>9506.4580000000005</v>
          </cell>
          <cell r="AB1554"/>
        </row>
        <row r="1555">
          <cell r="C1555">
            <v>0</v>
          </cell>
          <cell r="D1555">
            <v>0</v>
          </cell>
          <cell r="E1555">
            <v>0</v>
          </cell>
          <cell r="F1555">
            <v>2</v>
          </cell>
          <cell r="H1555">
            <v>0</v>
          </cell>
          <cell r="O1555">
            <v>404588</v>
          </cell>
          <cell r="P1555" t="str">
            <v>2025/154-0029-01</v>
          </cell>
          <cell r="Q1555" t="str">
            <v>EST CHAISE BELLAGIO (ALU C29 | CORD V01)</v>
          </cell>
          <cell r="R1555"/>
          <cell r="S1555"/>
          <cell r="T1555">
            <v>1.7</v>
          </cell>
          <cell r="U1555">
            <v>0.7</v>
          </cell>
          <cell r="V1555">
            <v>0.66</v>
          </cell>
          <cell r="W1555">
            <v>0</v>
          </cell>
          <cell r="X1555" t="str">
            <v>EST CHAISE BELLAGIO (ALU C29 | CORD V01) - 1,7x0,7x0,66H</v>
          </cell>
          <cell r="Y1555">
            <v>14625.32</v>
          </cell>
          <cell r="Z1555">
            <v>0.35</v>
          </cell>
          <cell r="AA1555">
            <v>9506.4580000000005</v>
          </cell>
          <cell r="AB1555"/>
        </row>
        <row r="1556">
          <cell r="C1556">
            <v>0</v>
          </cell>
          <cell r="D1556">
            <v>0</v>
          </cell>
          <cell r="E1556">
            <v>0</v>
          </cell>
          <cell r="F1556">
            <v>2</v>
          </cell>
          <cell r="H1556">
            <v>0</v>
          </cell>
          <cell r="O1556">
            <v>404590</v>
          </cell>
          <cell r="P1556" t="str">
            <v>2025/154-0033-01</v>
          </cell>
          <cell r="Q1556" t="str">
            <v>EST COMPONENTE ALMOFADA CHAISE BELLAGIO TC KEEPSAKE TAUPE</v>
          </cell>
          <cell r="R1556"/>
          <cell r="S1556"/>
          <cell r="T1556">
            <v>1.7</v>
          </cell>
          <cell r="U1556">
            <v>0.7</v>
          </cell>
          <cell r="V1556">
            <v>0.05</v>
          </cell>
          <cell r="W1556">
            <v>0</v>
          </cell>
          <cell r="X1556" t="str">
            <v>EST COMPONENTE ALMOFADA CHAISE BELLAGIO TC KEEPSAKE TAUPE - 1,7x0,7x0,05H</v>
          </cell>
          <cell r="Y1556">
            <v>8865.7227999999996</v>
          </cell>
          <cell r="Z1556">
            <v>0.35</v>
          </cell>
          <cell r="AA1556">
            <v>5762.7198200000003</v>
          </cell>
          <cell r="AB1556"/>
        </row>
        <row r="1557">
          <cell r="C1557">
            <v>0</v>
          </cell>
          <cell r="D1557">
            <v>0</v>
          </cell>
          <cell r="E1557">
            <v>0</v>
          </cell>
          <cell r="F1557">
            <v>2</v>
          </cell>
          <cell r="H1557">
            <v>0</v>
          </cell>
          <cell r="O1557">
            <v>404590</v>
          </cell>
          <cell r="P1557" t="str">
            <v>2025/154-0034-01</v>
          </cell>
          <cell r="Q1557" t="str">
            <v>EST COMPONENTE ALMOFADA CHAISE BELLAGIO TC KEEPSAKE TAUPE</v>
          </cell>
          <cell r="R1557"/>
          <cell r="S1557"/>
          <cell r="T1557">
            <v>1.7</v>
          </cell>
          <cell r="U1557">
            <v>0.7</v>
          </cell>
          <cell r="V1557">
            <v>0.05</v>
          </cell>
          <cell r="W1557">
            <v>0</v>
          </cell>
          <cell r="X1557" t="str">
            <v>EST COMPONENTE ALMOFADA CHAISE BELLAGIO TC KEEPSAKE TAUPE - 1,7x0,7x0,05H</v>
          </cell>
          <cell r="Y1557">
            <v>8865.7227999999996</v>
          </cell>
          <cell r="Z1557">
            <v>0.35</v>
          </cell>
          <cell r="AA1557">
            <v>5762.7198200000003</v>
          </cell>
          <cell r="AB1557"/>
        </row>
        <row r="1558">
          <cell r="C1558">
            <v>0</v>
          </cell>
          <cell r="D1558">
            <v>0</v>
          </cell>
          <cell r="E1558">
            <v>0</v>
          </cell>
          <cell r="F1558">
            <v>2</v>
          </cell>
          <cell r="H1558">
            <v>0</v>
          </cell>
          <cell r="O1558">
            <v>404593</v>
          </cell>
          <cell r="P1558" t="str">
            <v>2025/154-0041-01</v>
          </cell>
          <cell r="Q1558" t="str">
            <v>EST POLTRONA BELLAGIO (ALU C32 | CORD V07)</v>
          </cell>
          <cell r="R1558"/>
          <cell r="S1558"/>
          <cell r="T1558">
            <v>0.8</v>
          </cell>
          <cell r="U1558">
            <v>0.85</v>
          </cell>
          <cell r="V1558">
            <v>0.72</v>
          </cell>
          <cell r="W1558">
            <v>0</v>
          </cell>
          <cell r="X1558" t="str">
            <v>EST POLTRONA BELLAGIO (ALU C32 | CORD V07) - 0,8x0,85x0,72H</v>
          </cell>
          <cell r="Y1558">
            <v>10458.69</v>
          </cell>
          <cell r="Z1558">
            <v>0.35</v>
          </cell>
          <cell r="AA1558">
            <v>6798.1485000000011</v>
          </cell>
          <cell r="AB1558"/>
        </row>
        <row r="1559">
          <cell r="C1559">
            <v>0</v>
          </cell>
          <cell r="D1559">
            <v>0</v>
          </cell>
          <cell r="E1559">
            <v>0</v>
          </cell>
          <cell r="F1559">
            <v>2</v>
          </cell>
          <cell r="H1559">
            <v>0</v>
          </cell>
          <cell r="O1559">
            <v>404593</v>
          </cell>
          <cell r="P1559" t="str">
            <v>2025/154-0042-01</v>
          </cell>
          <cell r="Q1559" t="str">
            <v>EST POLTRONA BELLAGIO (ALU C32 | CORD V07)</v>
          </cell>
          <cell r="R1559"/>
          <cell r="S1559"/>
          <cell r="T1559">
            <v>0.8</v>
          </cell>
          <cell r="U1559">
            <v>0.85</v>
          </cell>
          <cell r="V1559">
            <v>0.72</v>
          </cell>
          <cell r="W1559">
            <v>0</v>
          </cell>
          <cell r="X1559" t="str">
            <v>EST POLTRONA BELLAGIO (ALU C32 | CORD V07) - 0,8x0,85x0,72H</v>
          </cell>
          <cell r="Y1559">
            <v>10458.69</v>
          </cell>
          <cell r="Z1559">
            <v>0.35</v>
          </cell>
          <cell r="AA1559">
            <v>6798.1485000000011</v>
          </cell>
          <cell r="AB1559"/>
        </row>
        <row r="1560">
          <cell r="C1560">
            <v>0</v>
          </cell>
          <cell r="D1560">
            <v>1</v>
          </cell>
          <cell r="E1560">
            <v>0</v>
          </cell>
          <cell r="F1560">
            <v>4</v>
          </cell>
          <cell r="H1560">
            <v>0</v>
          </cell>
          <cell r="O1560">
            <v>404597</v>
          </cell>
          <cell r="P1560" t="str">
            <v>2025/154-0061-01</v>
          </cell>
          <cell r="Q1560" t="str">
            <v>EST CADEIRA BELLAGIO (ALU C24 | CORD V01) TC KEEPSAKE SILVER</v>
          </cell>
          <cell r="R1560"/>
          <cell r="S1560"/>
          <cell r="T1560">
            <v>0.61</v>
          </cell>
          <cell r="U1560">
            <v>0.6</v>
          </cell>
          <cell r="V1560">
            <v>0.76</v>
          </cell>
          <cell r="W1560">
            <v>0</v>
          </cell>
          <cell r="X1560" t="str">
            <v>EST CADEIRA BELLAGIO (ALU C24 | CORD V01) TC KEEPSAKE SILVER - 0,61x0,6x0,76H</v>
          </cell>
          <cell r="Y1560">
            <v>9386.0164000000004</v>
          </cell>
          <cell r="Z1560">
            <v>0.35</v>
          </cell>
          <cell r="AA1560">
            <v>6100.9106600000005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4</v>
          </cell>
          <cell r="H1561">
            <v>0</v>
          </cell>
          <cell r="O1561">
            <v>404597</v>
          </cell>
          <cell r="P1561" t="str">
            <v>2025/154-0062-01</v>
          </cell>
          <cell r="Q1561" t="str">
            <v>EST CADEIRA BELLAGIO (ALU C24 | CORD V01) TC KEEPSAKE SILVER</v>
          </cell>
          <cell r="R1561"/>
          <cell r="S1561"/>
          <cell r="T1561">
            <v>0.61</v>
          </cell>
          <cell r="U1561">
            <v>0.6</v>
          </cell>
          <cell r="V1561">
            <v>0.76</v>
          </cell>
          <cell r="W1561">
            <v>0</v>
          </cell>
          <cell r="X1561" t="str">
            <v>EST CADEIRA BELLAGIO (ALU C24 | CORD V01) TC KEEPSAKE SILVER - 0,61x0,6x0,76H</v>
          </cell>
          <cell r="Y1561">
            <v>9386.0164000000004</v>
          </cell>
          <cell r="Z1561">
            <v>0.35</v>
          </cell>
          <cell r="AA1561">
            <v>6100.9106600000005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4</v>
          </cell>
          <cell r="H1562">
            <v>0</v>
          </cell>
          <cell r="O1562">
            <v>404597</v>
          </cell>
          <cell r="P1562" t="str">
            <v>2025/154-0063-01</v>
          </cell>
          <cell r="Q1562" t="str">
            <v>EST CADEIRA BELLAGIO (ALU C24 | CORD V01) TC KEEPSAKE SILVER</v>
          </cell>
          <cell r="R1562"/>
          <cell r="S1562"/>
          <cell r="T1562">
            <v>0.61</v>
          </cell>
          <cell r="U1562">
            <v>0.6</v>
          </cell>
          <cell r="V1562">
            <v>0.76</v>
          </cell>
          <cell r="W1562">
            <v>0</v>
          </cell>
          <cell r="X1562" t="str">
            <v>EST CADEIRA BELLAGIO (ALU C24 | CORD V01) TC KEEPSAKE SILVER - 0,61x0,6x0,76H</v>
          </cell>
          <cell r="Y1562">
            <v>9386.0164000000004</v>
          </cell>
          <cell r="Z1562">
            <v>0.35</v>
          </cell>
          <cell r="AA1562">
            <v>6100.9106600000005</v>
          </cell>
          <cell r="AB1562"/>
        </row>
        <row r="1563">
          <cell r="C1563">
            <v>0</v>
          </cell>
          <cell r="D1563">
            <v>1</v>
          </cell>
          <cell r="E1563">
            <v>0</v>
          </cell>
          <cell r="F1563">
            <v>4</v>
          </cell>
          <cell r="H1563">
            <v>0</v>
          </cell>
          <cell r="O1563">
            <v>404597</v>
          </cell>
          <cell r="P1563" t="str">
            <v>2025/154-0064-01</v>
          </cell>
          <cell r="Q1563" t="str">
            <v>EST CADEIRA BELLAGIO (ALU C24 | CORD V01) TC KEEPSAKE SILVER</v>
          </cell>
          <cell r="R1563"/>
          <cell r="S1563"/>
          <cell r="T1563">
            <v>0.61</v>
          </cell>
          <cell r="U1563">
            <v>0.6</v>
          </cell>
          <cell r="V1563">
            <v>0.76</v>
          </cell>
          <cell r="W1563">
            <v>0</v>
          </cell>
          <cell r="X1563" t="str">
            <v>EST CADEIRA BELLAGIO (ALU C24 | CORD V01) TC KEEPSAKE SILVER - 0,61x0,6x0,76H</v>
          </cell>
          <cell r="Y1563">
            <v>9386.0164000000004</v>
          </cell>
          <cell r="Z1563">
            <v>0.35</v>
          </cell>
          <cell r="AA1563">
            <v>6100.9106600000005</v>
          </cell>
          <cell r="AB1563"/>
        </row>
        <row r="1564">
          <cell r="C1564">
            <v>0</v>
          </cell>
          <cell r="D1564">
            <v>1</v>
          </cell>
          <cell r="E1564">
            <v>0</v>
          </cell>
          <cell r="F1564">
            <v>4</v>
          </cell>
          <cell r="H1564">
            <v>0</v>
          </cell>
          <cell r="O1564">
            <v>404597</v>
          </cell>
          <cell r="P1564" t="str">
            <v>2025/154-0059-01</v>
          </cell>
          <cell r="Q1564" t="str">
            <v>EST CADEIRA BELLAGIO (ALU C24 | CORD V01) TC KEEPSAKE SILVER</v>
          </cell>
          <cell r="R1564"/>
          <cell r="S1564"/>
          <cell r="T1564">
            <v>0.61</v>
          </cell>
          <cell r="U1564">
            <v>0.6</v>
          </cell>
          <cell r="V1564">
            <v>0.76</v>
          </cell>
          <cell r="W1564">
            <v>0</v>
          </cell>
          <cell r="X1564" t="str">
            <v>EST CADEIRA BELLAGIO (ALU C24 | CORD V01) TC KEEPSAKE SILVER - 0,61x0,6x0,76H</v>
          </cell>
          <cell r="Y1564">
            <v>9386.0164000000004</v>
          </cell>
          <cell r="Z1564">
            <v>0.35</v>
          </cell>
          <cell r="AA1564">
            <v>6100.9106600000005</v>
          </cell>
          <cell r="AB1564"/>
        </row>
        <row r="1565">
          <cell r="C1565">
            <v>0</v>
          </cell>
          <cell r="D1565">
            <v>1</v>
          </cell>
          <cell r="E1565">
            <v>0</v>
          </cell>
          <cell r="F1565">
            <v>4</v>
          </cell>
          <cell r="H1565">
            <v>0</v>
          </cell>
          <cell r="O1565">
            <v>404597</v>
          </cell>
          <cell r="P1565" t="str">
            <v>2025/154-0060-01</v>
          </cell>
          <cell r="Q1565" t="str">
            <v>EST CADEIRA BELLAGIO (ALU C24 | CORD V01) TC KEEPSAKE SILVER</v>
          </cell>
          <cell r="R1565"/>
          <cell r="S1565"/>
          <cell r="T1565">
            <v>0.61</v>
          </cell>
          <cell r="U1565">
            <v>0.6</v>
          </cell>
          <cell r="V1565">
            <v>0.76</v>
          </cell>
          <cell r="W1565">
            <v>0</v>
          </cell>
          <cell r="X1565" t="str">
            <v>EST CADEIRA BELLAGIO (ALU C24 | CORD V01) TC KEEPSAKE SILVER - 0,61x0,6x0,76H</v>
          </cell>
          <cell r="Y1565">
            <v>9386.0164000000004</v>
          </cell>
          <cell r="Z1565">
            <v>0.35</v>
          </cell>
          <cell r="AA1565">
            <v>6100.9106600000005</v>
          </cell>
          <cell r="AB1565"/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1</v>
          </cell>
          <cell r="H1566">
            <v>0</v>
          </cell>
          <cell r="O1566">
            <v>404600</v>
          </cell>
          <cell r="P1566" t="str">
            <v>2025/154-0011-01</v>
          </cell>
          <cell r="Q1566" t="str">
            <v>EST MESA JANTAR BELLAGIO (ALU C24 | CORD V01) C/FURO</v>
          </cell>
          <cell r="R1566"/>
          <cell r="S1566"/>
          <cell r="T1566">
            <v>1.8</v>
          </cell>
          <cell r="U1566">
            <v>0</v>
          </cell>
          <cell r="V1566">
            <v>0.75</v>
          </cell>
          <cell r="W1566">
            <v>1.8</v>
          </cell>
          <cell r="X1566" t="str">
            <v>EST MESA JANTAR BELLAGIO (ALU C24 | CORD V01) C/FURO - Ø1,8x0,75H</v>
          </cell>
          <cell r="Y1566">
            <v>41155.39</v>
          </cell>
          <cell r="Z1566">
            <v>0.35</v>
          </cell>
          <cell r="AA1566">
            <v>26751.003499999999</v>
          </cell>
          <cell r="AB1566"/>
        </row>
        <row r="1567">
          <cell r="C1567">
            <v>0</v>
          </cell>
          <cell r="D1567">
            <v>0</v>
          </cell>
          <cell r="E1567">
            <v>0</v>
          </cell>
          <cell r="F1567">
            <v>1</v>
          </cell>
          <cell r="H1567">
            <v>0</v>
          </cell>
          <cell r="O1567">
            <v>404603</v>
          </cell>
          <cell r="P1567" t="str">
            <v>2025/154-0014-01</v>
          </cell>
          <cell r="Q1567" t="str">
            <v>EST MESA LATERAL BELLAGIO (FORMICA TS CORDA) (ALU C29)</v>
          </cell>
          <cell r="R1567"/>
          <cell r="S1567"/>
          <cell r="T1567">
            <v>0.7</v>
          </cell>
          <cell r="U1567">
            <v>0</v>
          </cell>
          <cell r="V1567">
            <v>0.55000000000000004</v>
          </cell>
          <cell r="W1567">
            <v>0.7</v>
          </cell>
          <cell r="X1567" t="str">
            <v>EST MESA LATERAL BELLAGIO (FORMICA TS CORDA) (ALU C29) - Ø0,7x0,55H</v>
          </cell>
          <cell r="Y1567">
            <v>13365.45</v>
          </cell>
          <cell r="Z1567">
            <v>0.35</v>
          </cell>
          <cell r="AA1567">
            <v>8687.5424999999996</v>
          </cell>
          <cell r="AB1567"/>
        </row>
        <row r="1568">
          <cell r="C1568">
            <v>0</v>
          </cell>
          <cell r="D1568">
            <v>0</v>
          </cell>
          <cell r="E1568">
            <v>0</v>
          </cell>
          <cell r="F1568">
            <v>1</v>
          </cell>
          <cell r="H1568">
            <v>0</v>
          </cell>
          <cell r="O1568">
            <v>404608</v>
          </cell>
          <cell r="P1568" t="str">
            <v>2025/154-0016-01</v>
          </cell>
          <cell r="Q1568" t="str">
            <v>EST MESA LATERAL BELLAGIO (ALU C32)</v>
          </cell>
          <cell r="R1568"/>
          <cell r="S1568"/>
          <cell r="T1568">
            <v>0.7</v>
          </cell>
          <cell r="U1568">
            <v>0</v>
          </cell>
          <cell r="V1568">
            <v>0.55000000000000004</v>
          </cell>
          <cell r="W1568">
            <v>0.7</v>
          </cell>
          <cell r="X1568" t="str">
            <v>EST MESA LATERAL BELLAGIO (ALU C32) - Ø0,7x0,55H</v>
          </cell>
          <cell r="Y1568">
            <v>10168.44</v>
          </cell>
          <cell r="Z1568">
            <v>0.35</v>
          </cell>
          <cell r="AA1568">
            <v>6609.4860000000008</v>
          </cell>
          <cell r="AB1568"/>
        </row>
        <row r="1569">
          <cell r="C1569">
            <v>0</v>
          </cell>
          <cell r="D1569">
            <v>0</v>
          </cell>
          <cell r="E1569">
            <v>0</v>
          </cell>
          <cell r="F1569">
            <v>2</v>
          </cell>
          <cell r="H1569">
            <v>0</v>
          </cell>
          <cell r="O1569">
            <v>405887</v>
          </cell>
          <cell r="P1569" t="str">
            <v>2025/189-0004-01</v>
          </cell>
          <cell r="Q1569" t="str">
            <v>EST MESA CENTRO SOLEIL (MARMORE NUVOLATO) (LAMINA NOGUEIRA)</v>
          </cell>
          <cell r="R1569"/>
          <cell r="S1569"/>
          <cell r="T1569">
            <v>1</v>
          </cell>
          <cell r="U1569">
            <v>1</v>
          </cell>
          <cell r="V1569">
            <v>0.3</v>
          </cell>
          <cell r="W1569">
            <v>0</v>
          </cell>
          <cell r="X1569" t="str">
            <v>EST MESA CENTRO SOLEIL (MARMORE NUVOLATO) (LAMINA NOGUEIRA) - 1x1x0,3H</v>
          </cell>
          <cell r="Y1569">
            <v>39425.660000000003</v>
          </cell>
          <cell r="Z1569">
            <v>0.35</v>
          </cell>
          <cell r="AA1569">
            <v>25626.679000000004</v>
          </cell>
          <cell r="AB1569"/>
        </row>
        <row r="1570">
          <cell r="C1570">
            <v>0</v>
          </cell>
          <cell r="D1570">
            <v>0</v>
          </cell>
          <cell r="E1570">
            <v>0</v>
          </cell>
          <cell r="F1570">
            <v>2</v>
          </cell>
          <cell r="H1570">
            <v>0</v>
          </cell>
          <cell r="O1570">
            <v>405887</v>
          </cell>
          <cell r="P1570" t="str">
            <v>2025/189-0005-01</v>
          </cell>
          <cell r="Q1570" t="str">
            <v>EST MESA CENTRO SOLEIL (MARMORE NUVOLATO) (LAMINA NOGUEIRA)</v>
          </cell>
          <cell r="R1570"/>
          <cell r="S1570"/>
          <cell r="T1570">
            <v>1</v>
          </cell>
          <cell r="U1570">
            <v>1</v>
          </cell>
          <cell r="V1570">
            <v>0.3</v>
          </cell>
          <cell r="W1570">
            <v>0</v>
          </cell>
          <cell r="X1570" t="str">
            <v>EST MESA CENTRO SOLEIL (MARMORE NUVOLATO) (LAMINA NOGUEIRA) - 1x1x0,3H</v>
          </cell>
          <cell r="Y1570">
            <v>39425.660000000003</v>
          </cell>
          <cell r="Z1570">
            <v>0.35</v>
          </cell>
          <cell r="AA1570">
            <v>25626.679000000004</v>
          </cell>
          <cell r="AB1570"/>
        </row>
        <row r="1571">
          <cell r="C1571">
            <v>0</v>
          </cell>
          <cell r="D1571">
            <v>0</v>
          </cell>
          <cell r="E1571">
            <v>0</v>
          </cell>
          <cell r="F1571">
            <v>1</v>
          </cell>
          <cell r="H1571">
            <v>0</v>
          </cell>
          <cell r="O1571">
            <v>407191</v>
          </cell>
          <cell r="P1571" t="str">
            <v>2025/255-0027-01</v>
          </cell>
          <cell r="Q1571" t="str">
            <v>EST SOFA MAURO C/BC ESTOF C/MESA (TING NOG) TC CRAFTED GLAZE</v>
          </cell>
          <cell r="R1571"/>
          <cell r="S1571"/>
          <cell r="T1571">
            <v>2.8</v>
          </cell>
          <cell r="U1571">
            <v>1.02</v>
          </cell>
          <cell r="V1571">
            <v>0.78</v>
          </cell>
          <cell r="W1571">
            <v>0</v>
          </cell>
          <cell r="X1571" t="str">
            <v>EST SOFA MAURO C/BC ESTOF C/MESA (TING NOG) TC CRAFTED GLAZE - 2,8x1,02x0,78H</v>
          </cell>
          <cell r="Y1571">
            <v>93433.27</v>
          </cell>
          <cell r="Z1571">
            <v>0.35</v>
          </cell>
          <cell r="AA1571">
            <v>60731.625500000009</v>
          </cell>
          <cell r="AB1571"/>
        </row>
        <row r="1572">
          <cell r="C1572">
            <v>0</v>
          </cell>
          <cell r="D1572">
            <v>0</v>
          </cell>
          <cell r="E1572">
            <v>0</v>
          </cell>
          <cell r="F1572">
            <v>4</v>
          </cell>
          <cell r="H1572">
            <v>0</v>
          </cell>
          <cell r="O1572">
            <v>410043</v>
          </cell>
          <cell r="P1572" t="str">
            <v>2025/258-0101-01</v>
          </cell>
          <cell r="Q1572" t="str">
            <v>EST CAPA POLTRONA BELLAGIO</v>
          </cell>
          <cell r="R1572"/>
          <cell r="S1572"/>
          <cell r="T1572">
            <v>0.8</v>
          </cell>
          <cell r="U1572">
            <v>0.85</v>
          </cell>
          <cell r="V1572">
            <v>0.72</v>
          </cell>
          <cell r="W1572">
            <v>0</v>
          </cell>
          <cell r="X1572" t="str">
            <v>EST CAPA POLTRONA BELLAGIO - 0,8x0,85x0,72H</v>
          </cell>
          <cell r="Y1572">
            <v>1903.78</v>
          </cell>
          <cell r="Z1572">
            <v>0.35</v>
          </cell>
          <cell r="AA1572">
            <v>1237.4569999999999</v>
          </cell>
          <cell r="AB1572"/>
        </row>
        <row r="1573">
          <cell r="C1573">
            <v>0</v>
          </cell>
          <cell r="D1573">
            <v>0</v>
          </cell>
          <cell r="E1573">
            <v>0</v>
          </cell>
          <cell r="F1573">
            <v>4</v>
          </cell>
          <cell r="H1573">
            <v>0</v>
          </cell>
          <cell r="O1573">
            <v>410043</v>
          </cell>
          <cell r="P1573" t="str">
            <v>2025/258-0102-01</v>
          </cell>
          <cell r="Q1573" t="str">
            <v>EST CAPA POLTRONA BELLAGIO</v>
          </cell>
          <cell r="R1573"/>
          <cell r="S1573"/>
          <cell r="T1573">
            <v>0.8</v>
          </cell>
          <cell r="U1573">
            <v>0.85</v>
          </cell>
          <cell r="V1573">
            <v>0.72</v>
          </cell>
          <cell r="W1573">
            <v>0</v>
          </cell>
          <cell r="X1573" t="str">
            <v>EST CAPA POLTRONA BELLAGIO - 0,8x0,85x0,72H</v>
          </cell>
          <cell r="Y1573">
            <v>1903.78</v>
          </cell>
          <cell r="Z1573">
            <v>0.35</v>
          </cell>
          <cell r="AA1573">
            <v>1237.4569999999999</v>
          </cell>
          <cell r="AB1573"/>
        </row>
        <row r="1574">
          <cell r="C1574">
            <v>0</v>
          </cell>
          <cell r="D1574">
            <v>0</v>
          </cell>
          <cell r="E1574">
            <v>0</v>
          </cell>
          <cell r="F1574">
            <v>4</v>
          </cell>
          <cell r="H1574">
            <v>0</v>
          </cell>
          <cell r="O1574">
            <v>410043</v>
          </cell>
          <cell r="P1574" t="str">
            <v>2025/258-0103-01</v>
          </cell>
          <cell r="Q1574" t="str">
            <v>EST CAPA POLTRONA BELLAGIO</v>
          </cell>
          <cell r="R1574"/>
          <cell r="S1574"/>
          <cell r="T1574">
            <v>0.8</v>
          </cell>
          <cell r="U1574">
            <v>0.85</v>
          </cell>
          <cell r="V1574">
            <v>0.72</v>
          </cell>
          <cell r="W1574">
            <v>0</v>
          </cell>
          <cell r="X1574" t="str">
            <v>EST CAPA POLTRONA BELLAGIO - 0,8x0,85x0,72H</v>
          </cell>
          <cell r="Y1574">
            <v>1903.78</v>
          </cell>
          <cell r="Z1574">
            <v>0.35</v>
          </cell>
          <cell r="AA1574">
            <v>1237.4569999999999</v>
          </cell>
          <cell r="AB1574"/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4</v>
          </cell>
          <cell r="H1575">
            <v>0</v>
          </cell>
          <cell r="O1575">
            <v>410043</v>
          </cell>
          <cell r="P1575" t="str">
            <v>2025/258-0104-01</v>
          </cell>
          <cell r="Q1575" t="str">
            <v>EST CAPA POLTRONA BELLAGIO</v>
          </cell>
          <cell r="R1575"/>
          <cell r="S1575"/>
          <cell r="T1575">
            <v>0.8</v>
          </cell>
          <cell r="U1575">
            <v>0.85</v>
          </cell>
          <cell r="V1575">
            <v>0.72</v>
          </cell>
          <cell r="W1575">
            <v>0</v>
          </cell>
          <cell r="X1575" t="str">
            <v>EST CAPA POLTRONA BELLAGIO - 0,8x0,85x0,72H</v>
          </cell>
          <cell r="Y1575">
            <v>1903.78</v>
          </cell>
          <cell r="Z1575">
            <v>0.35</v>
          </cell>
          <cell r="AA1575">
            <v>1237.4569999999999</v>
          </cell>
          <cell r="AB1575"/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6</v>
          </cell>
          <cell r="H1576">
            <v>0</v>
          </cell>
          <cell r="O1576">
            <v>410046</v>
          </cell>
          <cell r="P1576" t="str">
            <v>2025/258-0105-01</v>
          </cell>
          <cell r="Q1576" t="str">
            <v>EST CAPA CADEIRA BELLAGIO</v>
          </cell>
          <cell r="R1576"/>
          <cell r="S1576"/>
          <cell r="T1576">
            <v>0.61</v>
          </cell>
          <cell r="U1576">
            <v>0.6</v>
          </cell>
          <cell r="V1576">
            <v>0.76</v>
          </cell>
          <cell r="W1576">
            <v>0</v>
          </cell>
          <cell r="X1576" t="str">
            <v>EST CAPA CADEIRA BELLAGIO - 0,61x0,6x0,76H</v>
          </cell>
          <cell r="Y1576">
            <v>1966</v>
          </cell>
          <cell r="Z1576">
            <v>0.35</v>
          </cell>
          <cell r="AA1576">
            <v>1277.9000000000001</v>
          </cell>
          <cell r="AB1576"/>
        </row>
        <row r="1577">
          <cell r="C1577">
            <v>0</v>
          </cell>
          <cell r="D1577">
            <v>0</v>
          </cell>
          <cell r="E1577">
            <v>0</v>
          </cell>
          <cell r="F1577">
            <v>6</v>
          </cell>
          <cell r="H1577">
            <v>0</v>
          </cell>
          <cell r="O1577">
            <v>410046</v>
          </cell>
          <cell r="P1577" t="str">
            <v>2025/258-0106-01</v>
          </cell>
          <cell r="Q1577" t="str">
            <v>EST CAPA CADEIRA BELLAGIO</v>
          </cell>
          <cell r="R1577"/>
          <cell r="S1577"/>
          <cell r="T1577">
            <v>0.61</v>
          </cell>
          <cell r="U1577">
            <v>0.6</v>
          </cell>
          <cell r="V1577">
            <v>0.76</v>
          </cell>
          <cell r="W1577">
            <v>0</v>
          </cell>
          <cell r="X1577" t="str">
            <v>EST CAPA CADEIRA BELLAGIO - 0,61x0,6x0,76H</v>
          </cell>
          <cell r="Y1577">
            <v>1966</v>
          </cell>
          <cell r="Z1577">
            <v>0.35</v>
          </cell>
          <cell r="AA1577">
            <v>1277.9000000000001</v>
          </cell>
          <cell r="AB1577"/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6</v>
          </cell>
          <cell r="H1578">
            <v>0</v>
          </cell>
          <cell r="O1578">
            <v>410046</v>
          </cell>
          <cell r="P1578" t="str">
            <v>2025/258-0107-01</v>
          </cell>
          <cell r="Q1578" t="str">
            <v>EST CAPA CADEIRA BELLAGIO</v>
          </cell>
          <cell r="R1578"/>
          <cell r="S1578"/>
          <cell r="T1578">
            <v>0.61</v>
          </cell>
          <cell r="U1578">
            <v>0.6</v>
          </cell>
          <cell r="V1578">
            <v>0.76</v>
          </cell>
          <cell r="W1578">
            <v>0</v>
          </cell>
          <cell r="X1578" t="str">
            <v>EST CAPA CADEIRA BELLAGIO - 0,61x0,6x0,76H</v>
          </cell>
          <cell r="Y1578">
            <v>1966</v>
          </cell>
          <cell r="Z1578">
            <v>0.35</v>
          </cell>
          <cell r="AA1578">
            <v>1277.9000000000001</v>
          </cell>
          <cell r="AB1578"/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6</v>
          </cell>
          <cell r="H1579">
            <v>0</v>
          </cell>
          <cell r="O1579">
            <v>410046</v>
          </cell>
          <cell r="P1579" t="str">
            <v>2025/258-0108-01</v>
          </cell>
          <cell r="Q1579" t="str">
            <v>EST CAPA CADEIRA BELLAGIO</v>
          </cell>
          <cell r="R1579"/>
          <cell r="S1579"/>
          <cell r="T1579">
            <v>0.61</v>
          </cell>
          <cell r="U1579">
            <v>0.6</v>
          </cell>
          <cell r="V1579">
            <v>0.76</v>
          </cell>
          <cell r="W1579">
            <v>0</v>
          </cell>
          <cell r="X1579" t="str">
            <v>EST CAPA CADEIRA BELLAGIO - 0,61x0,6x0,76H</v>
          </cell>
          <cell r="Y1579">
            <v>1966</v>
          </cell>
          <cell r="Z1579">
            <v>0.35</v>
          </cell>
          <cell r="AA1579">
            <v>1277.9000000000001</v>
          </cell>
          <cell r="AB1579"/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6</v>
          </cell>
          <cell r="H1580">
            <v>0</v>
          </cell>
          <cell r="O1580">
            <v>410046</v>
          </cell>
          <cell r="P1580" t="str">
            <v>2025/258-0109-01</v>
          </cell>
          <cell r="Q1580" t="str">
            <v>EST CAPA CADEIRA BELLAGIO</v>
          </cell>
          <cell r="R1580"/>
          <cell r="S1580"/>
          <cell r="T1580">
            <v>0.61</v>
          </cell>
          <cell r="U1580">
            <v>0.6</v>
          </cell>
          <cell r="V1580">
            <v>0.76</v>
          </cell>
          <cell r="W1580">
            <v>0</v>
          </cell>
          <cell r="X1580" t="str">
            <v>EST CAPA CADEIRA BELLAGIO - 0,61x0,6x0,76H</v>
          </cell>
          <cell r="Y1580">
            <v>1966</v>
          </cell>
          <cell r="Z1580">
            <v>0.35</v>
          </cell>
          <cell r="AA1580">
            <v>1277.9000000000001</v>
          </cell>
          <cell r="AB1580"/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6</v>
          </cell>
          <cell r="H1581">
            <v>0</v>
          </cell>
          <cell r="O1581">
            <v>410046</v>
          </cell>
          <cell r="P1581" t="str">
            <v>2025/258-0110-01</v>
          </cell>
          <cell r="Q1581" t="str">
            <v>EST CAPA CADEIRA BELLAGIO</v>
          </cell>
          <cell r="R1581"/>
          <cell r="S1581"/>
          <cell r="T1581">
            <v>0.61</v>
          </cell>
          <cell r="U1581">
            <v>0.6</v>
          </cell>
          <cell r="V1581">
            <v>0.76</v>
          </cell>
          <cell r="W1581">
            <v>0</v>
          </cell>
          <cell r="X1581" t="str">
            <v>EST CAPA CADEIRA BELLAGIO - 0,61x0,6x0,76H</v>
          </cell>
          <cell r="Y1581">
            <v>1966</v>
          </cell>
          <cell r="Z1581">
            <v>0.35</v>
          </cell>
          <cell r="AA1581">
            <v>1277.9000000000001</v>
          </cell>
          <cell r="AB1581"/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1</v>
          </cell>
          <cell r="H1582">
            <v>0</v>
          </cell>
          <cell r="O1582">
            <v>410047</v>
          </cell>
          <cell r="P1582" t="str">
            <v>2025/258-0111-01</v>
          </cell>
          <cell r="Q1582" t="str">
            <v>EST CAPA MESA CENTRO BELLAGIO</v>
          </cell>
          <cell r="R1582"/>
          <cell r="S1582"/>
          <cell r="T1582">
            <v>1.2</v>
          </cell>
          <cell r="U1582">
            <v>0</v>
          </cell>
          <cell r="V1582">
            <v>0.35</v>
          </cell>
          <cell r="W1582">
            <v>1.2</v>
          </cell>
          <cell r="X1582" t="str">
            <v>EST CAPA MESA CENTRO BELLAGIO - Ø1,2x0,35H</v>
          </cell>
          <cell r="Y1582">
            <v>1574.45</v>
          </cell>
          <cell r="Z1582">
            <v>0.35</v>
          </cell>
          <cell r="AA1582">
            <v>1023.3925</v>
          </cell>
          <cell r="AB1582"/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1</v>
          </cell>
          <cell r="H1583">
            <v>0</v>
          </cell>
          <cell r="O1583">
            <v>410049</v>
          </cell>
          <cell r="P1583" t="str">
            <v>2025/258-0112-01</v>
          </cell>
          <cell r="Q1583" t="str">
            <v>EST CAPA MESA LATERAL BELLAGIO</v>
          </cell>
          <cell r="R1583"/>
          <cell r="S1583"/>
          <cell r="T1583">
            <v>0.5</v>
          </cell>
          <cell r="U1583">
            <v>0</v>
          </cell>
          <cell r="V1583">
            <v>0.35</v>
          </cell>
          <cell r="W1583">
            <v>0.5</v>
          </cell>
          <cell r="X1583" t="str">
            <v>EST CAPA MESA LATERAL BELLAGIO - Ø0,5x0,35H</v>
          </cell>
          <cell r="Y1583">
            <v>757.93</v>
          </cell>
          <cell r="Z1583">
            <v>0.35</v>
          </cell>
          <cell r="AA1583">
            <v>492.65449999999998</v>
          </cell>
          <cell r="AB1583"/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2</v>
          </cell>
          <cell r="H1584">
            <v>0</v>
          </cell>
          <cell r="O1584">
            <v>410050</v>
          </cell>
          <cell r="P1584" t="str">
            <v>2025/258-0113-01</v>
          </cell>
          <cell r="Q1584" t="str">
            <v>EST CAPA MESA LATERAL BELLAGIO</v>
          </cell>
          <cell r="R1584"/>
          <cell r="S1584"/>
          <cell r="T1584">
            <v>0.7</v>
          </cell>
          <cell r="U1584">
            <v>0</v>
          </cell>
          <cell r="V1584">
            <v>0.55000000000000004</v>
          </cell>
          <cell r="W1584">
            <v>0.7</v>
          </cell>
          <cell r="X1584" t="str">
            <v>EST CAPA MESA LATERAL BELLAGIO - Ø0,7x0,55H</v>
          </cell>
          <cell r="Y1584">
            <v>1301.17</v>
          </cell>
          <cell r="Z1584">
            <v>0.35</v>
          </cell>
          <cell r="AA1584">
            <v>845.76050000000009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2</v>
          </cell>
          <cell r="H1585">
            <v>0</v>
          </cell>
          <cell r="O1585">
            <v>410050</v>
          </cell>
          <cell r="P1585" t="str">
            <v>2025/258-0114-01</v>
          </cell>
          <cell r="Q1585" t="str">
            <v>EST CAPA MESA LATERAL BELLAGIO</v>
          </cell>
          <cell r="R1585"/>
          <cell r="S1585"/>
          <cell r="T1585">
            <v>0.7</v>
          </cell>
          <cell r="U1585">
            <v>0</v>
          </cell>
          <cell r="V1585">
            <v>0.55000000000000004</v>
          </cell>
          <cell r="W1585">
            <v>0.7</v>
          </cell>
          <cell r="X1585" t="str">
            <v>EST CAPA MESA LATERAL BELLAGIO - Ø0,7x0,55H</v>
          </cell>
          <cell r="Y1585">
            <v>1301.17</v>
          </cell>
          <cell r="Z1585">
            <v>0.35</v>
          </cell>
          <cell r="AA1585">
            <v>845.76050000000009</v>
          </cell>
          <cell r="AB1585"/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1</v>
          </cell>
          <cell r="H1586">
            <v>0</v>
          </cell>
          <cell r="O1586">
            <v>405107</v>
          </cell>
          <cell r="P1586" t="str">
            <v>2025/213-0053-01</v>
          </cell>
          <cell r="Q1586" t="str">
            <v>EST POLTRONA FLORIPA (MTX CAFE) COURO FIRENZE ENGLISH PUB</v>
          </cell>
          <cell r="R1586"/>
          <cell r="S1586"/>
          <cell r="T1586">
            <v>0.71</v>
          </cell>
          <cell r="U1586">
            <v>0.84</v>
          </cell>
          <cell r="V1586">
            <v>0.89</v>
          </cell>
          <cell r="W1586">
            <v>0</v>
          </cell>
          <cell r="X1586" t="str">
            <v>EST POLTRONA FLORIPA (MTX CAFE) COURO FIRENZE ENGLISH PUB - 0,71x0,84x0,89H</v>
          </cell>
          <cell r="Y1586">
            <v>19442.66</v>
          </cell>
          <cell r="Z1586">
            <v>0.35</v>
          </cell>
          <cell r="AA1586">
            <v>12637.728999999999</v>
          </cell>
          <cell r="AB1586"/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1</v>
          </cell>
          <cell r="H1587">
            <v>0</v>
          </cell>
          <cell r="O1587">
            <v>405108</v>
          </cell>
          <cell r="P1587" t="str">
            <v>2025/213-0054-01</v>
          </cell>
          <cell r="Q1587" t="str">
            <v>EST BANQUETA FLORIPA (MTX CAFE) COURO FIRENZE ENGLISH PUB</v>
          </cell>
          <cell r="R1587"/>
          <cell r="S1587"/>
          <cell r="T1587">
            <v>0.6</v>
          </cell>
          <cell r="U1587">
            <v>0.6</v>
          </cell>
          <cell r="V1587">
            <v>0.4</v>
          </cell>
          <cell r="W1587">
            <v>0</v>
          </cell>
          <cell r="X1587" t="str">
            <v>EST BANQUETA FLORIPA (MTX CAFE) COURO FIRENZE ENGLISH PUB - 0,6x0,6x0,4H</v>
          </cell>
          <cell r="Y1587">
            <v>12491.54</v>
          </cell>
          <cell r="Z1587">
            <v>0.35</v>
          </cell>
          <cell r="AA1587">
            <v>8119.5010000000011</v>
          </cell>
          <cell r="AB1587"/>
        </row>
        <row r="1588">
          <cell r="C1588">
            <v>0</v>
          </cell>
          <cell r="D1588">
            <v>0</v>
          </cell>
          <cell r="E1588">
            <v>1</v>
          </cell>
          <cell r="F1588">
            <v>2</v>
          </cell>
          <cell r="H1588">
            <v>1</v>
          </cell>
          <cell r="O1588">
            <v>404594</v>
          </cell>
          <cell r="P1588" t="str">
            <v>2025/154-0045-01</v>
          </cell>
          <cell r="Q1588" t="str">
            <v>EST COMPONENTE ALMOFADA POLTRONA BELLAGIO TC KEEPSAKE TAUPE</v>
          </cell>
          <cell r="R1588"/>
          <cell r="S1588"/>
          <cell r="T1588">
            <v>0.8</v>
          </cell>
          <cell r="U1588">
            <v>0.85</v>
          </cell>
          <cell r="V1588">
            <v>0.05</v>
          </cell>
          <cell r="W1588">
            <v>0</v>
          </cell>
          <cell r="X1588" t="str">
            <v>EST COMPONENTE ALMOFADA POLTRONA BELLAGIO TC KEEPSAKE TAUPE - 0,8x0,85x0,05H</v>
          </cell>
          <cell r="Y1588">
            <v>6064.2404999999999</v>
          </cell>
          <cell r="Z1588">
            <v>0.35</v>
          </cell>
          <cell r="AA1588">
            <v>3941.7563249999998</v>
          </cell>
          <cell r="AB1588"/>
        </row>
        <row r="1589">
          <cell r="C1589">
            <v>0</v>
          </cell>
          <cell r="D1589">
            <v>0</v>
          </cell>
          <cell r="E1589">
            <v>1</v>
          </cell>
          <cell r="F1589">
            <v>2</v>
          </cell>
          <cell r="H1589">
            <v>1</v>
          </cell>
          <cell r="O1589">
            <v>404594</v>
          </cell>
          <cell r="P1589" t="str">
            <v>2025/154-0046-01</v>
          </cell>
          <cell r="Q1589" t="str">
            <v>EST COMPONENTE ALMOFADA POLTRONA BELLAGIO TC KEEPSAKE TAUPE</v>
          </cell>
          <cell r="R1589"/>
          <cell r="S1589"/>
          <cell r="T1589">
            <v>0.8</v>
          </cell>
          <cell r="U1589">
            <v>0.85</v>
          </cell>
          <cell r="V1589">
            <v>0.05</v>
          </cell>
          <cell r="W1589">
            <v>0</v>
          </cell>
          <cell r="X1589" t="str">
            <v>EST COMPONENTE ALMOFADA POLTRONA BELLAGIO TC KEEPSAKE TAUPE - 0,8x0,85x0,05H</v>
          </cell>
          <cell r="Y1589">
            <v>6064.2404999999999</v>
          </cell>
          <cell r="Z1589">
            <v>0.35</v>
          </cell>
          <cell r="AA1589">
            <v>3941.7563249999998</v>
          </cell>
          <cell r="AB1589"/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1</v>
          </cell>
          <cell r="H1590">
            <v>0</v>
          </cell>
          <cell r="O1590">
            <v>404610</v>
          </cell>
          <cell r="P1590" t="str">
            <v>2025/154-0019-01</v>
          </cell>
          <cell r="Q1590" t="str">
            <v>EST MESA LATERAL BELLAGIO (FORMICA TS CORDA) (ALU C29)</v>
          </cell>
          <cell r="R1590"/>
          <cell r="S1590"/>
          <cell r="T1590">
            <v>0.5</v>
          </cell>
          <cell r="U1590">
            <v>0</v>
          </cell>
          <cell r="V1590">
            <v>0.45</v>
          </cell>
          <cell r="W1590">
            <v>0.5</v>
          </cell>
          <cell r="X1590" t="str">
            <v>EST MESA LATERAL BELLAGIO (FORMICA TS CORDA) (ALU C29) - Ø0,5x0,45H</v>
          </cell>
          <cell r="Y1590">
            <v>8226.94</v>
          </cell>
          <cell r="Z1590">
            <v>0.35</v>
          </cell>
          <cell r="AA1590">
            <v>5347.5110000000004</v>
          </cell>
          <cell r="AB1590"/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H1591">
            <v>1</v>
          </cell>
          <cell r="O1591">
            <v>278070</v>
          </cell>
          <cell r="P1591" t="str">
            <v>2021/182-0042-01</v>
          </cell>
          <cell r="Q1591" t="str">
            <v>EST MESA LATERAL PIN (NATURE MATT) (DET PINT CORTEN)</v>
          </cell>
          <cell r="R1591"/>
          <cell r="S1591"/>
          <cell r="T1591">
            <v>0.35</v>
          </cell>
          <cell r="U1591">
            <v>0</v>
          </cell>
          <cell r="V1591">
            <v>0.52</v>
          </cell>
          <cell r="W1591">
            <v>0.35</v>
          </cell>
          <cell r="X1591" t="str">
            <v>EST MESA LATERAL PIN (NATURE MATT) (DET PINT CORTEN) - Ø0,35x0,52H</v>
          </cell>
          <cell r="Y1591">
            <v>5384.51</v>
          </cell>
          <cell r="Z1591">
            <v>0.35</v>
          </cell>
          <cell r="AA1591">
            <v>3499.9315000000006</v>
          </cell>
          <cell r="AB1591"/>
        </row>
        <row r="1592">
          <cell r="C1592">
            <v>0</v>
          </cell>
          <cell r="D1592">
            <v>0</v>
          </cell>
          <cell r="E1592">
            <v>1</v>
          </cell>
          <cell r="F1592">
            <v>0</v>
          </cell>
          <cell r="H1592">
            <v>0</v>
          </cell>
          <cell r="O1592">
            <v>330689</v>
          </cell>
          <cell r="P1592" t="str">
            <v>2022/221-0065-01</v>
          </cell>
          <cell r="Q1592" t="str">
            <v>EST POLTRONA MAY (BRACO MAD) (BOU STELLA 225) (TING AMENDOA)</v>
          </cell>
          <cell r="R1592"/>
          <cell r="S1592"/>
          <cell r="T1592">
            <v>0.71</v>
          </cell>
          <cell r="U1592">
            <v>0.78</v>
          </cell>
          <cell r="V1592">
            <v>0.77</v>
          </cell>
          <cell r="W1592">
            <v>0</v>
          </cell>
          <cell r="X1592" t="str">
            <v>EST POLTRONA MAY (BRACO MAD) (BOU STELLA 225) (TING AMENDOA) - 0,71x0,78x0,77H</v>
          </cell>
          <cell r="Y1592">
            <v>14492.99</v>
          </cell>
          <cell r="Z1592">
            <v>0.35</v>
          </cell>
          <cell r="AA1592">
            <v>9420.4435000000012</v>
          </cell>
          <cell r="AB1592"/>
        </row>
        <row r="1593">
          <cell r="C1593">
            <v>0</v>
          </cell>
          <cell r="D1593">
            <v>0</v>
          </cell>
          <cell r="E1593">
            <v>1</v>
          </cell>
          <cell r="F1593">
            <v>0</v>
          </cell>
          <cell r="H1593">
            <v>0</v>
          </cell>
          <cell r="O1593">
            <v>330689</v>
          </cell>
          <cell r="P1593" t="str">
            <v>2022/221-0066-01</v>
          </cell>
          <cell r="Q1593" t="str">
            <v>EST POLTRONA MAY (BRACO MAD) (BOU STELLA 225) (TING AMENDOA)</v>
          </cell>
          <cell r="R1593"/>
          <cell r="S1593"/>
          <cell r="T1593">
            <v>0.71</v>
          </cell>
          <cell r="U1593">
            <v>0.78</v>
          </cell>
          <cell r="V1593">
            <v>0.77</v>
          </cell>
          <cell r="W1593">
            <v>0</v>
          </cell>
          <cell r="X1593" t="str">
            <v>EST POLTRONA MAY (BRACO MAD) (BOU STELLA 225) (TING AMENDOA) - 0,71x0,78x0,77H</v>
          </cell>
          <cell r="Y1593">
            <v>14492.99</v>
          </cell>
          <cell r="Z1593">
            <v>0.35</v>
          </cell>
          <cell r="AA1593">
            <v>9420.4435000000012</v>
          </cell>
          <cell r="AB1593"/>
        </row>
        <row r="1594">
          <cell r="C1594">
            <v>0</v>
          </cell>
          <cell r="D1594">
            <v>0</v>
          </cell>
          <cell r="E1594">
            <v>1</v>
          </cell>
          <cell r="F1594">
            <v>0</v>
          </cell>
          <cell r="H1594">
            <v>0</v>
          </cell>
          <cell r="O1594">
            <v>371342</v>
          </cell>
          <cell r="P1594" t="str">
            <v>2023/234-0094-01</v>
          </cell>
          <cell r="Q1594" t="str">
            <v>EST CADEIRA QUERO QUERO (COURO 2 2013) (WALNUT MATT)</v>
          </cell>
          <cell r="R1594"/>
          <cell r="S1594"/>
          <cell r="T1594">
            <v>0.49</v>
          </cell>
          <cell r="U1594">
            <v>0.54</v>
          </cell>
          <cell r="V1594">
            <v>0.8</v>
          </cell>
          <cell r="W1594">
            <v>0</v>
          </cell>
          <cell r="X1594" t="str">
            <v>EST CADEIRA QUERO QUERO (COURO 2 2013) (WALNUT MATT) - 0,49x0,54x0,8H</v>
          </cell>
          <cell r="Y1594">
            <v>7735.8</v>
          </cell>
          <cell r="Z1594">
            <v>0.35</v>
          </cell>
          <cell r="AA1594">
            <v>5028.2700000000004</v>
          </cell>
          <cell r="AB1594"/>
        </row>
        <row r="1595">
          <cell r="C1595">
            <v>0</v>
          </cell>
          <cell r="D1595">
            <v>0</v>
          </cell>
          <cell r="E1595">
            <v>1</v>
          </cell>
          <cell r="F1595">
            <v>0</v>
          </cell>
          <cell r="H1595">
            <v>0</v>
          </cell>
          <cell r="O1595">
            <v>371342</v>
          </cell>
          <cell r="P1595" t="str">
            <v>2023/234-0095-01</v>
          </cell>
          <cell r="Q1595" t="str">
            <v>EST CADEIRA QUERO QUERO (COURO 2 2013) (WALNUT MATT)</v>
          </cell>
          <cell r="R1595"/>
          <cell r="S1595"/>
          <cell r="T1595">
            <v>0.49</v>
          </cell>
          <cell r="U1595">
            <v>0.54</v>
          </cell>
          <cell r="V1595">
            <v>0.8</v>
          </cell>
          <cell r="W1595">
            <v>0</v>
          </cell>
          <cell r="X1595" t="str">
            <v>EST CADEIRA QUERO QUERO (COURO 2 2013) (WALNUT MATT) - 0,49x0,54x0,8H</v>
          </cell>
          <cell r="Y1595">
            <v>7735.8</v>
          </cell>
          <cell r="Z1595">
            <v>0.35</v>
          </cell>
          <cell r="AA1595">
            <v>5028.2700000000004</v>
          </cell>
          <cell r="AB1595"/>
        </row>
        <row r="1596">
          <cell r="C1596">
            <v>0</v>
          </cell>
          <cell r="D1596">
            <v>0</v>
          </cell>
          <cell r="E1596">
            <v>1</v>
          </cell>
          <cell r="F1596">
            <v>0</v>
          </cell>
          <cell r="H1596">
            <v>0</v>
          </cell>
          <cell r="O1596">
            <v>371342</v>
          </cell>
          <cell r="P1596" t="str">
            <v>2023/234-0096-01</v>
          </cell>
          <cell r="Q1596" t="str">
            <v>EST CADEIRA QUERO QUERO (COURO 2 2013) (WALNUT MATT)</v>
          </cell>
          <cell r="R1596"/>
          <cell r="S1596"/>
          <cell r="T1596">
            <v>0.49</v>
          </cell>
          <cell r="U1596">
            <v>0.54</v>
          </cell>
          <cell r="V1596">
            <v>0.8</v>
          </cell>
          <cell r="W1596">
            <v>0</v>
          </cell>
          <cell r="X1596" t="str">
            <v>EST CADEIRA QUERO QUERO (COURO 2 2013) (WALNUT MATT) - 0,49x0,54x0,8H</v>
          </cell>
          <cell r="Y1596">
            <v>7735.8</v>
          </cell>
          <cell r="Z1596">
            <v>0.35</v>
          </cell>
          <cell r="AA1596">
            <v>5028.2700000000004</v>
          </cell>
          <cell r="AB1596"/>
        </row>
        <row r="1597">
          <cell r="C1597">
            <v>0</v>
          </cell>
          <cell r="D1597">
            <v>0</v>
          </cell>
          <cell r="E1597">
            <v>1</v>
          </cell>
          <cell r="F1597">
            <v>0</v>
          </cell>
          <cell r="H1597">
            <v>0</v>
          </cell>
          <cell r="O1597">
            <v>371342</v>
          </cell>
          <cell r="P1597" t="str">
            <v>2023/234-0097-01</v>
          </cell>
          <cell r="Q1597" t="str">
            <v>EST CADEIRA QUERO QUERO (COURO 2 2013) (WALNUT MATT)</v>
          </cell>
          <cell r="R1597"/>
          <cell r="S1597"/>
          <cell r="T1597">
            <v>0.49</v>
          </cell>
          <cell r="U1597">
            <v>0.54</v>
          </cell>
          <cell r="V1597">
            <v>0.8</v>
          </cell>
          <cell r="W1597">
            <v>0</v>
          </cell>
          <cell r="X1597" t="str">
            <v>EST CADEIRA QUERO QUERO (COURO 2 2013) (WALNUT MATT) - 0,49x0,54x0,8H</v>
          </cell>
          <cell r="Y1597">
            <v>7735.8</v>
          </cell>
          <cell r="Z1597">
            <v>0.35</v>
          </cell>
          <cell r="AA1597">
            <v>5028.2700000000004</v>
          </cell>
          <cell r="AB1597"/>
        </row>
        <row r="1598">
          <cell r="C1598">
            <v>0</v>
          </cell>
          <cell r="D1598">
            <v>0</v>
          </cell>
          <cell r="E1598">
            <v>1</v>
          </cell>
          <cell r="F1598">
            <v>0</v>
          </cell>
          <cell r="H1598">
            <v>0</v>
          </cell>
          <cell r="O1598">
            <v>371342</v>
          </cell>
          <cell r="P1598" t="str">
            <v>2023/234-0098-01</v>
          </cell>
          <cell r="Q1598" t="str">
            <v>EST CADEIRA QUERO QUERO (COURO 2 2013) (WALNUT MATT)</v>
          </cell>
          <cell r="R1598"/>
          <cell r="S1598"/>
          <cell r="T1598">
            <v>0.49</v>
          </cell>
          <cell r="U1598">
            <v>0.54</v>
          </cell>
          <cell r="V1598">
            <v>0.8</v>
          </cell>
          <cell r="W1598">
            <v>0</v>
          </cell>
          <cell r="X1598" t="str">
            <v>EST CADEIRA QUERO QUERO (COURO 2 2013) (WALNUT MATT) - 0,49x0,54x0,8H</v>
          </cell>
          <cell r="Y1598">
            <v>7735.8</v>
          </cell>
          <cell r="Z1598">
            <v>0.35</v>
          </cell>
          <cell r="AA1598">
            <v>5028.2700000000004</v>
          </cell>
          <cell r="AB1598"/>
        </row>
        <row r="1599">
          <cell r="C1599">
            <v>0</v>
          </cell>
          <cell r="D1599">
            <v>0</v>
          </cell>
          <cell r="E1599">
            <v>1</v>
          </cell>
          <cell r="F1599">
            <v>0</v>
          </cell>
          <cell r="H1599">
            <v>0</v>
          </cell>
          <cell r="O1599">
            <v>371342</v>
          </cell>
          <cell r="P1599" t="str">
            <v>2023/234-0099-01</v>
          </cell>
          <cell r="Q1599" t="str">
            <v>EST CADEIRA QUERO QUERO (COURO 2 2013) (WALNUT MATT)</v>
          </cell>
          <cell r="R1599"/>
          <cell r="S1599"/>
          <cell r="T1599">
            <v>0.49</v>
          </cell>
          <cell r="U1599">
            <v>0.54</v>
          </cell>
          <cell r="V1599">
            <v>0.8</v>
          </cell>
          <cell r="W1599">
            <v>0</v>
          </cell>
          <cell r="X1599" t="str">
            <v>EST CADEIRA QUERO QUERO (COURO 2 2013) (WALNUT MATT) - 0,49x0,54x0,8H</v>
          </cell>
          <cell r="Y1599">
            <v>7735.8</v>
          </cell>
          <cell r="Z1599">
            <v>0.35</v>
          </cell>
          <cell r="AA1599">
            <v>5028.2700000000004</v>
          </cell>
          <cell r="AB1599"/>
        </row>
        <row r="1600">
          <cell r="C1600">
            <v>0</v>
          </cell>
          <cell r="D1600">
            <v>0</v>
          </cell>
          <cell r="E1600">
            <v>1</v>
          </cell>
          <cell r="F1600">
            <v>0</v>
          </cell>
          <cell r="H1600">
            <v>0</v>
          </cell>
          <cell r="O1600">
            <v>371342</v>
          </cell>
          <cell r="P1600" t="str">
            <v>2023/234-0100-01</v>
          </cell>
          <cell r="Q1600" t="str">
            <v>EST CADEIRA QUERO QUERO (COURO 2 2013) (WALNUT MATT)</v>
          </cell>
          <cell r="R1600"/>
          <cell r="S1600"/>
          <cell r="T1600">
            <v>0.49</v>
          </cell>
          <cell r="U1600">
            <v>0.54</v>
          </cell>
          <cell r="V1600">
            <v>0.8</v>
          </cell>
          <cell r="W1600">
            <v>0</v>
          </cell>
          <cell r="X1600" t="str">
            <v>EST CADEIRA QUERO QUERO (COURO 2 2013) (WALNUT MATT) - 0,49x0,54x0,8H</v>
          </cell>
          <cell r="Y1600">
            <v>7735.8</v>
          </cell>
          <cell r="Z1600">
            <v>0.35</v>
          </cell>
          <cell r="AA1600">
            <v>5028.2700000000004</v>
          </cell>
          <cell r="AB1600"/>
        </row>
        <row r="1601">
          <cell r="C1601">
            <v>0</v>
          </cell>
          <cell r="D1601">
            <v>0</v>
          </cell>
          <cell r="E1601">
            <v>1</v>
          </cell>
          <cell r="F1601">
            <v>0</v>
          </cell>
          <cell r="H1601">
            <v>0</v>
          </cell>
          <cell r="O1601">
            <v>371342</v>
          </cell>
          <cell r="P1601" t="str">
            <v>2023/234-0101-01</v>
          </cell>
          <cell r="Q1601" t="str">
            <v>EST CADEIRA QUERO QUERO (COURO 2 2013) (WALNUT MATT)</v>
          </cell>
          <cell r="R1601"/>
          <cell r="S1601"/>
          <cell r="T1601">
            <v>0.49</v>
          </cell>
          <cell r="U1601">
            <v>0.54</v>
          </cell>
          <cell r="V1601">
            <v>0.8</v>
          </cell>
          <cell r="W1601">
            <v>0</v>
          </cell>
          <cell r="X1601" t="str">
            <v>EST CADEIRA QUERO QUERO (COURO 2 2013) (WALNUT MATT) - 0,49x0,54x0,8H</v>
          </cell>
          <cell r="Y1601">
            <v>7735.8</v>
          </cell>
          <cell r="Z1601">
            <v>0.35</v>
          </cell>
          <cell r="AA1601">
            <v>5028.2700000000004</v>
          </cell>
          <cell r="AB1601"/>
        </row>
        <row r="1602">
          <cell r="C1602">
            <v>1</v>
          </cell>
          <cell r="D1602">
            <v>1</v>
          </cell>
          <cell r="E1602">
            <v>1</v>
          </cell>
          <cell r="F1602">
            <v>1</v>
          </cell>
          <cell r="H1602">
            <v>0</v>
          </cell>
          <cell r="O1602">
            <v>373426</v>
          </cell>
          <cell r="P1602" t="str">
            <v>2023/280-0025-01</v>
          </cell>
          <cell r="Q1602" t="str">
            <v>EST BANQUETA BAR QUERO QUERO H65 (COURO2 2014) (NATURE MATT)</v>
          </cell>
          <cell r="R1602"/>
          <cell r="S1602"/>
          <cell r="T1602">
            <v>0.46</v>
          </cell>
          <cell r="U1602">
            <v>0.56000000000000005</v>
          </cell>
          <cell r="V1602">
            <v>0.92</v>
          </cell>
          <cell r="W1602">
            <v>0</v>
          </cell>
          <cell r="X1602" t="str">
            <v>EST BANQUETA BAR QUERO QUERO H65 (COURO2 2014) (NATURE MATT) - 0,46x0,56x0,92H</v>
          </cell>
          <cell r="Y1602">
            <v>9028.2800000000007</v>
          </cell>
          <cell r="Z1602">
            <v>0.35</v>
          </cell>
          <cell r="AA1602">
            <v>5868.3820000000005</v>
          </cell>
          <cell r="AB1602"/>
        </row>
        <row r="1603">
          <cell r="C1603">
            <v>0</v>
          </cell>
          <cell r="D1603">
            <v>0</v>
          </cell>
          <cell r="E1603">
            <v>2</v>
          </cell>
          <cell r="F1603">
            <v>0</v>
          </cell>
          <cell r="H1603">
            <v>0</v>
          </cell>
          <cell r="O1603">
            <v>374374</v>
          </cell>
          <cell r="P1603" t="str">
            <v>2024/026-0057-01</v>
          </cell>
          <cell r="Q1603" t="str">
            <v>EST ALMOFADA DECORATIVA HIMALAYA (G) (SOFT) (COURO 3001)</v>
          </cell>
          <cell r="R1603"/>
          <cell r="S1603"/>
          <cell r="T1603">
            <v>0.9</v>
          </cell>
          <cell r="U1603">
            <v>0.7</v>
          </cell>
          <cell r="V1603">
            <v>0</v>
          </cell>
          <cell r="W1603">
            <v>0</v>
          </cell>
          <cell r="X1603" t="str">
            <v>EST ALMOFADA DECORATIVA HIMALAYA (G) (SOFT) (COURO 3001) - 0,9x0,7x0H</v>
          </cell>
          <cell r="Y1603">
            <v>5536.61</v>
          </cell>
          <cell r="Z1603">
            <v>0.35</v>
          </cell>
          <cell r="AA1603">
            <v>3598.7964999999999</v>
          </cell>
          <cell r="AB1603"/>
        </row>
        <row r="1604">
          <cell r="C1604">
            <v>0</v>
          </cell>
          <cell r="D1604">
            <v>0</v>
          </cell>
          <cell r="E1604">
            <v>2</v>
          </cell>
          <cell r="F1604">
            <v>0</v>
          </cell>
          <cell r="H1604">
            <v>0</v>
          </cell>
          <cell r="O1604">
            <v>374374</v>
          </cell>
          <cell r="P1604" t="str">
            <v>2024/026-0058-01</v>
          </cell>
          <cell r="Q1604" t="str">
            <v>EST ALMOFADA DECORATIVA HIMALAYA (G) (SOFT) (COURO 3001)</v>
          </cell>
          <cell r="R1604"/>
          <cell r="S1604"/>
          <cell r="T1604">
            <v>0.9</v>
          </cell>
          <cell r="U1604">
            <v>0.7</v>
          </cell>
          <cell r="V1604">
            <v>0</v>
          </cell>
          <cell r="W1604">
            <v>0</v>
          </cell>
          <cell r="X1604" t="str">
            <v>EST ALMOFADA DECORATIVA HIMALAYA (G) (SOFT) (COURO 3001) - 0,9x0,7x0H</v>
          </cell>
          <cell r="Y1604">
            <v>5536.61</v>
          </cell>
          <cell r="Z1604">
            <v>0.35</v>
          </cell>
          <cell r="AA1604">
            <v>3598.7964999999999</v>
          </cell>
          <cell r="AB1604"/>
        </row>
        <row r="1605">
          <cell r="C1605">
            <v>0</v>
          </cell>
          <cell r="D1605">
            <v>0</v>
          </cell>
          <cell r="E1605">
            <v>1</v>
          </cell>
          <cell r="F1605">
            <v>0</v>
          </cell>
          <cell r="H1605">
            <v>0</v>
          </cell>
          <cell r="O1605">
            <v>374384</v>
          </cell>
          <cell r="P1605" t="str">
            <v>2024/026-0071-01</v>
          </cell>
          <cell r="Q1605" t="str">
            <v>EST CHAISE HIMALAYA (RED) (CON) (TC PET01) BASE NOG</v>
          </cell>
          <cell r="R1605"/>
          <cell r="S1605"/>
          <cell r="T1605">
            <v>1.6</v>
          </cell>
          <cell r="U1605">
            <v>0</v>
          </cell>
          <cell r="V1605">
            <v>0.74</v>
          </cell>
          <cell r="W1605">
            <v>1.6</v>
          </cell>
          <cell r="X1605" t="str">
            <v>EST CHAISE HIMALAYA (RED) (CON) (TC PET01) BASE NOG - Ø1,6x0,74H</v>
          </cell>
          <cell r="Y1605">
            <v>42896.4</v>
          </cell>
          <cell r="Z1605">
            <v>0.35</v>
          </cell>
          <cell r="AA1605">
            <v>27882.660000000003</v>
          </cell>
          <cell r="AB1605"/>
        </row>
        <row r="1606">
          <cell r="C1606">
            <v>0</v>
          </cell>
          <cell r="D1606">
            <v>0</v>
          </cell>
          <cell r="E1606">
            <v>6</v>
          </cell>
          <cell r="F1606">
            <v>0</v>
          </cell>
          <cell r="H1606">
            <v>0</v>
          </cell>
          <cell r="O1606">
            <v>374385</v>
          </cell>
          <cell r="P1606" t="str">
            <v>2024/026-0072-01</v>
          </cell>
          <cell r="Q1606" t="str">
            <v>EST CADEIRA HIMALAYA C/B (CON) (C3008) NOG</v>
          </cell>
          <cell r="R1606"/>
          <cell r="S1606"/>
          <cell r="T1606">
            <v>0.6</v>
          </cell>
          <cell r="U1606">
            <v>0.52</v>
          </cell>
          <cell r="V1606">
            <v>0.76</v>
          </cell>
          <cell r="W1606">
            <v>0</v>
          </cell>
          <cell r="X1606" t="str">
            <v>EST CADEIRA HIMALAYA C/B (CON) (C3008) NOG - 0,6x0,52x0,76H</v>
          </cell>
          <cell r="Y1606">
            <v>8922.32</v>
          </cell>
          <cell r="Z1606">
            <v>0.35</v>
          </cell>
          <cell r="AA1606">
            <v>5799.5079999999998</v>
          </cell>
          <cell r="AB1606"/>
        </row>
        <row r="1607">
          <cell r="C1607">
            <v>0</v>
          </cell>
          <cell r="D1607">
            <v>0</v>
          </cell>
          <cell r="E1607">
            <v>6</v>
          </cell>
          <cell r="F1607">
            <v>0</v>
          </cell>
          <cell r="H1607">
            <v>0</v>
          </cell>
          <cell r="O1607">
            <v>374385</v>
          </cell>
          <cell r="P1607" t="str">
            <v>2024/026-0073-01</v>
          </cell>
          <cell r="Q1607" t="str">
            <v>EST CADEIRA HIMALAYA C/B (CON) (C3008) NOG</v>
          </cell>
          <cell r="R1607"/>
          <cell r="S1607"/>
          <cell r="T1607">
            <v>0.6</v>
          </cell>
          <cell r="U1607">
            <v>0.52</v>
          </cell>
          <cell r="V1607">
            <v>0.76</v>
          </cell>
          <cell r="W1607">
            <v>0</v>
          </cell>
          <cell r="X1607" t="str">
            <v>EST CADEIRA HIMALAYA C/B (CON) (C3008) NOG - 0,6x0,52x0,76H</v>
          </cell>
          <cell r="Y1607">
            <v>8922.32</v>
          </cell>
          <cell r="Z1607">
            <v>0.35</v>
          </cell>
          <cell r="AA1607">
            <v>5799.5079999999998</v>
          </cell>
          <cell r="AB1607"/>
        </row>
        <row r="1608">
          <cell r="C1608">
            <v>0</v>
          </cell>
          <cell r="D1608">
            <v>0</v>
          </cell>
          <cell r="E1608">
            <v>6</v>
          </cell>
          <cell r="F1608">
            <v>0</v>
          </cell>
          <cell r="H1608">
            <v>0</v>
          </cell>
          <cell r="O1608">
            <v>374385</v>
          </cell>
          <cell r="P1608" t="str">
            <v>2024/026-0074-01</v>
          </cell>
          <cell r="Q1608" t="str">
            <v>EST CADEIRA HIMALAYA C/B (CON) (C3008) NOG</v>
          </cell>
          <cell r="R1608"/>
          <cell r="S1608"/>
          <cell r="T1608">
            <v>0.6</v>
          </cell>
          <cell r="U1608">
            <v>0.52</v>
          </cell>
          <cell r="V1608">
            <v>0.76</v>
          </cell>
          <cell r="W1608">
            <v>0</v>
          </cell>
          <cell r="X1608" t="str">
            <v>EST CADEIRA HIMALAYA C/B (CON) (C3008) NOG - 0,6x0,52x0,76H</v>
          </cell>
          <cell r="Y1608">
            <v>8922.32</v>
          </cell>
          <cell r="Z1608">
            <v>0.35</v>
          </cell>
          <cell r="AA1608">
            <v>5799.5079999999998</v>
          </cell>
          <cell r="AB1608"/>
        </row>
        <row r="1609">
          <cell r="C1609">
            <v>0</v>
          </cell>
          <cell r="D1609">
            <v>0</v>
          </cell>
          <cell r="E1609">
            <v>6</v>
          </cell>
          <cell r="F1609">
            <v>0</v>
          </cell>
          <cell r="H1609">
            <v>0</v>
          </cell>
          <cell r="O1609">
            <v>374385</v>
          </cell>
          <cell r="P1609" t="str">
            <v>2024/026-0075-01</v>
          </cell>
          <cell r="Q1609" t="str">
            <v>EST CADEIRA HIMALAYA C/B (CON) (C3008) NOG</v>
          </cell>
          <cell r="R1609"/>
          <cell r="S1609"/>
          <cell r="T1609">
            <v>0.6</v>
          </cell>
          <cell r="U1609">
            <v>0.52</v>
          </cell>
          <cell r="V1609">
            <v>0.76</v>
          </cell>
          <cell r="W1609">
            <v>0</v>
          </cell>
          <cell r="X1609" t="str">
            <v>EST CADEIRA HIMALAYA C/B (CON) (C3008) NOG - 0,6x0,52x0,76H</v>
          </cell>
          <cell r="Y1609">
            <v>8922.32</v>
          </cell>
          <cell r="Z1609">
            <v>0.35</v>
          </cell>
          <cell r="AA1609">
            <v>5799.5079999999998</v>
          </cell>
          <cell r="AB1609"/>
        </row>
        <row r="1610">
          <cell r="C1610">
            <v>0</v>
          </cell>
          <cell r="D1610">
            <v>0</v>
          </cell>
          <cell r="E1610">
            <v>6</v>
          </cell>
          <cell r="F1610">
            <v>0</v>
          </cell>
          <cell r="H1610">
            <v>0</v>
          </cell>
          <cell r="O1610">
            <v>374385</v>
          </cell>
          <cell r="P1610" t="str">
            <v>2024/026-0076-01</v>
          </cell>
          <cell r="Q1610" t="str">
            <v>EST CADEIRA HIMALAYA C/B (CON) (C3008) NOG</v>
          </cell>
          <cell r="R1610"/>
          <cell r="S1610"/>
          <cell r="T1610">
            <v>0.6</v>
          </cell>
          <cell r="U1610">
            <v>0.52</v>
          </cell>
          <cell r="V1610">
            <v>0.76</v>
          </cell>
          <cell r="W1610">
            <v>0</v>
          </cell>
          <cell r="X1610" t="str">
            <v>EST CADEIRA HIMALAYA C/B (CON) (C3008) NOG - 0,6x0,52x0,76H</v>
          </cell>
          <cell r="Y1610">
            <v>8922.32</v>
          </cell>
          <cell r="Z1610">
            <v>0.35</v>
          </cell>
          <cell r="AA1610">
            <v>5799.5079999999998</v>
          </cell>
          <cell r="AB1610"/>
        </row>
        <row r="1611">
          <cell r="C1611">
            <v>0</v>
          </cell>
          <cell r="D1611">
            <v>0</v>
          </cell>
          <cell r="E1611">
            <v>6</v>
          </cell>
          <cell r="F1611">
            <v>0</v>
          </cell>
          <cell r="H1611">
            <v>0</v>
          </cell>
          <cell r="O1611">
            <v>374385</v>
          </cell>
          <cell r="P1611" t="str">
            <v>2024/026-0077-01</v>
          </cell>
          <cell r="Q1611" t="str">
            <v>EST CADEIRA HIMALAYA C/B (CON) (C3008) NOG</v>
          </cell>
          <cell r="R1611"/>
          <cell r="S1611"/>
          <cell r="T1611">
            <v>0.6</v>
          </cell>
          <cell r="U1611">
            <v>0.52</v>
          </cell>
          <cell r="V1611">
            <v>0.76</v>
          </cell>
          <cell r="W1611">
            <v>0</v>
          </cell>
          <cell r="X1611" t="str">
            <v>EST CADEIRA HIMALAYA C/B (CON) (C3008) NOG - 0,6x0,52x0,76H</v>
          </cell>
          <cell r="Y1611">
            <v>8922.32</v>
          </cell>
          <cell r="Z1611">
            <v>0.35</v>
          </cell>
          <cell r="AA1611">
            <v>5799.5079999999998</v>
          </cell>
          <cell r="AB1611"/>
        </row>
        <row r="1612">
          <cell r="C1612">
            <v>0</v>
          </cell>
          <cell r="D1612">
            <v>0</v>
          </cell>
          <cell r="E1612">
            <v>2</v>
          </cell>
          <cell r="F1612">
            <v>0</v>
          </cell>
          <cell r="H1612">
            <v>1</v>
          </cell>
          <cell r="O1612">
            <v>374386</v>
          </cell>
          <cell r="P1612" t="str">
            <v>2024/026-0078-01</v>
          </cell>
          <cell r="Q1612" t="str">
            <v>EST ALMOFADA DECORATIVA HIMALAYA (PP) (SOFT) (C3008/DB3001)</v>
          </cell>
          <cell r="R1612"/>
          <cell r="S1612"/>
          <cell r="T1612">
            <v>0.4</v>
          </cell>
          <cell r="U1612">
            <v>0.33</v>
          </cell>
          <cell r="V1612">
            <v>7.0000000000000007E-2</v>
          </cell>
          <cell r="W1612">
            <v>0</v>
          </cell>
          <cell r="X1612" t="str">
            <v>EST ALMOFADA DECORATIVA HIMALAYA (PP) (SOFT) (C3008/DB3001) - 0,4x0,33x0,07H</v>
          </cell>
          <cell r="Y1612">
            <v>2107.5284999999999</v>
          </cell>
          <cell r="Z1612">
            <v>0.35</v>
          </cell>
          <cell r="AA1612">
            <v>1369.893525</v>
          </cell>
          <cell r="AB1612"/>
        </row>
        <row r="1613">
          <cell r="C1613">
            <v>0</v>
          </cell>
          <cell r="D1613">
            <v>0</v>
          </cell>
          <cell r="E1613">
            <v>2</v>
          </cell>
          <cell r="F1613">
            <v>0</v>
          </cell>
          <cell r="H1613">
            <v>1</v>
          </cell>
          <cell r="O1613">
            <v>374386</v>
          </cell>
          <cell r="P1613" t="str">
            <v>2024/026-0079-01</v>
          </cell>
          <cell r="Q1613" t="str">
            <v>EST ALMOFADA DECORATIVA HIMALAYA (PP) (SOFT) (C3008/DB3001)</v>
          </cell>
          <cell r="R1613"/>
          <cell r="S1613"/>
          <cell r="T1613">
            <v>0.4</v>
          </cell>
          <cell r="U1613">
            <v>0.33</v>
          </cell>
          <cell r="V1613">
            <v>7.0000000000000007E-2</v>
          </cell>
          <cell r="W1613">
            <v>0</v>
          </cell>
          <cell r="X1613" t="str">
            <v>EST ALMOFADA DECORATIVA HIMALAYA (PP) (SOFT) (C3008/DB3001) - 0,4x0,33x0,07H</v>
          </cell>
          <cell r="Y1613">
            <v>2107.5284999999999</v>
          </cell>
          <cell r="Z1613">
            <v>0.35</v>
          </cell>
          <cell r="AA1613">
            <v>1369.893525</v>
          </cell>
          <cell r="AB1613"/>
        </row>
        <row r="1614">
          <cell r="C1614">
            <v>0</v>
          </cell>
          <cell r="D1614">
            <v>0</v>
          </cell>
          <cell r="E1614">
            <v>2</v>
          </cell>
          <cell r="F1614">
            <v>0</v>
          </cell>
          <cell r="H1614">
            <v>1</v>
          </cell>
          <cell r="O1614">
            <v>374386</v>
          </cell>
          <cell r="P1614" t="str">
            <v>2024/026-0080-01</v>
          </cell>
          <cell r="Q1614" t="str">
            <v>EST ALMOFADA DECORATIVA HIMALAYA (PP) (SOFT) (C3008/DB3001)</v>
          </cell>
          <cell r="R1614"/>
          <cell r="S1614"/>
          <cell r="T1614">
            <v>0.4</v>
          </cell>
          <cell r="U1614">
            <v>0.33</v>
          </cell>
          <cell r="V1614">
            <v>7.0000000000000007E-2</v>
          </cell>
          <cell r="W1614">
            <v>0</v>
          </cell>
          <cell r="X1614" t="str">
            <v>EST ALMOFADA DECORATIVA HIMALAYA (PP) (SOFT) (C3008/DB3001) - 0,4x0,33x0,07H</v>
          </cell>
          <cell r="Y1614">
            <v>2107.5284999999999</v>
          </cell>
          <cell r="Z1614">
            <v>0.35</v>
          </cell>
          <cell r="AA1614">
            <v>1369.893525</v>
          </cell>
          <cell r="AB1614"/>
        </row>
        <row r="1615">
          <cell r="C1615">
            <v>0</v>
          </cell>
          <cell r="D1615">
            <v>0</v>
          </cell>
          <cell r="E1615">
            <v>2</v>
          </cell>
          <cell r="F1615">
            <v>0</v>
          </cell>
          <cell r="H1615">
            <v>2</v>
          </cell>
          <cell r="O1615">
            <v>383215</v>
          </cell>
          <cell r="P1615" t="str">
            <v>2024/093-0065-01</v>
          </cell>
          <cell r="Q1615" t="str">
            <v>EST ALMOFADA DECORATIVA HIMALAYA (G) (SOFT) (FX PET 01)</v>
          </cell>
          <cell r="R1615"/>
          <cell r="S1615"/>
          <cell r="T1615">
            <v>0.9</v>
          </cell>
          <cell r="U1615">
            <v>0.7</v>
          </cell>
          <cell r="V1615">
            <v>0</v>
          </cell>
          <cell r="W1615">
            <v>0</v>
          </cell>
          <cell r="X1615" t="str">
            <v>EST ALMOFADA DECORATIVA HIMALAYA (G) (SOFT) (FX PET 01) - 0,9x0,7x0H</v>
          </cell>
          <cell r="Y1615">
            <v>4907.53</v>
          </cell>
          <cell r="Z1615">
            <v>0.35</v>
          </cell>
          <cell r="AA1615">
            <v>3189.8944999999999</v>
          </cell>
          <cell r="AB1615"/>
        </row>
        <row r="1616">
          <cell r="C1616">
            <v>0</v>
          </cell>
          <cell r="D1616">
            <v>0</v>
          </cell>
          <cell r="E1616">
            <v>2</v>
          </cell>
          <cell r="F1616">
            <v>0</v>
          </cell>
          <cell r="H1616">
            <v>2</v>
          </cell>
          <cell r="O1616">
            <v>383215</v>
          </cell>
          <cell r="P1616" t="str">
            <v>2024/093-0066-01</v>
          </cell>
          <cell r="Q1616" t="str">
            <v>EST ALMOFADA DECORATIVA HIMALAYA (G) (SOFT) (FX PET 01)</v>
          </cell>
          <cell r="R1616"/>
          <cell r="S1616"/>
          <cell r="T1616">
            <v>0.9</v>
          </cell>
          <cell r="U1616">
            <v>0.7</v>
          </cell>
          <cell r="V1616">
            <v>0</v>
          </cell>
          <cell r="W1616">
            <v>0</v>
          </cell>
          <cell r="X1616" t="str">
            <v>EST ALMOFADA DECORATIVA HIMALAYA (G) (SOFT) (FX PET 01) - 0,9x0,7x0H</v>
          </cell>
          <cell r="Y1616">
            <v>4907.53</v>
          </cell>
          <cell r="Z1616">
            <v>0.35</v>
          </cell>
          <cell r="AA1616">
            <v>3189.8944999999999</v>
          </cell>
          <cell r="AB1616"/>
        </row>
        <row r="1617">
          <cell r="C1617">
            <v>0</v>
          </cell>
          <cell r="D1617">
            <v>0</v>
          </cell>
          <cell r="E1617">
            <v>2</v>
          </cell>
          <cell r="F1617">
            <v>0</v>
          </cell>
          <cell r="H1617">
            <v>0</v>
          </cell>
          <cell r="O1617">
            <v>402452</v>
          </cell>
          <cell r="P1617" t="str">
            <v>2025/105-0011-01</v>
          </cell>
          <cell r="Q1617" t="str">
            <v>EST POLTRONA ARRAIA (SEXT NT) (NAT MATT) TC BELLAGIO 548</v>
          </cell>
          <cell r="R1617"/>
          <cell r="S1617"/>
          <cell r="T1617">
            <v>0.73</v>
          </cell>
          <cell r="U1617">
            <v>0.75</v>
          </cell>
          <cell r="V1617">
            <v>0.8</v>
          </cell>
          <cell r="W1617">
            <v>0</v>
          </cell>
          <cell r="X1617" t="str">
            <v>EST POLTRONA ARRAIA (SEXT NT) (NAT MATT) TC BELLAGIO 548 - 0,73x0,75x0,8H</v>
          </cell>
          <cell r="Y1617">
            <v>13554.24</v>
          </cell>
          <cell r="Z1617">
            <v>0.35</v>
          </cell>
          <cell r="AA1617">
            <v>8810.2560000000012</v>
          </cell>
          <cell r="AB1617"/>
        </row>
        <row r="1618">
          <cell r="C1618">
            <v>0</v>
          </cell>
          <cell r="D1618">
            <v>0</v>
          </cell>
          <cell r="E1618">
            <v>2</v>
          </cell>
          <cell r="F1618">
            <v>0</v>
          </cell>
          <cell r="H1618">
            <v>0</v>
          </cell>
          <cell r="O1618">
            <v>402452</v>
          </cell>
          <cell r="P1618" t="str">
            <v>2025/105-0012-01</v>
          </cell>
          <cell r="Q1618" t="str">
            <v>EST POLTRONA ARRAIA (SEXT NT) (NAT MATT) TC BELLAGIO 548</v>
          </cell>
          <cell r="R1618"/>
          <cell r="S1618"/>
          <cell r="T1618">
            <v>0.73</v>
          </cell>
          <cell r="U1618">
            <v>0.75</v>
          </cell>
          <cell r="V1618">
            <v>0.8</v>
          </cell>
          <cell r="W1618">
            <v>0</v>
          </cell>
          <cell r="X1618" t="str">
            <v>EST POLTRONA ARRAIA (SEXT NT) (NAT MATT) TC BELLAGIO 548 - 0,73x0,75x0,8H</v>
          </cell>
          <cell r="Y1618">
            <v>13554.24</v>
          </cell>
          <cell r="Z1618">
            <v>0.35</v>
          </cell>
          <cell r="AA1618">
            <v>8810.2560000000012</v>
          </cell>
          <cell r="AB1618"/>
        </row>
        <row r="1619">
          <cell r="C1619">
            <v>0</v>
          </cell>
          <cell r="D1619">
            <v>0</v>
          </cell>
          <cell r="E1619">
            <v>1</v>
          </cell>
          <cell r="F1619">
            <v>1</v>
          </cell>
          <cell r="H1619">
            <v>0</v>
          </cell>
          <cell r="O1619">
            <v>405717</v>
          </cell>
          <cell r="P1619" t="str">
            <v>2025/154-0088-01</v>
          </cell>
          <cell r="Q1619" t="str">
            <v>EST MESA LATERAL COLOMBINA (MARCHETARIA) WALNUT MATT</v>
          </cell>
          <cell r="R1619"/>
          <cell r="S1619"/>
          <cell r="T1619">
            <v>0.51</v>
          </cell>
          <cell r="U1619">
            <v>0.51</v>
          </cell>
          <cell r="V1619">
            <v>0.43</v>
          </cell>
          <cell r="W1619">
            <v>0</v>
          </cell>
          <cell r="X1619" t="str">
            <v>EST MESA LATERAL COLOMBINA (MARCHETARIA) WALNUT MATT - 0,51x0,51x0,43H</v>
          </cell>
          <cell r="Y1619">
            <v>5270.09</v>
          </cell>
          <cell r="Z1619">
            <v>0.35</v>
          </cell>
          <cell r="AA1619">
            <v>3425.5585000000001</v>
          </cell>
          <cell r="AB1619"/>
        </row>
        <row r="1620">
          <cell r="C1620">
            <v>0</v>
          </cell>
          <cell r="D1620">
            <v>0</v>
          </cell>
          <cell r="E1620">
            <v>1</v>
          </cell>
          <cell r="F1620">
            <v>1</v>
          </cell>
          <cell r="H1620">
            <v>0</v>
          </cell>
          <cell r="O1620">
            <v>405719</v>
          </cell>
          <cell r="P1620" t="str">
            <v>2025/154-0092-01</v>
          </cell>
          <cell r="Q1620" t="str">
            <v>EST MESA LATERAL COLOMBINA (MARCHETARIA) WALNUT MATT</v>
          </cell>
          <cell r="R1620"/>
          <cell r="S1620"/>
          <cell r="T1620">
            <v>0.61</v>
          </cell>
          <cell r="U1620">
            <v>0.61</v>
          </cell>
          <cell r="V1620">
            <v>0.5</v>
          </cell>
          <cell r="W1620">
            <v>0</v>
          </cell>
          <cell r="X1620" t="str">
            <v>EST MESA LATERAL COLOMBINA (MARCHETARIA) WALNUT MATT - 0,61x0,61x0,5H</v>
          </cell>
          <cell r="Y1620">
            <v>5651.61</v>
          </cell>
          <cell r="Z1620">
            <v>0.35</v>
          </cell>
          <cell r="AA1620">
            <v>3673.5464999999999</v>
          </cell>
          <cell r="AB1620"/>
        </row>
        <row r="1621">
          <cell r="C1621">
            <v>0</v>
          </cell>
          <cell r="D1621">
            <v>0</v>
          </cell>
          <cell r="E1621">
            <v>1</v>
          </cell>
          <cell r="F1621">
            <v>1</v>
          </cell>
          <cell r="H1621">
            <v>0</v>
          </cell>
          <cell r="O1621">
            <v>405725</v>
          </cell>
          <cell r="P1621" t="str">
            <v>2025/154-0101-01</v>
          </cell>
          <cell r="Q1621" t="str">
            <v>EST MESA LATERAL SATELITE (NATURE MATT) PINT CORTEN</v>
          </cell>
          <cell r="R1621"/>
          <cell r="S1621"/>
          <cell r="T1621">
            <v>0.41</v>
          </cell>
          <cell r="U1621">
            <v>0.27</v>
          </cell>
          <cell r="V1621">
            <v>0.35</v>
          </cell>
          <cell r="W1621">
            <v>0</v>
          </cell>
          <cell r="X1621" t="str">
            <v>EST MESA LATERAL SATELITE (NATURE MATT) PINT CORTEN - 0,41x0,27x0,35H</v>
          </cell>
          <cell r="Y1621">
            <v>4597.6000000000004</v>
          </cell>
          <cell r="Z1621">
            <v>0.35</v>
          </cell>
          <cell r="AA1621">
            <v>2988.4400000000005</v>
          </cell>
          <cell r="AB1621"/>
        </row>
        <row r="1622">
          <cell r="C1622">
            <v>0</v>
          </cell>
          <cell r="D1622">
            <v>0</v>
          </cell>
          <cell r="E1622">
            <v>1</v>
          </cell>
          <cell r="F1622">
            <v>1</v>
          </cell>
          <cell r="H1622">
            <v>0</v>
          </cell>
          <cell r="O1622">
            <v>405727</v>
          </cell>
          <cell r="P1622" t="str">
            <v>2025/154-0106-01</v>
          </cell>
          <cell r="Q1622" t="str">
            <v>EST MESA LATERAL SATELITE (NATURE MATT) PINT CORTEN</v>
          </cell>
          <cell r="R1622"/>
          <cell r="S1622"/>
          <cell r="T1622">
            <v>0.41</v>
          </cell>
          <cell r="U1622">
            <v>0.27</v>
          </cell>
          <cell r="V1622">
            <v>0.5</v>
          </cell>
          <cell r="W1622">
            <v>0</v>
          </cell>
          <cell r="X1622" t="str">
            <v>EST MESA LATERAL SATELITE (NATURE MATT) PINT CORTEN - 0,41x0,27x0,5H</v>
          </cell>
          <cell r="Y1622">
            <v>4831.28</v>
          </cell>
          <cell r="Z1622">
            <v>0.35</v>
          </cell>
          <cell r="AA1622">
            <v>3140.3319999999999</v>
          </cell>
          <cell r="AB1622"/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309862</v>
          </cell>
          <cell r="P1623" t="str">
            <v>2022/210-0113-01</v>
          </cell>
          <cell r="Q1623" t="str">
            <v>EST ESPELHO DESLIZE (WALNUT MATTE) (ESPELHO PRATA)</v>
          </cell>
          <cell r="R1623"/>
          <cell r="S1623"/>
          <cell r="T1623">
            <v>0.43</v>
          </cell>
          <cell r="U1623">
            <v>0.89</v>
          </cell>
          <cell r="V1623">
            <v>0.03</v>
          </cell>
          <cell r="W1623">
            <v>0</v>
          </cell>
          <cell r="X1623" t="str">
            <v>EST ESPELHO DESLIZE (WALNUT MATTE) (ESPELHO PRATA) - 0,43x0,89x0,03H</v>
          </cell>
          <cell r="Y1623">
            <v>6265.82</v>
          </cell>
          <cell r="Z1623">
            <v>0.35</v>
          </cell>
          <cell r="AA1623">
            <v>4072.7829999999999</v>
          </cell>
          <cell r="AB1623"/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2</v>
          </cell>
          <cell r="H1624">
            <v>1</v>
          </cell>
          <cell r="O1624">
            <v>309862</v>
          </cell>
          <cell r="P1624" t="str">
            <v>2022/210-0114-01</v>
          </cell>
          <cell r="Q1624" t="str">
            <v>EST ESPELHO DESLIZE (WALNUT MATTE) (ESPELHO PRATA)</v>
          </cell>
          <cell r="R1624"/>
          <cell r="S1624"/>
          <cell r="T1624">
            <v>0.43</v>
          </cell>
          <cell r="U1624">
            <v>0.89</v>
          </cell>
          <cell r="V1624">
            <v>0.03</v>
          </cell>
          <cell r="W1624">
            <v>0</v>
          </cell>
          <cell r="X1624" t="str">
            <v>EST ESPELHO DESLIZE (WALNUT MATTE) (ESPELHO PRATA) - 0,43x0,89x0,03H</v>
          </cell>
          <cell r="Y1624">
            <v>6265.82</v>
          </cell>
          <cell r="Z1624">
            <v>0.35</v>
          </cell>
          <cell r="AA1624">
            <v>4072.7829999999999</v>
          </cell>
          <cell r="AB1624"/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2</v>
          </cell>
          <cell r="H1625">
            <v>0</v>
          </cell>
          <cell r="O1625">
            <v>334439</v>
          </cell>
          <cell r="P1625" t="str">
            <v>2022/228-0028-01</v>
          </cell>
          <cell r="Q1625" t="str">
            <v>EST POLTRONA ARRAIA (SEXT NT) (FX 30003) (WALNUT MATTE)</v>
          </cell>
          <cell r="R1625"/>
          <cell r="S1625"/>
          <cell r="T1625">
            <v>0.73</v>
          </cell>
          <cell r="U1625">
            <v>0.75</v>
          </cell>
          <cell r="V1625">
            <v>0.8</v>
          </cell>
          <cell r="W1625">
            <v>0</v>
          </cell>
          <cell r="X1625" t="str">
            <v>EST POLTRONA ARRAIA (SEXT NT) (FX 30003) (WALNUT MATTE) - 0,73x0,75x0,8H</v>
          </cell>
          <cell r="Y1625">
            <v>13010.64</v>
          </cell>
          <cell r="Z1625">
            <v>0.35</v>
          </cell>
          <cell r="AA1625">
            <v>8456.9160000000011</v>
          </cell>
          <cell r="AB1625"/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2</v>
          </cell>
          <cell r="H1626">
            <v>0</v>
          </cell>
          <cell r="O1626">
            <v>334439</v>
          </cell>
          <cell r="P1626" t="str">
            <v>2022/228-0029-01</v>
          </cell>
          <cell r="Q1626" t="str">
            <v>EST POLTRONA ARRAIA (SEXT NT) (FX 30003) (WALNUT MATTE)</v>
          </cell>
          <cell r="R1626"/>
          <cell r="S1626"/>
          <cell r="T1626">
            <v>0.73</v>
          </cell>
          <cell r="U1626">
            <v>0.75</v>
          </cell>
          <cell r="V1626">
            <v>0.8</v>
          </cell>
          <cell r="W1626">
            <v>0</v>
          </cell>
          <cell r="X1626" t="str">
            <v>EST POLTRONA ARRAIA (SEXT NT) (FX 30003) (WALNUT MATTE) - 0,73x0,75x0,8H</v>
          </cell>
          <cell r="Y1626">
            <v>13010.64</v>
          </cell>
          <cell r="Z1626">
            <v>0.35</v>
          </cell>
          <cell r="AA1626">
            <v>8456.9160000000011</v>
          </cell>
          <cell r="AB1626"/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2</v>
          </cell>
          <cell r="H1627">
            <v>0</v>
          </cell>
          <cell r="O1627">
            <v>362674</v>
          </cell>
          <cell r="P1627" t="str">
            <v>2023/087-0065-01</v>
          </cell>
          <cell r="Q1627" t="str">
            <v>EST POLTRONA MAY (BRACO MAD) (FX F50010) (TING AMENDOA)</v>
          </cell>
          <cell r="R1627"/>
          <cell r="S1627"/>
          <cell r="T1627">
            <v>0.71</v>
          </cell>
          <cell r="U1627">
            <v>0.78</v>
          </cell>
          <cell r="V1627">
            <v>0.77</v>
          </cell>
          <cell r="W1627">
            <v>0</v>
          </cell>
          <cell r="X1627" t="str">
            <v>EST POLTRONA MAY (BRACO MAD) (FX F50010) (TING AMENDOA) - 0,71x0,78x0,77H</v>
          </cell>
          <cell r="Y1627">
            <v>13349.28</v>
          </cell>
          <cell r="Z1627">
            <v>0.35</v>
          </cell>
          <cell r="AA1627">
            <v>8677.0320000000011</v>
          </cell>
          <cell r="AB1627"/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2</v>
          </cell>
          <cell r="H1628">
            <v>0</v>
          </cell>
          <cell r="O1628">
            <v>362674</v>
          </cell>
          <cell r="P1628" t="str">
            <v>2023/087-0066-01</v>
          </cell>
          <cell r="Q1628" t="str">
            <v>EST POLTRONA MAY (BRACO MAD) (FX F50010) (TING AMENDOA)</v>
          </cell>
          <cell r="R1628"/>
          <cell r="S1628"/>
          <cell r="T1628">
            <v>0.71</v>
          </cell>
          <cell r="U1628">
            <v>0.78</v>
          </cell>
          <cell r="V1628">
            <v>0.77</v>
          </cell>
          <cell r="W1628">
            <v>0</v>
          </cell>
          <cell r="X1628" t="str">
            <v>EST POLTRONA MAY (BRACO MAD) (FX F50010) (TING AMENDOA) - 0,71x0,78x0,77H</v>
          </cell>
          <cell r="Y1628">
            <v>13349.28</v>
          </cell>
          <cell r="Z1628">
            <v>0.35</v>
          </cell>
          <cell r="AA1628">
            <v>8677.0320000000011</v>
          </cell>
          <cell r="AB1628"/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6</v>
          </cell>
          <cell r="H1629">
            <v>0</v>
          </cell>
          <cell r="O1629">
            <v>373424</v>
          </cell>
          <cell r="P1629" t="str">
            <v>2023/280-0014-01</v>
          </cell>
          <cell r="Q1629" t="str">
            <v>EST CADEIRA QUERO QUERO (FX 50010) (WALNUT MATT)</v>
          </cell>
          <cell r="R1629"/>
          <cell r="S1629"/>
          <cell r="T1629">
            <v>0.49</v>
          </cell>
          <cell r="U1629">
            <v>0.54</v>
          </cell>
          <cell r="V1629">
            <v>0.8</v>
          </cell>
          <cell r="W1629">
            <v>0</v>
          </cell>
          <cell r="X1629" t="str">
            <v>EST CADEIRA QUERO QUERO (FX 50010) (WALNUT MATT) - 0,49x0,54x0,8H</v>
          </cell>
          <cell r="Y1629">
            <v>6223.93</v>
          </cell>
          <cell r="Z1629">
            <v>0.35</v>
          </cell>
          <cell r="AA1629">
            <v>4045.5545000000002</v>
          </cell>
          <cell r="AB1629"/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6</v>
          </cell>
          <cell r="H1630">
            <v>0</v>
          </cell>
          <cell r="O1630">
            <v>373424</v>
          </cell>
          <cell r="P1630" t="str">
            <v>2023/280-0016-01</v>
          </cell>
          <cell r="Q1630" t="str">
            <v>EST CADEIRA QUERO QUERO (FX 50010) (WALNUT MATT)</v>
          </cell>
          <cell r="R1630"/>
          <cell r="S1630"/>
          <cell r="T1630">
            <v>0.49</v>
          </cell>
          <cell r="U1630">
            <v>0.54</v>
          </cell>
          <cell r="V1630">
            <v>0.8</v>
          </cell>
          <cell r="W1630">
            <v>0</v>
          </cell>
          <cell r="X1630" t="str">
            <v>EST CADEIRA QUERO QUERO (FX 50010) (WALNUT MATT) - 0,49x0,54x0,8H</v>
          </cell>
          <cell r="Y1630">
            <v>6223.93</v>
          </cell>
          <cell r="Z1630">
            <v>0.35</v>
          </cell>
          <cell r="AA1630">
            <v>4045.5545000000002</v>
          </cell>
          <cell r="AB1630"/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6</v>
          </cell>
          <cell r="H1631">
            <v>0</v>
          </cell>
          <cell r="O1631">
            <v>373424</v>
          </cell>
          <cell r="P1631" t="str">
            <v>2023/280-0017-01</v>
          </cell>
          <cell r="Q1631" t="str">
            <v>EST CADEIRA QUERO QUERO (FX 50010) (WALNUT MATT)</v>
          </cell>
          <cell r="R1631"/>
          <cell r="S1631"/>
          <cell r="T1631">
            <v>0.49</v>
          </cell>
          <cell r="U1631">
            <v>0.54</v>
          </cell>
          <cell r="V1631">
            <v>0.8</v>
          </cell>
          <cell r="W1631">
            <v>0</v>
          </cell>
          <cell r="X1631" t="str">
            <v>EST CADEIRA QUERO QUERO (FX 50010) (WALNUT MATT) - 0,49x0,54x0,8H</v>
          </cell>
          <cell r="Y1631">
            <v>6223.93</v>
          </cell>
          <cell r="Z1631">
            <v>0.35</v>
          </cell>
          <cell r="AA1631">
            <v>4045.5545000000002</v>
          </cell>
          <cell r="AB1631"/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6</v>
          </cell>
          <cell r="H1632">
            <v>0</v>
          </cell>
          <cell r="O1632">
            <v>373424</v>
          </cell>
          <cell r="P1632" t="str">
            <v>2023/280-0018-01</v>
          </cell>
          <cell r="Q1632" t="str">
            <v>EST CADEIRA QUERO QUERO (FX 50010) (WALNUT MATT)</v>
          </cell>
          <cell r="R1632"/>
          <cell r="S1632"/>
          <cell r="T1632">
            <v>0.49</v>
          </cell>
          <cell r="U1632">
            <v>0.54</v>
          </cell>
          <cell r="V1632">
            <v>0.8</v>
          </cell>
          <cell r="W1632">
            <v>0</v>
          </cell>
          <cell r="X1632" t="str">
            <v>EST CADEIRA QUERO QUERO (FX 50010) (WALNUT MATT) - 0,49x0,54x0,8H</v>
          </cell>
          <cell r="Y1632">
            <v>6223.93</v>
          </cell>
          <cell r="Z1632">
            <v>0.35</v>
          </cell>
          <cell r="AA1632">
            <v>4045.5545000000002</v>
          </cell>
          <cell r="AB1632"/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6</v>
          </cell>
          <cell r="H1633">
            <v>0</v>
          </cell>
          <cell r="O1633">
            <v>373424</v>
          </cell>
          <cell r="P1633" t="str">
            <v>2023/280-0020-01</v>
          </cell>
          <cell r="Q1633" t="str">
            <v>EST CADEIRA QUERO QUERO (FX 50010) (WALNUT MATT)</v>
          </cell>
          <cell r="R1633"/>
          <cell r="S1633"/>
          <cell r="T1633">
            <v>0.49</v>
          </cell>
          <cell r="U1633">
            <v>0.54</v>
          </cell>
          <cell r="V1633">
            <v>0.8</v>
          </cell>
          <cell r="W1633">
            <v>0</v>
          </cell>
          <cell r="X1633" t="str">
            <v>EST CADEIRA QUERO QUERO (FX 50010) (WALNUT MATT) - 0,49x0,54x0,8H</v>
          </cell>
          <cell r="Y1633">
            <v>6223.93</v>
          </cell>
          <cell r="Z1633">
            <v>0.35</v>
          </cell>
          <cell r="AA1633">
            <v>4045.5545000000002</v>
          </cell>
          <cell r="AB1633"/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6</v>
          </cell>
          <cell r="H1634">
            <v>0</v>
          </cell>
          <cell r="O1634">
            <v>373424</v>
          </cell>
          <cell r="P1634" t="str">
            <v>2023/280-0021-01</v>
          </cell>
          <cell r="Q1634" t="str">
            <v>EST CADEIRA QUERO QUERO (FX 50010) (WALNUT MATT)</v>
          </cell>
          <cell r="R1634"/>
          <cell r="S1634"/>
          <cell r="T1634">
            <v>0.49</v>
          </cell>
          <cell r="U1634">
            <v>0.54</v>
          </cell>
          <cell r="V1634">
            <v>0.8</v>
          </cell>
          <cell r="W1634">
            <v>0</v>
          </cell>
          <cell r="X1634" t="str">
            <v>EST CADEIRA QUERO QUERO (FX 50010) (WALNUT MATT) - 0,49x0,54x0,8H</v>
          </cell>
          <cell r="Y1634">
            <v>6223.93</v>
          </cell>
          <cell r="Z1634">
            <v>0.35</v>
          </cell>
          <cell r="AA1634">
            <v>4045.5545000000002</v>
          </cell>
          <cell r="AB1634"/>
        </row>
        <row r="1635">
          <cell r="C1635">
            <v>1</v>
          </cell>
          <cell r="D1635">
            <v>1</v>
          </cell>
          <cell r="E1635">
            <v>1</v>
          </cell>
          <cell r="F1635">
            <v>1</v>
          </cell>
          <cell r="H1635">
            <v>0</v>
          </cell>
          <cell r="O1635">
            <v>373426</v>
          </cell>
          <cell r="P1635" t="str">
            <v>2023/280-0024-01</v>
          </cell>
          <cell r="Q1635" t="str">
            <v>EST BANQUETA BAR QUERO QUERO H65 (COURO2 2014) (NATURE MATT)</v>
          </cell>
          <cell r="R1635"/>
          <cell r="S1635"/>
          <cell r="T1635">
            <v>0.46</v>
          </cell>
          <cell r="U1635">
            <v>0.56000000000000005</v>
          </cell>
          <cell r="V1635">
            <v>0.92</v>
          </cell>
          <cell r="W1635">
            <v>0</v>
          </cell>
          <cell r="X1635" t="str">
            <v>EST BANQUETA BAR QUERO QUERO H65 (COURO2 2014) (NATURE MATT) - 0,46x0,56x0,92H</v>
          </cell>
          <cell r="Y1635">
            <v>9028.2800000000007</v>
          </cell>
          <cell r="Z1635">
            <v>0.35</v>
          </cell>
          <cell r="AA1635">
            <v>5868.3820000000005</v>
          </cell>
          <cell r="AB1635"/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1</v>
          </cell>
          <cell r="H1636">
            <v>0</v>
          </cell>
          <cell r="O1636">
            <v>374351</v>
          </cell>
          <cell r="P1636" t="str">
            <v>2024/026-0014-01</v>
          </cell>
          <cell r="Q1636" t="str">
            <v>EST ALMOFADA DECORATIVA HIMALAYA (G) (SOFT) (COURO 3001)</v>
          </cell>
          <cell r="R1636"/>
          <cell r="S1636"/>
          <cell r="T1636">
            <v>0.9</v>
          </cell>
          <cell r="U1636">
            <v>0.7</v>
          </cell>
          <cell r="V1636">
            <v>0</v>
          </cell>
          <cell r="W1636">
            <v>0</v>
          </cell>
          <cell r="X1636" t="str">
            <v>EST ALMOFADA DECORATIVA HIMALAYA (G) (SOFT) (COURO 3001) - 0,9x0,7x0H</v>
          </cell>
          <cell r="Y1636">
            <v>5536.61</v>
          </cell>
          <cell r="Z1636">
            <v>0.35</v>
          </cell>
          <cell r="AA1636">
            <v>3598.7964999999999</v>
          </cell>
          <cell r="AB1636"/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1</v>
          </cell>
          <cell r="H1637">
            <v>0</v>
          </cell>
          <cell r="O1637">
            <v>374355</v>
          </cell>
          <cell r="P1637" t="str">
            <v>2024/026-0018-01</v>
          </cell>
          <cell r="Q1637" t="str">
            <v>EST ALMOFADA DECORATIVA HIMALAYA (M) (SOFT) (COURO 3001)</v>
          </cell>
          <cell r="R1637"/>
          <cell r="S1637"/>
          <cell r="T1637">
            <v>0.7</v>
          </cell>
          <cell r="U1637">
            <v>0.7</v>
          </cell>
          <cell r="V1637">
            <v>0</v>
          </cell>
          <cell r="W1637">
            <v>0</v>
          </cell>
          <cell r="X1637" t="str">
            <v>EST ALMOFADA DECORATIVA HIMALAYA (M) (SOFT) (COURO 3001) - 0,7x0,7x0H</v>
          </cell>
          <cell r="Y1637">
            <v>4460.96</v>
          </cell>
          <cell r="Z1637">
            <v>0.35</v>
          </cell>
          <cell r="AA1637">
            <v>2899.6239999999998</v>
          </cell>
          <cell r="AB1637"/>
        </row>
        <row r="1638">
          <cell r="C1638">
            <v>1</v>
          </cell>
          <cell r="D1638">
            <v>0</v>
          </cell>
          <cell r="E1638">
            <v>0</v>
          </cell>
          <cell r="F1638">
            <v>1</v>
          </cell>
          <cell r="H1638">
            <v>0</v>
          </cell>
          <cell r="O1638">
            <v>374361</v>
          </cell>
          <cell r="P1638" t="str">
            <v>2024/026-0026-01</v>
          </cell>
          <cell r="Q1638" t="str">
            <v>EST ALMOFADA DECORATIVA HIMALAYA (P) (SOFT) FIRENZE TALLIN</v>
          </cell>
          <cell r="R1638"/>
          <cell r="S1638"/>
          <cell r="T1638">
            <v>0.5</v>
          </cell>
          <cell r="U1638">
            <v>0.33</v>
          </cell>
          <cell r="V1638">
            <v>7.0000000000000007E-2</v>
          </cell>
          <cell r="W1638">
            <v>0</v>
          </cell>
          <cell r="X1638" t="str">
            <v>EST ALMOFADA DECORATIVA HIMALAYA (P) (SOFT) FIRENZE TALLIN - 0,5x0,33x0,07H</v>
          </cell>
          <cell r="Y1638">
            <v>1695.5190000000002</v>
          </cell>
          <cell r="Z1638">
            <v>0.35</v>
          </cell>
          <cell r="AA1638">
            <v>1102.0873500000002</v>
          </cell>
          <cell r="AB1638"/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2</v>
          </cell>
          <cell r="H1639">
            <v>0</v>
          </cell>
          <cell r="O1639">
            <v>374365</v>
          </cell>
          <cell r="P1639" t="str">
            <v>2024/026-0031-01</v>
          </cell>
          <cell r="Q1639" t="str">
            <v>EST ALMOFADA DECORATIVA HIMALAYA (P) (SOFT) (C3002/DB3001)</v>
          </cell>
          <cell r="R1639"/>
          <cell r="S1639"/>
          <cell r="T1639">
            <v>0.5</v>
          </cell>
          <cell r="U1639">
            <v>0.33</v>
          </cell>
          <cell r="V1639">
            <v>7.0000000000000007E-2</v>
          </cell>
          <cell r="W1639">
            <v>0</v>
          </cell>
          <cell r="X1639" t="str">
            <v>EST ALMOFADA DECORATIVA HIMALAYA (P) (SOFT) (C3002/DB3001) - 0,5x0,33x0,07H</v>
          </cell>
          <cell r="Y1639">
            <v>2339.4839999999999</v>
          </cell>
          <cell r="Z1639">
            <v>0.35</v>
          </cell>
          <cell r="AA1639">
            <v>1520.6646000000001</v>
          </cell>
          <cell r="AB1639"/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2</v>
          </cell>
          <cell r="H1640">
            <v>0</v>
          </cell>
          <cell r="O1640">
            <v>374365</v>
          </cell>
          <cell r="P1640" t="str">
            <v>2024/026-0032-01</v>
          </cell>
          <cell r="Q1640" t="str">
            <v>EST ALMOFADA DECORATIVA HIMALAYA (P) (SOFT) (C3002/DB3001)</v>
          </cell>
          <cell r="R1640"/>
          <cell r="S1640"/>
          <cell r="T1640">
            <v>0.5</v>
          </cell>
          <cell r="U1640">
            <v>0.33</v>
          </cell>
          <cell r="V1640">
            <v>7.0000000000000007E-2</v>
          </cell>
          <cell r="W1640">
            <v>0</v>
          </cell>
          <cell r="X1640" t="str">
            <v>EST ALMOFADA DECORATIVA HIMALAYA (P) (SOFT) (C3002/DB3001) - 0,5x0,33x0,07H</v>
          </cell>
          <cell r="Y1640">
            <v>2339.4839999999999</v>
          </cell>
          <cell r="Z1640">
            <v>0.35</v>
          </cell>
          <cell r="AA1640">
            <v>1520.6646000000001</v>
          </cell>
          <cell r="AB1640"/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6</v>
          </cell>
          <cell r="H1641">
            <v>0</v>
          </cell>
          <cell r="O1641">
            <v>374366</v>
          </cell>
          <cell r="P1641" t="str">
            <v>2024/026-0033-01</v>
          </cell>
          <cell r="Q1641" t="str">
            <v>EST CADEIRA HIMALAYA C/B (CLA) (C3002/DB3001) NOG</v>
          </cell>
          <cell r="R1641"/>
          <cell r="S1641"/>
          <cell r="T1641">
            <v>0.6</v>
          </cell>
          <cell r="U1641">
            <v>0.52</v>
          </cell>
          <cell r="V1641">
            <v>0.76</v>
          </cell>
          <cell r="W1641">
            <v>0</v>
          </cell>
          <cell r="X1641" t="str">
            <v>EST CADEIRA HIMALAYA C/B (CLA) (C3002/DB3001) NOG - 0,6x0,52x0,76H</v>
          </cell>
          <cell r="Y1641">
            <v>10038.0105</v>
          </cell>
          <cell r="Z1641">
            <v>0.35</v>
          </cell>
          <cell r="AA1641">
            <v>6524.7068250000002</v>
          </cell>
          <cell r="AB1641"/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6</v>
          </cell>
          <cell r="H1642">
            <v>0</v>
          </cell>
          <cell r="O1642">
            <v>374366</v>
          </cell>
          <cell r="P1642" t="str">
            <v>2024/026-0034-01</v>
          </cell>
          <cell r="Q1642" t="str">
            <v>EST CADEIRA HIMALAYA C/B (CLA) (C3002/DB3001) NOG</v>
          </cell>
          <cell r="R1642"/>
          <cell r="S1642"/>
          <cell r="T1642">
            <v>0.6</v>
          </cell>
          <cell r="U1642">
            <v>0.52</v>
          </cell>
          <cell r="V1642">
            <v>0.76</v>
          </cell>
          <cell r="W1642">
            <v>0</v>
          </cell>
          <cell r="X1642" t="str">
            <v>EST CADEIRA HIMALAYA C/B (CLA) (C3002/DB3001) NOG - 0,6x0,52x0,76H</v>
          </cell>
          <cell r="Y1642">
            <v>10038.0105</v>
          </cell>
          <cell r="Z1642">
            <v>0.35</v>
          </cell>
          <cell r="AA1642">
            <v>6524.7068250000002</v>
          </cell>
          <cell r="AB1642"/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6</v>
          </cell>
          <cell r="H1643">
            <v>0</v>
          </cell>
          <cell r="O1643">
            <v>374366</v>
          </cell>
          <cell r="P1643" t="str">
            <v>2024/026-0035-01</v>
          </cell>
          <cell r="Q1643" t="str">
            <v>EST CADEIRA HIMALAYA C/B (CLA) (C3002/DB3001) NOG</v>
          </cell>
          <cell r="R1643"/>
          <cell r="S1643"/>
          <cell r="T1643">
            <v>0.6</v>
          </cell>
          <cell r="U1643">
            <v>0.52</v>
          </cell>
          <cell r="V1643">
            <v>0.76</v>
          </cell>
          <cell r="W1643">
            <v>0</v>
          </cell>
          <cell r="X1643" t="str">
            <v>EST CADEIRA HIMALAYA C/B (CLA) (C3002/DB3001) NOG - 0,6x0,52x0,76H</v>
          </cell>
          <cell r="Y1643">
            <v>10038.0105</v>
          </cell>
          <cell r="Z1643">
            <v>0.35</v>
          </cell>
          <cell r="AA1643">
            <v>6524.7068250000002</v>
          </cell>
          <cell r="AB1643"/>
        </row>
        <row r="1644">
          <cell r="C1644">
            <v>0</v>
          </cell>
          <cell r="D1644">
            <v>0</v>
          </cell>
          <cell r="E1644">
            <v>0</v>
          </cell>
          <cell r="F1644">
            <v>6</v>
          </cell>
          <cell r="H1644">
            <v>0</v>
          </cell>
          <cell r="O1644">
            <v>374366</v>
          </cell>
          <cell r="P1644" t="str">
            <v>2024/026-0036-01</v>
          </cell>
          <cell r="Q1644" t="str">
            <v>EST CADEIRA HIMALAYA C/B (CLA) (C3002/DB3001) NOG</v>
          </cell>
          <cell r="R1644"/>
          <cell r="S1644"/>
          <cell r="T1644">
            <v>0.6</v>
          </cell>
          <cell r="U1644">
            <v>0.52</v>
          </cell>
          <cell r="V1644">
            <v>0.76</v>
          </cell>
          <cell r="W1644">
            <v>0</v>
          </cell>
          <cell r="X1644" t="str">
            <v>EST CADEIRA HIMALAYA C/B (CLA) (C3002/DB3001) NOG - 0,6x0,52x0,76H</v>
          </cell>
          <cell r="Y1644">
            <v>10038.0105</v>
          </cell>
          <cell r="Z1644">
            <v>0.35</v>
          </cell>
          <cell r="AA1644">
            <v>6524.7068250000002</v>
          </cell>
          <cell r="AB1644"/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6</v>
          </cell>
          <cell r="H1645">
            <v>0</v>
          </cell>
          <cell r="O1645">
            <v>374366</v>
          </cell>
          <cell r="P1645" t="str">
            <v>2024/026-0037-01</v>
          </cell>
          <cell r="Q1645" t="str">
            <v>EST CADEIRA HIMALAYA C/B (CLA) (C3002/DB3001) NOG</v>
          </cell>
          <cell r="R1645"/>
          <cell r="S1645"/>
          <cell r="T1645">
            <v>0.6</v>
          </cell>
          <cell r="U1645">
            <v>0.52</v>
          </cell>
          <cell r="V1645">
            <v>0.76</v>
          </cell>
          <cell r="W1645">
            <v>0</v>
          </cell>
          <cell r="X1645" t="str">
            <v>EST CADEIRA HIMALAYA C/B (CLA) (C3002/DB3001) NOG - 0,6x0,52x0,76H</v>
          </cell>
          <cell r="Y1645">
            <v>10038.0105</v>
          </cell>
          <cell r="Z1645">
            <v>0.35</v>
          </cell>
          <cell r="AA1645">
            <v>6524.7068250000002</v>
          </cell>
          <cell r="AB1645"/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6</v>
          </cell>
          <cell r="H1646">
            <v>0</v>
          </cell>
          <cell r="O1646">
            <v>374366</v>
          </cell>
          <cell r="P1646" t="str">
            <v>2024/026-0038-01</v>
          </cell>
          <cell r="Q1646" t="str">
            <v>EST CADEIRA HIMALAYA C/B (CLA) (C3002/DB3001) NOG</v>
          </cell>
          <cell r="R1646"/>
          <cell r="S1646"/>
          <cell r="T1646">
            <v>0.6</v>
          </cell>
          <cell r="U1646">
            <v>0.52</v>
          </cell>
          <cell r="V1646">
            <v>0.76</v>
          </cell>
          <cell r="W1646">
            <v>0</v>
          </cell>
          <cell r="X1646" t="str">
            <v>EST CADEIRA HIMALAYA C/B (CLA) (C3002/DB3001) NOG - 0,6x0,52x0,76H</v>
          </cell>
          <cell r="Y1646">
            <v>10038.0105</v>
          </cell>
          <cell r="Z1646">
            <v>0.35</v>
          </cell>
          <cell r="AA1646">
            <v>6524.7068250000002</v>
          </cell>
          <cell r="AB1646"/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4</v>
          </cell>
          <cell r="H1647">
            <v>0</v>
          </cell>
          <cell r="O1647">
            <v>374367</v>
          </cell>
          <cell r="P1647" t="str">
            <v>2024/026-0039-01</v>
          </cell>
          <cell r="Q1647" t="str">
            <v>EST ALMOFADA DECORATIVA HIMALAYA (PP) (SOFT) (C3002/DB3001)</v>
          </cell>
          <cell r="R1647"/>
          <cell r="S1647"/>
          <cell r="T1647">
            <v>0.4</v>
          </cell>
          <cell r="U1647">
            <v>0.33</v>
          </cell>
          <cell r="V1647">
            <v>7.0000000000000007E-2</v>
          </cell>
          <cell r="W1647">
            <v>0</v>
          </cell>
          <cell r="X1647" t="str">
            <v>EST ALMOFADA DECORATIVA HIMALAYA (PP) (SOFT) (C3002/DB3001) - 0,4x0,33x0,07H</v>
          </cell>
          <cell r="Y1647">
            <v>2107.5284999999999</v>
          </cell>
          <cell r="Z1647">
            <v>0.35</v>
          </cell>
          <cell r="AA1647">
            <v>1369.893525</v>
          </cell>
          <cell r="AB1647"/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4</v>
          </cell>
          <cell r="H1648">
            <v>0</v>
          </cell>
          <cell r="O1648">
            <v>374367</v>
          </cell>
          <cell r="P1648" t="str">
            <v>2024/026-0040-01</v>
          </cell>
          <cell r="Q1648" t="str">
            <v>EST ALMOFADA DECORATIVA HIMALAYA (PP) (SOFT) (C3002/DB3001)</v>
          </cell>
          <cell r="R1648"/>
          <cell r="S1648"/>
          <cell r="T1648">
            <v>0.4</v>
          </cell>
          <cell r="U1648">
            <v>0.33</v>
          </cell>
          <cell r="V1648">
            <v>7.0000000000000007E-2</v>
          </cell>
          <cell r="W1648">
            <v>0</v>
          </cell>
          <cell r="X1648" t="str">
            <v>EST ALMOFADA DECORATIVA HIMALAYA (PP) (SOFT) (C3002/DB3001) - 0,4x0,33x0,07H</v>
          </cell>
          <cell r="Y1648">
            <v>2107.5284999999999</v>
          </cell>
          <cell r="Z1648">
            <v>0.35</v>
          </cell>
          <cell r="AA1648">
            <v>1369.893525</v>
          </cell>
          <cell r="AB1648"/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4</v>
          </cell>
          <cell r="H1649">
            <v>0</v>
          </cell>
          <cell r="O1649">
            <v>374367</v>
          </cell>
          <cell r="P1649" t="str">
            <v>2024/026-0041-01</v>
          </cell>
          <cell r="Q1649" t="str">
            <v>EST ALMOFADA DECORATIVA HIMALAYA (PP) (SOFT) (C3002/DB3001)</v>
          </cell>
          <cell r="R1649"/>
          <cell r="S1649"/>
          <cell r="T1649">
            <v>0.4</v>
          </cell>
          <cell r="U1649">
            <v>0.33</v>
          </cell>
          <cell r="V1649">
            <v>7.0000000000000007E-2</v>
          </cell>
          <cell r="W1649">
            <v>0</v>
          </cell>
          <cell r="X1649" t="str">
            <v>EST ALMOFADA DECORATIVA HIMALAYA (PP) (SOFT) (C3002/DB3001) - 0,4x0,33x0,07H</v>
          </cell>
          <cell r="Y1649">
            <v>2107.5284999999999</v>
          </cell>
          <cell r="Z1649">
            <v>0.35</v>
          </cell>
          <cell r="AA1649">
            <v>1369.893525</v>
          </cell>
          <cell r="AB1649"/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4</v>
          </cell>
          <cell r="H1650">
            <v>0</v>
          </cell>
          <cell r="O1650">
            <v>374367</v>
          </cell>
          <cell r="P1650" t="str">
            <v>2024/026-0042-01</v>
          </cell>
          <cell r="Q1650" t="str">
            <v>EST ALMOFADA DECORATIVA HIMALAYA (PP) (SOFT) (C3002/DB3001)</v>
          </cell>
          <cell r="R1650"/>
          <cell r="S1650"/>
          <cell r="T1650">
            <v>0.4</v>
          </cell>
          <cell r="U1650">
            <v>0.33</v>
          </cell>
          <cell r="V1650">
            <v>7.0000000000000007E-2</v>
          </cell>
          <cell r="W1650">
            <v>0</v>
          </cell>
          <cell r="X1650" t="str">
            <v>EST ALMOFADA DECORATIVA HIMALAYA (PP) (SOFT) (C3002/DB3001) - 0,4x0,33x0,07H</v>
          </cell>
          <cell r="Y1650">
            <v>2107.5284999999999</v>
          </cell>
          <cell r="Z1650">
            <v>0.35</v>
          </cell>
          <cell r="AA1650">
            <v>1369.893525</v>
          </cell>
          <cell r="AB1650"/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4</v>
          </cell>
          <cell r="H1651">
            <v>0</v>
          </cell>
          <cell r="O1651">
            <v>374367</v>
          </cell>
          <cell r="P1651" t="str">
            <v>2024/026-0043-01</v>
          </cell>
          <cell r="Q1651" t="str">
            <v>EST ALMOFADA DECORATIVA HIMALAYA (PP) (SOFT) (C3002/DB3001)</v>
          </cell>
          <cell r="R1651"/>
          <cell r="S1651"/>
          <cell r="T1651">
            <v>0.4</v>
          </cell>
          <cell r="U1651">
            <v>0.33</v>
          </cell>
          <cell r="V1651">
            <v>7.0000000000000007E-2</v>
          </cell>
          <cell r="W1651">
            <v>0</v>
          </cell>
          <cell r="X1651" t="str">
            <v>EST ALMOFADA DECORATIVA HIMALAYA (PP) (SOFT) (C3002/DB3001) - 0,4x0,33x0,07H</v>
          </cell>
          <cell r="Y1651">
            <v>2107.5284999999999</v>
          </cell>
          <cell r="Z1651">
            <v>0.35</v>
          </cell>
          <cell r="AA1651">
            <v>1369.893525</v>
          </cell>
          <cell r="AB1651"/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4</v>
          </cell>
          <cell r="H1652">
            <v>0</v>
          </cell>
          <cell r="O1652">
            <v>374367</v>
          </cell>
          <cell r="P1652" t="str">
            <v>2024/026-0044-01</v>
          </cell>
          <cell r="Q1652" t="str">
            <v>EST ALMOFADA DECORATIVA HIMALAYA (PP) (SOFT) (C3002/DB3001)</v>
          </cell>
          <cell r="R1652"/>
          <cell r="S1652"/>
          <cell r="T1652">
            <v>0.4</v>
          </cell>
          <cell r="U1652">
            <v>0.33</v>
          </cell>
          <cell r="V1652">
            <v>7.0000000000000007E-2</v>
          </cell>
          <cell r="W1652">
            <v>0</v>
          </cell>
          <cell r="X1652" t="str">
            <v>EST ALMOFADA DECORATIVA HIMALAYA (PP) (SOFT) (C3002/DB3001) - 0,4x0,33x0,07H</v>
          </cell>
          <cell r="Y1652">
            <v>2107.5284999999999</v>
          </cell>
          <cell r="Z1652">
            <v>0.35</v>
          </cell>
          <cell r="AA1652">
            <v>1369.893525</v>
          </cell>
          <cell r="AB1652"/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1</v>
          </cell>
          <cell r="H1653">
            <v>1</v>
          </cell>
          <cell r="O1653">
            <v>374368</v>
          </cell>
          <cell r="P1653" t="str">
            <v>2024/026-0046-01</v>
          </cell>
          <cell r="Q1653" t="str">
            <v>EST BANQUETA BAR HIMALAYA 75H C/BR (CON) (C3008) AMENDOA</v>
          </cell>
          <cell r="R1653"/>
          <cell r="S1653"/>
          <cell r="T1653">
            <v>0.56000000000000005</v>
          </cell>
          <cell r="U1653">
            <v>0.52</v>
          </cell>
          <cell r="V1653">
            <v>1.04</v>
          </cell>
          <cell r="W1653">
            <v>0</v>
          </cell>
          <cell r="X1653" t="str">
            <v>EST BANQUETA BAR HIMALAYA 75H C/BR (CON) (C3008) AMENDOA - 0,56x0,52x1,04H</v>
          </cell>
          <cell r="Y1653">
            <v>10607.92</v>
          </cell>
          <cell r="Z1653">
            <v>0.35</v>
          </cell>
          <cell r="AA1653">
            <v>6895.1480000000001</v>
          </cell>
          <cell r="AB1653"/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2</v>
          </cell>
          <cell r="H1654">
            <v>0</v>
          </cell>
          <cell r="O1654">
            <v>374375</v>
          </cell>
          <cell r="P1654" t="str">
            <v>2024/026-0059-01</v>
          </cell>
          <cell r="Q1654" t="str">
            <v>EST ALMOFADA DECORATIVA HIMALAYA (M) (SOFT) (COURO 3001)</v>
          </cell>
          <cell r="R1654"/>
          <cell r="S1654"/>
          <cell r="T1654">
            <v>0.7</v>
          </cell>
          <cell r="U1654">
            <v>0.7</v>
          </cell>
          <cell r="V1654">
            <v>0</v>
          </cell>
          <cell r="W1654">
            <v>0</v>
          </cell>
          <cell r="X1654" t="str">
            <v>EST ALMOFADA DECORATIVA HIMALAYA (M) (SOFT) (COURO 3001) - 0,7x0,7x0H</v>
          </cell>
          <cell r="Y1654">
            <v>4460.96</v>
          </cell>
          <cell r="Z1654">
            <v>0.35</v>
          </cell>
          <cell r="AA1654">
            <v>2899.6239999999998</v>
          </cell>
          <cell r="AB1654"/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2</v>
          </cell>
          <cell r="H1655">
            <v>0</v>
          </cell>
          <cell r="O1655">
            <v>374375</v>
          </cell>
          <cell r="P1655" t="str">
            <v>2024/026-0060-01</v>
          </cell>
          <cell r="Q1655" t="str">
            <v>EST ALMOFADA DECORATIVA HIMALAYA (M) (SOFT) (COURO 3001)</v>
          </cell>
          <cell r="R1655"/>
          <cell r="S1655"/>
          <cell r="T1655">
            <v>0.7</v>
          </cell>
          <cell r="U1655">
            <v>0.7</v>
          </cell>
          <cell r="V1655">
            <v>0</v>
          </cell>
          <cell r="W1655">
            <v>0</v>
          </cell>
          <cell r="X1655" t="str">
            <v>EST ALMOFADA DECORATIVA HIMALAYA (M) (SOFT) (COURO 3001) - 0,7x0,7x0H</v>
          </cell>
          <cell r="Y1655">
            <v>4460.96</v>
          </cell>
          <cell r="Z1655">
            <v>0.35</v>
          </cell>
          <cell r="AA1655">
            <v>2899.6239999999998</v>
          </cell>
          <cell r="AB1655"/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1</v>
          </cell>
          <cell r="H1656">
            <v>0</v>
          </cell>
          <cell r="O1656">
            <v>374376</v>
          </cell>
          <cell r="P1656" t="str">
            <v>2024/026-0061-01</v>
          </cell>
          <cell r="Q1656" t="str">
            <v>EST CHAISE HIMALAYA (RED) (CON) (FX 80009) BASE C3001</v>
          </cell>
          <cell r="R1656"/>
          <cell r="S1656"/>
          <cell r="T1656">
            <v>1.6</v>
          </cell>
          <cell r="U1656">
            <v>0</v>
          </cell>
          <cell r="V1656">
            <v>0.74</v>
          </cell>
          <cell r="W1656">
            <v>1.6</v>
          </cell>
          <cell r="X1656" t="str">
            <v>EST CHAISE HIMALAYA (RED) (CON) (FX 80009) BASE C3001 - Ø1,6x0,74H</v>
          </cell>
          <cell r="Y1656">
            <v>36425.356</v>
          </cell>
          <cell r="Z1656">
            <v>0.35</v>
          </cell>
          <cell r="AA1656">
            <v>23676.481400000001</v>
          </cell>
          <cell r="AB1656"/>
        </row>
        <row r="1657">
          <cell r="C1657">
            <v>0</v>
          </cell>
          <cell r="D1657">
            <v>0</v>
          </cell>
          <cell r="E1657">
            <v>0</v>
          </cell>
          <cell r="F1657">
            <v>2</v>
          </cell>
          <cell r="H1657">
            <v>0</v>
          </cell>
          <cell r="O1657">
            <v>374377</v>
          </cell>
          <cell r="P1657" t="str">
            <v>2024/026-0062-01</v>
          </cell>
          <cell r="Q1657" t="str">
            <v>EST POLTRONA HIMALAYA (ESTAR) (CON) NOG COURO OLD RUSTY</v>
          </cell>
          <cell r="R1657"/>
          <cell r="S1657"/>
          <cell r="T1657">
            <v>0.7</v>
          </cell>
          <cell r="U1657">
            <v>0.7</v>
          </cell>
          <cell r="V1657">
            <v>0.73</v>
          </cell>
          <cell r="W1657">
            <v>0</v>
          </cell>
          <cell r="X1657" t="str">
            <v>EST POLTRONA HIMALAYA (ESTAR) (CON) NOG COURO OLD RUSTY - 0,7x0,7x0,73H</v>
          </cell>
          <cell r="Y1657">
            <v>9534.8719999999994</v>
          </cell>
          <cell r="Z1657">
            <v>0.35</v>
          </cell>
          <cell r="AA1657">
            <v>6197.6668</v>
          </cell>
          <cell r="AB1657"/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2</v>
          </cell>
          <cell r="H1658">
            <v>0</v>
          </cell>
          <cell r="O1658">
            <v>374377</v>
          </cell>
          <cell r="P1658" t="str">
            <v>2024/026-0063-01</v>
          </cell>
          <cell r="Q1658" t="str">
            <v>EST POLTRONA HIMALAYA (ESTAR) (CON) NOG COURO OLD RUSTY</v>
          </cell>
          <cell r="R1658"/>
          <cell r="S1658"/>
          <cell r="T1658">
            <v>0.7</v>
          </cell>
          <cell r="U1658">
            <v>0.7</v>
          </cell>
          <cell r="V1658">
            <v>0.73</v>
          </cell>
          <cell r="W1658">
            <v>0</v>
          </cell>
          <cell r="X1658" t="str">
            <v>EST POLTRONA HIMALAYA (ESTAR) (CON) NOG COURO OLD RUSTY - 0,7x0,7x0,73H</v>
          </cell>
          <cell r="Y1658">
            <v>9534.8719999999994</v>
          </cell>
          <cell r="Z1658">
            <v>0.35</v>
          </cell>
          <cell r="AA1658">
            <v>6197.6668</v>
          </cell>
          <cell r="AB1658"/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2</v>
          </cell>
          <cell r="H1659">
            <v>0</v>
          </cell>
          <cell r="O1659">
            <v>374378</v>
          </cell>
          <cell r="P1659" t="str">
            <v>2024/026-0064-01</v>
          </cell>
          <cell r="Q1659" t="str">
            <v>EST ALMOFADA DECORATIVA HIMALAYA (P) (SOFT) (DB3001) OLD RUS</v>
          </cell>
          <cell r="R1659"/>
          <cell r="S1659"/>
          <cell r="T1659">
            <v>0.5</v>
          </cell>
          <cell r="U1659">
            <v>0.33</v>
          </cell>
          <cell r="V1659">
            <v>7.0000000000000007E-2</v>
          </cell>
          <cell r="W1659">
            <v>0</v>
          </cell>
          <cell r="X1659" t="str">
            <v>EST ALMOFADA DECORATIVA HIMALAYA (P) (SOFT) (DB3001) OLD RUS - 0,5x0,33x0,07H</v>
          </cell>
          <cell r="Y1659">
            <v>1695.5190000000002</v>
          </cell>
          <cell r="Z1659">
            <v>0.35</v>
          </cell>
          <cell r="AA1659">
            <v>1102.0873500000002</v>
          </cell>
          <cell r="AB1659"/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2</v>
          </cell>
          <cell r="H1660">
            <v>0</v>
          </cell>
          <cell r="O1660">
            <v>374378</v>
          </cell>
          <cell r="P1660" t="str">
            <v>2024/026-0065-01</v>
          </cell>
          <cell r="Q1660" t="str">
            <v>EST ALMOFADA DECORATIVA HIMALAYA (P) (SOFT) (DB3001) OLD RUS</v>
          </cell>
          <cell r="R1660"/>
          <cell r="S1660"/>
          <cell r="T1660">
            <v>0.5</v>
          </cell>
          <cell r="U1660">
            <v>0.33</v>
          </cell>
          <cell r="V1660">
            <v>7.0000000000000007E-2</v>
          </cell>
          <cell r="W1660">
            <v>0</v>
          </cell>
          <cell r="X1660" t="str">
            <v>EST ALMOFADA DECORATIVA HIMALAYA (P) (SOFT) (DB3001) OLD RUS - 0,5x0,33x0,07H</v>
          </cell>
          <cell r="Y1660">
            <v>1695.5190000000002</v>
          </cell>
          <cell r="Z1660">
            <v>0.35</v>
          </cell>
          <cell r="AA1660">
            <v>1102.0873500000002</v>
          </cell>
          <cell r="AB1660"/>
        </row>
        <row r="1661">
          <cell r="C1661">
            <v>4</v>
          </cell>
          <cell r="D1661">
            <v>0</v>
          </cell>
          <cell r="E1661">
            <v>0</v>
          </cell>
          <cell r="F1661">
            <v>7</v>
          </cell>
          <cell r="H1661">
            <v>0</v>
          </cell>
          <cell r="O1661">
            <v>383227</v>
          </cell>
          <cell r="P1661" t="str">
            <v>2024/093-0069-01</v>
          </cell>
          <cell r="Q1661" t="str">
            <v>EST ALMOFADA DECORATIVA HIMALAYA (G) (SOFT) TC CRAFTED GLAZE</v>
          </cell>
          <cell r="R1661"/>
          <cell r="S1661"/>
          <cell r="T1661">
            <v>0.9</v>
          </cell>
          <cell r="U1661">
            <v>0.7</v>
          </cell>
          <cell r="V1661">
            <v>0</v>
          </cell>
          <cell r="W1661">
            <v>0</v>
          </cell>
          <cell r="X1661" t="str">
            <v>EST ALMOFADA DECORATIVA HIMALAYA (G) (SOFT) TC CRAFTED GLAZE - 0,9x0,7x0H</v>
          </cell>
          <cell r="Y1661">
            <v>2915.6380600000002</v>
          </cell>
          <cell r="Z1661">
            <v>0.35</v>
          </cell>
          <cell r="AA1661">
            <v>1895.1647390000003</v>
          </cell>
          <cell r="AB1661"/>
        </row>
        <row r="1662">
          <cell r="C1662">
            <v>4</v>
          </cell>
          <cell r="D1662">
            <v>0</v>
          </cell>
          <cell r="E1662">
            <v>0</v>
          </cell>
          <cell r="F1662">
            <v>7</v>
          </cell>
          <cell r="H1662">
            <v>0</v>
          </cell>
          <cell r="O1662">
            <v>383227</v>
          </cell>
          <cell r="P1662" t="str">
            <v>2024/093-0070-01</v>
          </cell>
          <cell r="Q1662" t="str">
            <v>EST ALMOFADA DECORATIVA HIMALAYA (G) (SOFT) TC CRAFTED GLAZE</v>
          </cell>
          <cell r="R1662"/>
          <cell r="S1662"/>
          <cell r="T1662">
            <v>0.9</v>
          </cell>
          <cell r="U1662">
            <v>0.7</v>
          </cell>
          <cell r="V1662">
            <v>0</v>
          </cell>
          <cell r="W1662">
            <v>0</v>
          </cell>
          <cell r="X1662" t="str">
            <v>EST ALMOFADA DECORATIVA HIMALAYA (G) (SOFT) TC CRAFTED GLAZE - 0,9x0,7x0H</v>
          </cell>
          <cell r="Y1662">
            <v>2915.6380600000002</v>
          </cell>
          <cell r="Z1662">
            <v>0.35</v>
          </cell>
          <cell r="AA1662">
            <v>1895.1647390000003</v>
          </cell>
          <cell r="AB1662"/>
        </row>
        <row r="1663">
          <cell r="C1663">
            <v>4</v>
          </cell>
          <cell r="D1663">
            <v>0</v>
          </cell>
          <cell r="E1663">
            <v>0</v>
          </cell>
          <cell r="F1663">
            <v>7</v>
          </cell>
          <cell r="H1663">
            <v>0</v>
          </cell>
          <cell r="O1663">
            <v>383227</v>
          </cell>
          <cell r="P1663" t="str">
            <v>2024/093-0071-01</v>
          </cell>
          <cell r="Q1663" t="str">
            <v>EST ALMOFADA DECORATIVA HIMALAYA (G) (SOFT) TC CRAFTED GLAZE</v>
          </cell>
          <cell r="R1663"/>
          <cell r="S1663"/>
          <cell r="T1663">
            <v>0.9</v>
          </cell>
          <cell r="U1663">
            <v>0.7</v>
          </cell>
          <cell r="V1663">
            <v>0</v>
          </cell>
          <cell r="W1663">
            <v>0</v>
          </cell>
          <cell r="X1663" t="str">
            <v>EST ALMOFADA DECORATIVA HIMALAYA (G) (SOFT) TC CRAFTED GLAZE - 0,9x0,7x0H</v>
          </cell>
          <cell r="Y1663">
            <v>2915.6380600000002</v>
          </cell>
          <cell r="Z1663">
            <v>0.35</v>
          </cell>
          <cell r="AA1663">
            <v>1895.1647390000003</v>
          </cell>
          <cell r="AB1663"/>
        </row>
        <row r="1664">
          <cell r="C1664">
            <v>4</v>
          </cell>
          <cell r="D1664">
            <v>0</v>
          </cell>
          <cell r="E1664">
            <v>0</v>
          </cell>
          <cell r="F1664">
            <v>7</v>
          </cell>
          <cell r="H1664">
            <v>0</v>
          </cell>
          <cell r="O1664">
            <v>383227</v>
          </cell>
          <cell r="P1664" t="str">
            <v>2024/093-0072-01</v>
          </cell>
          <cell r="Q1664" t="str">
            <v>EST ALMOFADA DECORATIVA HIMALAYA (G) (SOFT) TC CRAFTED GLAZE</v>
          </cell>
          <cell r="R1664"/>
          <cell r="S1664"/>
          <cell r="T1664">
            <v>0.9</v>
          </cell>
          <cell r="U1664">
            <v>0.7</v>
          </cell>
          <cell r="V1664">
            <v>0</v>
          </cell>
          <cell r="W1664">
            <v>0</v>
          </cell>
          <cell r="X1664" t="str">
            <v>EST ALMOFADA DECORATIVA HIMALAYA (G) (SOFT) TC CRAFTED GLAZE - 0,9x0,7x0H</v>
          </cell>
          <cell r="Y1664">
            <v>2915.6380600000002</v>
          </cell>
          <cell r="Z1664">
            <v>0.35</v>
          </cell>
          <cell r="AA1664">
            <v>1895.1647390000003</v>
          </cell>
          <cell r="AB1664"/>
        </row>
        <row r="1665">
          <cell r="C1665">
            <v>4</v>
          </cell>
          <cell r="D1665">
            <v>0</v>
          </cell>
          <cell r="E1665">
            <v>0</v>
          </cell>
          <cell r="F1665">
            <v>7</v>
          </cell>
          <cell r="H1665">
            <v>0</v>
          </cell>
          <cell r="O1665">
            <v>383227</v>
          </cell>
          <cell r="P1665" t="str">
            <v>2024/093-0073-01</v>
          </cell>
          <cell r="Q1665" t="str">
            <v>EST ALMOFADA DECORATIVA HIMALAYA (G) (SOFT) TC CRAFTED GLAZE</v>
          </cell>
          <cell r="R1665"/>
          <cell r="S1665"/>
          <cell r="T1665">
            <v>0.9</v>
          </cell>
          <cell r="U1665">
            <v>0.7</v>
          </cell>
          <cell r="V1665">
            <v>0</v>
          </cell>
          <cell r="W1665">
            <v>0</v>
          </cell>
          <cell r="X1665" t="str">
            <v>EST ALMOFADA DECORATIVA HIMALAYA (G) (SOFT) TC CRAFTED GLAZE - 0,9x0,7x0H</v>
          </cell>
          <cell r="Y1665">
            <v>2915.6380600000002</v>
          </cell>
          <cell r="Z1665">
            <v>0.35</v>
          </cell>
          <cell r="AA1665">
            <v>1895.1647390000003</v>
          </cell>
          <cell r="AB1665"/>
        </row>
        <row r="1666">
          <cell r="C1666">
            <v>4</v>
          </cell>
          <cell r="D1666">
            <v>0</v>
          </cell>
          <cell r="E1666">
            <v>0</v>
          </cell>
          <cell r="F1666">
            <v>7</v>
          </cell>
          <cell r="H1666">
            <v>0</v>
          </cell>
          <cell r="O1666">
            <v>383227</v>
          </cell>
          <cell r="P1666" t="str">
            <v>2024/093-0074-01</v>
          </cell>
          <cell r="Q1666" t="str">
            <v>EST ALMOFADA DECORATIVA HIMALAYA (G) (SOFT) TC CRAFTED GLAZE</v>
          </cell>
          <cell r="R1666"/>
          <cell r="S1666"/>
          <cell r="T1666">
            <v>0.9</v>
          </cell>
          <cell r="U1666">
            <v>0.7</v>
          </cell>
          <cell r="V1666">
            <v>0</v>
          </cell>
          <cell r="W1666">
            <v>0</v>
          </cell>
          <cell r="X1666" t="str">
            <v>EST ALMOFADA DECORATIVA HIMALAYA (G) (SOFT) TC CRAFTED GLAZE - 0,9x0,7x0H</v>
          </cell>
          <cell r="Y1666">
            <v>2915.6380600000002</v>
          </cell>
          <cell r="Z1666">
            <v>0.35</v>
          </cell>
          <cell r="AA1666">
            <v>1895.1647390000003</v>
          </cell>
          <cell r="AB1666"/>
        </row>
        <row r="1667">
          <cell r="C1667">
            <v>4</v>
          </cell>
          <cell r="D1667">
            <v>0</v>
          </cell>
          <cell r="E1667">
            <v>0</v>
          </cell>
          <cell r="F1667">
            <v>7</v>
          </cell>
          <cell r="H1667">
            <v>0</v>
          </cell>
          <cell r="O1667">
            <v>383227</v>
          </cell>
          <cell r="P1667" t="str">
            <v>2024/093-0075-01</v>
          </cell>
          <cell r="Q1667" t="str">
            <v>EST ALMOFADA DECORATIVA HIMALAYA (G) (SOFT) TC CRAFTED GLAZE</v>
          </cell>
          <cell r="R1667"/>
          <cell r="S1667"/>
          <cell r="T1667">
            <v>0.9</v>
          </cell>
          <cell r="U1667">
            <v>0.7</v>
          </cell>
          <cell r="V1667">
            <v>0</v>
          </cell>
          <cell r="W1667">
            <v>0</v>
          </cell>
          <cell r="X1667" t="str">
            <v>EST ALMOFADA DECORATIVA HIMALAYA (G) (SOFT) TC CRAFTED GLAZE - 0,9x0,7x0H</v>
          </cell>
          <cell r="Y1667">
            <v>2915.6380600000002</v>
          </cell>
          <cell r="Z1667">
            <v>0.35</v>
          </cell>
          <cell r="AA1667">
            <v>1895.1647390000003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2</v>
          </cell>
          <cell r="H1668">
            <v>0</v>
          </cell>
          <cell r="O1668">
            <v>383228</v>
          </cell>
          <cell r="P1668" t="str">
            <v>2024/093-0080-01</v>
          </cell>
          <cell r="Q1668" t="str">
            <v>EST ALMOFADA DECORATIVA HIMALAYA (G) (SOFT) (TC 80009)</v>
          </cell>
          <cell r="R1668"/>
          <cell r="S1668"/>
          <cell r="T1668">
            <v>0.9</v>
          </cell>
          <cell r="U1668">
            <v>0.7</v>
          </cell>
          <cell r="V1668">
            <v>0</v>
          </cell>
          <cell r="W1668">
            <v>0</v>
          </cell>
          <cell r="X1668" t="str">
            <v>EST ALMOFADA DECORATIVA HIMALAYA (G) (SOFT) (TC 80009) - 0,9x0,7x0H</v>
          </cell>
          <cell r="Y1668">
            <v>2905.15</v>
          </cell>
          <cell r="Z1668">
            <v>0.35</v>
          </cell>
          <cell r="AA1668">
            <v>1888.3475000000001</v>
          </cell>
          <cell r="AB1668"/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2</v>
          </cell>
          <cell r="H1669">
            <v>0</v>
          </cell>
          <cell r="O1669">
            <v>383228</v>
          </cell>
          <cell r="P1669" t="str">
            <v>2024/093-0081-01</v>
          </cell>
          <cell r="Q1669" t="str">
            <v>EST ALMOFADA DECORATIVA HIMALAYA (G) (SOFT) (TC 80009)</v>
          </cell>
          <cell r="R1669"/>
          <cell r="S1669"/>
          <cell r="T1669">
            <v>0.9</v>
          </cell>
          <cell r="U1669">
            <v>0.7</v>
          </cell>
          <cell r="V1669">
            <v>0</v>
          </cell>
          <cell r="W1669">
            <v>0</v>
          </cell>
          <cell r="X1669" t="str">
            <v>EST ALMOFADA DECORATIVA HIMALAYA (G) (SOFT) (TC 80009) - 0,9x0,7x0H</v>
          </cell>
          <cell r="Y1669">
            <v>2905.15</v>
          </cell>
          <cell r="Z1669">
            <v>0.35</v>
          </cell>
          <cell r="AA1669">
            <v>1888.3475000000001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2</v>
          </cell>
          <cell r="H1670">
            <v>2</v>
          </cell>
          <cell r="O1670">
            <v>389957</v>
          </cell>
          <cell r="P1670" t="str">
            <v>2024/247-0111-01</v>
          </cell>
          <cell r="Q1670" t="str">
            <v>EST ALMOFADA DECORATIVA HIMALAYA (G) TC KEEPSAKE TAUPE</v>
          </cell>
          <cell r="R1670"/>
          <cell r="S1670"/>
          <cell r="T1670">
            <v>0.9</v>
          </cell>
          <cell r="U1670">
            <v>0.7</v>
          </cell>
          <cell r="V1670">
            <v>0</v>
          </cell>
          <cell r="W1670">
            <v>0</v>
          </cell>
          <cell r="X1670" t="str">
            <v>EST ALMOFADA DECORATIVA HIMALAYA (G) TC KEEPSAKE TAUPE - 0,9x0,7x0H</v>
          </cell>
          <cell r="Y1670">
            <v>2778.5439400000005</v>
          </cell>
          <cell r="Z1670">
            <v>0.35</v>
          </cell>
          <cell r="AA1670">
            <v>1806.0535610000004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2</v>
          </cell>
          <cell r="H1671">
            <v>2</v>
          </cell>
          <cell r="O1671">
            <v>389957</v>
          </cell>
          <cell r="P1671" t="str">
            <v>2024/247-0112-01</v>
          </cell>
          <cell r="Q1671" t="str">
            <v>EST ALMOFADA DECORATIVA HIMALAYA (G) TC KEEPSAKE TAUPE</v>
          </cell>
          <cell r="R1671"/>
          <cell r="S1671"/>
          <cell r="T1671">
            <v>0.9</v>
          </cell>
          <cell r="U1671">
            <v>0.7</v>
          </cell>
          <cell r="V1671">
            <v>0</v>
          </cell>
          <cell r="W1671">
            <v>0</v>
          </cell>
          <cell r="X1671" t="str">
            <v>EST ALMOFADA DECORATIVA HIMALAYA (G) TC KEEPSAKE TAUPE - 0,9x0,7x0H</v>
          </cell>
          <cell r="Y1671">
            <v>2778.5439400000005</v>
          </cell>
          <cell r="Z1671">
            <v>0.35</v>
          </cell>
          <cell r="AA1671">
            <v>1806.0535610000004</v>
          </cell>
          <cell r="AB1671"/>
        </row>
        <row r="1672">
          <cell r="C1672">
            <v>2</v>
          </cell>
          <cell r="D1672">
            <v>0</v>
          </cell>
          <cell r="E1672">
            <v>0</v>
          </cell>
          <cell r="F1672">
            <v>0</v>
          </cell>
          <cell r="H1672">
            <v>0</v>
          </cell>
          <cell r="O1672">
            <v>402444</v>
          </cell>
          <cell r="P1672" t="str">
            <v>2025/105-0009-01</v>
          </cell>
          <cell r="Q1672" t="str">
            <v>EST MESA LATERAL PIN (NATURE MATT) (DET PINT CORTEN)</v>
          </cell>
          <cell r="R1672"/>
          <cell r="S1672"/>
          <cell r="T1672">
            <v>0.35</v>
          </cell>
          <cell r="U1672">
            <v>0</v>
          </cell>
          <cell r="V1672">
            <v>0.52</v>
          </cell>
          <cell r="W1672">
            <v>0.35</v>
          </cell>
          <cell r="X1672" t="str">
            <v>EST MESA LATERAL PIN (NATURE MATT) (DET PINT CORTEN) - Ø0,35x0,52H</v>
          </cell>
          <cell r="Y1672">
            <v>5384.51</v>
          </cell>
          <cell r="Z1672">
            <v>0.35</v>
          </cell>
          <cell r="AA1672">
            <v>3499.9315000000006</v>
          </cell>
          <cell r="AB1672"/>
        </row>
        <row r="1673">
          <cell r="C1673">
            <v>2</v>
          </cell>
          <cell r="D1673">
            <v>0</v>
          </cell>
          <cell r="E1673">
            <v>0</v>
          </cell>
          <cell r="F1673">
            <v>0</v>
          </cell>
          <cell r="H1673">
            <v>0</v>
          </cell>
          <cell r="O1673">
            <v>402444</v>
          </cell>
          <cell r="P1673" t="str">
            <v>2025/105-0010-01</v>
          </cell>
          <cell r="Q1673" t="str">
            <v>EST MESA LATERAL PIN (NATURE MATT) (DET PINT CORTEN)</v>
          </cell>
          <cell r="R1673"/>
          <cell r="S1673"/>
          <cell r="T1673">
            <v>0.35</v>
          </cell>
          <cell r="U1673">
            <v>0</v>
          </cell>
          <cell r="V1673">
            <v>0.52</v>
          </cell>
          <cell r="W1673">
            <v>0.35</v>
          </cell>
          <cell r="X1673" t="str">
            <v>EST MESA LATERAL PIN (NATURE MATT) (DET PINT CORTEN) - Ø0,35x0,52H</v>
          </cell>
          <cell r="Y1673">
            <v>5384.51</v>
          </cell>
          <cell r="Z1673">
            <v>0.35</v>
          </cell>
          <cell r="AA1673">
            <v>3499.9315000000006</v>
          </cell>
          <cell r="AB1673"/>
        </row>
        <row r="1674">
          <cell r="C1674">
            <v>0</v>
          </cell>
          <cell r="D1674">
            <v>0</v>
          </cell>
          <cell r="E1674">
            <v>1</v>
          </cell>
          <cell r="F1674">
            <v>1</v>
          </cell>
          <cell r="H1674">
            <v>0</v>
          </cell>
          <cell r="O1674">
            <v>405717</v>
          </cell>
          <cell r="P1674" t="str">
            <v>2025/154-0087-01</v>
          </cell>
          <cell r="Q1674" t="str">
            <v>EST MESA LATERAL COLOMBINA (MARCHETARIA) WALNUT MATT</v>
          </cell>
          <cell r="R1674"/>
          <cell r="S1674"/>
          <cell r="T1674">
            <v>0.51</v>
          </cell>
          <cell r="U1674">
            <v>0.51</v>
          </cell>
          <cell r="V1674">
            <v>0.43</v>
          </cell>
          <cell r="W1674">
            <v>0</v>
          </cell>
          <cell r="X1674" t="str">
            <v>EST MESA LATERAL COLOMBINA (MARCHETARIA) WALNUT MATT - 0,51x0,51x0,43H</v>
          </cell>
          <cell r="Y1674">
            <v>5270.09</v>
          </cell>
          <cell r="Z1674">
            <v>0.35</v>
          </cell>
          <cell r="AA1674">
            <v>3425.5585000000001</v>
          </cell>
          <cell r="AB1674"/>
        </row>
        <row r="1675">
          <cell r="C1675">
            <v>0</v>
          </cell>
          <cell r="D1675">
            <v>0</v>
          </cell>
          <cell r="E1675">
            <v>1</v>
          </cell>
          <cell r="F1675">
            <v>1</v>
          </cell>
          <cell r="H1675">
            <v>0</v>
          </cell>
          <cell r="O1675">
            <v>405719</v>
          </cell>
          <cell r="P1675" t="str">
            <v>2025/154-0091-01</v>
          </cell>
          <cell r="Q1675" t="str">
            <v>EST MESA LATERAL COLOMBINA (MARCHETARIA) WALNUT MATT</v>
          </cell>
          <cell r="R1675"/>
          <cell r="S1675"/>
          <cell r="T1675">
            <v>0.61</v>
          </cell>
          <cell r="U1675">
            <v>0.61</v>
          </cell>
          <cell r="V1675">
            <v>0.5</v>
          </cell>
          <cell r="W1675">
            <v>0</v>
          </cell>
          <cell r="X1675" t="str">
            <v>EST MESA LATERAL COLOMBINA (MARCHETARIA) WALNUT MATT - 0,61x0,61x0,5H</v>
          </cell>
          <cell r="Y1675">
            <v>5651.61</v>
          </cell>
          <cell r="Z1675">
            <v>0.35</v>
          </cell>
          <cell r="AA1675">
            <v>3673.5464999999999</v>
          </cell>
          <cell r="AB1675"/>
        </row>
        <row r="1676">
          <cell r="C1676">
            <v>0</v>
          </cell>
          <cell r="D1676">
            <v>0</v>
          </cell>
          <cell r="E1676">
            <v>1</v>
          </cell>
          <cell r="F1676">
            <v>1</v>
          </cell>
          <cell r="H1676">
            <v>0</v>
          </cell>
          <cell r="O1676">
            <v>405725</v>
          </cell>
          <cell r="P1676" t="str">
            <v>2025/154-0102-01</v>
          </cell>
          <cell r="Q1676" t="str">
            <v>EST MESA LATERAL SATELITE (NATURE MATT) PINT CORTEN</v>
          </cell>
          <cell r="R1676"/>
          <cell r="S1676"/>
          <cell r="T1676">
            <v>0.41</v>
          </cell>
          <cell r="U1676">
            <v>0.27</v>
          </cell>
          <cell r="V1676">
            <v>0.35</v>
          </cell>
          <cell r="W1676">
            <v>0</v>
          </cell>
          <cell r="X1676" t="str">
            <v>EST MESA LATERAL SATELITE (NATURE MATT) PINT CORTEN - 0,41x0,27x0,35H</v>
          </cell>
          <cell r="Y1676">
            <v>4597.6000000000004</v>
          </cell>
          <cell r="Z1676">
            <v>0.35</v>
          </cell>
          <cell r="AA1676">
            <v>2988.4400000000005</v>
          </cell>
          <cell r="AB1676"/>
        </row>
        <row r="1677">
          <cell r="C1677">
            <v>0</v>
          </cell>
          <cell r="D1677">
            <v>0</v>
          </cell>
          <cell r="E1677">
            <v>1</v>
          </cell>
          <cell r="F1677">
            <v>1</v>
          </cell>
          <cell r="H1677">
            <v>0</v>
          </cell>
          <cell r="O1677">
            <v>405727</v>
          </cell>
          <cell r="P1677" t="str">
            <v>2025/154-0105-01</v>
          </cell>
          <cell r="Q1677" t="str">
            <v>EST MESA LATERAL SATELITE (NATURE MATT) PINT CORTEN</v>
          </cell>
          <cell r="R1677"/>
          <cell r="S1677"/>
          <cell r="T1677">
            <v>0.41</v>
          </cell>
          <cell r="U1677">
            <v>0.27</v>
          </cell>
          <cell r="V1677">
            <v>0.5</v>
          </cell>
          <cell r="W1677">
            <v>0</v>
          </cell>
          <cell r="X1677" t="str">
            <v>EST MESA LATERAL SATELITE (NATURE MATT) PINT CORTEN - 0,41x0,27x0,5H</v>
          </cell>
          <cell r="Y1677">
            <v>4831.28</v>
          </cell>
          <cell r="Z1677">
            <v>0.35</v>
          </cell>
          <cell r="AA1677">
            <v>3140.3319999999999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2</v>
          </cell>
          <cell r="H1678">
            <v>0</v>
          </cell>
          <cell r="O1678">
            <v>373423</v>
          </cell>
          <cell r="P1678" t="str">
            <v>2023/280-0012-01</v>
          </cell>
          <cell r="Q1678" t="str">
            <v>EST CADEIRA QUERO QUERO C/BR (FX 50010) (CORTEN) (WALNUT M)</v>
          </cell>
          <cell r="R1678"/>
          <cell r="S1678"/>
          <cell r="T1678">
            <v>0.61</v>
          </cell>
          <cell r="U1678">
            <v>0.54</v>
          </cell>
          <cell r="V1678">
            <v>0.8</v>
          </cell>
          <cell r="W1678">
            <v>0</v>
          </cell>
          <cell r="X1678" t="str">
            <v>EST CADEIRA QUERO QUERO C/BR (FX 50010) (CORTEN) (WALNUT M) - 0,61x0,54x0,8H</v>
          </cell>
          <cell r="Y1678">
            <v>7759.63</v>
          </cell>
          <cell r="Z1678">
            <v>0.35</v>
          </cell>
          <cell r="AA1678">
            <v>5043.7595000000001</v>
          </cell>
          <cell r="AB1678"/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2</v>
          </cell>
          <cell r="H1679">
            <v>0</v>
          </cell>
          <cell r="O1679">
            <v>373423</v>
          </cell>
          <cell r="P1679" t="str">
            <v>2023/280-0013-01</v>
          </cell>
          <cell r="Q1679" t="str">
            <v>EST CADEIRA QUERO QUERO C/BR (FX 50010) (CORTEN) (WALNUT M)</v>
          </cell>
          <cell r="R1679"/>
          <cell r="S1679"/>
          <cell r="T1679">
            <v>0.61</v>
          </cell>
          <cell r="U1679">
            <v>0.54</v>
          </cell>
          <cell r="V1679">
            <v>0.8</v>
          </cell>
          <cell r="W1679">
            <v>0</v>
          </cell>
          <cell r="X1679" t="str">
            <v>EST CADEIRA QUERO QUERO C/BR (FX 50010) (CORTEN) (WALNUT M) - 0,61x0,54x0,8H</v>
          </cell>
          <cell r="Y1679">
            <v>7759.63</v>
          </cell>
          <cell r="Z1679">
            <v>0.35</v>
          </cell>
          <cell r="AA1679">
            <v>5043.7595000000001</v>
          </cell>
          <cell r="AB1679"/>
        </row>
        <row r="1680">
          <cell r="C1680">
            <v>0</v>
          </cell>
          <cell r="D1680">
            <v>1</v>
          </cell>
          <cell r="E1680">
            <v>0</v>
          </cell>
          <cell r="F1680">
            <v>0</v>
          </cell>
          <cell r="H1680">
            <v>0</v>
          </cell>
          <cell r="O1680">
            <v>217688</v>
          </cell>
          <cell r="P1680" t="str">
            <v>2018/068-0036-01</v>
          </cell>
          <cell r="Q1680" t="str">
            <v>EST MESA CENTRO IPANEMA (LAM NOGAL NT C/CRIS SYLCK 1050)</v>
          </cell>
          <cell r="R1680"/>
          <cell r="S1680"/>
          <cell r="T1680">
            <v>0.9</v>
          </cell>
          <cell r="U1680">
            <v>0</v>
          </cell>
          <cell r="V1680">
            <v>0.35</v>
          </cell>
          <cell r="W1680">
            <v>0.9</v>
          </cell>
          <cell r="X1680" t="str">
            <v>EST MESA CENTRO IPANEMA (LAM NOGAL NT C/CRIS SYLCK 1050) - Ø0,9x0,35H</v>
          </cell>
          <cell r="Y1680">
            <v>11331.85</v>
          </cell>
          <cell r="Z1680">
            <v>0.35</v>
          </cell>
          <cell r="AA1680">
            <v>7365.7025000000003</v>
          </cell>
          <cell r="AB1680"/>
        </row>
        <row r="1681">
          <cell r="C1681">
            <v>0</v>
          </cell>
          <cell r="D1681">
            <v>1</v>
          </cell>
          <cell r="E1681">
            <v>0</v>
          </cell>
          <cell r="F1681">
            <v>0</v>
          </cell>
          <cell r="H1681">
            <v>0</v>
          </cell>
          <cell r="O1681">
            <v>271346</v>
          </cell>
          <cell r="P1681" t="str">
            <v>2021/068-0160-01</v>
          </cell>
          <cell r="Q1681" t="str">
            <v>EST BANQUETA SAN BLAS (FIXA) (FX 5377) (TING CASTANHO)</v>
          </cell>
          <cell r="R1681"/>
          <cell r="S1681"/>
          <cell r="T1681">
            <v>0.67</v>
          </cell>
          <cell r="U1681">
            <v>0.52</v>
          </cell>
          <cell r="V1681">
            <v>0.42</v>
          </cell>
          <cell r="W1681">
            <v>0</v>
          </cell>
          <cell r="X1681" t="str">
            <v>EST BANQUETA SAN BLAS (FIXA) (FX 5377) (TING CASTANHO) - 0,67x0,52x0,42H</v>
          </cell>
          <cell r="Y1681">
            <v>4187.46</v>
          </cell>
          <cell r="Z1681">
            <v>0.35</v>
          </cell>
          <cell r="AA1681">
            <v>2721.8490000000002</v>
          </cell>
          <cell r="AB1681"/>
        </row>
        <row r="1682">
          <cell r="C1682">
            <v>0</v>
          </cell>
          <cell r="D1682">
            <v>1</v>
          </cell>
          <cell r="E1682">
            <v>0</v>
          </cell>
          <cell r="F1682">
            <v>0</v>
          </cell>
          <cell r="H1682">
            <v>0</v>
          </cell>
          <cell r="O1682">
            <v>271347</v>
          </cell>
          <cell r="P1682" t="str">
            <v>2021/068-0161-01</v>
          </cell>
          <cell r="Q1682" t="str">
            <v>EST POLTRONA SAN BLAS (FIXA) (FX 5377/5352) (TING CASTANHO)</v>
          </cell>
          <cell r="R1682"/>
          <cell r="S1682"/>
          <cell r="T1682">
            <v>0.8</v>
          </cell>
          <cell r="U1682">
            <v>0.88</v>
          </cell>
          <cell r="V1682">
            <v>1</v>
          </cell>
          <cell r="W1682">
            <v>0</v>
          </cell>
          <cell r="X1682" t="str">
            <v>EST POLTRONA SAN BLAS (FIXA) (FX 5377/5352) (TING CASTANHO) - 0,8x0,88x1H</v>
          </cell>
          <cell r="Y1682">
            <v>13745.13</v>
          </cell>
          <cell r="Z1682">
            <v>0.35</v>
          </cell>
          <cell r="AA1682">
            <v>8934.3345000000008</v>
          </cell>
          <cell r="AB1682"/>
        </row>
        <row r="1683">
          <cell r="C1683">
            <v>0</v>
          </cell>
          <cell r="D1683">
            <v>1</v>
          </cell>
          <cell r="E1683">
            <v>0</v>
          </cell>
          <cell r="F1683">
            <v>0</v>
          </cell>
          <cell r="H1683">
            <v>0</v>
          </cell>
          <cell r="O1683">
            <v>273386</v>
          </cell>
          <cell r="P1683" t="str">
            <v>2021/061-0116-01</v>
          </cell>
          <cell r="Q1683" t="str">
            <v>EST MESA CENTRO IPANEMA (LAM NOGAL NT)</v>
          </cell>
          <cell r="R1683"/>
          <cell r="S1683"/>
          <cell r="T1683">
            <v>1.3</v>
          </cell>
          <cell r="U1683">
            <v>0.6</v>
          </cell>
          <cell r="V1683">
            <v>0.38</v>
          </cell>
          <cell r="W1683">
            <v>0</v>
          </cell>
          <cell r="X1683" t="str">
            <v>EST MESA CENTRO IPANEMA (LAM NOGAL NT) - 1,3x0,6x0,38H</v>
          </cell>
          <cell r="Y1683">
            <v>7850.26</v>
          </cell>
          <cell r="Z1683">
            <v>0.35</v>
          </cell>
          <cell r="AA1683">
            <v>5102.6689999999999</v>
          </cell>
          <cell r="AB1683"/>
        </row>
        <row r="1684">
          <cell r="C1684">
            <v>0</v>
          </cell>
          <cell r="D1684">
            <v>4</v>
          </cell>
          <cell r="E1684">
            <v>0</v>
          </cell>
          <cell r="F1684">
            <v>0</v>
          </cell>
          <cell r="H1684">
            <v>0</v>
          </cell>
          <cell r="O1684">
            <v>300080</v>
          </cell>
          <cell r="P1684" t="str">
            <v>2021/302-0015-01</v>
          </cell>
          <cell r="Q1684" t="str">
            <v>EST ESPELHO DESLIZE (BLACK GLOSS) (ESPELHO PRATA)</v>
          </cell>
          <cell r="R1684"/>
          <cell r="S1684"/>
          <cell r="T1684">
            <v>0.43</v>
          </cell>
          <cell r="U1684">
            <v>0.89</v>
          </cell>
          <cell r="V1684">
            <v>0.03</v>
          </cell>
          <cell r="W1684">
            <v>0</v>
          </cell>
          <cell r="X1684" t="str">
            <v>EST ESPELHO DESLIZE (BLACK GLOSS) (ESPELHO PRATA) - 0,43x0,89x0,03H</v>
          </cell>
          <cell r="Y1684">
            <v>6265.82</v>
          </cell>
          <cell r="Z1684">
            <v>0.35</v>
          </cell>
          <cell r="AA1684">
            <v>4072.7829999999999</v>
          </cell>
          <cell r="AB1684"/>
        </row>
        <row r="1685">
          <cell r="C1685">
            <v>0</v>
          </cell>
          <cell r="D1685">
            <v>4</v>
          </cell>
          <cell r="E1685">
            <v>0</v>
          </cell>
          <cell r="F1685">
            <v>0</v>
          </cell>
          <cell r="H1685">
            <v>0</v>
          </cell>
          <cell r="O1685">
            <v>300080</v>
          </cell>
          <cell r="P1685" t="str">
            <v>2021/302-0016-01</v>
          </cell>
          <cell r="Q1685" t="str">
            <v>EST ESPELHO DESLIZE (BLACK GLOSS) (ESPELHO PRATA)</v>
          </cell>
          <cell r="R1685"/>
          <cell r="S1685"/>
          <cell r="T1685">
            <v>0.43</v>
          </cell>
          <cell r="U1685">
            <v>0.89</v>
          </cell>
          <cell r="V1685">
            <v>0.03</v>
          </cell>
          <cell r="W1685">
            <v>0</v>
          </cell>
          <cell r="X1685" t="str">
            <v>EST ESPELHO DESLIZE (BLACK GLOSS) (ESPELHO PRATA) - 0,43x0,89x0,03H</v>
          </cell>
          <cell r="Y1685">
            <v>6265.82</v>
          </cell>
          <cell r="Z1685">
            <v>0.35</v>
          </cell>
          <cell r="AA1685">
            <v>4072.7829999999999</v>
          </cell>
          <cell r="AB1685"/>
        </row>
        <row r="1686">
          <cell r="C1686">
            <v>0</v>
          </cell>
          <cell r="D1686">
            <v>4</v>
          </cell>
          <cell r="E1686">
            <v>0</v>
          </cell>
          <cell r="F1686">
            <v>0</v>
          </cell>
          <cell r="H1686">
            <v>0</v>
          </cell>
          <cell r="O1686">
            <v>300080</v>
          </cell>
          <cell r="P1686" t="str">
            <v>2021/302-0017-01</v>
          </cell>
          <cell r="Q1686" t="str">
            <v>EST ESPELHO DESLIZE (BLACK GLOSS) (ESPELHO PRATA)</v>
          </cell>
          <cell r="R1686"/>
          <cell r="S1686"/>
          <cell r="T1686">
            <v>0.43</v>
          </cell>
          <cell r="U1686">
            <v>0.89</v>
          </cell>
          <cell r="V1686">
            <v>0.03</v>
          </cell>
          <cell r="W1686">
            <v>0</v>
          </cell>
          <cell r="X1686" t="str">
            <v>EST ESPELHO DESLIZE (BLACK GLOSS) (ESPELHO PRATA) - 0,43x0,89x0,03H</v>
          </cell>
          <cell r="Y1686">
            <v>6265.82</v>
          </cell>
          <cell r="Z1686">
            <v>0.35</v>
          </cell>
          <cell r="AA1686">
            <v>4072.7829999999999</v>
          </cell>
          <cell r="AB1686"/>
        </row>
        <row r="1687">
          <cell r="C1687">
            <v>0</v>
          </cell>
          <cell r="D1687">
            <v>4</v>
          </cell>
          <cell r="E1687">
            <v>0</v>
          </cell>
          <cell r="F1687">
            <v>0</v>
          </cell>
          <cell r="H1687">
            <v>0</v>
          </cell>
          <cell r="O1687">
            <v>300080</v>
          </cell>
          <cell r="P1687" t="str">
            <v>2021/302-0018-01</v>
          </cell>
          <cell r="Q1687" t="str">
            <v>EST ESPELHO DESLIZE (BLACK GLOSS) (ESPELHO PRATA)</v>
          </cell>
          <cell r="R1687"/>
          <cell r="S1687"/>
          <cell r="T1687">
            <v>0.43</v>
          </cell>
          <cell r="U1687">
            <v>0.89</v>
          </cell>
          <cell r="V1687">
            <v>0.03</v>
          </cell>
          <cell r="W1687">
            <v>0</v>
          </cell>
          <cell r="X1687" t="str">
            <v>EST ESPELHO DESLIZE (BLACK GLOSS) (ESPELHO PRATA) - 0,43x0,89x0,03H</v>
          </cell>
          <cell r="Y1687">
            <v>6265.82</v>
          </cell>
          <cell r="Z1687">
            <v>0.35</v>
          </cell>
          <cell r="AA1687">
            <v>4072.7829999999999</v>
          </cell>
          <cell r="AB1687"/>
        </row>
        <row r="1688">
          <cell r="C1688">
            <v>0</v>
          </cell>
          <cell r="D1688">
            <v>2</v>
          </cell>
          <cell r="E1688">
            <v>0</v>
          </cell>
          <cell r="F1688">
            <v>0</v>
          </cell>
          <cell r="H1688">
            <v>0</v>
          </cell>
          <cell r="O1688">
            <v>331796</v>
          </cell>
          <cell r="P1688" t="str">
            <v>2022/221-0020-01</v>
          </cell>
          <cell r="Q1688" t="str">
            <v>EST POLTRONA MAY (BRACO ESTOF) (ALTAMIRA 907) (TING AMENDOA)</v>
          </cell>
          <cell r="R1688"/>
          <cell r="S1688"/>
          <cell r="T1688">
            <v>0.71</v>
          </cell>
          <cell r="U1688">
            <v>0.78</v>
          </cell>
          <cell r="V1688">
            <v>0.77</v>
          </cell>
          <cell r="W1688">
            <v>0</v>
          </cell>
          <cell r="X1688" t="str">
            <v>EST POLTRONA MAY (BRACO ESTOF) (ALTAMIRA 907) (TING AMENDOA) - 0,71x0,78x0,77H</v>
          </cell>
          <cell r="Y1688">
            <v>14152.42</v>
          </cell>
          <cell r="Z1688">
            <v>0.35</v>
          </cell>
          <cell r="AA1688">
            <v>9199.0730000000003</v>
          </cell>
          <cell r="AB1688"/>
        </row>
        <row r="1689">
          <cell r="C1689">
            <v>0</v>
          </cell>
          <cell r="D1689">
            <v>2</v>
          </cell>
          <cell r="E1689">
            <v>0</v>
          </cell>
          <cell r="F1689">
            <v>0</v>
          </cell>
          <cell r="H1689">
            <v>0</v>
          </cell>
          <cell r="O1689">
            <v>331796</v>
          </cell>
          <cell r="P1689" t="str">
            <v>2022/263-0046-01</v>
          </cell>
          <cell r="Q1689" t="str">
            <v>EST POLTRONA MAY (BRACO ESTOF) (ALTAMIRA 907) (TING AMENDOA)</v>
          </cell>
          <cell r="R1689"/>
          <cell r="S1689"/>
          <cell r="T1689">
            <v>0.71</v>
          </cell>
          <cell r="U1689">
            <v>0.78</v>
          </cell>
          <cell r="V1689">
            <v>0.77</v>
          </cell>
          <cell r="W1689">
            <v>0</v>
          </cell>
          <cell r="X1689" t="str">
            <v>EST POLTRONA MAY (BRACO ESTOF) (ALTAMIRA 907) (TING AMENDOA) - 0,71x0,78x0,77H</v>
          </cell>
          <cell r="Y1689">
            <v>14152.42</v>
          </cell>
          <cell r="Z1689">
            <v>0.35</v>
          </cell>
          <cell r="AA1689">
            <v>9199.0730000000003</v>
          </cell>
          <cell r="AB1689"/>
        </row>
        <row r="1690">
          <cell r="C1690">
            <v>1</v>
          </cell>
          <cell r="D1690">
            <v>1</v>
          </cell>
          <cell r="E1690">
            <v>0</v>
          </cell>
          <cell r="F1690">
            <v>0</v>
          </cell>
          <cell r="H1690">
            <v>2</v>
          </cell>
          <cell r="O1690">
            <v>361520</v>
          </cell>
          <cell r="P1690" t="str">
            <v>2023/041-0018-01</v>
          </cell>
          <cell r="Q1690" t="str">
            <v>EST BANQUETA BAR MELIZA H75 (GIR) (FX 60004) (TING NOGAL)</v>
          </cell>
          <cell r="R1690"/>
          <cell r="S1690"/>
          <cell r="T1690">
            <v>0.5</v>
          </cell>
          <cell r="U1690">
            <v>0.6</v>
          </cell>
          <cell r="V1690">
            <v>0.99</v>
          </cell>
          <cell r="W1690">
            <v>0</v>
          </cell>
          <cell r="X1690" t="str">
            <v>EST BANQUETA BAR MELIZA H75 (GIR) (FX 60004) (TING NOGAL) - 0,5x0,6x0,99H</v>
          </cell>
          <cell r="Y1690">
            <v>6882.09</v>
          </cell>
          <cell r="Z1690">
            <v>0.35</v>
          </cell>
          <cell r="AA1690">
            <v>4473.3585000000003</v>
          </cell>
          <cell r="AB1690"/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H1691">
            <v>1</v>
          </cell>
          <cell r="O1691">
            <v>371340</v>
          </cell>
          <cell r="P1691" t="str">
            <v>2023/234-0090-01</v>
          </cell>
          <cell r="Q1691" t="str">
            <v>EST CADEIRA QUERO QUERO (COURO 2 2016) (NATURE MATT)</v>
          </cell>
          <cell r="R1691"/>
          <cell r="S1691"/>
          <cell r="T1691">
            <v>0.49</v>
          </cell>
          <cell r="U1691">
            <v>0.54</v>
          </cell>
          <cell r="V1691">
            <v>0.8</v>
          </cell>
          <cell r="W1691">
            <v>0</v>
          </cell>
          <cell r="X1691" t="str">
            <v>EST CADEIRA QUERO QUERO (COURO 2 2016) (NATURE MATT) - 0,49x0,54x0,8H</v>
          </cell>
          <cell r="Y1691">
            <v>7735.8</v>
          </cell>
          <cell r="Z1691">
            <v>0.35</v>
          </cell>
          <cell r="AA1691">
            <v>5028.2700000000004</v>
          </cell>
          <cell r="AB1691"/>
        </row>
        <row r="1692">
          <cell r="C1692">
            <v>1</v>
          </cell>
          <cell r="D1692">
            <v>1</v>
          </cell>
          <cell r="E1692">
            <v>1</v>
          </cell>
          <cell r="F1692">
            <v>1</v>
          </cell>
          <cell r="H1692">
            <v>0</v>
          </cell>
          <cell r="O1692">
            <v>373426</v>
          </cell>
          <cell r="P1692" t="str">
            <v>2023/280-0023-01</v>
          </cell>
          <cell r="Q1692" t="str">
            <v>EST BANQUETA BAR QUERO QUERO H65 (COURO2 2014) (NATURE MATT)</v>
          </cell>
          <cell r="R1692"/>
          <cell r="S1692"/>
          <cell r="T1692">
            <v>0.46</v>
          </cell>
          <cell r="U1692">
            <v>0.56000000000000005</v>
          </cell>
          <cell r="V1692">
            <v>0.92</v>
          </cell>
          <cell r="W1692">
            <v>0</v>
          </cell>
          <cell r="X1692" t="str">
            <v>EST BANQUETA BAR QUERO QUERO H65 (COURO2 2014) (NATURE MATT) - 0,46x0,56x0,92H</v>
          </cell>
          <cell r="Y1692">
            <v>9028.2800000000007</v>
          </cell>
          <cell r="Z1692">
            <v>0.35</v>
          </cell>
          <cell r="AA1692">
            <v>5868.3820000000005</v>
          </cell>
          <cell r="AB1692"/>
        </row>
        <row r="1693"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H1693">
            <v>1</v>
          </cell>
          <cell r="O1693">
            <v>374363</v>
          </cell>
          <cell r="P1693" t="str">
            <v>2024/026-0028-01</v>
          </cell>
          <cell r="Q1693" t="str">
            <v>EST MODULO CHAISE ESQ HIMALAYA (CON) TC PET 01</v>
          </cell>
          <cell r="R1693"/>
          <cell r="S1693"/>
          <cell r="T1693">
            <v>1.1499999999999999</v>
          </cell>
          <cell r="U1693">
            <v>1.7</v>
          </cell>
          <cell r="V1693">
            <v>0.74</v>
          </cell>
          <cell r="W1693">
            <v>0</v>
          </cell>
          <cell r="X1693" t="str">
            <v>EST MODULO CHAISE ESQ HIMALAYA (CON) TC PET 01 - 1,15x1,7x0,74H</v>
          </cell>
          <cell r="Y1693">
            <v>35590.46</v>
          </cell>
          <cell r="Z1693">
            <v>0.35</v>
          </cell>
          <cell r="AA1693">
            <v>23133.798999999999</v>
          </cell>
          <cell r="AB1693"/>
        </row>
        <row r="1694">
          <cell r="C1694">
            <v>0</v>
          </cell>
          <cell r="D1694">
            <v>6</v>
          </cell>
          <cell r="E1694">
            <v>0</v>
          </cell>
          <cell r="F1694">
            <v>0</v>
          </cell>
          <cell r="H1694">
            <v>0</v>
          </cell>
          <cell r="O1694">
            <v>374387</v>
          </cell>
          <cell r="P1694" t="str">
            <v>2024/080-0001-01</v>
          </cell>
          <cell r="Q1694" t="str">
            <v>EST CADEIRA HIMALAYA C/B (CON) (TC 80006) NOG</v>
          </cell>
          <cell r="R1694"/>
          <cell r="S1694"/>
          <cell r="T1694">
            <v>0.6</v>
          </cell>
          <cell r="U1694">
            <v>0.52</v>
          </cell>
          <cell r="V1694">
            <v>0.76</v>
          </cell>
          <cell r="W1694">
            <v>0</v>
          </cell>
          <cell r="X1694" t="str">
            <v>EST CADEIRA HIMALAYA C/B (CON) (TC 80006) NOG - 0,6x0,52x0,76H</v>
          </cell>
          <cell r="Y1694">
            <v>7464.13</v>
          </cell>
          <cell r="Z1694">
            <v>0.35</v>
          </cell>
          <cell r="AA1694">
            <v>4851.6845000000003</v>
          </cell>
          <cell r="AB1694"/>
        </row>
        <row r="1695">
          <cell r="C1695">
            <v>0</v>
          </cell>
          <cell r="D1695">
            <v>6</v>
          </cell>
          <cell r="E1695">
            <v>0</v>
          </cell>
          <cell r="F1695">
            <v>0</v>
          </cell>
          <cell r="H1695">
            <v>0</v>
          </cell>
          <cell r="O1695">
            <v>374387</v>
          </cell>
          <cell r="P1695" t="str">
            <v>2024/080-0002-01</v>
          </cell>
          <cell r="Q1695" t="str">
            <v>EST CADEIRA HIMALAYA C/B (CON) (TC 80006) NOG</v>
          </cell>
          <cell r="R1695"/>
          <cell r="S1695"/>
          <cell r="T1695">
            <v>0.6</v>
          </cell>
          <cell r="U1695">
            <v>0.52</v>
          </cell>
          <cell r="V1695">
            <v>0.76</v>
          </cell>
          <cell r="W1695">
            <v>0</v>
          </cell>
          <cell r="X1695" t="str">
            <v>EST CADEIRA HIMALAYA C/B (CON) (TC 80006) NOG - 0,6x0,52x0,76H</v>
          </cell>
          <cell r="Y1695">
            <v>7464.13</v>
          </cell>
          <cell r="Z1695">
            <v>0.35</v>
          </cell>
          <cell r="AA1695">
            <v>4851.6845000000003</v>
          </cell>
          <cell r="AB1695"/>
        </row>
        <row r="1696">
          <cell r="C1696">
            <v>0</v>
          </cell>
          <cell r="D1696">
            <v>6</v>
          </cell>
          <cell r="E1696">
            <v>0</v>
          </cell>
          <cell r="F1696">
            <v>0</v>
          </cell>
          <cell r="H1696">
            <v>0</v>
          </cell>
          <cell r="O1696">
            <v>374387</v>
          </cell>
          <cell r="P1696" t="str">
            <v>2024/080-0003-01</v>
          </cell>
          <cell r="Q1696" t="str">
            <v>EST CADEIRA HIMALAYA C/B (CON) (TC 80006) NOG</v>
          </cell>
          <cell r="R1696"/>
          <cell r="S1696"/>
          <cell r="T1696">
            <v>0.6</v>
          </cell>
          <cell r="U1696">
            <v>0.52</v>
          </cell>
          <cell r="V1696">
            <v>0.76</v>
          </cell>
          <cell r="W1696">
            <v>0</v>
          </cell>
          <cell r="X1696" t="str">
            <v>EST CADEIRA HIMALAYA C/B (CON) (TC 80006) NOG - 0,6x0,52x0,76H</v>
          </cell>
          <cell r="Y1696">
            <v>7464.13</v>
          </cell>
          <cell r="Z1696">
            <v>0.35</v>
          </cell>
          <cell r="AA1696">
            <v>4851.6845000000003</v>
          </cell>
          <cell r="AB1696"/>
        </row>
        <row r="1697">
          <cell r="C1697">
            <v>0</v>
          </cell>
          <cell r="D1697">
            <v>6</v>
          </cell>
          <cell r="E1697">
            <v>0</v>
          </cell>
          <cell r="F1697">
            <v>0</v>
          </cell>
          <cell r="H1697">
            <v>0</v>
          </cell>
          <cell r="O1697">
            <v>374387</v>
          </cell>
          <cell r="P1697" t="str">
            <v>2024/080-0004-01</v>
          </cell>
          <cell r="Q1697" t="str">
            <v>EST CADEIRA HIMALAYA C/B (CON) (TC 80006) NOG</v>
          </cell>
          <cell r="R1697"/>
          <cell r="S1697"/>
          <cell r="T1697">
            <v>0.6</v>
          </cell>
          <cell r="U1697">
            <v>0.52</v>
          </cell>
          <cell r="V1697">
            <v>0.76</v>
          </cell>
          <cell r="W1697">
            <v>0</v>
          </cell>
          <cell r="X1697" t="str">
            <v>EST CADEIRA HIMALAYA C/B (CON) (TC 80006) NOG - 0,6x0,52x0,76H</v>
          </cell>
          <cell r="Y1697">
            <v>7464.13</v>
          </cell>
          <cell r="Z1697">
            <v>0.35</v>
          </cell>
          <cell r="AA1697">
            <v>4851.6845000000003</v>
          </cell>
          <cell r="AB1697"/>
        </row>
        <row r="1698">
          <cell r="C1698">
            <v>0</v>
          </cell>
          <cell r="D1698">
            <v>6</v>
          </cell>
          <cell r="E1698">
            <v>0</v>
          </cell>
          <cell r="F1698">
            <v>0</v>
          </cell>
          <cell r="H1698">
            <v>0</v>
          </cell>
          <cell r="O1698">
            <v>374387</v>
          </cell>
          <cell r="P1698" t="str">
            <v>2024/080-0005-01</v>
          </cell>
          <cell r="Q1698" t="str">
            <v>EST CADEIRA HIMALAYA C/B (CON) (TC 80006) NOG</v>
          </cell>
          <cell r="R1698"/>
          <cell r="S1698"/>
          <cell r="T1698">
            <v>0.6</v>
          </cell>
          <cell r="U1698">
            <v>0.52</v>
          </cell>
          <cell r="V1698">
            <v>0.76</v>
          </cell>
          <cell r="W1698">
            <v>0</v>
          </cell>
          <cell r="X1698" t="str">
            <v>EST CADEIRA HIMALAYA C/B (CON) (TC 80006) NOG - 0,6x0,52x0,76H</v>
          </cell>
          <cell r="Y1698">
            <v>7464.13</v>
          </cell>
          <cell r="Z1698">
            <v>0.35</v>
          </cell>
          <cell r="AA1698">
            <v>4851.6845000000003</v>
          </cell>
          <cell r="AB1698"/>
        </row>
        <row r="1699">
          <cell r="C1699">
            <v>0</v>
          </cell>
          <cell r="D1699">
            <v>6</v>
          </cell>
          <cell r="E1699">
            <v>0</v>
          </cell>
          <cell r="F1699">
            <v>0</v>
          </cell>
          <cell r="H1699">
            <v>0</v>
          </cell>
          <cell r="O1699">
            <v>374387</v>
          </cell>
          <cell r="P1699" t="str">
            <v>2024/080-0006-01</v>
          </cell>
          <cell r="Q1699" t="str">
            <v>EST CADEIRA HIMALAYA C/B (CON) (TC 80006) NOG</v>
          </cell>
          <cell r="R1699"/>
          <cell r="S1699"/>
          <cell r="T1699">
            <v>0.6</v>
          </cell>
          <cell r="U1699">
            <v>0.52</v>
          </cell>
          <cell r="V1699">
            <v>0.76</v>
          </cell>
          <cell r="W1699">
            <v>0</v>
          </cell>
          <cell r="X1699" t="str">
            <v>EST CADEIRA HIMALAYA C/B (CON) (TC 80006) NOG - 0,6x0,52x0,76H</v>
          </cell>
          <cell r="Y1699">
            <v>7464.13</v>
          </cell>
          <cell r="Z1699">
            <v>0.35</v>
          </cell>
          <cell r="AA1699">
            <v>4851.6845000000003</v>
          </cell>
          <cell r="AB1699"/>
        </row>
        <row r="1700">
          <cell r="C1700">
            <v>0</v>
          </cell>
          <cell r="D1700">
            <v>3</v>
          </cell>
          <cell r="E1700">
            <v>0</v>
          </cell>
          <cell r="F1700">
            <v>0</v>
          </cell>
          <cell r="H1700">
            <v>0</v>
          </cell>
          <cell r="O1700">
            <v>374388</v>
          </cell>
          <cell r="P1700" t="str">
            <v>2024/080-0007-01</v>
          </cell>
          <cell r="Q1700" t="str">
            <v>EST ALMOFADA DECORATIVA HIMALAYA (PP) (SOFT) (80006/DB80006)</v>
          </cell>
          <cell r="R1700"/>
          <cell r="S1700"/>
          <cell r="T1700">
            <v>0.4</v>
          </cell>
          <cell r="U1700">
            <v>0.33</v>
          </cell>
          <cell r="V1700">
            <v>7.0000000000000007E-2</v>
          </cell>
          <cell r="W1700">
            <v>0</v>
          </cell>
          <cell r="X1700" t="str">
            <v>EST ALMOFADA DECORATIVA HIMALAYA (PP) (SOFT) (80006/DB80006) - 0,4x0,33x0,07H</v>
          </cell>
          <cell r="Y1700">
            <v>1137.5423000000001</v>
          </cell>
          <cell r="Z1700">
            <v>0.35</v>
          </cell>
          <cell r="AA1700">
            <v>739.40249500000004</v>
          </cell>
          <cell r="AB1700"/>
        </row>
        <row r="1701">
          <cell r="C1701">
            <v>0</v>
          </cell>
          <cell r="D1701">
            <v>3</v>
          </cell>
          <cell r="E1701">
            <v>0</v>
          </cell>
          <cell r="F1701">
            <v>0</v>
          </cell>
          <cell r="H1701">
            <v>0</v>
          </cell>
          <cell r="O1701">
            <v>374388</v>
          </cell>
          <cell r="P1701" t="str">
            <v>2024/080-0008-01</v>
          </cell>
          <cell r="Q1701" t="str">
            <v>EST ALMOFADA DECORATIVA HIMALAYA (PP) (SOFT) (80006/DB80006)</v>
          </cell>
          <cell r="R1701"/>
          <cell r="S1701"/>
          <cell r="T1701">
            <v>0.4</v>
          </cell>
          <cell r="U1701">
            <v>0.33</v>
          </cell>
          <cell r="V1701">
            <v>7.0000000000000007E-2</v>
          </cell>
          <cell r="W1701">
            <v>0</v>
          </cell>
          <cell r="X1701" t="str">
            <v>EST ALMOFADA DECORATIVA HIMALAYA (PP) (SOFT) (80006/DB80006) - 0,4x0,33x0,07H</v>
          </cell>
          <cell r="Y1701">
            <v>1137.5423000000001</v>
          </cell>
          <cell r="Z1701">
            <v>0.35</v>
          </cell>
          <cell r="AA1701">
            <v>739.40249500000004</v>
          </cell>
          <cell r="AB1701"/>
        </row>
        <row r="1702">
          <cell r="C1702">
            <v>0</v>
          </cell>
          <cell r="D1702">
            <v>3</v>
          </cell>
          <cell r="E1702">
            <v>0</v>
          </cell>
          <cell r="F1702">
            <v>0</v>
          </cell>
          <cell r="H1702">
            <v>0</v>
          </cell>
          <cell r="O1702">
            <v>374388</v>
          </cell>
          <cell r="P1702" t="str">
            <v>2024/080-0009-01</v>
          </cell>
          <cell r="Q1702" t="str">
            <v>EST ALMOFADA DECORATIVA HIMALAYA (PP) (SOFT) (80006/DB80006)</v>
          </cell>
          <cell r="R1702"/>
          <cell r="S1702"/>
          <cell r="T1702">
            <v>0.4</v>
          </cell>
          <cell r="U1702">
            <v>0.33</v>
          </cell>
          <cell r="V1702">
            <v>7.0000000000000007E-2</v>
          </cell>
          <cell r="W1702">
            <v>0</v>
          </cell>
          <cell r="X1702" t="str">
            <v>EST ALMOFADA DECORATIVA HIMALAYA (PP) (SOFT) (80006/DB80006) - 0,4x0,33x0,07H</v>
          </cell>
          <cell r="Y1702">
            <v>1137.5423000000001</v>
          </cell>
          <cell r="Z1702">
            <v>0.35</v>
          </cell>
          <cell r="AA1702">
            <v>739.40249500000004</v>
          </cell>
          <cell r="AB1702"/>
        </row>
        <row r="1703">
          <cell r="C1703">
            <v>2</v>
          </cell>
          <cell r="D1703">
            <v>2</v>
          </cell>
          <cell r="E1703">
            <v>0</v>
          </cell>
          <cell r="F1703">
            <v>0</v>
          </cell>
          <cell r="H1703">
            <v>0</v>
          </cell>
          <cell r="O1703">
            <v>378925</v>
          </cell>
          <cell r="P1703" t="str">
            <v>2024/065-0086-01</v>
          </cell>
          <cell r="Q1703" t="str">
            <v>EST MESA CENTRO HIMALAYA VITRINE (CLEAR) (LAM2 PFERRO) NOGAL</v>
          </cell>
          <cell r="R1703"/>
          <cell r="S1703"/>
          <cell r="T1703">
            <v>0.9</v>
          </cell>
          <cell r="U1703">
            <v>0.9</v>
          </cell>
          <cell r="V1703">
            <v>0.3</v>
          </cell>
          <cell r="W1703">
            <v>0</v>
          </cell>
          <cell r="X1703" t="str">
            <v>EST MESA CENTRO HIMALAYA VITRINE (CLEAR) (LAM2 PFERRO) NOGAL - 0,9x0,9x0,3H</v>
          </cell>
          <cell r="Y1703">
            <v>31947.37</v>
          </cell>
          <cell r="Z1703">
            <v>0.35</v>
          </cell>
          <cell r="AA1703">
            <v>20765.790499999999</v>
          </cell>
          <cell r="AB1703"/>
        </row>
        <row r="1704">
          <cell r="C1704">
            <v>2</v>
          </cell>
          <cell r="D1704">
            <v>2</v>
          </cell>
          <cell r="E1704">
            <v>0</v>
          </cell>
          <cell r="F1704">
            <v>0</v>
          </cell>
          <cell r="H1704">
            <v>0</v>
          </cell>
          <cell r="O1704">
            <v>378925</v>
          </cell>
          <cell r="P1704" t="str">
            <v>2024/065-0089-01</v>
          </cell>
          <cell r="Q1704" t="str">
            <v>EST MESA CENTRO HIMALAYA VITRINE (CLEAR) (LAM2 PFERRO) NOGAL</v>
          </cell>
          <cell r="R1704"/>
          <cell r="S1704"/>
          <cell r="T1704">
            <v>0.9</v>
          </cell>
          <cell r="U1704">
            <v>0.9</v>
          </cell>
          <cell r="V1704">
            <v>0.3</v>
          </cell>
          <cell r="W1704">
            <v>0</v>
          </cell>
          <cell r="X1704" t="str">
            <v>EST MESA CENTRO HIMALAYA VITRINE (CLEAR) (LAM2 PFERRO) NOGAL - 0,9x0,9x0,3H</v>
          </cell>
          <cell r="Y1704">
            <v>31947.37</v>
          </cell>
          <cell r="Z1704">
            <v>0.35</v>
          </cell>
          <cell r="AA1704">
            <v>20765.790499999999</v>
          </cell>
          <cell r="AB1704"/>
        </row>
        <row r="1705">
          <cell r="C1705">
            <v>0</v>
          </cell>
          <cell r="D1705">
            <v>2</v>
          </cell>
          <cell r="E1705">
            <v>0</v>
          </cell>
          <cell r="F1705">
            <v>0</v>
          </cell>
          <cell r="H1705">
            <v>0</v>
          </cell>
          <cell r="O1705">
            <v>379555</v>
          </cell>
          <cell r="P1705" t="str">
            <v>2024/080-0014-01</v>
          </cell>
          <cell r="Q1705" t="str">
            <v>EST POLTRONA HIMALAYA (JANTAR) (CLA) (80006/DB80006) NOG</v>
          </cell>
          <cell r="R1705"/>
          <cell r="S1705"/>
          <cell r="T1705">
            <v>0.7</v>
          </cell>
          <cell r="U1705">
            <v>0.7</v>
          </cell>
          <cell r="V1705">
            <v>0.76</v>
          </cell>
          <cell r="W1705">
            <v>0</v>
          </cell>
          <cell r="X1705" t="str">
            <v>EST POLTRONA HIMALAYA (JANTAR) (CLA) (80006/DB80006) NOG - 0,7x0,7x0,76H</v>
          </cell>
          <cell r="Y1705">
            <v>9526.0167999999994</v>
          </cell>
          <cell r="Z1705">
            <v>0.35</v>
          </cell>
          <cell r="AA1705">
            <v>6191.9109200000003</v>
          </cell>
          <cell r="AB1705"/>
        </row>
        <row r="1706">
          <cell r="C1706">
            <v>0</v>
          </cell>
          <cell r="D1706">
            <v>2</v>
          </cell>
          <cell r="E1706">
            <v>0</v>
          </cell>
          <cell r="F1706">
            <v>0</v>
          </cell>
          <cell r="H1706">
            <v>0</v>
          </cell>
          <cell r="O1706">
            <v>379555</v>
          </cell>
          <cell r="P1706" t="str">
            <v>2024/080-0015-01</v>
          </cell>
          <cell r="Q1706" t="str">
            <v>EST POLTRONA HIMALAYA (JANTAR) (CLA) (80006/DB80006) NOG</v>
          </cell>
          <cell r="R1706"/>
          <cell r="S1706"/>
          <cell r="T1706">
            <v>0.7</v>
          </cell>
          <cell r="U1706">
            <v>0.7</v>
          </cell>
          <cell r="V1706">
            <v>0.76</v>
          </cell>
          <cell r="W1706">
            <v>0</v>
          </cell>
          <cell r="X1706" t="str">
            <v>EST POLTRONA HIMALAYA (JANTAR) (CLA) (80006/DB80006) NOG - 0,7x0,7x0,76H</v>
          </cell>
          <cell r="Y1706">
            <v>9526.0167999999994</v>
          </cell>
          <cell r="Z1706">
            <v>0.35</v>
          </cell>
          <cell r="AA1706">
            <v>6191.9109200000003</v>
          </cell>
          <cell r="AB1706"/>
        </row>
        <row r="1707">
          <cell r="C1707">
            <v>0</v>
          </cell>
          <cell r="D1707">
            <v>2</v>
          </cell>
          <cell r="E1707">
            <v>0</v>
          </cell>
          <cell r="F1707">
            <v>0</v>
          </cell>
          <cell r="H1707">
            <v>0</v>
          </cell>
          <cell r="O1707">
            <v>379556</v>
          </cell>
          <cell r="P1707" t="str">
            <v>2024/080-0016-01</v>
          </cell>
          <cell r="Q1707" t="str">
            <v>EST ALMOFADA DECORATIVA HIMALAYA (P) (TC 80006/DB80006)</v>
          </cell>
          <cell r="R1707"/>
          <cell r="S1707"/>
          <cell r="T1707">
            <v>0.5</v>
          </cell>
          <cell r="U1707">
            <v>0.33</v>
          </cell>
          <cell r="V1707">
            <v>7.0000000000000007E-2</v>
          </cell>
          <cell r="W1707">
            <v>0</v>
          </cell>
          <cell r="X1707" t="str">
            <v>EST ALMOFADA DECORATIVA HIMALAYA (P) (TC 80006/DB80006) - 0,5x0,33x0,07H</v>
          </cell>
          <cell r="Y1707">
            <v>1266.1480999999999</v>
          </cell>
          <cell r="Z1707">
            <v>0.35</v>
          </cell>
          <cell r="AA1707">
            <v>822.99626499999999</v>
          </cell>
          <cell r="AB1707"/>
        </row>
        <row r="1708">
          <cell r="C1708">
            <v>0</v>
          </cell>
          <cell r="D1708">
            <v>2</v>
          </cell>
          <cell r="E1708">
            <v>0</v>
          </cell>
          <cell r="F1708">
            <v>0</v>
          </cell>
          <cell r="H1708">
            <v>0</v>
          </cell>
          <cell r="O1708">
            <v>379556</v>
          </cell>
          <cell r="P1708" t="str">
            <v>2024/080-0017-01</v>
          </cell>
          <cell r="Q1708" t="str">
            <v>EST ALMOFADA DECORATIVA HIMALAYA (P) (TC 80006/DB80006)</v>
          </cell>
          <cell r="R1708"/>
          <cell r="S1708"/>
          <cell r="T1708">
            <v>0.5</v>
          </cell>
          <cell r="U1708">
            <v>0.33</v>
          </cell>
          <cell r="V1708">
            <v>7.0000000000000007E-2</v>
          </cell>
          <cell r="W1708">
            <v>0</v>
          </cell>
          <cell r="X1708" t="str">
            <v>EST ALMOFADA DECORATIVA HIMALAYA (P) (TC 80006/DB80006) - 0,5x0,33x0,07H</v>
          </cell>
          <cell r="Y1708">
            <v>1266.1480999999999</v>
          </cell>
          <cell r="Z1708">
            <v>0.35</v>
          </cell>
          <cell r="AA1708">
            <v>822.99626499999999</v>
          </cell>
          <cell r="AB1708"/>
        </row>
        <row r="1709">
          <cell r="C1709">
            <v>0</v>
          </cell>
          <cell r="D1709">
            <v>0</v>
          </cell>
          <cell r="E1709">
            <v>2</v>
          </cell>
          <cell r="F1709">
            <v>0</v>
          </cell>
          <cell r="H1709">
            <v>2</v>
          </cell>
          <cell r="O1709">
            <v>383215</v>
          </cell>
          <cell r="P1709" t="str">
            <v>2024/093-0068-01</v>
          </cell>
          <cell r="Q1709" t="str">
            <v>EST ALMOFADA DECORATIVA HIMALAYA (G) (SOFT) (FX PET 01)</v>
          </cell>
          <cell r="R1709"/>
          <cell r="S1709"/>
          <cell r="T1709">
            <v>0.9</v>
          </cell>
          <cell r="U1709">
            <v>0.7</v>
          </cell>
          <cell r="V1709">
            <v>0</v>
          </cell>
          <cell r="W1709">
            <v>0</v>
          </cell>
          <cell r="X1709" t="str">
            <v>EST ALMOFADA DECORATIVA HIMALAYA (G) (SOFT) (FX PET 01) - 0,9x0,7x0H</v>
          </cell>
          <cell r="Y1709">
            <v>4907.53</v>
          </cell>
          <cell r="Z1709">
            <v>0.35</v>
          </cell>
          <cell r="AA1709">
            <v>3189.8944999999999</v>
          </cell>
          <cell r="AB1709"/>
        </row>
        <row r="1710">
          <cell r="C1710">
            <v>0</v>
          </cell>
          <cell r="D1710">
            <v>2</v>
          </cell>
          <cell r="E1710">
            <v>0</v>
          </cell>
          <cell r="F1710">
            <v>0</v>
          </cell>
          <cell r="H1710">
            <v>0</v>
          </cell>
          <cell r="O1710">
            <v>388603</v>
          </cell>
          <cell r="P1710" t="str">
            <v>2024/227-0010-01</v>
          </cell>
          <cell r="Q1710" t="str">
            <v>EST POLTRONA ARRAIA (TELA SEXT NT) (FX 40033) (NAT MATT)</v>
          </cell>
          <cell r="R1710"/>
          <cell r="S1710"/>
          <cell r="T1710">
            <v>0.73</v>
          </cell>
          <cell r="U1710">
            <v>0.75</v>
          </cell>
          <cell r="V1710">
            <v>0.8</v>
          </cell>
          <cell r="W1710">
            <v>0</v>
          </cell>
          <cell r="X1710" t="str">
            <v>EST POLTRONA ARRAIA (TELA SEXT NT) (FX 40033) (NAT MATT) - 0,73x0,75x0,8H</v>
          </cell>
          <cell r="Y1710">
            <v>13172.77</v>
          </cell>
          <cell r="Z1710">
            <v>0.35</v>
          </cell>
          <cell r="AA1710">
            <v>8562.3005000000012</v>
          </cell>
          <cell r="AB1710"/>
        </row>
        <row r="1711">
          <cell r="C1711">
            <v>0</v>
          </cell>
          <cell r="D1711">
            <v>2</v>
          </cell>
          <cell r="E1711">
            <v>0</v>
          </cell>
          <cell r="F1711">
            <v>0</v>
          </cell>
          <cell r="H1711">
            <v>0</v>
          </cell>
          <cell r="O1711">
            <v>388603</v>
          </cell>
          <cell r="P1711" t="str">
            <v>2024/227-0011-01</v>
          </cell>
          <cell r="Q1711" t="str">
            <v>EST POLTRONA ARRAIA (TELA SEXT NT) (FX 40033) (NAT MATT)</v>
          </cell>
          <cell r="R1711"/>
          <cell r="S1711"/>
          <cell r="T1711">
            <v>0.73</v>
          </cell>
          <cell r="U1711">
            <v>0.75</v>
          </cell>
          <cell r="V1711">
            <v>0.8</v>
          </cell>
          <cell r="W1711">
            <v>0</v>
          </cell>
          <cell r="X1711" t="str">
            <v>EST POLTRONA ARRAIA (TELA SEXT NT) (FX 40033) (NAT MATT) - 0,73x0,75x0,8H</v>
          </cell>
          <cell r="Y1711">
            <v>13172.77</v>
          </cell>
          <cell r="Z1711">
            <v>0.35</v>
          </cell>
          <cell r="AA1711">
            <v>8562.3005000000012</v>
          </cell>
          <cell r="AB1711"/>
        </row>
        <row r="1712">
          <cell r="C1712">
            <v>1</v>
          </cell>
          <cell r="D1712">
            <v>0</v>
          </cell>
          <cell r="E1712">
            <v>0</v>
          </cell>
          <cell r="F1712">
            <v>2</v>
          </cell>
          <cell r="H1712">
            <v>2</v>
          </cell>
          <cell r="O1712">
            <v>389957</v>
          </cell>
          <cell r="P1712" t="str">
            <v>2024/247-0110-01</v>
          </cell>
          <cell r="Q1712" t="str">
            <v>EST ALMOFADA DECORATIVA HIMALAYA (G) TC KEEPSAKE TAUPE</v>
          </cell>
          <cell r="R1712"/>
          <cell r="S1712"/>
          <cell r="T1712">
            <v>0.9</v>
          </cell>
          <cell r="U1712">
            <v>0.7</v>
          </cell>
          <cell r="V1712">
            <v>0</v>
          </cell>
          <cell r="W1712">
            <v>0</v>
          </cell>
          <cell r="X1712" t="str">
            <v>EST ALMOFADA DECORATIVA HIMALAYA (G) TC KEEPSAKE TAUPE - 0,9x0,7x0H</v>
          </cell>
          <cell r="Y1712">
            <v>2778.5439400000005</v>
          </cell>
          <cell r="Z1712">
            <v>0.35</v>
          </cell>
          <cell r="AA1712">
            <v>1806.0535610000004</v>
          </cell>
          <cell r="AB1712"/>
        </row>
        <row r="1713">
          <cell r="C1713">
            <v>0</v>
          </cell>
          <cell r="D1713">
            <v>1</v>
          </cell>
          <cell r="E1713">
            <v>0</v>
          </cell>
          <cell r="F1713">
            <v>0</v>
          </cell>
          <cell r="H1713">
            <v>0</v>
          </cell>
          <cell r="O1713">
            <v>400490</v>
          </cell>
          <cell r="P1713" t="str">
            <v>2025/014-0053-01</v>
          </cell>
          <cell r="Q1713" t="str">
            <v>EST MESA LATERAL PIN (NATURE MATT) (DET PINT CORTEN)</v>
          </cell>
          <cell r="R1713"/>
          <cell r="S1713"/>
          <cell r="T1713">
            <v>0.35</v>
          </cell>
          <cell r="U1713">
            <v>0</v>
          </cell>
          <cell r="V1713">
            <v>0.52</v>
          </cell>
          <cell r="W1713">
            <v>0.35</v>
          </cell>
          <cell r="X1713" t="str">
            <v>EST MESA LATERAL PIN (NATURE MATT) (DET PINT CORTEN) - Ø0,35x0,52H</v>
          </cell>
          <cell r="Y1713">
            <v>5384.51</v>
          </cell>
          <cell r="Z1713">
            <v>0.35</v>
          </cell>
          <cell r="AA1713">
            <v>3499.9315000000006</v>
          </cell>
          <cell r="AB1713"/>
        </row>
        <row r="1714">
          <cell r="C1714">
            <v>1</v>
          </cell>
          <cell r="D1714">
            <v>1</v>
          </cell>
          <cell r="E1714">
            <v>0</v>
          </cell>
          <cell r="F1714">
            <v>0</v>
          </cell>
          <cell r="H1714">
            <v>0</v>
          </cell>
          <cell r="O1714">
            <v>405718</v>
          </cell>
          <cell r="P1714" t="str">
            <v>2025/154-0089-01</v>
          </cell>
          <cell r="Q1714" t="str">
            <v>EST MESA LATERAL COLOMBINA (TAMPO MARCHETARIA) NATURE MATT</v>
          </cell>
          <cell r="R1714"/>
          <cell r="S1714"/>
          <cell r="T1714">
            <v>0.51</v>
          </cell>
          <cell r="U1714">
            <v>0.51</v>
          </cell>
          <cell r="V1714">
            <v>0.43</v>
          </cell>
          <cell r="W1714">
            <v>0</v>
          </cell>
          <cell r="X1714" t="str">
            <v>EST MESA LATERAL COLOMBINA (TAMPO MARCHETARIA) NATURE MATT - 0,51x0,51x0,43H</v>
          </cell>
          <cell r="Y1714">
            <v>5270.09</v>
          </cell>
          <cell r="Z1714">
            <v>0.35</v>
          </cell>
          <cell r="AA1714">
            <v>3425.5585000000001</v>
          </cell>
          <cell r="AB1714"/>
        </row>
        <row r="1715">
          <cell r="C1715">
            <v>1</v>
          </cell>
          <cell r="D1715">
            <v>1</v>
          </cell>
          <cell r="E1715">
            <v>0</v>
          </cell>
          <cell r="F1715">
            <v>0</v>
          </cell>
          <cell r="H1715">
            <v>0</v>
          </cell>
          <cell r="O1715">
            <v>405720</v>
          </cell>
          <cell r="P1715" t="str">
            <v>2025/154-0094-01</v>
          </cell>
          <cell r="Q1715" t="str">
            <v>EST MESA LATERAL COLOMBINA (TAMPO MARCHETARIA) NATURE MATT</v>
          </cell>
          <cell r="R1715"/>
          <cell r="S1715"/>
          <cell r="T1715">
            <v>0.61</v>
          </cell>
          <cell r="U1715">
            <v>0.61</v>
          </cell>
          <cell r="V1715">
            <v>0.5</v>
          </cell>
          <cell r="W1715">
            <v>0</v>
          </cell>
          <cell r="X1715" t="str">
            <v>EST MESA LATERAL COLOMBINA (TAMPO MARCHETARIA) NATURE MATT - 0,61x0,61x0,5H</v>
          </cell>
          <cell r="Y1715">
            <v>5651.61</v>
          </cell>
          <cell r="Z1715">
            <v>0.35</v>
          </cell>
          <cell r="AA1715">
            <v>3673.5464999999999</v>
          </cell>
          <cell r="AB1715"/>
        </row>
        <row r="1716">
          <cell r="C1716">
            <v>0</v>
          </cell>
          <cell r="D1716">
            <v>1</v>
          </cell>
          <cell r="E1716">
            <v>1</v>
          </cell>
          <cell r="F1716">
            <v>0</v>
          </cell>
          <cell r="H1716">
            <v>0</v>
          </cell>
          <cell r="O1716">
            <v>405724</v>
          </cell>
          <cell r="P1716" t="str">
            <v>2025/154-0099-01</v>
          </cell>
          <cell r="Q1716" t="str">
            <v>EST MESA CENTRO GROTA (TAMPO MARCHETARIA) NATURE MATT</v>
          </cell>
          <cell r="R1716"/>
          <cell r="S1716"/>
          <cell r="T1716">
            <v>1.82</v>
          </cell>
          <cell r="U1716">
            <v>0.72</v>
          </cell>
          <cell r="V1716">
            <v>0.25</v>
          </cell>
          <cell r="W1716">
            <v>0</v>
          </cell>
          <cell r="X1716" t="str">
            <v>EST MESA CENTRO GROTA (TAMPO MARCHETARIA) NATURE MATT - 1,82x0,72x0,25H</v>
          </cell>
          <cell r="Y1716">
            <v>17884.88</v>
          </cell>
          <cell r="Z1716">
            <v>0.35</v>
          </cell>
          <cell r="AA1716">
            <v>11625.172000000002</v>
          </cell>
          <cell r="AB1716"/>
        </row>
        <row r="1717">
          <cell r="C1717">
            <v>1</v>
          </cell>
          <cell r="D1717">
            <v>1</v>
          </cell>
          <cell r="E1717">
            <v>0</v>
          </cell>
          <cell r="F1717">
            <v>0</v>
          </cell>
          <cell r="H1717">
            <v>0</v>
          </cell>
          <cell r="O1717">
            <v>405726</v>
          </cell>
          <cell r="P1717" t="str">
            <v>2025/154-0104-01</v>
          </cell>
          <cell r="Q1717" t="str">
            <v>EST MESA LATERAL SATELITE (WALNUT MATT) PINT CORTEN</v>
          </cell>
          <cell r="R1717"/>
          <cell r="S1717"/>
          <cell r="T1717">
            <v>0.41</v>
          </cell>
          <cell r="U1717">
            <v>0.27</v>
          </cell>
          <cell r="V1717">
            <v>0.35</v>
          </cell>
          <cell r="W1717">
            <v>0</v>
          </cell>
          <cell r="X1717" t="str">
            <v>EST MESA LATERAL SATELITE (WALNUT MATT) PINT CORTEN - 0,41x0,27x0,35H</v>
          </cell>
          <cell r="Y1717">
            <v>4597.6000000000004</v>
          </cell>
          <cell r="Z1717">
            <v>0.35</v>
          </cell>
          <cell r="AA1717">
            <v>2988.4400000000005</v>
          </cell>
          <cell r="AB1717"/>
        </row>
        <row r="1718">
          <cell r="C1718">
            <v>1</v>
          </cell>
          <cell r="D1718">
            <v>1</v>
          </cell>
          <cell r="E1718">
            <v>0</v>
          </cell>
          <cell r="F1718">
            <v>0</v>
          </cell>
          <cell r="H1718">
            <v>0</v>
          </cell>
          <cell r="O1718">
            <v>405728</v>
          </cell>
          <cell r="P1718" t="str">
            <v>2025/154-0108-01</v>
          </cell>
          <cell r="Q1718" t="str">
            <v>EST MESA LATERAL SATELITE (WALNUT MATT) PINT CORTEN</v>
          </cell>
          <cell r="R1718"/>
          <cell r="S1718"/>
          <cell r="T1718">
            <v>0.41</v>
          </cell>
          <cell r="U1718">
            <v>0.27</v>
          </cell>
          <cell r="V1718">
            <v>0.5</v>
          </cell>
          <cell r="W1718">
            <v>0</v>
          </cell>
          <cell r="X1718" t="str">
            <v>EST MESA LATERAL SATELITE (WALNUT MATT) PINT CORTEN - 0,41x0,27x0,5H</v>
          </cell>
          <cell r="Y1718">
            <v>4831.28</v>
          </cell>
          <cell r="Z1718">
            <v>0.35</v>
          </cell>
          <cell r="AA1718">
            <v>3140.3319999999999</v>
          </cell>
          <cell r="AB1718"/>
        </row>
        <row r="1719">
          <cell r="C1719">
            <v>0</v>
          </cell>
          <cell r="D1719">
            <v>1</v>
          </cell>
          <cell r="E1719">
            <v>0</v>
          </cell>
          <cell r="F1719">
            <v>0</v>
          </cell>
          <cell r="H1719">
            <v>0</v>
          </cell>
          <cell r="O1719">
            <v>232035</v>
          </cell>
          <cell r="P1719" t="str">
            <v>2019/065-0021-01</v>
          </cell>
          <cell r="Q1719" t="str">
            <v>EST PUFF SOHO (COURO 2 - 2007 WHISKY ENV) (TING IMBUIA)</v>
          </cell>
          <cell r="R1719"/>
          <cell r="S1719"/>
          <cell r="T1719">
            <v>1</v>
          </cell>
          <cell r="U1719">
            <v>0</v>
          </cell>
          <cell r="V1719">
            <v>0.3</v>
          </cell>
          <cell r="W1719">
            <v>1</v>
          </cell>
          <cell r="X1719" t="str">
            <v>EST PUFF SOHO (COURO 2 - 2007 WHISKY ENV) (TING IMBUIA) - Ø1x0,3H</v>
          </cell>
          <cell r="Y1719">
            <v>11131.55</v>
          </cell>
          <cell r="Z1719">
            <v>0.5</v>
          </cell>
          <cell r="AA1719">
            <v>5565.7749999999996</v>
          </cell>
          <cell r="AB1719"/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0</v>
          </cell>
          <cell r="H1720">
            <v>0</v>
          </cell>
          <cell r="O1720">
            <v>232035</v>
          </cell>
          <cell r="P1720" t="str">
            <v>2019/065-0027-01</v>
          </cell>
          <cell r="Q1720" t="str">
            <v>EST PUFF SOHO (COURO 2 - 2007 WHISKY ENV) (TING IMBUIA)</v>
          </cell>
          <cell r="R1720"/>
          <cell r="S1720"/>
          <cell r="T1720">
            <v>1</v>
          </cell>
          <cell r="U1720">
            <v>0</v>
          </cell>
          <cell r="V1720">
            <v>0.3</v>
          </cell>
          <cell r="W1720">
            <v>1</v>
          </cell>
          <cell r="X1720" t="str">
            <v>EST PUFF SOHO (COURO 2 - 2007 WHISKY ENV) (TING IMBUIA) - Ø1x0,3H</v>
          </cell>
          <cell r="Y1720">
            <v>11131.55</v>
          </cell>
          <cell r="Z1720">
            <v>0.5</v>
          </cell>
          <cell r="AA1720">
            <v>5565.7749999999996</v>
          </cell>
          <cell r="AB1720"/>
        </row>
        <row r="1721">
          <cell r="C1721">
            <v>1</v>
          </cell>
          <cell r="D1721">
            <v>6</v>
          </cell>
          <cell r="E1721">
            <v>0</v>
          </cell>
          <cell r="F1721">
            <v>0</v>
          </cell>
          <cell r="H1721">
            <v>1</v>
          </cell>
          <cell r="O1721">
            <v>328721</v>
          </cell>
          <cell r="P1721" t="str">
            <v>2022/172-0040-01</v>
          </cell>
          <cell r="Q1721" t="str">
            <v>EST CADEIRA MELIZA (GIR) (FX 60004) (TING NOGAL)</v>
          </cell>
          <cell r="R1721"/>
          <cell r="S1721"/>
          <cell r="T1721">
            <v>0.6</v>
          </cell>
          <cell r="U1721">
            <v>0.49</v>
          </cell>
          <cell r="V1721">
            <v>0.79</v>
          </cell>
          <cell r="W1721">
            <v>0</v>
          </cell>
          <cell r="X1721" t="str">
            <v>EST CADEIRA MELIZA (GIR) (FX 60004) (TING NOGAL) - 0,6x0,49x0,79H</v>
          </cell>
          <cell r="Y1721">
            <v>5980.67</v>
          </cell>
          <cell r="Z1721">
            <v>0.5</v>
          </cell>
          <cell r="AA1721">
            <v>2990.335</v>
          </cell>
          <cell r="AB1721"/>
        </row>
        <row r="1722">
          <cell r="C1722">
            <v>1</v>
          </cell>
          <cell r="D1722">
            <v>6</v>
          </cell>
          <cell r="E1722">
            <v>0</v>
          </cell>
          <cell r="F1722">
            <v>0</v>
          </cell>
          <cell r="H1722">
            <v>1</v>
          </cell>
          <cell r="O1722">
            <v>328721</v>
          </cell>
          <cell r="P1722" t="str">
            <v>2022/172-0043-01</v>
          </cell>
          <cell r="Q1722" t="str">
            <v>EST CADEIRA MELIZA (GIR) (FX 60004) (TING NOGAL)</v>
          </cell>
          <cell r="R1722"/>
          <cell r="S1722"/>
          <cell r="T1722">
            <v>0.6</v>
          </cell>
          <cell r="U1722">
            <v>0.49</v>
          </cell>
          <cell r="V1722">
            <v>0.79</v>
          </cell>
          <cell r="W1722">
            <v>0</v>
          </cell>
          <cell r="X1722" t="str">
            <v>EST CADEIRA MELIZA (GIR) (FX 60004) (TING NOGAL) - 0,6x0,49x0,79H</v>
          </cell>
          <cell r="Y1722">
            <v>5980.67</v>
          </cell>
          <cell r="Z1722">
            <v>0.5</v>
          </cell>
          <cell r="AA1722">
            <v>2990.335</v>
          </cell>
          <cell r="AB1722"/>
        </row>
        <row r="1723">
          <cell r="C1723">
            <v>1</v>
          </cell>
          <cell r="D1723">
            <v>6</v>
          </cell>
          <cell r="E1723">
            <v>0</v>
          </cell>
          <cell r="F1723">
            <v>0</v>
          </cell>
          <cell r="H1723">
            <v>1</v>
          </cell>
          <cell r="O1723">
            <v>328721</v>
          </cell>
          <cell r="P1723" t="str">
            <v>2022/172-0044-01</v>
          </cell>
          <cell r="Q1723" t="str">
            <v>EST CADEIRA MELIZA (GIR) (FX 60004) (TING NOGAL)</v>
          </cell>
          <cell r="R1723"/>
          <cell r="S1723"/>
          <cell r="T1723">
            <v>0.6</v>
          </cell>
          <cell r="U1723">
            <v>0.49</v>
          </cell>
          <cell r="V1723">
            <v>0.79</v>
          </cell>
          <cell r="W1723">
            <v>0</v>
          </cell>
          <cell r="X1723" t="str">
            <v>EST CADEIRA MELIZA (GIR) (FX 60004) (TING NOGAL) - 0,6x0,49x0,79H</v>
          </cell>
          <cell r="Y1723">
            <v>5980.67</v>
          </cell>
          <cell r="Z1723">
            <v>0.5</v>
          </cell>
          <cell r="AA1723">
            <v>2990.335</v>
          </cell>
          <cell r="AB1723"/>
        </row>
        <row r="1724">
          <cell r="C1724">
            <v>1</v>
          </cell>
          <cell r="D1724">
            <v>6</v>
          </cell>
          <cell r="E1724">
            <v>0</v>
          </cell>
          <cell r="F1724">
            <v>0</v>
          </cell>
          <cell r="H1724">
            <v>1</v>
          </cell>
          <cell r="O1724">
            <v>328721</v>
          </cell>
          <cell r="P1724" t="str">
            <v>2022/172-0045-01</v>
          </cell>
          <cell r="Q1724" t="str">
            <v>EST CADEIRA MELIZA (GIR) (FX 60004) (TING NOGAL)</v>
          </cell>
          <cell r="R1724"/>
          <cell r="S1724"/>
          <cell r="T1724">
            <v>0.6</v>
          </cell>
          <cell r="U1724">
            <v>0.49</v>
          </cell>
          <cell r="V1724">
            <v>0.79</v>
          </cell>
          <cell r="W1724">
            <v>0</v>
          </cell>
          <cell r="X1724" t="str">
            <v>EST CADEIRA MELIZA (GIR) (FX 60004) (TING NOGAL) - 0,6x0,49x0,79H</v>
          </cell>
          <cell r="Y1724">
            <v>5980.67</v>
          </cell>
          <cell r="Z1724">
            <v>0.5</v>
          </cell>
          <cell r="AA1724">
            <v>2990.335</v>
          </cell>
          <cell r="AB1724"/>
        </row>
        <row r="1725">
          <cell r="C1725">
            <v>1</v>
          </cell>
          <cell r="D1725">
            <v>6</v>
          </cell>
          <cell r="E1725">
            <v>0</v>
          </cell>
          <cell r="F1725">
            <v>0</v>
          </cell>
          <cell r="H1725">
            <v>1</v>
          </cell>
          <cell r="O1725">
            <v>328721</v>
          </cell>
          <cell r="P1725" t="str">
            <v>2022/172-0046-01</v>
          </cell>
          <cell r="Q1725" t="str">
            <v>EST CADEIRA MELIZA (GIR) (FX 60004) (TING NOGAL)</v>
          </cell>
          <cell r="R1725"/>
          <cell r="S1725"/>
          <cell r="T1725">
            <v>0.6</v>
          </cell>
          <cell r="U1725">
            <v>0.49</v>
          </cell>
          <cell r="V1725">
            <v>0.79</v>
          </cell>
          <cell r="W1725">
            <v>0</v>
          </cell>
          <cell r="X1725" t="str">
            <v>EST CADEIRA MELIZA (GIR) (FX 60004) (TING NOGAL) - 0,6x0,49x0,79H</v>
          </cell>
          <cell r="Y1725">
            <v>5980.67</v>
          </cell>
          <cell r="Z1725">
            <v>0.5</v>
          </cell>
          <cell r="AA1725">
            <v>2990.335</v>
          </cell>
          <cell r="AB1725"/>
        </row>
        <row r="1726">
          <cell r="C1726">
            <v>1</v>
          </cell>
          <cell r="D1726">
            <v>6</v>
          </cell>
          <cell r="E1726">
            <v>0</v>
          </cell>
          <cell r="F1726">
            <v>0</v>
          </cell>
          <cell r="H1726">
            <v>1</v>
          </cell>
          <cell r="O1726">
            <v>328721</v>
          </cell>
          <cell r="P1726" t="str">
            <v>2022/172-0047-01</v>
          </cell>
          <cell r="Q1726" t="str">
            <v>EST CADEIRA MELIZA (GIR) (FX 60004) (TING NOGAL)</v>
          </cell>
          <cell r="R1726"/>
          <cell r="S1726"/>
          <cell r="T1726">
            <v>0.6</v>
          </cell>
          <cell r="U1726">
            <v>0.49</v>
          </cell>
          <cell r="V1726">
            <v>0.79</v>
          </cell>
          <cell r="W1726">
            <v>0</v>
          </cell>
          <cell r="X1726" t="str">
            <v>EST CADEIRA MELIZA (GIR) (FX 60004) (TING NOGAL) - 0,6x0,49x0,79H</v>
          </cell>
          <cell r="Y1726">
            <v>5980.67</v>
          </cell>
          <cell r="Z1726">
            <v>0.5</v>
          </cell>
          <cell r="AA1726">
            <v>2990.335</v>
          </cell>
          <cell r="AB1726"/>
        </row>
        <row r="1727">
          <cell r="C1727">
            <v>1</v>
          </cell>
          <cell r="D1727">
            <v>0</v>
          </cell>
          <cell r="E1727">
            <v>0</v>
          </cell>
          <cell r="F1727">
            <v>0</v>
          </cell>
          <cell r="H1727">
            <v>0</v>
          </cell>
          <cell r="O1727">
            <v>156587</v>
          </cell>
          <cell r="P1727" t="str">
            <v>2014/233-0019-01</v>
          </cell>
          <cell r="Q1727" t="str">
            <v>EST MESA LATERAL IPANEMA (CINAMOMO NATURAL) (CRISTAL BRANCO)</v>
          </cell>
          <cell r="R1727"/>
          <cell r="S1727"/>
          <cell r="T1727">
            <v>0.77</v>
          </cell>
          <cell r="U1727">
            <v>0</v>
          </cell>
          <cell r="V1727">
            <v>0.7</v>
          </cell>
          <cell r="W1727">
            <v>0.77</v>
          </cell>
          <cell r="X1727" t="str">
            <v>EST MESA LATERAL IPANEMA (CINAMOMO NATURAL) (CRISTAL BRANCO) - Ø0,77x0,7H</v>
          </cell>
          <cell r="Y1727">
            <v>7235.02</v>
          </cell>
          <cell r="Z1727">
            <v>0.5</v>
          </cell>
          <cell r="AA1727">
            <v>3617.51</v>
          </cell>
          <cell r="AB1727"/>
        </row>
        <row r="1728">
          <cell r="C1728">
            <v>6</v>
          </cell>
          <cell r="D1728">
            <v>0</v>
          </cell>
          <cell r="E1728">
            <v>0</v>
          </cell>
          <cell r="F1728">
            <v>0</v>
          </cell>
          <cell r="H1728">
            <v>0</v>
          </cell>
          <cell r="O1728">
            <v>278063</v>
          </cell>
          <cell r="P1728" t="str">
            <v>2021/182-0043-01</v>
          </cell>
          <cell r="Q1728" t="str">
            <v>EST CADEIRA RENDEIRA (FX 5408/TELA LEVE NAT) (WALNUT MATT)</v>
          </cell>
          <cell r="R1728"/>
          <cell r="S1728"/>
          <cell r="T1728">
            <v>0.48</v>
          </cell>
          <cell r="U1728">
            <v>0.59</v>
          </cell>
          <cell r="V1728">
            <v>0.8</v>
          </cell>
          <cell r="W1728">
            <v>0</v>
          </cell>
          <cell r="X1728" t="str">
            <v>EST CADEIRA RENDEIRA (FX 5408/TELA LEVE NAT) (WALNUT MATT) - 0,48x0,59x0,8H</v>
          </cell>
          <cell r="Y1728">
            <v>6796.25</v>
          </cell>
          <cell r="Z1728">
            <v>0.5</v>
          </cell>
          <cell r="AA1728">
            <v>3398.125</v>
          </cell>
          <cell r="AB1728"/>
        </row>
        <row r="1729">
          <cell r="C1729">
            <v>6</v>
          </cell>
          <cell r="D1729">
            <v>0</v>
          </cell>
          <cell r="E1729">
            <v>0</v>
          </cell>
          <cell r="F1729">
            <v>0</v>
          </cell>
          <cell r="H1729">
            <v>0</v>
          </cell>
          <cell r="O1729">
            <v>278063</v>
          </cell>
          <cell r="P1729" t="str">
            <v>2021/182-0044-01</v>
          </cell>
          <cell r="Q1729" t="str">
            <v>EST CADEIRA RENDEIRA (FX 5408/TELA LEVE NAT) (WALNUT MATT)</v>
          </cell>
          <cell r="R1729"/>
          <cell r="S1729"/>
          <cell r="T1729">
            <v>0.48</v>
          </cell>
          <cell r="U1729">
            <v>0.59</v>
          </cell>
          <cell r="V1729">
            <v>0.8</v>
          </cell>
          <cell r="W1729">
            <v>0</v>
          </cell>
          <cell r="X1729" t="str">
            <v>EST CADEIRA RENDEIRA (FX 5408/TELA LEVE NAT) (WALNUT MATT) - 0,48x0,59x0,8H</v>
          </cell>
          <cell r="Y1729">
            <v>6796.25</v>
          </cell>
          <cell r="Z1729">
            <v>0.5</v>
          </cell>
          <cell r="AA1729">
            <v>3398.125</v>
          </cell>
          <cell r="AB1729"/>
        </row>
        <row r="1730">
          <cell r="C1730">
            <v>6</v>
          </cell>
          <cell r="D1730">
            <v>0</v>
          </cell>
          <cell r="E1730">
            <v>0</v>
          </cell>
          <cell r="F1730">
            <v>0</v>
          </cell>
          <cell r="H1730">
            <v>0</v>
          </cell>
          <cell r="O1730">
            <v>278063</v>
          </cell>
          <cell r="P1730" t="str">
            <v>2021/182-0045-01</v>
          </cell>
          <cell r="Q1730" t="str">
            <v>EST CADEIRA RENDEIRA (FX 5408/TELA LEVE NAT) (WALNUT MATT)</v>
          </cell>
          <cell r="R1730"/>
          <cell r="S1730"/>
          <cell r="T1730">
            <v>0.48</v>
          </cell>
          <cell r="U1730">
            <v>0.59</v>
          </cell>
          <cell r="V1730">
            <v>0.8</v>
          </cell>
          <cell r="W1730">
            <v>0</v>
          </cell>
          <cell r="X1730" t="str">
            <v>EST CADEIRA RENDEIRA (FX 5408/TELA LEVE NAT) (WALNUT MATT) - 0,48x0,59x0,8H</v>
          </cell>
          <cell r="Y1730">
            <v>6796.25</v>
          </cell>
          <cell r="Z1730">
            <v>0.5</v>
          </cell>
          <cell r="AA1730">
            <v>3398.125</v>
          </cell>
          <cell r="AB1730"/>
        </row>
        <row r="1731">
          <cell r="C1731">
            <v>6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278063</v>
          </cell>
          <cell r="P1731" t="str">
            <v>2021/182-0046-01</v>
          </cell>
          <cell r="Q1731" t="str">
            <v>EST CADEIRA RENDEIRA (FX 5408/TELA LEVE NAT) (WALNUT MATT)</v>
          </cell>
          <cell r="R1731"/>
          <cell r="S1731"/>
          <cell r="T1731">
            <v>0.48</v>
          </cell>
          <cell r="U1731">
            <v>0.59</v>
          </cell>
          <cell r="V1731">
            <v>0.8</v>
          </cell>
          <cell r="W1731">
            <v>0</v>
          </cell>
          <cell r="X1731" t="str">
            <v>EST CADEIRA RENDEIRA (FX 5408/TELA LEVE NAT) (WALNUT MATT) - 0,48x0,59x0,8H</v>
          </cell>
          <cell r="Y1731">
            <v>6796.25</v>
          </cell>
          <cell r="Z1731">
            <v>0.5</v>
          </cell>
          <cell r="AA1731">
            <v>3398.125</v>
          </cell>
          <cell r="AB1731"/>
        </row>
        <row r="1732">
          <cell r="C1732">
            <v>6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278063</v>
          </cell>
          <cell r="P1732" t="str">
            <v>2021/182-0047-01</v>
          </cell>
          <cell r="Q1732" t="str">
            <v>EST CADEIRA RENDEIRA (FX 5408/TELA LEVE NAT) (WALNUT MATT)</v>
          </cell>
          <cell r="R1732"/>
          <cell r="S1732"/>
          <cell r="T1732">
            <v>0.48</v>
          </cell>
          <cell r="U1732">
            <v>0.59</v>
          </cell>
          <cell r="V1732">
            <v>0.8</v>
          </cell>
          <cell r="W1732">
            <v>0</v>
          </cell>
          <cell r="X1732" t="str">
            <v>EST CADEIRA RENDEIRA (FX 5408/TELA LEVE NAT) (WALNUT MATT) - 0,48x0,59x0,8H</v>
          </cell>
          <cell r="Y1732">
            <v>6796.25</v>
          </cell>
          <cell r="Z1732">
            <v>0.5</v>
          </cell>
          <cell r="AA1732">
            <v>3398.125</v>
          </cell>
          <cell r="AB1732"/>
        </row>
        <row r="1733">
          <cell r="C1733">
            <v>6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278063</v>
          </cell>
          <cell r="P1733" t="str">
            <v>2021/182-0048-01</v>
          </cell>
          <cell r="Q1733" t="str">
            <v>EST CADEIRA RENDEIRA (FX 5408/TELA LEVE NAT) (WALNUT MATT)</v>
          </cell>
          <cell r="R1733"/>
          <cell r="S1733"/>
          <cell r="T1733">
            <v>0.48</v>
          </cell>
          <cell r="U1733">
            <v>0.59</v>
          </cell>
          <cell r="V1733">
            <v>0.8</v>
          </cell>
          <cell r="W1733">
            <v>0</v>
          </cell>
          <cell r="X1733" t="str">
            <v>EST CADEIRA RENDEIRA (FX 5408/TELA LEVE NAT) (WALNUT MATT) - 0,48x0,59x0,8H</v>
          </cell>
          <cell r="Y1733">
            <v>6796.25</v>
          </cell>
          <cell r="Z1733">
            <v>0.5</v>
          </cell>
          <cell r="AA1733">
            <v>3398.125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334244</v>
          </cell>
          <cell r="P1734" t="str">
            <v>2022/210-0116-01</v>
          </cell>
          <cell r="Q1734" t="str">
            <v>EST MESA CENTRO IPANEMA (LAM EBANIZADO C/CRIS PINT PT)</v>
          </cell>
          <cell r="R1734"/>
          <cell r="S1734"/>
          <cell r="T1734">
            <v>0.9</v>
          </cell>
          <cell r="U1734">
            <v>0</v>
          </cell>
          <cell r="V1734">
            <v>0.35</v>
          </cell>
          <cell r="W1734">
            <v>0.9</v>
          </cell>
          <cell r="X1734" t="str">
            <v>EST MESA CENTRO IPANEMA (LAM EBANIZADO C/CRIS PINT PT) - Ø0,9x0,35H</v>
          </cell>
          <cell r="Y1734">
            <v>9114.11</v>
          </cell>
          <cell r="Z1734">
            <v>0.5</v>
          </cell>
          <cell r="AA1734">
            <v>4557.0550000000003</v>
          </cell>
          <cell r="AB1734"/>
        </row>
        <row r="1735">
          <cell r="C1735">
            <v>1</v>
          </cell>
          <cell r="D1735">
            <v>0</v>
          </cell>
          <cell r="E1735">
            <v>0</v>
          </cell>
          <cell r="F1735">
            <v>0</v>
          </cell>
          <cell r="H1735">
            <v>0</v>
          </cell>
          <cell r="O1735">
            <v>179300</v>
          </cell>
          <cell r="P1735" t="str">
            <v>2015/335-0019-01</v>
          </cell>
          <cell r="Q1735" t="str">
            <v>EST MESA CENTRO IPANEMA (LAM CINAMONO IMBUIA C/CRIS PRETO)</v>
          </cell>
          <cell r="R1735"/>
          <cell r="S1735"/>
          <cell r="T1735">
            <v>1.1000000000000001</v>
          </cell>
          <cell r="U1735">
            <v>0</v>
          </cell>
          <cell r="V1735">
            <v>0.3</v>
          </cell>
          <cell r="W1735">
            <v>1.1000000000000001</v>
          </cell>
          <cell r="X1735" t="str">
            <v>EST MESA CENTRO IPANEMA (LAM CINAMONO IMBUIA C/CRIS PRETO) - Ø1,1x0,3H</v>
          </cell>
          <cell r="Y1735">
            <v>13649.71</v>
          </cell>
          <cell r="Z1735">
            <v>0.35</v>
          </cell>
          <cell r="AA1735">
            <v>8872.3114999999998</v>
          </cell>
          <cell r="AB1735"/>
        </row>
        <row r="1736">
          <cell r="C1736">
            <v>2</v>
          </cell>
          <cell r="D1736">
            <v>0</v>
          </cell>
          <cell r="E1736">
            <v>0</v>
          </cell>
          <cell r="F1736">
            <v>0</v>
          </cell>
          <cell r="H1736">
            <v>0</v>
          </cell>
          <cell r="O1736">
            <v>309867</v>
          </cell>
          <cell r="P1736" t="str">
            <v>2021/350-0105-01</v>
          </cell>
          <cell r="Q1736" t="str">
            <v>EST POLTRONA ARRAIA (SEXT NT) (FX 50033) (NATURE GLOSS)</v>
          </cell>
          <cell r="R1736"/>
          <cell r="S1736"/>
          <cell r="T1736">
            <v>0.73</v>
          </cell>
          <cell r="U1736">
            <v>0.75</v>
          </cell>
          <cell r="V1736">
            <v>0.8</v>
          </cell>
          <cell r="W1736">
            <v>0</v>
          </cell>
          <cell r="X1736" t="str">
            <v>EST POLTRONA ARRAIA (SEXT NT) (FX 50033) (NATURE GLOSS) - 0,73x0,75x0,8H</v>
          </cell>
          <cell r="Y1736">
            <v>13334.94</v>
          </cell>
          <cell r="Z1736">
            <v>0.35</v>
          </cell>
          <cell r="AA1736">
            <v>8667.7109999999993</v>
          </cell>
          <cell r="AB1736"/>
        </row>
        <row r="1737">
          <cell r="C1737">
            <v>2</v>
          </cell>
          <cell r="D1737">
            <v>0</v>
          </cell>
          <cell r="E1737">
            <v>0</v>
          </cell>
          <cell r="F1737">
            <v>0</v>
          </cell>
          <cell r="H1737">
            <v>0</v>
          </cell>
          <cell r="O1737">
            <v>309867</v>
          </cell>
          <cell r="P1737" t="str">
            <v>2021/350-0106-01</v>
          </cell>
          <cell r="Q1737" t="str">
            <v>EST POLTRONA ARRAIA (SEXT NT) (FX 50033) (NATURE GLOSS)</v>
          </cell>
          <cell r="R1737"/>
          <cell r="S1737"/>
          <cell r="T1737">
            <v>0.73</v>
          </cell>
          <cell r="U1737">
            <v>0.75</v>
          </cell>
          <cell r="V1737">
            <v>0.8</v>
          </cell>
          <cell r="W1737">
            <v>0</v>
          </cell>
          <cell r="X1737" t="str">
            <v>EST POLTRONA ARRAIA (SEXT NT) (FX 50033) (NATURE GLOSS) - 0,73x0,75x0,8H</v>
          </cell>
          <cell r="Y1737">
            <v>13334.94</v>
          </cell>
          <cell r="Z1737">
            <v>0.35</v>
          </cell>
          <cell r="AA1737">
            <v>8667.7109999999993</v>
          </cell>
          <cell r="AB1737"/>
        </row>
        <row r="1738">
          <cell r="C1738">
            <v>1</v>
          </cell>
          <cell r="D1738">
            <v>6</v>
          </cell>
          <cell r="E1738">
            <v>0</v>
          </cell>
          <cell r="F1738">
            <v>0</v>
          </cell>
          <cell r="H1738">
            <v>1</v>
          </cell>
          <cell r="O1738">
            <v>328721</v>
          </cell>
          <cell r="P1738" t="str">
            <v>2022/172-0042-01</v>
          </cell>
          <cell r="Q1738" t="str">
            <v>EST CADEIRA MELIZA (GIR) (FX 60004) (TING NOGAL)</v>
          </cell>
          <cell r="R1738"/>
          <cell r="S1738"/>
          <cell r="T1738">
            <v>0.6</v>
          </cell>
          <cell r="U1738">
            <v>0.49</v>
          </cell>
          <cell r="V1738">
            <v>0.79</v>
          </cell>
          <cell r="W1738">
            <v>0</v>
          </cell>
          <cell r="X1738" t="str">
            <v>EST CADEIRA MELIZA (GIR) (FX 60004) (TING NOGAL) - 0,6x0,49x0,79H</v>
          </cell>
          <cell r="Y1738">
            <v>5980.67</v>
          </cell>
          <cell r="Z1738">
            <v>0.35</v>
          </cell>
          <cell r="AA1738">
            <v>3887.4355</v>
          </cell>
          <cell r="AB1738"/>
        </row>
        <row r="1739">
          <cell r="C1739">
            <v>2</v>
          </cell>
          <cell r="D1739">
            <v>0</v>
          </cell>
          <cell r="E1739">
            <v>0</v>
          </cell>
          <cell r="F1739">
            <v>0</v>
          </cell>
          <cell r="H1739">
            <v>0</v>
          </cell>
          <cell r="O1739">
            <v>330690</v>
          </cell>
          <cell r="P1739" t="str">
            <v>2022/221-0021-01</v>
          </cell>
          <cell r="Q1739" t="str">
            <v>EST POLTRONA MAY (BRACO MAD) (RUST ASTI 162) (TING AMENDOA)</v>
          </cell>
          <cell r="R1739"/>
          <cell r="S1739"/>
          <cell r="T1739">
            <v>0.71</v>
          </cell>
          <cell r="U1739">
            <v>0.78</v>
          </cell>
          <cell r="V1739">
            <v>0.77</v>
          </cell>
          <cell r="W1739">
            <v>0</v>
          </cell>
          <cell r="X1739" t="str">
            <v>EST POLTRONA MAY (BRACO MAD) (RUST ASTI 162) (TING AMENDOA) - 0,71x0,78x0,77H</v>
          </cell>
          <cell r="Y1739">
            <v>13742.23</v>
          </cell>
          <cell r="Z1739">
            <v>0.35</v>
          </cell>
          <cell r="AA1739">
            <v>8932.4494999999988</v>
          </cell>
          <cell r="AB1739"/>
        </row>
        <row r="1740">
          <cell r="C1740">
            <v>2</v>
          </cell>
          <cell r="D1740">
            <v>0</v>
          </cell>
          <cell r="E1740">
            <v>0</v>
          </cell>
          <cell r="F1740">
            <v>0</v>
          </cell>
          <cell r="H1740">
            <v>0</v>
          </cell>
          <cell r="O1740">
            <v>330690</v>
          </cell>
          <cell r="P1740" t="str">
            <v>2022/221-0022-01</v>
          </cell>
          <cell r="Q1740" t="str">
            <v>EST POLTRONA MAY (BRACO MAD) (RUST ASTI 162) (TING AMENDOA)</v>
          </cell>
          <cell r="R1740"/>
          <cell r="S1740"/>
          <cell r="T1740">
            <v>0.71</v>
          </cell>
          <cell r="U1740">
            <v>0.78</v>
          </cell>
          <cell r="V1740">
            <v>0.77</v>
          </cell>
          <cell r="W1740">
            <v>0</v>
          </cell>
          <cell r="X1740" t="str">
            <v>EST POLTRONA MAY (BRACO MAD) (RUST ASTI 162) (TING AMENDOA) - 0,71x0,78x0,77H</v>
          </cell>
          <cell r="Y1740">
            <v>13742.23</v>
          </cell>
          <cell r="Z1740">
            <v>0.35</v>
          </cell>
          <cell r="AA1740">
            <v>8932.4494999999988</v>
          </cell>
          <cell r="AB1740"/>
        </row>
        <row r="1741">
          <cell r="C1741">
            <v>1</v>
          </cell>
          <cell r="D1741">
            <v>0</v>
          </cell>
          <cell r="E1741">
            <v>0</v>
          </cell>
          <cell r="F1741">
            <v>0</v>
          </cell>
          <cell r="H1741">
            <v>0</v>
          </cell>
          <cell r="O1741">
            <v>334245</v>
          </cell>
          <cell r="P1741" t="str">
            <v>2022/210-0117-01</v>
          </cell>
          <cell r="Q1741" t="str">
            <v>EST MESA LATERAL PIN (COFFEE GLOSS) (DET PINT CORTEN)</v>
          </cell>
          <cell r="R1741"/>
          <cell r="S1741"/>
          <cell r="T1741">
            <v>0.35</v>
          </cell>
          <cell r="U1741">
            <v>0</v>
          </cell>
          <cell r="V1741">
            <v>0.52</v>
          </cell>
          <cell r="W1741">
            <v>0.35</v>
          </cell>
          <cell r="X1741" t="str">
            <v>EST MESA LATERAL PIN (COFFEE GLOSS) (DET PINT CORTEN) - Ø0,35x0,52H</v>
          </cell>
          <cell r="Y1741">
            <v>5384.51</v>
          </cell>
          <cell r="Z1741">
            <v>0.35</v>
          </cell>
          <cell r="AA1741">
            <v>3499.9315000000006</v>
          </cell>
          <cell r="AB1741"/>
        </row>
        <row r="1742">
          <cell r="C1742">
            <v>1</v>
          </cell>
          <cell r="D1742">
            <v>0</v>
          </cell>
          <cell r="E1742">
            <v>0</v>
          </cell>
          <cell r="F1742">
            <v>0</v>
          </cell>
          <cell r="H1742">
            <v>0</v>
          </cell>
          <cell r="O1742">
            <v>334245</v>
          </cell>
          <cell r="P1742" t="str">
            <v>2022/210-0118-01</v>
          </cell>
          <cell r="Q1742" t="str">
            <v>EST MESA LATERAL PIN (COFFEE GLOSS) (DET PINT CORTEN)</v>
          </cell>
          <cell r="R1742"/>
          <cell r="S1742"/>
          <cell r="T1742">
            <v>0.35</v>
          </cell>
          <cell r="U1742">
            <v>0</v>
          </cell>
          <cell r="V1742">
            <v>0.52</v>
          </cell>
          <cell r="W1742">
            <v>0.35</v>
          </cell>
          <cell r="X1742" t="str">
            <v>EST MESA LATERAL PIN (COFFEE GLOSS) (DET PINT CORTEN) - Ø0,35x0,52H</v>
          </cell>
          <cell r="Y1742">
            <v>5384.51</v>
          </cell>
          <cell r="Z1742">
            <v>0.35</v>
          </cell>
          <cell r="AA1742">
            <v>3499.9315000000006</v>
          </cell>
          <cell r="AB1742"/>
        </row>
        <row r="1743">
          <cell r="C1743">
            <v>1</v>
          </cell>
          <cell r="D1743">
            <v>1</v>
          </cell>
          <cell r="E1743">
            <v>0</v>
          </cell>
          <cell r="F1743">
            <v>0</v>
          </cell>
          <cell r="H1743">
            <v>2</v>
          </cell>
          <cell r="O1743">
            <v>361520</v>
          </cell>
          <cell r="P1743" t="str">
            <v>2023/041-0019-01</v>
          </cell>
          <cell r="Q1743" t="str">
            <v>EST BANQUETA BAR MELIZA H75 (GIR) (FX 60004) (TING NOGAL)</v>
          </cell>
          <cell r="R1743"/>
          <cell r="S1743"/>
          <cell r="T1743">
            <v>0.5</v>
          </cell>
          <cell r="U1743">
            <v>0.6</v>
          </cell>
          <cell r="V1743">
            <v>0.99</v>
          </cell>
          <cell r="W1743">
            <v>0</v>
          </cell>
          <cell r="X1743" t="str">
            <v>EST BANQUETA BAR MELIZA H75 (GIR) (FX 60004) (TING NOGAL) - 0,5x0,6x0,99H</v>
          </cell>
          <cell r="Y1743">
            <v>6882.09</v>
          </cell>
          <cell r="Z1743">
            <v>0.35</v>
          </cell>
          <cell r="AA1743">
            <v>4473.3585000000003</v>
          </cell>
          <cell r="AB1743"/>
        </row>
        <row r="1744">
          <cell r="C1744">
            <v>1</v>
          </cell>
          <cell r="D1744">
            <v>1</v>
          </cell>
          <cell r="E1744">
            <v>1</v>
          </cell>
          <cell r="F1744">
            <v>1</v>
          </cell>
          <cell r="H1744">
            <v>0</v>
          </cell>
          <cell r="O1744">
            <v>373426</v>
          </cell>
          <cell r="P1744" t="str">
            <v>2023/280-0022-01</v>
          </cell>
          <cell r="Q1744" t="str">
            <v>EST BANQUETA BAR QUERO QUERO H65 (COURO2 2014) (NATURE MATT)</v>
          </cell>
          <cell r="R1744"/>
          <cell r="S1744"/>
          <cell r="T1744">
            <v>0.46</v>
          </cell>
          <cell r="U1744">
            <v>0.56000000000000005</v>
          </cell>
          <cell r="V1744">
            <v>0.92</v>
          </cell>
          <cell r="W1744">
            <v>0</v>
          </cell>
          <cell r="X1744" t="str">
            <v>EST BANQUETA BAR QUERO QUERO H65 (COURO2 2014) (NATURE MATT) - 0,46x0,56x0,92H</v>
          </cell>
          <cell r="Y1744">
            <v>9028.2800000000007</v>
          </cell>
          <cell r="Z1744">
            <v>0.35</v>
          </cell>
          <cell r="AA1744">
            <v>5868.3820000000005</v>
          </cell>
          <cell r="AB1744"/>
        </row>
        <row r="1745">
          <cell r="C1745">
            <v>2</v>
          </cell>
          <cell r="D1745">
            <v>0</v>
          </cell>
          <cell r="E1745">
            <v>0</v>
          </cell>
          <cell r="F1745">
            <v>0</v>
          </cell>
          <cell r="H1745">
            <v>0</v>
          </cell>
          <cell r="O1745">
            <v>373832</v>
          </cell>
          <cell r="P1745" t="str">
            <v>2023/318-0062-01</v>
          </cell>
          <cell r="Q1745" t="str">
            <v>EST CADEIRA QUERO QUERO C/BRACO (C FORN OLD RUSTY) WALNUT M</v>
          </cell>
          <cell r="R1745"/>
          <cell r="S1745"/>
          <cell r="T1745">
            <v>0.56999999999999995</v>
          </cell>
          <cell r="U1745">
            <v>0.54</v>
          </cell>
          <cell r="V1745">
            <v>0.78</v>
          </cell>
          <cell r="W1745">
            <v>0</v>
          </cell>
          <cell r="X1745" t="str">
            <v>EST CADEIRA QUERO QUERO C/BRACO (C FORN OLD RUSTY) WALNUT M - 0,57x0,54x0,78H</v>
          </cell>
          <cell r="Y1745">
            <v>8745.7639999999992</v>
          </cell>
          <cell r="Z1745">
            <v>0.35</v>
          </cell>
          <cell r="AA1745">
            <v>5684.7465999999995</v>
          </cell>
          <cell r="AB1745"/>
        </row>
        <row r="1746">
          <cell r="C1746">
            <v>2</v>
          </cell>
          <cell r="D1746">
            <v>0</v>
          </cell>
          <cell r="E1746">
            <v>0</v>
          </cell>
          <cell r="F1746">
            <v>0</v>
          </cell>
          <cell r="H1746">
            <v>0</v>
          </cell>
          <cell r="O1746">
            <v>373832</v>
          </cell>
          <cell r="P1746" t="str">
            <v>2023/318-0063-01</v>
          </cell>
          <cell r="Q1746" t="str">
            <v>EST CADEIRA QUERO QUERO C/BRACO (C FORN OLD RUSTY) WALNUT M</v>
          </cell>
          <cell r="R1746"/>
          <cell r="S1746"/>
          <cell r="T1746">
            <v>0.56999999999999995</v>
          </cell>
          <cell r="U1746">
            <v>0.54</v>
          </cell>
          <cell r="V1746">
            <v>0.78</v>
          </cell>
          <cell r="W1746">
            <v>0</v>
          </cell>
          <cell r="X1746" t="str">
            <v>EST CADEIRA QUERO QUERO C/BRACO (C FORN OLD RUSTY) WALNUT M - 0,57x0,54x0,78H</v>
          </cell>
          <cell r="Y1746">
            <v>8745.7639999999992</v>
          </cell>
          <cell r="Z1746">
            <v>0.35</v>
          </cell>
          <cell r="AA1746">
            <v>5684.7465999999995</v>
          </cell>
          <cell r="AB1746"/>
        </row>
        <row r="1747">
          <cell r="C1747">
            <v>6</v>
          </cell>
          <cell r="D1747">
            <v>0</v>
          </cell>
          <cell r="E1747">
            <v>0</v>
          </cell>
          <cell r="F1747">
            <v>0</v>
          </cell>
          <cell r="H1747">
            <v>0</v>
          </cell>
          <cell r="O1747">
            <v>373833</v>
          </cell>
          <cell r="P1747" t="str">
            <v>2023/318-0064-01</v>
          </cell>
          <cell r="Q1747" t="str">
            <v>EST CADEIRA QUERO QUERO (C FORN OLD RUSTY) WALNUT MATT</v>
          </cell>
          <cell r="R1747"/>
          <cell r="S1747"/>
          <cell r="T1747">
            <v>0.49</v>
          </cell>
          <cell r="U1747">
            <v>0.54</v>
          </cell>
          <cell r="V1747">
            <v>0.8</v>
          </cell>
          <cell r="W1747">
            <v>0</v>
          </cell>
          <cell r="X1747" t="str">
            <v>EST CADEIRA QUERO QUERO (C FORN OLD RUSTY) WALNUT MATT - 0,49x0,54x0,8H</v>
          </cell>
          <cell r="Y1747">
            <v>7210.0640000000003</v>
          </cell>
          <cell r="Z1747">
            <v>0.35</v>
          </cell>
          <cell r="AA1747">
            <v>4686.5416000000005</v>
          </cell>
          <cell r="AB1747"/>
        </row>
        <row r="1748">
          <cell r="C1748">
            <v>6</v>
          </cell>
          <cell r="D1748">
            <v>0</v>
          </cell>
          <cell r="E1748">
            <v>0</v>
          </cell>
          <cell r="F1748">
            <v>0</v>
          </cell>
          <cell r="H1748">
            <v>0</v>
          </cell>
          <cell r="O1748">
            <v>373833</v>
          </cell>
          <cell r="P1748" t="str">
            <v>2023/318-0065-01</v>
          </cell>
          <cell r="Q1748" t="str">
            <v>EST CADEIRA QUERO QUERO (C FORN OLD RUSTY) WALNUT MATT</v>
          </cell>
          <cell r="R1748"/>
          <cell r="S1748"/>
          <cell r="T1748">
            <v>0.49</v>
          </cell>
          <cell r="U1748">
            <v>0.54</v>
          </cell>
          <cell r="V1748">
            <v>0.8</v>
          </cell>
          <cell r="W1748">
            <v>0</v>
          </cell>
          <cell r="X1748" t="str">
            <v>EST CADEIRA QUERO QUERO (C FORN OLD RUSTY) WALNUT MATT - 0,49x0,54x0,8H</v>
          </cell>
          <cell r="Y1748">
            <v>7210.0640000000003</v>
          </cell>
          <cell r="Z1748">
            <v>0.35</v>
          </cell>
          <cell r="AA1748">
            <v>4686.5416000000005</v>
          </cell>
          <cell r="AB1748"/>
        </row>
        <row r="1749">
          <cell r="C1749">
            <v>6</v>
          </cell>
          <cell r="D1749">
            <v>0</v>
          </cell>
          <cell r="E1749">
            <v>0</v>
          </cell>
          <cell r="F1749">
            <v>0</v>
          </cell>
          <cell r="H1749">
            <v>0</v>
          </cell>
          <cell r="O1749">
            <v>373833</v>
          </cell>
          <cell r="P1749" t="str">
            <v>2023/318-0066-01</v>
          </cell>
          <cell r="Q1749" t="str">
            <v>EST CADEIRA QUERO QUERO (C FORN OLD RUSTY) WALNUT MATT</v>
          </cell>
          <cell r="R1749"/>
          <cell r="S1749"/>
          <cell r="T1749">
            <v>0.49</v>
          </cell>
          <cell r="U1749">
            <v>0.54</v>
          </cell>
          <cell r="V1749">
            <v>0.8</v>
          </cell>
          <cell r="W1749">
            <v>0</v>
          </cell>
          <cell r="X1749" t="str">
            <v>EST CADEIRA QUERO QUERO (C FORN OLD RUSTY) WALNUT MATT - 0,49x0,54x0,8H</v>
          </cell>
          <cell r="Y1749">
            <v>7210.0640000000003</v>
          </cell>
          <cell r="Z1749">
            <v>0.35</v>
          </cell>
          <cell r="AA1749">
            <v>4686.5416000000005</v>
          </cell>
          <cell r="AB1749"/>
        </row>
        <row r="1750">
          <cell r="C1750">
            <v>6</v>
          </cell>
          <cell r="D1750">
            <v>0</v>
          </cell>
          <cell r="E1750">
            <v>0</v>
          </cell>
          <cell r="F1750">
            <v>0</v>
          </cell>
          <cell r="H1750">
            <v>0</v>
          </cell>
          <cell r="O1750">
            <v>373833</v>
          </cell>
          <cell r="P1750" t="str">
            <v>2023/318-0067-01</v>
          </cell>
          <cell r="Q1750" t="str">
            <v>EST CADEIRA QUERO QUERO (C FORN OLD RUSTY) WALNUT MATT</v>
          </cell>
          <cell r="R1750"/>
          <cell r="S1750"/>
          <cell r="T1750">
            <v>0.49</v>
          </cell>
          <cell r="U1750">
            <v>0.54</v>
          </cell>
          <cell r="V1750">
            <v>0.8</v>
          </cell>
          <cell r="W1750">
            <v>0</v>
          </cell>
          <cell r="X1750" t="str">
            <v>EST CADEIRA QUERO QUERO (C FORN OLD RUSTY) WALNUT MATT - 0,49x0,54x0,8H</v>
          </cell>
          <cell r="Y1750">
            <v>7210.0640000000003</v>
          </cell>
          <cell r="Z1750">
            <v>0.35</v>
          </cell>
          <cell r="AA1750">
            <v>4686.5416000000005</v>
          </cell>
          <cell r="AB1750"/>
        </row>
        <row r="1751">
          <cell r="C1751">
            <v>6</v>
          </cell>
          <cell r="D1751">
            <v>0</v>
          </cell>
          <cell r="E1751">
            <v>0</v>
          </cell>
          <cell r="F1751">
            <v>0</v>
          </cell>
          <cell r="H1751">
            <v>0</v>
          </cell>
          <cell r="O1751">
            <v>373833</v>
          </cell>
          <cell r="P1751" t="str">
            <v>2023/318-0068-01</v>
          </cell>
          <cell r="Q1751" t="str">
            <v>EST CADEIRA QUERO QUERO (C FORN OLD RUSTY) WALNUT MATT</v>
          </cell>
          <cell r="R1751"/>
          <cell r="S1751"/>
          <cell r="T1751">
            <v>0.49</v>
          </cell>
          <cell r="U1751">
            <v>0.54</v>
          </cell>
          <cell r="V1751">
            <v>0.8</v>
          </cell>
          <cell r="W1751">
            <v>0</v>
          </cell>
          <cell r="X1751" t="str">
            <v>EST CADEIRA QUERO QUERO (C FORN OLD RUSTY) WALNUT MATT - 0,49x0,54x0,8H</v>
          </cell>
          <cell r="Y1751">
            <v>7210.0640000000003</v>
          </cell>
          <cell r="Z1751">
            <v>0.35</v>
          </cell>
          <cell r="AA1751">
            <v>4686.5416000000005</v>
          </cell>
          <cell r="AB1751"/>
        </row>
        <row r="1752">
          <cell r="C1752">
            <v>6</v>
          </cell>
          <cell r="D1752">
            <v>0</v>
          </cell>
          <cell r="E1752">
            <v>0</v>
          </cell>
          <cell r="F1752">
            <v>0</v>
          </cell>
          <cell r="H1752">
            <v>0</v>
          </cell>
          <cell r="O1752">
            <v>373833</v>
          </cell>
          <cell r="P1752" t="str">
            <v>2023/318-0069-01</v>
          </cell>
          <cell r="Q1752" t="str">
            <v>EST CADEIRA QUERO QUERO (C FORN OLD RUSTY) WALNUT MATT</v>
          </cell>
          <cell r="R1752"/>
          <cell r="S1752"/>
          <cell r="T1752">
            <v>0.49</v>
          </cell>
          <cell r="U1752">
            <v>0.54</v>
          </cell>
          <cell r="V1752">
            <v>0.8</v>
          </cell>
          <cell r="W1752">
            <v>0</v>
          </cell>
          <cell r="X1752" t="str">
            <v>EST CADEIRA QUERO QUERO (C FORN OLD RUSTY) WALNUT MATT - 0,49x0,54x0,8H</v>
          </cell>
          <cell r="Y1752">
            <v>7210.0640000000003</v>
          </cell>
          <cell r="Z1752">
            <v>0.35</v>
          </cell>
          <cell r="AA1752">
            <v>4686.5416000000005</v>
          </cell>
          <cell r="AB1752"/>
        </row>
        <row r="1753">
          <cell r="C1753">
            <v>1</v>
          </cell>
          <cell r="D1753">
            <v>0</v>
          </cell>
          <cell r="E1753">
            <v>0</v>
          </cell>
          <cell r="F1753">
            <v>0</v>
          </cell>
          <cell r="H1753">
            <v>0</v>
          </cell>
          <cell r="O1753">
            <v>374354</v>
          </cell>
          <cell r="P1753" t="str">
            <v xml:space="preserve">2024/026-0017-01 </v>
          </cell>
          <cell r="Q1753" t="str">
            <v>EST CHAISE HIMALAYA (RED) (CLA) (DB3001) NOG TC FAVOLA 052</v>
          </cell>
          <cell r="R1753"/>
          <cell r="S1753"/>
          <cell r="T1753">
            <v>1.6</v>
          </cell>
          <cell r="U1753">
            <v>0</v>
          </cell>
          <cell r="V1753">
            <v>0.74</v>
          </cell>
          <cell r="W1753">
            <v>1.6</v>
          </cell>
          <cell r="X1753" t="str">
            <v>EST CHAISE HIMALAYA (RED) (CLA) (DB3001) NOG TC FAVOLA 052 - Ø1,6x0,74H</v>
          </cell>
          <cell r="Y1753">
            <v>37459.807499999995</v>
          </cell>
          <cell r="Z1753">
            <v>0.35</v>
          </cell>
          <cell r="AA1753">
            <v>24348.874874999998</v>
          </cell>
          <cell r="AB1753"/>
        </row>
        <row r="1754">
          <cell r="C1754">
            <v>2</v>
          </cell>
          <cell r="D1754">
            <v>0</v>
          </cell>
          <cell r="E1754">
            <v>0</v>
          </cell>
          <cell r="F1754">
            <v>0</v>
          </cell>
          <cell r="H1754">
            <v>0</v>
          </cell>
          <cell r="O1754">
            <v>374360</v>
          </cell>
          <cell r="P1754" t="str">
            <v>2024/026-0023-01</v>
          </cell>
          <cell r="Q1754" t="str">
            <v>EST POLTRONA HIMALAYA (ESTAR) (CLA) (DB3001/NOG) FZE TALLIN</v>
          </cell>
          <cell r="R1754"/>
          <cell r="S1754"/>
          <cell r="T1754">
            <v>0.7</v>
          </cell>
          <cell r="U1754">
            <v>0.7</v>
          </cell>
          <cell r="V1754">
            <v>0.73</v>
          </cell>
          <cell r="W1754">
            <v>0</v>
          </cell>
          <cell r="X1754" t="str">
            <v>EST POLTRONA HIMALAYA (ESTAR) (CLA) (DB3001/NOG) FZE TALLIN - 0,7x0,7x0,73H</v>
          </cell>
          <cell r="Y1754">
            <v>10754.835000000001</v>
          </cell>
          <cell r="Z1754">
            <v>0.35</v>
          </cell>
          <cell r="AA1754">
            <v>6990.6427500000009</v>
          </cell>
          <cell r="AB1754"/>
        </row>
        <row r="1755">
          <cell r="C1755">
            <v>2</v>
          </cell>
          <cell r="D1755">
            <v>0</v>
          </cell>
          <cell r="E1755">
            <v>0</v>
          </cell>
          <cell r="F1755">
            <v>0</v>
          </cell>
          <cell r="H1755">
            <v>0</v>
          </cell>
          <cell r="O1755">
            <v>374360</v>
          </cell>
          <cell r="P1755" t="str">
            <v>2024/026-0024-01</v>
          </cell>
          <cell r="Q1755" t="str">
            <v>EST POLTRONA HIMALAYA (ESTAR) (CLA) (DB3001/NOG) FZE TALLIN</v>
          </cell>
          <cell r="R1755"/>
          <cell r="S1755"/>
          <cell r="T1755">
            <v>0.7</v>
          </cell>
          <cell r="U1755">
            <v>0.7</v>
          </cell>
          <cell r="V1755">
            <v>0.73</v>
          </cell>
          <cell r="W1755">
            <v>0</v>
          </cell>
          <cell r="X1755" t="str">
            <v>EST POLTRONA HIMALAYA (ESTAR) (CLA) (DB3001/NOG) FZE TALLIN - 0,7x0,7x0,73H</v>
          </cell>
          <cell r="Y1755">
            <v>10754.835000000001</v>
          </cell>
          <cell r="Z1755">
            <v>0.35</v>
          </cell>
          <cell r="AA1755">
            <v>6990.6427500000009</v>
          </cell>
          <cell r="AB1755"/>
        </row>
        <row r="1756">
          <cell r="C1756">
            <v>1</v>
          </cell>
          <cell r="D1756">
            <v>0</v>
          </cell>
          <cell r="E1756">
            <v>0</v>
          </cell>
          <cell r="F1756">
            <v>1</v>
          </cell>
          <cell r="H1756">
            <v>0</v>
          </cell>
          <cell r="O1756">
            <v>374361</v>
          </cell>
          <cell r="P1756" t="str">
            <v>2024/026-0025-01</v>
          </cell>
          <cell r="Q1756" t="str">
            <v>EST ALMOFADA DECORATIVA HIMALAYA (P) (SOFT) FIRENZE TALLIN</v>
          </cell>
          <cell r="R1756"/>
          <cell r="S1756"/>
          <cell r="T1756">
            <v>0.5</v>
          </cell>
          <cell r="U1756">
            <v>0.33</v>
          </cell>
          <cell r="V1756">
            <v>7.0000000000000007E-2</v>
          </cell>
          <cell r="W1756">
            <v>0</v>
          </cell>
          <cell r="X1756" t="str">
            <v>EST ALMOFADA DECORATIVA HIMALAYA (P) (SOFT) FIRENZE TALLIN - 0,5x0,33x0,07H</v>
          </cell>
          <cell r="Y1756">
            <v>1695.5190000000002</v>
          </cell>
          <cell r="Z1756">
            <v>0.35</v>
          </cell>
          <cell r="AA1756">
            <v>1102.0873500000002</v>
          </cell>
          <cell r="AB1756"/>
        </row>
        <row r="1757">
          <cell r="C1757">
            <v>6</v>
          </cell>
          <cell r="D1757">
            <v>0</v>
          </cell>
          <cell r="E1757">
            <v>0</v>
          </cell>
          <cell r="F1757">
            <v>0</v>
          </cell>
          <cell r="H1757">
            <v>0</v>
          </cell>
          <cell r="O1757">
            <v>374369</v>
          </cell>
          <cell r="P1757" t="str">
            <v>2024/026-0047-01</v>
          </cell>
          <cell r="Q1757" t="str">
            <v>EST CADEIRA HIMALAYA C/B (CLA) (C3006/DB) AMEND/NOG</v>
          </cell>
          <cell r="R1757"/>
          <cell r="S1757"/>
          <cell r="T1757">
            <v>0.6</v>
          </cell>
          <cell r="U1757">
            <v>0.52</v>
          </cell>
          <cell r="V1757">
            <v>0.76</v>
          </cell>
          <cell r="W1757">
            <v>0</v>
          </cell>
          <cell r="X1757" t="str">
            <v>EST CADEIRA HIMALAYA C/B (CLA) (C3006/DB) AMEND/NOG - 0,6x0,52x0,76H</v>
          </cell>
          <cell r="Y1757">
            <v>9846.810300000001</v>
          </cell>
          <cell r="Z1757">
            <v>0.35</v>
          </cell>
          <cell r="AA1757">
            <v>6400.426695000001</v>
          </cell>
          <cell r="AB1757"/>
        </row>
        <row r="1758">
          <cell r="C1758">
            <v>6</v>
          </cell>
          <cell r="D1758">
            <v>0</v>
          </cell>
          <cell r="E1758">
            <v>0</v>
          </cell>
          <cell r="F1758">
            <v>0</v>
          </cell>
          <cell r="H1758">
            <v>0</v>
          </cell>
          <cell r="O1758">
            <v>374369</v>
          </cell>
          <cell r="P1758" t="str">
            <v>2024/026-0048-01</v>
          </cell>
          <cell r="Q1758" t="str">
            <v>EST CADEIRA HIMALAYA C/B (CLA) (C3006/DB) AMEND/NOG</v>
          </cell>
          <cell r="R1758"/>
          <cell r="S1758"/>
          <cell r="T1758">
            <v>0.6</v>
          </cell>
          <cell r="U1758">
            <v>0.52</v>
          </cell>
          <cell r="V1758">
            <v>0.76</v>
          </cell>
          <cell r="W1758">
            <v>0</v>
          </cell>
          <cell r="X1758" t="str">
            <v>EST CADEIRA HIMALAYA C/B (CLA) (C3006/DB) AMEND/NOG - 0,6x0,52x0,76H</v>
          </cell>
          <cell r="Y1758">
            <v>9846.810300000001</v>
          </cell>
          <cell r="Z1758">
            <v>0.35</v>
          </cell>
          <cell r="AA1758">
            <v>6400.426695000001</v>
          </cell>
          <cell r="AB1758"/>
        </row>
        <row r="1759">
          <cell r="C1759">
            <v>6</v>
          </cell>
          <cell r="D1759">
            <v>0</v>
          </cell>
          <cell r="E1759">
            <v>0</v>
          </cell>
          <cell r="F1759">
            <v>0</v>
          </cell>
          <cell r="H1759">
            <v>0</v>
          </cell>
          <cell r="O1759">
            <v>374369</v>
          </cell>
          <cell r="P1759" t="str">
            <v>2024/026-0049-01</v>
          </cell>
          <cell r="Q1759" t="str">
            <v>EST CADEIRA HIMALAYA C/B (CLA) (C3006/DB) AMEND/NOG</v>
          </cell>
          <cell r="R1759"/>
          <cell r="S1759"/>
          <cell r="T1759">
            <v>0.6</v>
          </cell>
          <cell r="U1759">
            <v>0.52</v>
          </cell>
          <cell r="V1759">
            <v>0.76</v>
          </cell>
          <cell r="W1759">
            <v>0</v>
          </cell>
          <cell r="X1759" t="str">
            <v>EST CADEIRA HIMALAYA C/B (CLA) (C3006/DB) AMEND/NOG - 0,6x0,52x0,76H</v>
          </cell>
          <cell r="Y1759">
            <v>9846.810300000001</v>
          </cell>
          <cell r="Z1759">
            <v>0.35</v>
          </cell>
          <cell r="AA1759">
            <v>6400.426695000001</v>
          </cell>
          <cell r="AB1759"/>
        </row>
        <row r="1760">
          <cell r="C1760">
            <v>6</v>
          </cell>
          <cell r="D1760">
            <v>0</v>
          </cell>
          <cell r="E1760">
            <v>0</v>
          </cell>
          <cell r="F1760">
            <v>0</v>
          </cell>
          <cell r="H1760">
            <v>0</v>
          </cell>
          <cell r="O1760">
            <v>374369</v>
          </cell>
          <cell r="P1760" t="str">
            <v>2024/026-0050-01</v>
          </cell>
          <cell r="Q1760" t="str">
            <v>EST CADEIRA HIMALAYA C/B (CLA) (C3006/DB) AMEND/NOG</v>
          </cell>
          <cell r="R1760"/>
          <cell r="S1760"/>
          <cell r="T1760">
            <v>0.6</v>
          </cell>
          <cell r="U1760">
            <v>0.52</v>
          </cell>
          <cell r="V1760">
            <v>0.76</v>
          </cell>
          <cell r="W1760">
            <v>0</v>
          </cell>
          <cell r="X1760" t="str">
            <v>EST CADEIRA HIMALAYA C/B (CLA) (C3006/DB) AMEND/NOG - 0,6x0,52x0,76H</v>
          </cell>
          <cell r="Y1760">
            <v>9846.810300000001</v>
          </cell>
          <cell r="Z1760">
            <v>0.35</v>
          </cell>
          <cell r="AA1760">
            <v>6400.426695000001</v>
          </cell>
          <cell r="AB1760"/>
        </row>
        <row r="1761">
          <cell r="C1761">
            <v>6</v>
          </cell>
          <cell r="D1761">
            <v>0</v>
          </cell>
          <cell r="E1761">
            <v>0</v>
          </cell>
          <cell r="F1761">
            <v>0</v>
          </cell>
          <cell r="H1761">
            <v>0</v>
          </cell>
          <cell r="O1761">
            <v>374369</v>
          </cell>
          <cell r="P1761" t="str">
            <v>2024/026-0051-01</v>
          </cell>
          <cell r="Q1761" t="str">
            <v>EST CADEIRA HIMALAYA C/B (CLA) (C3006/DB) AMEND/NOG</v>
          </cell>
          <cell r="R1761"/>
          <cell r="S1761"/>
          <cell r="T1761">
            <v>0.6</v>
          </cell>
          <cell r="U1761">
            <v>0.52</v>
          </cell>
          <cell r="V1761">
            <v>0.76</v>
          </cell>
          <cell r="W1761">
            <v>0</v>
          </cell>
          <cell r="X1761" t="str">
            <v>EST CADEIRA HIMALAYA C/B (CLA) (C3006/DB) AMEND/NOG - 0,6x0,52x0,76H</v>
          </cell>
          <cell r="Y1761">
            <v>9846.810300000001</v>
          </cell>
          <cell r="Z1761">
            <v>0.35</v>
          </cell>
          <cell r="AA1761">
            <v>6400.426695000001</v>
          </cell>
          <cell r="AB1761"/>
        </row>
        <row r="1762">
          <cell r="C1762">
            <v>6</v>
          </cell>
          <cell r="D1762">
            <v>0</v>
          </cell>
          <cell r="E1762">
            <v>0</v>
          </cell>
          <cell r="F1762">
            <v>0</v>
          </cell>
          <cell r="H1762">
            <v>0</v>
          </cell>
          <cell r="O1762">
            <v>374369</v>
          </cell>
          <cell r="P1762" t="str">
            <v>2024/026-0052-01</v>
          </cell>
          <cell r="Q1762" t="str">
            <v>EST CADEIRA HIMALAYA C/B (CLA) (C3006/DB) AMEND/NOG</v>
          </cell>
          <cell r="R1762"/>
          <cell r="S1762"/>
          <cell r="T1762">
            <v>0.6</v>
          </cell>
          <cell r="U1762">
            <v>0.52</v>
          </cell>
          <cell r="V1762">
            <v>0.76</v>
          </cell>
          <cell r="W1762">
            <v>0</v>
          </cell>
          <cell r="X1762" t="str">
            <v>EST CADEIRA HIMALAYA C/B (CLA) (C3006/DB) AMEND/NOG - 0,6x0,52x0,76H</v>
          </cell>
          <cell r="Y1762">
            <v>9846.810300000001</v>
          </cell>
          <cell r="Z1762">
            <v>0.35</v>
          </cell>
          <cell r="AA1762">
            <v>6400.426695000001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</v>
          </cell>
          <cell r="O1763">
            <v>378924</v>
          </cell>
          <cell r="P1763" t="str">
            <v>2024/065-0085-01</v>
          </cell>
          <cell r="Q1763" t="str">
            <v>EST MESA CENTRO HIMALAYA VITRINE (CLEAR) (LAM2 PFERRO) NOGAL</v>
          </cell>
          <cell r="R1763"/>
          <cell r="S1763"/>
          <cell r="T1763">
            <v>1.05</v>
          </cell>
          <cell r="U1763">
            <v>1.05</v>
          </cell>
          <cell r="V1763">
            <v>0.31</v>
          </cell>
          <cell r="W1763">
            <v>0</v>
          </cell>
          <cell r="X1763" t="str">
            <v>EST MESA CENTRO HIMALAYA VITRINE (CLEAR) (LAM2 PFERRO) NOGAL - 1,05x1,05x0,31H</v>
          </cell>
          <cell r="Y1763">
            <v>39278.04</v>
          </cell>
          <cell r="Z1763">
            <v>0.35</v>
          </cell>
          <cell r="AA1763">
            <v>25530.726000000002</v>
          </cell>
          <cell r="AB1763"/>
        </row>
        <row r="1764">
          <cell r="C1764">
            <v>2</v>
          </cell>
          <cell r="D1764">
            <v>0</v>
          </cell>
          <cell r="E1764">
            <v>0</v>
          </cell>
          <cell r="F1764">
            <v>0</v>
          </cell>
          <cell r="H1764">
            <v>0</v>
          </cell>
          <cell r="O1764">
            <v>402444</v>
          </cell>
          <cell r="P1764" t="str">
            <v>2025/105-0007-01</v>
          </cell>
          <cell r="Q1764" t="str">
            <v>EST MESA LATERAL PIN (NATURE MATT) (DET PINT CORTEN)</v>
          </cell>
          <cell r="R1764"/>
          <cell r="S1764"/>
          <cell r="T1764">
            <v>0.35</v>
          </cell>
          <cell r="U1764">
            <v>0</v>
          </cell>
          <cell r="V1764">
            <v>0.52</v>
          </cell>
          <cell r="W1764">
            <v>0.35</v>
          </cell>
          <cell r="X1764" t="str">
            <v>EST MESA LATERAL PIN (NATURE MATT) (DET PINT CORTEN) - Ø0,35x0,52H</v>
          </cell>
          <cell r="Y1764">
            <v>5384.51</v>
          </cell>
          <cell r="Z1764">
            <v>0.35</v>
          </cell>
          <cell r="AA1764">
            <v>3499.9315000000006</v>
          </cell>
          <cell r="AB1764"/>
        </row>
        <row r="1765">
          <cell r="C1765">
            <v>2</v>
          </cell>
          <cell r="D1765">
            <v>0</v>
          </cell>
          <cell r="E1765">
            <v>0</v>
          </cell>
          <cell r="F1765">
            <v>0</v>
          </cell>
          <cell r="H1765">
            <v>0</v>
          </cell>
          <cell r="O1765">
            <v>402444</v>
          </cell>
          <cell r="P1765" t="str">
            <v>2025/105-0008-01</v>
          </cell>
          <cell r="Q1765" t="str">
            <v>EST MESA LATERAL PIN (NATURE MATT) (DET PINT CORTEN)</v>
          </cell>
          <cell r="R1765"/>
          <cell r="S1765"/>
          <cell r="T1765">
            <v>0.35</v>
          </cell>
          <cell r="U1765">
            <v>0</v>
          </cell>
          <cell r="V1765">
            <v>0.52</v>
          </cell>
          <cell r="W1765">
            <v>0.35</v>
          </cell>
          <cell r="X1765" t="str">
            <v>EST MESA LATERAL PIN (NATURE MATT) (DET PINT CORTEN) - Ø0,35x0,52H</v>
          </cell>
          <cell r="Y1765">
            <v>5384.51</v>
          </cell>
          <cell r="Z1765">
            <v>0.35</v>
          </cell>
          <cell r="AA1765">
            <v>3499.9315000000006</v>
          </cell>
          <cell r="AB1765"/>
        </row>
        <row r="1766">
          <cell r="C1766">
            <v>1</v>
          </cell>
          <cell r="D1766">
            <v>1</v>
          </cell>
          <cell r="E1766">
            <v>0</v>
          </cell>
          <cell r="F1766">
            <v>0</v>
          </cell>
          <cell r="H1766">
            <v>0</v>
          </cell>
          <cell r="O1766">
            <v>405718</v>
          </cell>
          <cell r="P1766" t="str">
            <v>2025/154-0090-01</v>
          </cell>
          <cell r="Q1766" t="str">
            <v>EST MESA LATERAL COLOMBINA (TAMPO MARCHETARIA) NATURE MATT</v>
          </cell>
          <cell r="R1766"/>
          <cell r="S1766"/>
          <cell r="T1766">
            <v>0.51</v>
          </cell>
          <cell r="U1766">
            <v>0.51</v>
          </cell>
          <cell r="V1766">
            <v>0.43</v>
          </cell>
          <cell r="W1766">
            <v>0</v>
          </cell>
          <cell r="X1766" t="str">
            <v>EST MESA LATERAL COLOMBINA (TAMPO MARCHETARIA) NATURE MATT - 0,51x0,51x0,43H</v>
          </cell>
          <cell r="Y1766">
            <v>5270.09</v>
          </cell>
          <cell r="Z1766">
            <v>0.35</v>
          </cell>
          <cell r="AA1766">
            <v>3425.5585000000001</v>
          </cell>
          <cell r="AB1766"/>
        </row>
        <row r="1767">
          <cell r="C1767">
            <v>1</v>
          </cell>
          <cell r="D1767">
            <v>1</v>
          </cell>
          <cell r="E1767">
            <v>0</v>
          </cell>
          <cell r="F1767">
            <v>0</v>
          </cell>
          <cell r="H1767">
            <v>0</v>
          </cell>
          <cell r="O1767">
            <v>405720</v>
          </cell>
          <cell r="P1767" t="str">
            <v>2025/154-0093-01</v>
          </cell>
          <cell r="Q1767" t="str">
            <v>EST MESA LATERAL COLOMBINA (TAMPO MARCHETARIA) NATURE MATT</v>
          </cell>
          <cell r="R1767"/>
          <cell r="S1767"/>
          <cell r="T1767">
            <v>0.61</v>
          </cell>
          <cell r="U1767">
            <v>0.61</v>
          </cell>
          <cell r="V1767">
            <v>0.5</v>
          </cell>
          <cell r="W1767">
            <v>0</v>
          </cell>
          <cell r="X1767" t="str">
            <v>EST MESA LATERAL COLOMBINA (TAMPO MARCHETARIA) NATURE MATT - 0,61x0,61x0,5H</v>
          </cell>
          <cell r="Y1767">
            <v>5651.61</v>
          </cell>
          <cell r="Z1767">
            <v>0.35</v>
          </cell>
          <cell r="AA1767">
            <v>3673.5464999999999</v>
          </cell>
          <cell r="AB1767"/>
        </row>
        <row r="1768">
          <cell r="C1768">
            <v>1</v>
          </cell>
          <cell r="D1768">
            <v>0</v>
          </cell>
          <cell r="E1768">
            <v>0</v>
          </cell>
          <cell r="F1768">
            <v>1</v>
          </cell>
          <cell r="H1768">
            <v>0</v>
          </cell>
          <cell r="O1768">
            <v>405723</v>
          </cell>
          <cell r="P1768" t="str">
            <v>2025/154-0097-01</v>
          </cell>
          <cell r="Q1768" t="str">
            <v>EST MESA CENTRO GROTA (TAMPO LISO) WALNUT MATT</v>
          </cell>
          <cell r="R1768"/>
          <cell r="S1768"/>
          <cell r="T1768">
            <v>1.82</v>
          </cell>
          <cell r="U1768">
            <v>0.72</v>
          </cell>
          <cell r="V1768">
            <v>0.18</v>
          </cell>
          <cell r="W1768">
            <v>0</v>
          </cell>
          <cell r="X1768" t="str">
            <v>EST MESA CENTRO GROTA (TAMPO LISO) WALNUT MATT - 1,82x0,72x0,18H</v>
          </cell>
          <cell r="Y1768">
            <v>13625.88</v>
          </cell>
          <cell r="Z1768">
            <v>0.35</v>
          </cell>
          <cell r="AA1768">
            <v>8856.8220000000001</v>
          </cell>
          <cell r="AB1768"/>
        </row>
        <row r="1769">
          <cell r="C1769">
            <v>1</v>
          </cell>
          <cell r="D1769">
            <v>1</v>
          </cell>
          <cell r="E1769">
            <v>0</v>
          </cell>
          <cell r="F1769">
            <v>0</v>
          </cell>
          <cell r="H1769">
            <v>0</v>
          </cell>
          <cell r="O1769">
            <v>405726</v>
          </cell>
          <cell r="P1769" t="str">
            <v>2025/154-0103-01</v>
          </cell>
          <cell r="Q1769" t="str">
            <v>EST MESA LATERAL SATELITE (WALNUT MATT) PINT CORTEN</v>
          </cell>
          <cell r="R1769"/>
          <cell r="S1769"/>
          <cell r="T1769">
            <v>0.41</v>
          </cell>
          <cell r="U1769">
            <v>0.27</v>
          </cell>
          <cell r="V1769">
            <v>0.35</v>
          </cell>
          <cell r="W1769">
            <v>0</v>
          </cell>
          <cell r="X1769" t="str">
            <v>EST MESA LATERAL SATELITE (WALNUT MATT) PINT CORTEN - 0,41x0,27x0,35H</v>
          </cell>
          <cell r="Y1769">
            <v>4597.6000000000004</v>
          </cell>
          <cell r="Z1769">
            <v>0.35</v>
          </cell>
          <cell r="AA1769">
            <v>2988.4400000000005</v>
          </cell>
          <cell r="AB1769"/>
        </row>
        <row r="1770">
          <cell r="C1770">
            <v>1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405728</v>
          </cell>
          <cell r="P1770" t="str">
            <v>2025/154-0107-01</v>
          </cell>
          <cell r="Q1770" t="str">
            <v>EST MESA LATERAL SATELITE (WALNUT MATT) PINT CORTEN</v>
          </cell>
          <cell r="R1770"/>
          <cell r="S1770"/>
          <cell r="T1770">
            <v>0.41</v>
          </cell>
          <cell r="U1770">
            <v>0.27</v>
          </cell>
          <cell r="V1770">
            <v>0.5</v>
          </cell>
          <cell r="W1770">
            <v>0</v>
          </cell>
          <cell r="X1770" t="str">
            <v>EST MESA LATERAL SATELITE (WALNUT MATT) PINT CORTEN - 0,41x0,27x0,5H</v>
          </cell>
          <cell r="Y1770">
            <v>4831.28</v>
          </cell>
          <cell r="Z1770">
            <v>0.35</v>
          </cell>
          <cell r="AA1770">
            <v>3140.3319999999999</v>
          </cell>
          <cell r="AB1770"/>
        </row>
        <row r="1771">
          <cell r="C1771">
            <v>1</v>
          </cell>
          <cell r="D1771">
            <v>1</v>
          </cell>
          <cell r="E1771">
            <v>2</v>
          </cell>
          <cell r="F1771">
            <v>0</v>
          </cell>
          <cell r="H1771">
            <v>0</v>
          </cell>
          <cell r="O1771">
            <v>270433</v>
          </cell>
          <cell r="P1771" t="str">
            <v>2020/353-0127-01</v>
          </cell>
          <cell r="Q1771" t="str">
            <v>EST CADEIRA MEDALHINHA C/B (FREIJO) (RATTAN ABERTA ENV)</v>
          </cell>
          <cell r="R1771"/>
          <cell r="S1771"/>
          <cell r="T1771">
            <v>0.6</v>
          </cell>
          <cell r="U1771">
            <v>0.61</v>
          </cell>
          <cell r="V1771">
            <v>0.82</v>
          </cell>
          <cell r="W1771">
            <v>0</v>
          </cell>
          <cell r="X1771" t="str">
            <v>EST CADEIRA MEDALHINHA C/B (FREIJO) (RATTAN ABERTA ENV) - 0,6x0,61x0,82H</v>
          </cell>
          <cell r="Y1771">
            <v>10528.09</v>
          </cell>
          <cell r="Z1771">
            <v>0.35</v>
          </cell>
          <cell r="AA1771">
            <v>6843.2584999999999</v>
          </cell>
          <cell r="AB1771"/>
        </row>
        <row r="1772">
          <cell r="C1772">
            <v>1</v>
          </cell>
          <cell r="D1772">
            <v>1</v>
          </cell>
          <cell r="E1772">
            <v>2</v>
          </cell>
          <cell r="F1772">
            <v>0</v>
          </cell>
          <cell r="H1772">
            <v>0</v>
          </cell>
          <cell r="O1772">
            <v>270433</v>
          </cell>
          <cell r="P1772" t="str">
            <v>2020/353-0129-01</v>
          </cell>
          <cell r="Q1772" t="str">
            <v>EST CADEIRA MEDALHINHA C/B (FREIJO) (RATTAN ABERTA ENV)</v>
          </cell>
          <cell r="R1772"/>
          <cell r="S1772"/>
          <cell r="T1772">
            <v>0.6</v>
          </cell>
          <cell r="U1772">
            <v>0.61</v>
          </cell>
          <cell r="V1772">
            <v>0.82</v>
          </cell>
          <cell r="W1772">
            <v>0</v>
          </cell>
          <cell r="X1772" t="str">
            <v>EST CADEIRA MEDALHINHA C/B (FREIJO) (RATTAN ABERTA ENV) - 0,6x0,61x0,82H</v>
          </cell>
          <cell r="Y1772">
            <v>10528.09</v>
          </cell>
          <cell r="Z1772">
            <v>0.35</v>
          </cell>
          <cell r="AA1772">
            <v>6843.2584999999999</v>
          </cell>
          <cell r="AB1772"/>
        </row>
        <row r="1773">
          <cell r="C1773">
            <v>0</v>
          </cell>
          <cell r="D1773">
            <v>0</v>
          </cell>
          <cell r="E1773">
            <v>1</v>
          </cell>
          <cell r="F1773">
            <v>0</v>
          </cell>
          <cell r="H1773">
            <v>0</v>
          </cell>
          <cell r="O1773">
            <v>336718</v>
          </cell>
          <cell r="P1773" t="str">
            <v>2022/237-0040-01</v>
          </cell>
          <cell r="Q1773" t="str">
            <v>EST MOVEL BAR HOLLIE (JEQ FENDI) (TP REC PRETO) (PRETO TXT)</v>
          </cell>
          <cell r="R1773"/>
          <cell r="S1773"/>
          <cell r="T1773">
            <v>1</v>
          </cell>
          <cell r="U1773">
            <v>0.55000000000000004</v>
          </cell>
          <cell r="V1773">
            <v>0.8</v>
          </cell>
          <cell r="W1773">
            <v>0</v>
          </cell>
          <cell r="X1773" t="str">
            <v>EST MOVEL BAR HOLLIE (JEQ FENDI) (TP REC PRETO) (PRETO TXT) - 1x0,55x0,8H</v>
          </cell>
          <cell r="Y1773">
            <v>22688.51</v>
          </cell>
          <cell r="Z1773">
            <v>0.35</v>
          </cell>
          <cell r="AA1773">
            <v>14747.531499999999</v>
          </cell>
          <cell r="AB1773"/>
        </row>
        <row r="1774">
          <cell r="C1774">
            <v>0</v>
          </cell>
          <cell r="D1774">
            <v>0</v>
          </cell>
          <cell r="E1774">
            <v>1</v>
          </cell>
          <cell r="F1774">
            <v>1</v>
          </cell>
          <cell r="H1774">
            <v>0</v>
          </cell>
          <cell r="O1774">
            <v>364309</v>
          </cell>
          <cell r="P1774" t="str">
            <v>2023/152-0044-01</v>
          </cell>
          <cell r="Q1774" t="str">
            <v>EST CADEIRA CACAU C/BRACO (NOGAL) (LATAO) TC 1000 - 1316</v>
          </cell>
          <cell r="R1774"/>
          <cell r="S1774"/>
          <cell r="T1774">
            <v>0.61</v>
          </cell>
          <cell r="U1774">
            <v>0.61</v>
          </cell>
          <cell r="V1774">
            <v>0.84</v>
          </cell>
          <cell r="W1774">
            <v>0</v>
          </cell>
          <cell r="X1774" t="str">
            <v>EST CADEIRA CACAU C/BRACO (NOGAL) (LATAO) TC 1000 - 1316 - 0,61x0,61x0,84H</v>
          </cell>
          <cell r="Y1774">
            <v>6616.15</v>
          </cell>
          <cell r="Z1774">
            <v>0.35</v>
          </cell>
          <cell r="AA1774">
            <v>4300.4974999999995</v>
          </cell>
          <cell r="AB1774"/>
        </row>
        <row r="1775">
          <cell r="C1775">
            <v>0</v>
          </cell>
          <cell r="D1775">
            <v>0</v>
          </cell>
          <cell r="E1775">
            <v>1</v>
          </cell>
          <cell r="F1775">
            <v>0</v>
          </cell>
          <cell r="H1775">
            <v>0</v>
          </cell>
          <cell r="O1775">
            <v>371702</v>
          </cell>
          <cell r="P1775" t="str">
            <v>2023/234-0039-01</v>
          </cell>
          <cell r="Q1775" t="str">
            <v>EST POLTRONA YUMI (JEQ IMBUIA CLARO) COURO FIRENZE ENG PUB</v>
          </cell>
          <cell r="R1775"/>
          <cell r="S1775"/>
          <cell r="T1775">
            <v>1.1599999999999999</v>
          </cell>
          <cell r="U1775">
            <v>0.86</v>
          </cell>
          <cell r="V1775">
            <v>0.84</v>
          </cell>
          <cell r="W1775">
            <v>0</v>
          </cell>
          <cell r="X1775" t="str">
            <v>EST POLTRONA YUMI (JEQ IMBUIA CLARO) COURO FIRENZE ENG PUB - 1,16x0,86x0,84H</v>
          </cell>
          <cell r="Y1775">
            <v>23532.5</v>
          </cell>
          <cell r="Z1775">
            <v>0.35</v>
          </cell>
          <cell r="AA1775">
            <v>15296.125</v>
          </cell>
          <cell r="AB1775"/>
        </row>
        <row r="1776">
          <cell r="C1776">
            <v>0</v>
          </cell>
          <cell r="D1776">
            <v>0</v>
          </cell>
          <cell r="E1776">
            <v>1</v>
          </cell>
          <cell r="F1776">
            <v>0</v>
          </cell>
          <cell r="H1776">
            <v>0</v>
          </cell>
          <cell r="O1776">
            <v>371704</v>
          </cell>
          <cell r="P1776" t="str">
            <v>2023/234-0040-01</v>
          </cell>
          <cell r="Q1776" t="str">
            <v>EST BANQUETA YUMI (JEQ IMBUIA CLARO) COURO FIRENZE ENG PUB</v>
          </cell>
          <cell r="R1776"/>
          <cell r="S1776"/>
          <cell r="T1776">
            <v>0.69</v>
          </cell>
          <cell r="U1776">
            <v>0.53</v>
          </cell>
          <cell r="V1776">
            <v>0.4</v>
          </cell>
          <cell r="W1776">
            <v>0</v>
          </cell>
          <cell r="X1776" t="str">
            <v>EST BANQUETA YUMI (JEQ IMBUIA CLARO) COURO FIRENZE ENG PUB - 0,69x0,53x0,4H</v>
          </cell>
          <cell r="Y1776">
            <v>7613.9859999999999</v>
          </cell>
          <cell r="Z1776">
            <v>0.35</v>
          </cell>
          <cell r="AA1776">
            <v>4949.0909000000001</v>
          </cell>
          <cell r="AB1776"/>
        </row>
        <row r="1777">
          <cell r="C1777">
            <v>0</v>
          </cell>
          <cell r="D1777">
            <v>0</v>
          </cell>
          <cell r="E1777">
            <v>1</v>
          </cell>
          <cell r="F1777">
            <v>0</v>
          </cell>
          <cell r="H1777">
            <v>0</v>
          </cell>
          <cell r="O1777">
            <v>404445</v>
          </cell>
          <cell r="P1777" t="str">
            <v>2025/132-0137-01</v>
          </cell>
          <cell r="Q1777" t="str">
            <v>EST MESA JANTAR AURORA (TPO CHANF LAM FREIJO TNZ) BS LAMINDA</v>
          </cell>
          <cell r="R1777"/>
          <cell r="S1777"/>
          <cell r="T1777">
            <v>2.8</v>
          </cell>
          <cell r="U1777">
            <v>1.2</v>
          </cell>
          <cell r="V1777">
            <v>0.75</v>
          </cell>
          <cell r="W1777">
            <v>0</v>
          </cell>
          <cell r="X1777" t="str">
            <v>EST MESA JANTAR AURORA (TPO CHANF LAM FREIJO TNZ) BS LAMINDA - 2,8x1,2x0,75H</v>
          </cell>
          <cell r="Y1777">
            <v>51591.628000000004</v>
          </cell>
          <cell r="Z1777">
            <v>0.35</v>
          </cell>
          <cell r="AA1777">
            <v>33534.558199999999</v>
          </cell>
          <cell r="AB1777"/>
        </row>
        <row r="1778">
          <cell r="C1778">
            <v>1</v>
          </cell>
          <cell r="D1778">
            <v>0</v>
          </cell>
          <cell r="E1778">
            <v>1</v>
          </cell>
          <cell r="F1778">
            <v>0</v>
          </cell>
          <cell r="H1778">
            <v>1</v>
          </cell>
          <cell r="O1778">
            <v>404587</v>
          </cell>
          <cell r="P1778" t="str">
            <v>2025/154-0025-01</v>
          </cell>
          <cell r="Q1778" t="str">
            <v>EST CHAISE BELLAGIO (ALU C24 | CORD V01)</v>
          </cell>
          <cell r="R1778"/>
          <cell r="S1778"/>
          <cell r="T1778">
            <v>1.7</v>
          </cell>
          <cell r="U1778">
            <v>0.7</v>
          </cell>
          <cell r="V1778">
            <v>0.66</v>
          </cell>
          <cell r="W1778">
            <v>0</v>
          </cell>
          <cell r="X1778" t="str">
            <v>EST CHAISE BELLAGIO (ALU C24 | CORD V01) - 1,7x0,7x0,66H</v>
          </cell>
          <cell r="Y1778">
            <v>14625.32</v>
          </cell>
          <cell r="Z1778">
            <v>0.35</v>
          </cell>
          <cell r="AA1778">
            <v>9506.4580000000005</v>
          </cell>
          <cell r="AB1778"/>
        </row>
        <row r="1779">
          <cell r="C1779">
            <v>1</v>
          </cell>
          <cell r="D1779">
            <v>0</v>
          </cell>
          <cell r="E1779">
            <v>1</v>
          </cell>
          <cell r="F1779">
            <v>0</v>
          </cell>
          <cell r="H1779">
            <v>1</v>
          </cell>
          <cell r="O1779">
            <v>404587</v>
          </cell>
          <cell r="P1779" t="str">
            <v>2025/154-0026-01</v>
          </cell>
          <cell r="Q1779" t="str">
            <v>EST CHAISE BELLAGIO (ALU C24 | CORD V01)</v>
          </cell>
          <cell r="R1779"/>
          <cell r="S1779"/>
          <cell r="T1779">
            <v>1.7</v>
          </cell>
          <cell r="U1779">
            <v>0.7</v>
          </cell>
          <cell r="V1779">
            <v>0.66</v>
          </cell>
          <cell r="W1779">
            <v>0</v>
          </cell>
          <cell r="X1779" t="str">
            <v>EST CHAISE BELLAGIO (ALU C24 | CORD V01) - 1,7x0,7x0,66H</v>
          </cell>
          <cell r="Y1779">
            <v>14625.32</v>
          </cell>
          <cell r="Z1779">
            <v>0.35</v>
          </cell>
          <cell r="AA1779">
            <v>9506.4580000000005</v>
          </cell>
          <cell r="AB1779"/>
        </row>
        <row r="1780">
          <cell r="C1780">
            <v>0</v>
          </cell>
          <cell r="D1780">
            <v>0</v>
          </cell>
          <cell r="E1780">
            <v>1</v>
          </cell>
          <cell r="F1780">
            <v>0</v>
          </cell>
          <cell r="H1780">
            <v>1</v>
          </cell>
          <cell r="O1780">
            <v>404591</v>
          </cell>
          <cell r="P1780" t="str">
            <v>2025/154-0035-01</v>
          </cell>
          <cell r="Q1780" t="str">
            <v>EST POLTRONA BELLAGIO (ALU C29 | CORD V01)</v>
          </cell>
          <cell r="R1780"/>
          <cell r="S1780"/>
          <cell r="T1780">
            <v>0.8</v>
          </cell>
          <cell r="U1780">
            <v>0.85</v>
          </cell>
          <cell r="V1780">
            <v>0.72</v>
          </cell>
          <cell r="W1780">
            <v>0</v>
          </cell>
          <cell r="X1780" t="str">
            <v>EST POLTRONA BELLAGIO (ALU C29 | CORD V01) - 0,8x0,85x0,72H</v>
          </cell>
          <cell r="Y1780">
            <v>10458.69</v>
          </cell>
          <cell r="Z1780">
            <v>0.35</v>
          </cell>
          <cell r="AA1780">
            <v>6798.1485000000011</v>
          </cell>
          <cell r="AB1780"/>
        </row>
        <row r="1781">
          <cell r="C1781">
            <v>0</v>
          </cell>
          <cell r="D1781">
            <v>0</v>
          </cell>
          <cell r="E1781">
            <v>1</v>
          </cell>
          <cell r="F1781">
            <v>0</v>
          </cell>
          <cell r="H1781">
            <v>1</v>
          </cell>
          <cell r="O1781">
            <v>404591</v>
          </cell>
          <cell r="P1781" t="str">
            <v>2025/154-0036-01</v>
          </cell>
          <cell r="Q1781" t="str">
            <v>EST POLTRONA BELLAGIO (ALU C29 | CORD V01)</v>
          </cell>
          <cell r="R1781"/>
          <cell r="S1781"/>
          <cell r="T1781">
            <v>0.8</v>
          </cell>
          <cell r="U1781">
            <v>0.85</v>
          </cell>
          <cell r="V1781">
            <v>0.72</v>
          </cell>
          <cell r="W1781">
            <v>0</v>
          </cell>
          <cell r="X1781" t="str">
            <v>EST POLTRONA BELLAGIO (ALU C29 | CORD V01) - 0,8x0,85x0,72H</v>
          </cell>
          <cell r="Y1781">
            <v>10458.69</v>
          </cell>
          <cell r="Z1781">
            <v>0.35</v>
          </cell>
          <cell r="AA1781">
            <v>6798.1485000000011</v>
          </cell>
          <cell r="AB1781"/>
        </row>
        <row r="1782">
          <cell r="C1782">
            <v>0</v>
          </cell>
          <cell r="D1782">
            <v>0</v>
          </cell>
          <cell r="E1782">
            <v>1</v>
          </cell>
          <cell r="F1782">
            <v>2</v>
          </cell>
          <cell r="H1782">
            <v>1</v>
          </cell>
          <cell r="O1782">
            <v>404594</v>
          </cell>
          <cell r="P1782" t="str">
            <v>2025/154-0043-01</v>
          </cell>
          <cell r="Q1782" t="str">
            <v>EST COMPONENTE ALMOFADA POLTRONA BELLAGIO TC KEEPSAKE TAUPE</v>
          </cell>
          <cell r="R1782"/>
          <cell r="S1782"/>
          <cell r="T1782">
            <v>0.8</v>
          </cell>
          <cell r="U1782">
            <v>0.85</v>
          </cell>
          <cell r="V1782">
            <v>0.05</v>
          </cell>
          <cell r="W1782">
            <v>0</v>
          </cell>
          <cell r="X1782" t="str">
            <v>EST COMPONENTE ALMOFADA POLTRONA BELLAGIO TC KEEPSAKE TAUPE - 0,8x0,85x0,05H</v>
          </cell>
          <cell r="Y1782">
            <v>6064.2404999999999</v>
          </cell>
          <cell r="Z1782">
            <v>0.35</v>
          </cell>
          <cell r="AA1782">
            <v>3941.7563249999998</v>
          </cell>
          <cell r="AB1782"/>
        </row>
        <row r="1783">
          <cell r="C1783">
            <v>0</v>
          </cell>
          <cell r="D1783">
            <v>0</v>
          </cell>
          <cell r="E1783">
            <v>1</v>
          </cell>
          <cell r="F1783">
            <v>2</v>
          </cell>
          <cell r="H1783">
            <v>1</v>
          </cell>
          <cell r="O1783">
            <v>404594</v>
          </cell>
          <cell r="P1783" t="str">
            <v>2025/154-0044-01</v>
          </cell>
          <cell r="Q1783" t="str">
            <v>EST COMPONENTE ALMOFADA POLTRONA BELLAGIO TC KEEPSAKE TAUPE</v>
          </cell>
          <cell r="R1783"/>
          <cell r="S1783"/>
          <cell r="T1783">
            <v>0.8</v>
          </cell>
          <cell r="U1783">
            <v>0.85</v>
          </cell>
          <cell r="V1783">
            <v>0.05</v>
          </cell>
          <cell r="W1783">
            <v>0</v>
          </cell>
          <cell r="X1783" t="str">
            <v>EST COMPONENTE ALMOFADA POLTRONA BELLAGIO TC KEEPSAKE TAUPE - 0,8x0,85x0,05H</v>
          </cell>
          <cell r="Y1783">
            <v>6064.2404999999999</v>
          </cell>
          <cell r="Z1783">
            <v>0.35</v>
          </cell>
          <cell r="AA1783">
            <v>3941.7563249999998</v>
          </cell>
          <cell r="AB1783"/>
        </row>
        <row r="1784">
          <cell r="C1784">
            <v>0</v>
          </cell>
          <cell r="D1784">
            <v>0</v>
          </cell>
          <cell r="E1784">
            <v>8</v>
          </cell>
          <cell r="F1784">
            <v>0</v>
          </cell>
          <cell r="H1784">
            <v>0</v>
          </cell>
          <cell r="O1784">
            <v>404596</v>
          </cell>
          <cell r="P1784" t="str">
            <v>2025/154-0051-01</v>
          </cell>
          <cell r="Q1784" t="str">
            <v>EST CADEIRA BELLAGIO (ALU C29 | CORD V01) TC KEEPSAKE TAUPE</v>
          </cell>
          <cell r="R1784"/>
          <cell r="S1784"/>
          <cell r="T1784">
            <v>0.61</v>
          </cell>
          <cell r="U1784">
            <v>0.6</v>
          </cell>
          <cell r="V1784">
            <v>0.76</v>
          </cell>
          <cell r="W1784">
            <v>0</v>
          </cell>
          <cell r="X1784" t="str">
            <v>EST CADEIRA BELLAGIO (ALU C29 | CORD V01) TC KEEPSAKE TAUPE - 0,61x0,6x0,76H</v>
          </cell>
          <cell r="Y1784">
            <v>9386.0164000000004</v>
          </cell>
          <cell r="Z1784">
            <v>0.35</v>
          </cell>
          <cell r="AA1784">
            <v>6100.9106600000005</v>
          </cell>
          <cell r="AB1784"/>
        </row>
        <row r="1785">
          <cell r="C1785">
            <v>0</v>
          </cell>
          <cell r="D1785">
            <v>0</v>
          </cell>
          <cell r="E1785">
            <v>8</v>
          </cell>
          <cell r="F1785">
            <v>0</v>
          </cell>
          <cell r="H1785">
            <v>0</v>
          </cell>
          <cell r="O1785">
            <v>404596</v>
          </cell>
          <cell r="P1785" t="str">
            <v>2025/154-0052-01</v>
          </cell>
          <cell r="Q1785" t="str">
            <v>EST CADEIRA BELLAGIO (ALU C29 | CORD V01) TC KEEPSAKE TAUPE</v>
          </cell>
          <cell r="R1785"/>
          <cell r="S1785"/>
          <cell r="T1785">
            <v>0.61</v>
          </cell>
          <cell r="U1785">
            <v>0.6</v>
          </cell>
          <cell r="V1785">
            <v>0.76</v>
          </cell>
          <cell r="W1785">
            <v>0</v>
          </cell>
          <cell r="X1785" t="str">
            <v>EST CADEIRA BELLAGIO (ALU C29 | CORD V01) TC KEEPSAKE TAUPE - 0,61x0,6x0,76H</v>
          </cell>
          <cell r="Y1785">
            <v>9386.0164000000004</v>
          </cell>
          <cell r="Z1785">
            <v>0.35</v>
          </cell>
          <cell r="AA1785">
            <v>6100.9106600000005</v>
          </cell>
          <cell r="AB1785"/>
        </row>
        <row r="1786">
          <cell r="C1786">
            <v>0</v>
          </cell>
          <cell r="D1786">
            <v>0</v>
          </cell>
          <cell r="E1786">
            <v>8</v>
          </cell>
          <cell r="F1786">
            <v>0</v>
          </cell>
          <cell r="H1786">
            <v>0</v>
          </cell>
          <cell r="O1786">
            <v>404596</v>
          </cell>
          <cell r="P1786" t="str">
            <v>2025/154-0053-01</v>
          </cell>
          <cell r="Q1786" t="str">
            <v>EST CADEIRA BELLAGIO (ALU C29 | CORD V01) TC KEEPSAKE TAUPE</v>
          </cell>
          <cell r="R1786"/>
          <cell r="S1786"/>
          <cell r="T1786">
            <v>0.61</v>
          </cell>
          <cell r="U1786">
            <v>0.6</v>
          </cell>
          <cell r="V1786">
            <v>0.76</v>
          </cell>
          <cell r="W1786">
            <v>0</v>
          </cell>
          <cell r="X1786" t="str">
            <v>EST CADEIRA BELLAGIO (ALU C29 | CORD V01) TC KEEPSAKE TAUPE - 0,61x0,6x0,76H</v>
          </cell>
          <cell r="Y1786">
            <v>9386.0164000000004</v>
          </cell>
          <cell r="Z1786">
            <v>0.35</v>
          </cell>
          <cell r="AA1786">
            <v>6100.9106600000005</v>
          </cell>
          <cell r="AB1786"/>
        </row>
        <row r="1787">
          <cell r="C1787">
            <v>0</v>
          </cell>
          <cell r="D1787">
            <v>0</v>
          </cell>
          <cell r="E1787">
            <v>8</v>
          </cell>
          <cell r="F1787">
            <v>0</v>
          </cell>
          <cell r="H1787">
            <v>0</v>
          </cell>
          <cell r="O1787">
            <v>404596</v>
          </cell>
          <cell r="P1787" t="str">
            <v>2025/154-0054-01</v>
          </cell>
          <cell r="Q1787" t="str">
            <v>EST CADEIRA BELLAGIO (ALU C29 | CORD V01) TC KEEPSAKE TAUPE</v>
          </cell>
          <cell r="R1787"/>
          <cell r="S1787"/>
          <cell r="T1787">
            <v>0.61</v>
          </cell>
          <cell r="U1787">
            <v>0.6</v>
          </cell>
          <cell r="V1787">
            <v>0.76</v>
          </cell>
          <cell r="W1787">
            <v>0</v>
          </cell>
          <cell r="X1787" t="str">
            <v>EST CADEIRA BELLAGIO (ALU C29 | CORD V01) TC KEEPSAKE TAUPE - 0,61x0,6x0,76H</v>
          </cell>
          <cell r="Y1787">
            <v>9386.0164000000004</v>
          </cell>
          <cell r="Z1787">
            <v>0.35</v>
          </cell>
          <cell r="AA1787">
            <v>6100.9106600000005</v>
          </cell>
          <cell r="AB1787"/>
        </row>
        <row r="1788">
          <cell r="C1788">
            <v>0</v>
          </cell>
          <cell r="D1788">
            <v>0</v>
          </cell>
          <cell r="E1788">
            <v>8</v>
          </cell>
          <cell r="F1788">
            <v>0</v>
          </cell>
          <cell r="H1788">
            <v>0</v>
          </cell>
          <cell r="O1788">
            <v>404596</v>
          </cell>
          <cell r="P1788" t="str">
            <v>2025/154-0055-01</v>
          </cell>
          <cell r="Q1788" t="str">
            <v>EST CADEIRA BELLAGIO (ALU C29 | CORD V01) TC KEEPSAKE TAUPE</v>
          </cell>
          <cell r="R1788"/>
          <cell r="S1788"/>
          <cell r="T1788">
            <v>0.61</v>
          </cell>
          <cell r="U1788">
            <v>0.6</v>
          </cell>
          <cell r="V1788">
            <v>0.76</v>
          </cell>
          <cell r="W1788">
            <v>0</v>
          </cell>
          <cell r="X1788" t="str">
            <v>EST CADEIRA BELLAGIO (ALU C29 | CORD V01) TC KEEPSAKE TAUPE - 0,61x0,6x0,76H</v>
          </cell>
          <cell r="Y1788">
            <v>9386.0164000000004</v>
          </cell>
          <cell r="Z1788">
            <v>0.35</v>
          </cell>
          <cell r="AA1788">
            <v>6100.9106600000005</v>
          </cell>
          <cell r="AB1788"/>
        </row>
        <row r="1789">
          <cell r="C1789">
            <v>0</v>
          </cell>
          <cell r="D1789">
            <v>0</v>
          </cell>
          <cell r="E1789">
            <v>8</v>
          </cell>
          <cell r="F1789">
            <v>0</v>
          </cell>
          <cell r="H1789">
            <v>0</v>
          </cell>
          <cell r="O1789">
            <v>404596</v>
          </cell>
          <cell r="P1789" t="str">
            <v>2025/154-0056-01</v>
          </cell>
          <cell r="Q1789" t="str">
            <v>EST CADEIRA BELLAGIO (ALU C29 | CORD V01) TC KEEPSAKE TAUPE</v>
          </cell>
          <cell r="R1789"/>
          <cell r="S1789"/>
          <cell r="T1789">
            <v>0.61</v>
          </cell>
          <cell r="U1789">
            <v>0.6</v>
          </cell>
          <cell r="V1789">
            <v>0.76</v>
          </cell>
          <cell r="W1789">
            <v>0</v>
          </cell>
          <cell r="X1789" t="str">
            <v>EST CADEIRA BELLAGIO (ALU C29 | CORD V01) TC KEEPSAKE TAUPE - 0,61x0,6x0,76H</v>
          </cell>
          <cell r="Y1789">
            <v>9386.0164000000004</v>
          </cell>
          <cell r="Z1789">
            <v>0.35</v>
          </cell>
          <cell r="AA1789">
            <v>6100.9106600000005</v>
          </cell>
          <cell r="AB1789"/>
        </row>
        <row r="1790">
          <cell r="C1790">
            <v>0</v>
          </cell>
          <cell r="D1790">
            <v>0</v>
          </cell>
          <cell r="E1790">
            <v>8</v>
          </cell>
          <cell r="F1790">
            <v>0</v>
          </cell>
          <cell r="H1790">
            <v>0</v>
          </cell>
          <cell r="O1790">
            <v>404596</v>
          </cell>
          <cell r="P1790" t="str">
            <v>2025/154-0057-01</v>
          </cell>
          <cell r="Q1790" t="str">
            <v>EST CADEIRA BELLAGIO (ALU C29 | CORD V01) TC KEEPSAKE TAUPE</v>
          </cell>
          <cell r="R1790"/>
          <cell r="S1790"/>
          <cell r="T1790">
            <v>0.61</v>
          </cell>
          <cell r="U1790">
            <v>0.6</v>
          </cell>
          <cell r="V1790">
            <v>0.76</v>
          </cell>
          <cell r="W1790">
            <v>0</v>
          </cell>
          <cell r="X1790" t="str">
            <v>EST CADEIRA BELLAGIO (ALU C29 | CORD V01) TC KEEPSAKE TAUPE - 0,61x0,6x0,76H</v>
          </cell>
          <cell r="Y1790">
            <v>9386.0164000000004</v>
          </cell>
          <cell r="Z1790">
            <v>0.35</v>
          </cell>
          <cell r="AA1790">
            <v>6100.9106600000005</v>
          </cell>
          <cell r="AB1790"/>
        </row>
        <row r="1791">
          <cell r="C1791">
            <v>0</v>
          </cell>
          <cell r="D1791">
            <v>0</v>
          </cell>
          <cell r="E1791">
            <v>8</v>
          </cell>
          <cell r="F1791">
            <v>0</v>
          </cell>
          <cell r="H1791">
            <v>0</v>
          </cell>
          <cell r="O1791">
            <v>404596</v>
          </cell>
          <cell r="P1791" t="str">
            <v>2025/154-0058-01</v>
          </cell>
          <cell r="Q1791" t="str">
            <v>EST CADEIRA BELLAGIO (ALU C29 | CORD V01) TC KEEPSAKE TAUPE</v>
          </cell>
          <cell r="R1791"/>
          <cell r="S1791"/>
          <cell r="T1791">
            <v>0.61</v>
          </cell>
          <cell r="U1791">
            <v>0.6</v>
          </cell>
          <cell r="V1791">
            <v>0.76</v>
          </cell>
          <cell r="W1791">
            <v>0</v>
          </cell>
          <cell r="X1791" t="str">
            <v>EST CADEIRA BELLAGIO (ALU C29 | CORD V01) TC KEEPSAKE TAUPE - 0,61x0,6x0,76H</v>
          </cell>
          <cell r="Y1791">
            <v>9386.0164000000004</v>
          </cell>
          <cell r="Z1791">
            <v>0.35</v>
          </cell>
          <cell r="AA1791">
            <v>6100.9106600000005</v>
          </cell>
          <cell r="AB1791"/>
        </row>
        <row r="1792">
          <cell r="C1792">
            <v>0</v>
          </cell>
          <cell r="D1792">
            <v>0</v>
          </cell>
          <cell r="E1792">
            <v>1</v>
          </cell>
          <cell r="F1792">
            <v>0</v>
          </cell>
          <cell r="H1792">
            <v>0</v>
          </cell>
          <cell r="O1792">
            <v>404598</v>
          </cell>
          <cell r="P1792" t="str">
            <v>2025/154-0009-01</v>
          </cell>
          <cell r="Q1792" t="str">
            <v>EST MESA JANTAR BELLAGIO (OVAL) (ALU C29 | CORD V01)</v>
          </cell>
          <cell r="R1792"/>
          <cell r="S1792"/>
          <cell r="T1792">
            <v>3</v>
          </cell>
          <cell r="U1792">
            <v>1.25</v>
          </cell>
          <cell r="V1792">
            <v>0.75</v>
          </cell>
          <cell r="W1792">
            <v>0</v>
          </cell>
          <cell r="X1792" t="str">
            <v>EST MESA JANTAR BELLAGIO (OVAL) (ALU C29 | CORD V01) - 3x1,25x0,75H</v>
          </cell>
          <cell r="Y1792">
            <v>68023.649999999994</v>
          </cell>
          <cell r="Z1792">
            <v>0.35</v>
          </cell>
          <cell r="AA1792">
            <v>44215.372499999998</v>
          </cell>
          <cell r="AB1792"/>
        </row>
        <row r="1793">
          <cell r="C1793">
            <v>0</v>
          </cell>
          <cell r="D1793">
            <v>0</v>
          </cell>
          <cell r="E1793">
            <v>1</v>
          </cell>
          <cell r="F1793">
            <v>0</v>
          </cell>
          <cell r="H1793">
            <v>0</v>
          </cell>
          <cell r="O1793">
            <v>404601</v>
          </cell>
          <cell r="P1793" t="str">
            <v>2025/154-0012-01</v>
          </cell>
          <cell r="Q1793" t="str">
            <v>EST MESA LATERAL BELLAGIO (ALU C24)</v>
          </cell>
          <cell r="R1793"/>
          <cell r="S1793"/>
          <cell r="T1793">
            <v>0.5</v>
          </cell>
          <cell r="U1793">
            <v>0</v>
          </cell>
          <cell r="V1793">
            <v>0.45</v>
          </cell>
          <cell r="W1793">
            <v>0.5</v>
          </cell>
          <cell r="X1793" t="str">
            <v>EST MESA LATERAL BELLAGIO (ALU C24) - Ø0,5x0,45H</v>
          </cell>
          <cell r="Y1793">
            <v>6968.46</v>
          </cell>
          <cell r="Z1793">
            <v>0.35</v>
          </cell>
          <cell r="AA1793">
            <v>4529.4989999999998</v>
          </cell>
          <cell r="AB1793"/>
        </row>
        <row r="1794">
          <cell r="C1794">
            <v>0</v>
          </cell>
          <cell r="D1794">
            <v>0</v>
          </cell>
          <cell r="E1794">
            <v>1</v>
          </cell>
          <cell r="F1794">
            <v>0</v>
          </cell>
          <cell r="H1794">
            <v>0</v>
          </cell>
          <cell r="O1794">
            <v>404605</v>
          </cell>
          <cell r="P1794" t="str">
            <v>2025/154-0015-01</v>
          </cell>
          <cell r="Q1794" t="str">
            <v>EST MESA LATERAL BELLAGIO (ALU C29)</v>
          </cell>
          <cell r="R1794"/>
          <cell r="S1794"/>
          <cell r="T1794">
            <v>0.5</v>
          </cell>
          <cell r="U1794">
            <v>0</v>
          </cell>
          <cell r="V1794">
            <v>0.45</v>
          </cell>
          <cell r="W1794">
            <v>0.5</v>
          </cell>
          <cell r="X1794" t="str">
            <v>EST MESA LATERAL BELLAGIO (ALU C29) - Ø0,5x0,45H</v>
          </cell>
          <cell r="Y1794">
            <v>6968.46</v>
          </cell>
          <cell r="Z1794">
            <v>0.35</v>
          </cell>
          <cell r="AA1794">
            <v>4529.4989999999998</v>
          </cell>
          <cell r="AB1794"/>
        </row>
        <row r="1795">
          <cell r="C1795">
            <v>0</v>
          </cell>
          <cell r="D1795">
            <v>0</v>
          </cell>
          <cell r="E1795">
            <v>1</v>
          </cell>
          <cell r="F1795">
            <v>0</v>
          </cell>
          <cell r="H1795">
            <v>0</v>
          </cell>
          <cell r="O1795">
            <v>404606</v>
          </cell>
          <cell r="P1795" t="str">
            <v>2025/154-0066-01</v>
          </cell>
          <cell r="Q1795" t="str">
            <v>EST MESA CENTRO BELLAGIO (ALU C29)</v>
          </cell>
          <cell r="R1795"/>
          <cell r="S1795"/>
          <cell r="T1795">
            <v>1.2</v>
          </cell>
          <cell r="U1795">
            <v>0</v>
          </cell>
          <cell r="V1795">
            <v>0.35</v>
          </cell>
          <cell r="W1795">
            <v>1.2</v>
          </cell>
          <cell r="X1795" t="str">
            <v>EST MESA CENTRO BELLAGIO (ALU C29) - Ø1,2x0,35H</v>
          </cell>
          <cell r="Y1795">
            <v>22279.71</v>
          </cell>
          <cell r="Z1795">
            <v>0.35</v>
          </cell>
          <cell r="AA1795">
            <v>14481.8115</v>
          </cell>
          <cell r="AB1795"/>
        </row>
        <row r="1796">
          <cell r="C1796">
            <v>0</v>
          </cell>
          <cell r="D1796">
            <v>0</v>
          </cell>
          <cell r="E1796">
            <v>1</v>
          </cell>
          <cell r="F1796">
            <v>0</v>
          </cell>
          <cell r="H1796">
            <v>0</v>
          </cell>
          <cell r="O1796">
            <v>404614</v>
          </cell>
          <cell r="P1796" t="str">
            <v>2025/154-0022-01</v>
          </cell>
          <cell r="Q1796" t="str">
            <v>EST BANCO BELLAGIO (FORMICA TS CORDA) (ALU C29)</v>
          </cell>
          <cell r="R1796"/>
          <cell r="S1796"/>
          <cell r="T1796">
            <v>1.6</v>
          </cell>
          <cell r="U1796">
            <v>0.45</v>
          </cell>
          <cell r="V1796">
            <v>0.45</v>
          </cell>
          <cell r="W1796">
            <v>0</v>
          </cell>
          <cell r="X1796" t="str">
            <v>EST BANCO BELLAGIO (FORMICA TS CORDA) (ALU C29) - 1,6x0,45x0,45H</v>
          </cell>
          <cell r="Y1796">
            <v>14256.79</v>
          </cell>
          <cell r="Z1796">
            <v>0.35</v>
          </cell>
          <cell r="AA1796">
            <v>9266.9135000000006</v>
          </cell>
          <cell r="AB1796"/>
        </row>
        <row r="1797">
          <cell r="C1797">
            <v>0</v>
          </cell>
          <cell r="D1797">
            <v>0</v>
          </cell>
          <cell r="E1797">
            <v>1</v>
          </cell>
          <cell r="F1797">
            <v>0</v>
          </cell>
          <cell r="H1797">
            <v>0</v>
          </cell>
          <cell r="O1797">
            <v>404743</v>
          </cell>
          <cell r="P1797" t="str">
            <v>2025/083-0007-01</v>
          </cell>
          <cell r="Q1797" t="str">
            <v>EST TAPETE DUNAS (DES) (10MM) D:1399 /6005/87/89</v>
          </cell>
          <cell r="R1797"/>
          <cell r="S1797"/>
          <cell r="T1797">
            <v>4.8</v>
          </cell>
          <cell r="U1797">
            <v>2.7</v>
          </cell>
          <cell r="V1797">
            <v>0.01</v>
          </cell>
          <cell r="W1797">
            <v>0</v>
          </cell>
          <cell r="X1797" t="str">
            <v>EST TAPETE DUNAS (DES) (10MM) D:1399 /6005/87/89 - 4,8x2,7x0,01H</v>
          </cell>
          <cell r="Y1797">
            <v>32978.534400000004</v>
          </cell>
          <cell r="Z1797">
            <v>0.35</v>
          </cell>
          <cell r="AA1797">
            <v>21436.047360000004</v>
          </cell>
          <cell r="AB1797"/>
        </row>
        <row r="1798">
          <cell r="C1798">
            <v>0</v>
          </cell>
          <cell r="D1798">
            <v>0</v>
          </cell>
          <cell r="E1798">
            <v>1</v>
          </cell>
          <cell r="F1798">
            <v>0</v>
          </cell>
          <cell r="H1798">
            <v>0</v>
          </cell>
          <cell r="O1798">
            <v>405109</v>
          </cell>
          <cell r="P1798" t="str">
            <v>2025/213-0055-01</v>
          </cell>
          <cell r="Q1798" t="str">
            <v>EST POLTRONA FLORIPA (MTX CAFE) COURO CH OLIVA</v>
          </cell>
          <cell r="R1798"/>
          <cell r="S1798"/>
          <cell r="T1798">
            <v>0.71</v>
          </cell>
          <cell r="U1798">
            <v>0.84</v>
          </cell>
          <cell r="V1798">
            <v>0.89</v>
          </cell>
          <cell r="W1798">
            <v>0</v>
          </cell>
          <cell r="X1798" t="str">
            <v>EST POLTRONA FLORIPA (MTX CAFE) COURO CH OLIVA - 0,71x0,84x0,89H</v>
          </cell>
          <cell r="Y1798">
            <v>19442.66</v>
          </cell>
          <cell r="Z1798">
            <v>0.35</v>
          </cell>
          <cell r="AA1798">
            <v>12637.728999999999</v>
          </cell>
          <cell r="AB1798"/>
        </row>
        <row r="1799">
          <cell r="C1799">
            <v>0</v>
          </cell>
          <cell r="D1799">
            <v>0</v>
          </cell>
          <cell r="E1799">
            <v>1</v>
          </cell>
          <cell r="F1799">
            <v>0</v>
          </cell>
          <cell r="H1799">
            <v>0</v>
          </cell>
          <cell r="O1799">
            <v>405110</v>
          </cell>
          <cell r="P1799" t="str">
            <v>2025/213-0056-01</v>
          </cell>
          <cell r="Q1799" t="str">
            <v>EST BANQUETA FLORIPA (MTX CAFE) COURO CH OLIVA</v>
          </cell>
          <cell r="R1799"/>
          <cell r="S1799"/>
          <cell r="T1799">
            <v>0.6</v>
          </cell>
          <cell r="U1799">
            <v>0.6</v>
          </cell>
          <cell r="V1799">
            <v>0.4</v>
          </cell>
          <cell r="W1799">
            <v>0</v>
          </cell>
          <cell r="X1799" t="str">
            <v>EST BANQUETA FLORIPA (MTX CAFE) COURO CH OLIVA - 0,6x0,6x0,4H</v>
          </cell>
          <cell r="Y1799">
            <v>12491.54</v>
          </cell>
          <cell r="Z1799">
            <v>0.35</v>
          </cell>
          <cell r="AA1799">
            <v>8119.5010000000011</v>
          </cell>
          <cell r="AB1799"/>
        </row>
        <row r="1800">
          <cell r="C1800">
            <v>0</v>
          </cell>
          <cell r="D1800">
            <v>1</v>
          </cell>
          <cell r="E1800">
            <v>1</v>
          </cell>
          <cell r="F1800">
            <v>0</v>
          </cell>
          <cell r="H1800">
            <v>0</v>
          </cell>
          <cell r="O1800">
            <v>405724</v>
          </cell>
          <cell r="P1800" t="str">
            <v>2025/154-0100-01</v>
          </cell>
          <cell r="Q1800" t="str">
            <v>EST MESA CENTRO GROTA (TAMPO MARCHETARIA) NATURE MATT</v>
          </cell>
          <cell r="R1800"/>
          <cell r="S1800"/>
          <cell r="T1800">
            <v>1.82</v>
          </cell>
          <cell r="U1800">
            <v>0.72</v>
          </cell>
          <cell r="V1800">
            <v>0.25</v>
          </cell>
          <cell r="W1800">
            <v>0</v>
          </cell>
          <cell r="X1800" t="str">
            <v>EST MESA CENTRO GROTA (TAMPO MARCHETARIA) NATURE MATT - 1,82x0,72x0,25H</v>
          </cell>
          <cell r="Y1800">
            <v>17884.88</v>
          </cell>
          <cell r="Z1800">
            <v>0.35</v>
          </cell>
          <cell r="AA1800">
            <v>11625.172000000002</v>
          </cell>
          <cell r="AB1800"/>
        </row>
        <row r="1801">
          <cell r="C1801">
            <v>0</v>
          </cell>
          <cell r="D1801">
            <v>0</v>
          </cell>
          <cell r="E1801">
            <v>1</v>
          </cell>
          <cell r="F1801">
            <v>0</v>
          </cell>
          <cell r="H1801">
            <v>0</v>
          </cell>
          <cell r="O1801">
            <v>405888</v>
          </cell>
          <cell r="P1801" t="str">
            <v>2025/189-0002-01</v>
          </cell>
          <cell r="Q1801" t="str">
            <v>EST MESA CENTRO SOLEIL (MARMORE TRAVERTINO) (LAMINA WALNUT)</v>
          </cell>
          <cell r="R1801"/>
          <cell r="S1801"/>
          <cell r="T1801">
            <v>1.2</v>
          </cell>
          <cell r="U1801">
            <v>1</v>
          </cell>
          <cell r="V1801">
            <v>0.3</v>
          </cell>
          <cell r="W1801">
            <v>0</v>
          </cell>
          <cell r="X1801" t="str">
            <v>EST MESA CENTRO SOLEIL (MARMORE TRAVERTINO) (LAMINA WALNUT) - 1,2x1x0,3H</v>
          </cell>
          <cell r="Y1801">
            <v>41758.300000000003</v>
          </cell>
          <cell r="Z1801">
            <v>0.35</v>
          </cell>
          <cell r="AA1801">
            <v>27142.895000000004</v>
          </cell>
          <cell r="AB1801"/>
        </row>
        <row r="1802">
          <cell r="C1802">
            <v>0</v>
          </cell>
          <cell r="D1802">
            <v>0</v>
          </cell>
          <cell r="E1802">
            <v>1</v>
          </cell>
          <cell r="F1802">
            <v>0</v>
          </cell>
          <cell r="H1802">
            <v>0</v>
          </cell>
          <cell r="O1802">
            <v>409029</v>
          </cell>
          <cell r="P1802" t="str">
            <v>2025/255-0005-01</v>
          </cell>
          <cell r="Q1802" t="str">
            <v>EST ESCRIVANINHA DIX (FREIJO NATURAL) (INOX PRETO)</v>
          </cell>
          <cell r="R1802"/>
          <cell r="S1802"/>
          <cell r="T1802">
            <v>1.8</v>
          </cell>
          <cell r="U1802">
            <v>0.7</v>
          </cell>
          <cell r="V1802">
            <v>0.75</v>
          </cell>
          <cell r="W1802">
            <v>0</v>
          </cell>
          <cell r="X1802" t="str">
            <v>EST ESCRIVANINHA DIX (FREIJO NATURAL) (INOX PRETO) - 1,8x0,7x0,75H</v>
          </cell>
          <cell r="Y1802">
            <v>30757.98</v>
          </cell>
          <cell r="Z1802">
            <v>0.35</v>
          </cell>
          <cell r="AA1802">
            <v>19992.686999999998</v>
          </cell>
          <cell r="AB1802"/>
        </row>
        <row r="1803">
          <cell r="C1803">
            <v>0</v>
          </cell>
          <cell r="D1803">
            <v>0</v>
          </cell>
          <cell r="E1803">
            <v>2</v>
          </cell>
          <cell r="F1803">
            <v>0</v>
          </cell>
          <cell r="H1803">
            <v>0</v>
          </cell>
          <cell r="O1803">
            <v>409786</v>
          </cell>
          <cell r="P1803" t="str">
            <v>2025/260-0009-01</v>
          </cell>
          <cell r="Q1803" t="str">
            <v>EST POLTRONA NEW HARRY (GIRATORIA) FX C3183</v>
          </cell>
          <cell r="R1803"/>
          <cell r="S1803"/>
          <cell r="T1803">
            <v>0.89</v>
          </cell>
          <cell r="U1803">
            <v>0.83</v>
          </cell>
          <cell r="V1803">
            <v>0.72</v>
          </cell>
          <cell r="W1803">
            <v>0</v>
          </cell>
          <cell r="X1803" t="str">
            <v>EST POLTRONA NEW HARRY (GIRATORIA) FX C3183 - 0,89x0,83x0,72H</v>
          </cell>
          <cell r="Y1803">
            <v>9054.89</v>
          </cell>
          <cell r="Z1803">
            <v>0.35</v>
          </cell>
          <cell r="AA1803">
            <v>5885.6785</v>
          </cell>
          <cell r="AB1803"/>
        </row>
        <row r="1804">
          <cell r="C1804">
            <v>0</v>
          </cell>
          <cell r="D1804">
            <v>0</v>
          </cell>
          <cell r="E1804">
            <v>2</v>
          </cell>
          <cell r="F1804">
            <v>0</v>
          </cell>
          <cell r="H1804">
            <v>0</v>
          </cell>
          <cell r="O1804">
            <v>409786</v>
          </cell>
          <cell r="P1804" t="str">
            <v>2025/260-0008-01</v>
          </cell>
          <cell r="Q1804" t="str">
            <v>EST POLTRONA NEW HARRY (GIRATORIA) FX C3183</v>
          </cell>
          <cell r="R1804"/>
          <cell r="S1804"/>
          <cell r="T1804">
            <v>0.89</v>
          </cell>
          <cell r="U1804">
            <v>0.83</v>
          </cell>
          <cell r="V1804">
            <v>0.72</v>
          </cell>
          <cell r="W1804">
            <v>0</v>
          </cell>
          <cell r="X1804" t="str">
            <v>EST POLTRONA NEW HARRY (GIRATORIA) FX C3183 - 0,89x0,83x0,72H</v>
          </cell>
          <cell r="Y1804">
            <v>9054.89</v>
          </cell>
          <cell r="Z1804">
            <v>0.35</v>
          </cell>
          <cell r="AA1804">
            <v>5885.6785</v>
          </cell>
          <cell r="AB1804"/>
        </row>
        <row r="1805">
          <cell r="C1805">
            <v>2</v>
          </cell>
          <cell r="D1805">
            <v>0</v>
          </cell>
          <cell r="E1805">
            <v>2</v>
          </cell>
          <cell r="F1805">
            <v>0</v>
          </cell>
          <cell r="H1805">
            <v>0</v>
          </cell>
          <cell r="O1805">
            <v>409983</v>
          </cell>
          <cell r="P1805" t="str">
            <v>2025/261-0025-01</v>
          </cell>
          <cell r="Q1805" t="str">
            <v>EST MESA LATERAL PIN (NATURE MATT) (DET PINT CORTEN)</v>
          </cell>
          <cell r="R1805"/>
          <cell r="S1805"/>
          <cell r="T1805">
            <v>0.35</v>
          </cell>
          <cell r="U1805">
            <v>0</v>
          </cell>
          <cell r="V1805">
            <v>0.52</v>
          </cell>
          <cell r="W1805">
            <v>0.35</v>
          </cell>
          <cell r="X1805" t="str">
            <v>EST MESA LATERAL PIN (NATURE MATT) (DET PINT CORTEN) - Ø0,35x0,52H</v>
          </cell>
          <cell r="Y1805">
            <v>5384.51</v>
          </cell>
          <cell r="Z1805">
            <v>0.35</v>
          </cell>
          <cell r="AA1805">
            <v>3499.9315000000006</v>
          </cell>
          <cell r="AB1805"/>
        </row>
        <row r="1806">
          <cell r="C1806">
            <v>2</v>
          </cell>
          <cell r="D1806">
            <v>0</v>
          </cell>
          <cell r="E1806">
            <v>2</v>
          </cell>
          <cell r="F1806">
            <v>0</v>
          </cell>
          <cell r="H1806">
            <v>0</v>
          </cell>
          <cell r="O1806">
            <v>409983</v>
          </cell>
          <cell r="P1806" t="str">
            <v>2025/261-0027-01</v>
          </cell>
          <cell r="Q1806" t="str">
            <v>EST MESA LATERAL PIN (NATURE MATT) (DET PINT CORTEN)</v>
          </cell>
          <cell r="R1806"/>
          <cell r="S1806"/>
          <cell r="T1806">
            <v>0.35</v>
          </cell>
          <cell r="U1806">
            <v>0</v>
          </cell>
          <cell r="V1806">
            <v>0.52</v>
          </cell>
          <cell r="W1806">
            <v>0.35</v>
          </cell>
          <cell r="X1806" t="str">
            <v>EST MESA LATERAL PIN (NATURE MATT) (DET PINT CORTEN) - Ø0,35x0,52H</v>
          </cell>
          <cell r="Y1806">
            <v>5384.51</v>
          </cell>
          <cell r="Z1806">
            <v>0.35</v>
          </cell>
          <cell r="AA1806">
            <v>3499.9315000000006</v>
          </cell>
          <cell r="AB1806"/>
        </row>
        <row r="1807">
          <cell r="C1807">
            <v>0</v>
          </cell>
          <cell r="D1807">
            <v>2</v>
          </cell>
          <cell r="E1807">
            <v>4</v>
          </cell>
          <cell r="F1807">
            <v>0</v>
          </cell>
          <cell r="H1807">
            <v>0</v>
          </cell>
          <cell r="O1807">
            <v>314841</v>
          </cell>
          <cell r="P1807" t="str">
            <v>2021/344-0149-01</v>
          </cell>
          <cell r="Q1807" t="str">
            <v>EST ALMOFADA TRESSE AZUL</v>
          </cell>
          <cell r="R1807"/>
          <cell r="S1807"/>
          <cell r="T1807">
            <v>0.5</v>
          </cell>
          <cell r="U1807">
            <v>0.5</v>
          </cell>
          <cell r="V1807">
            <v>0</v>
          </cell>
          <cell r="W1807">
            <v>0</v>
          </cell>
          <cell r="X1807" t="str">
            <v>EST ALMOFADA TRESSE AZUL - 0,5x0,5x0H</v>
          </cell>
          <cell r="Y1807">
            <v>1320.7</v>
          </cell>
          <cell r="Z1807">
            <v>0.5</v>
          </cell>
          <cell r="AA1807">
            <v>660.35</v>
          </cell>
          <cell r="AB1807"/>
        </row>
        <row r="1808">
          <cell r="C1808">
            <v>0</v>
          </cell>
          <cell r="D1808">
            <v>2</v>
          </cell>
          <cell r="E1808">
            <v>4</v>
          </cell>
          <cell r="F1808">
            <v>0</v>
          </cell>
          <cell r="H1808">
            <v>0</v>
          </cell>
          <cell r="O1808">
            <v>314841</v>
          </cell>
          <cell r="P1808" t="str">
            <v>2021/344-0150-01</v>
          </cell>
          <cell r="Q1808" t="str">
            <v>EST ALMOFADA TRESSE AZUL</v>
          </cell>
          <cell r="R1808"/>
          <cell r="S1808"/>
          <cell r="T1808">
            <v>0.5</v>
          </cell>
          <cell r="U1808">
            <v>0.5</v>
          </cell>
          <cell r="V1808">
            <v>0</v>
          </cell>
          <cell r="W1808">
            <v>0</v>
          </cell>
          <cell r="X1808" t="str">
            <v>EST ALMOFADA TRESSE AZUL - 0,5x0,5x0H</v>
          </cell>
          <cell r="Y1808">
            <v>1320.7</v>
          </cell>
          <cell r="Z1808">
            <v>0.5</v>
          </cell>
          <cell r="AA1808">
            <v>660.35</v>
          </cell>
          <cell r="AB1808"/>
        </row>
        <row r="1809">
          <cell r="C1809">
            <v>0</v>
          </cell>
          <cell r="D1809">
            <v>2</v>
          </cell>
          <cell r="E1809">
            <v>4</v>
          </cell>
          <cell r="F1809">
            <v>0</v>
          </cell>
          <cell r="H1809">
            <v>0</v>
          </cell>
          <cell r="O1809">
            <v>314841</v>
          </cell>
          <cell r="P1809" t="str">
            <v>2021/344-0151-01</v>
          </cell>
          <cell r="Q1809" t="str">
            <v>EST ALMOFADA TRESSE AZUL</v>
          </cell>
          <cell r="R1809"/>
          <cell r="S1809"/>
          <cell r="T1809">
            <v>0.5</v>
          </cell>
          <cell r="U1809">
            <v>0.5</v>
          </cell>
          <cell r="V1809">
            <v>0</v>
          </cell>
          <cell r="W1809">
            <v>0</v>
          </cell>
          <cell r="X1809" t="str">
            <v>EST ALMOFADA TRESSE AZUL - 0,5x0,5x0H</v>
          </cell>
          <cell r="Y1809">
            <v>1320.7</v>
          </cell>
          <cell r="Z1809">
            <v>0.5</v>
          </cell>
          <cell r="AA1809">
            <v>660.35</v>
          </cell>
          <cell r="AB1809"/>
        </row>
        <row r="1810">
          <cell r="C1810">
            <v>0</v>
          </cell>
          <cell r="D1810">
            <v>2</v>
          </cell>
          <cell r="E1810">
            <v>4</v>
          </cell>
          <cell r="F1810">
            <v>0</v>
          </cell>
          <cell r="H1810">
            <v>0</v>
          </cell>
          <cell r="O1810">
            <v>314841</v>
          </cell>
          <cell r="P1810" t="str">
            <v>2021/344-0152-01</v>
          </cell>
          <cell r="Q1810" t="str">
            <v>EST ALMOFADA TRESSE AZUL</v>
          </cell>
          <cell r="R1810"/>
          <cell r="S1810"/>
          <cell r="T1810">
            <v>0.5</v>
          </cell>
          <cell r="U1810">
            <v>0.5</v>
          </cell>
          <cell r="V1810">
            <v>0</v>
          </cell>
          <cell r="W1810">
            <v>0</v>
          </cell>
          <cell r="X1810" t="str">
            <v>EST ALMOFADA TRESSE AZUL - 0,5x0,5x0H</v>
          </cell>
          <cell r="Y1810">
            <v>1320.7</v>
          </cell>
          <cell r="Z1810">
            <v>0.5</v>
          </cell>
          <cell r="AA1810">
            <v>660.35</v>
          </cell>
          <cell r="AB1810"/>
        </row>
        <row r="1811">
          <cell r="C1811">
            <v>0</v>
          </cell>
          <cell r="D1811">
            <v>0</v>
          </cell>
          <cell r="E1811">
            <v>0</v>
          </cell>
          <cell r="F1811">
            <v>1</v>
          </cell>
          <cell r="H1811">
            <v>0</v>
          </cell>
          <cell r="O1811">
            <v>327123</v>
          </cell>
          <cell r="P1811" t="str">
            <v>2022/145-0053-01</v>
          </cell>
          <cell r="Q1811" t="str">
            <v>EST MESA CENTRO SANTIAGO (TRI) (MTZ CHUMBO) (MARM CARRARA)</v>
          </cell>
          <cell r="R1811"/>
          <cell r="S1811"/>
          <cell r="T1811">
            <v>1.4</v>
          </cell>
          <cell r="U1811">
            <v>1.5</v>
          </cell>
          <cell r="V1811">
            <v>0.32</v>
          </cell>
          <cell r="W1811">
            <v>0</v>
          </cell>
          <cell r="X1811" t="str">
            <v>EST MESA CENTRO SANTIAGO (TRI) (MTZ CHUMBO) (MARM CARRARA) - 1,4x1,5x0,32H</v>
          </cell>
          <cell r="Y1811">
            <v>33249.08</v>
          </cell>
          <cell r="Z1811">
            <v>0.35</v>
          </cell>
          <cell r="AA1811">
            <v>21611.902000000002</v>
          </cell>
          <cell r="AB1811"/>
        </row>
        <row r="1812">
          <cell r="C1812">
            <v>0</v>
          </cell>
          <cell r="D1812">
            <v>0</v>
          </cell>
          <cell r="E1812">
            <v>0</v>
          </cell>
          <cell r="F1812">
            <v>1</v>
          </cell>
          <cell r="H1812">
            <v>0</v>
          </cell>
          <cell r="O1812">
            <v>335235</v>
          </cell>
          <cell r="P1812" t="str">
            <v>2022/220-0009-01</v>
          </cell>
          <cell r="Q1812" t="str">
            <v>EST POLTRONA SOFT (BS ELET CORTEM) RUST A5229/124/SOL FENDY</v>
          </cell>
          <cell r="R1812"/>
          <cell r="S1812"/>
          <cell r="T1812">
            <v>0.87</v>
          </cell>
          <cell r="U1812">
            <v>1.02</v>
          </cell>
          <cell r="V1812">
            <v>0.8</v>
          </cell>
          <cell r="W1812">
            <v>0</v>
          </cell>
          <cell r="X1812" t="str">
            <v>EST POLTRONA SOFT (BS ELET CORTEM) RUST A5229/124/SOL FENDY - 0,87x1,02x0,8H</v>
          </cell>
          <cell r="Y1812">
            <v>29398.94</v>
          </cell>
          <cell r="Z1812">
            <v>0.35</v>
          </cell>
          <cell r="AA1812">
            <v>19109.311000000002</v>
          </cell>
          <cell r="AB1812"/>
        </row>
        <row r="1813">
          <cell r="C1813">
            <v>0</v>
          </cell>
          <cell r="D1813">
            <v>0</v>
          </cell>
          <cell r="E1813">
            <v>0</v>
          </cell>
          <cell r="F1813">
            <v>1</v>
          </cell>
          <cell r="H1813">
            <v>0</v>
          </cell>
          <cell r="O1813">
            <v>335236</v>
          </cell>
          <cell r="P1813" t="str">
            <v>2022/220-0010-01</v>
          </cell>
          <cell r="Q1813" t="str">
            <v>EST BANQUETA SOFT (BS ELET CORTEM) RUST A5229/124/SOL FENDY</v>
          </cell>
          <cell r="R1813"/>
          <cell r="S1813"/>
          <cell r="T1813">
            <v>0.57999999999999996</v>
          </cell>
          <cell r="U1813">
            <v>0.75</v>
          </cell>
          <cell r="V1813">
            <v>0.4</v>
          </cell>
          <cell r="W1813">
            <v>0</v>
          </cell>
          <cell r="X1813" t="str">
            <v>EST BANQUETA SOFT (BS ELET CORTEM) RUST A5229/124/SOL FENDY - 0,58x0,75x0,4H</v>
          </cell>
          <cell r="Y1813">
            <v>13504.74</v>
          </cell>
          <cell r="Z1813">
            <v>0.35</v>
          </cell>
          <cell r="AA1813">
            <v>8778.0810000000001</v>
          </cell>
          <cell r="AB1813"/>
        </row>
        <row r="1814">
          <cell r="C1814">
            <v>0</v>
          </cell>
          <cell r="D1814">
            <v>0</v>
          </cell>
          <cell r="E1814">
            <v>0</v>
          </cell>
          <cell r="F1814">
            <v>1</v>
          </cell>
          <cell r="H1814">
            <v>0</v>
          </cell>
          <cell r="O1814">
            <v>342293</v>
          </cell>
          <cell r="P1814" t="str">
            <v>2022/217-0001-01</v>
          </cell>
          <cell r="Q1814" t="str">
            <v>EST TAPETE MATISSE STRIPES FLAME (10MM) F:918/D:1057</v>
          </cell>
          <cell r="R1814"/>
          <cell r="S1814"/>
          <cell r="T1814">
            <v>5.5</v>
          </cell>
          <cell r="U1814">
            <v>3</v>
          </cell>
          <cell r="V1814">
            <v>0.01</v>
          </cell>
          <cell r="W1814">
            <v>0</v>
          </cell>
          <cell r="X1814" t="str">
            <v>EST TAPETE MATISSE STRIPES FLAME (10MM) F:918/D:1057 - 5,5x3x0,01H</v>
          </cell>
          <cell r="Y1814">
            <v>60318.719999999994</v>
          </cell>
          <cell r="Z1814">
            <v>0.5</v>
          </cell>
          <cell r="AA1814">
            <v>30159.359999999997</v>
          </cell>
          <cell r="AB1814"/>
        </row>
        <row r="1815">
          <cell r="C1815">
            <v>2</v>
          </cell>
          <cell r="D1815">
            <v>0</v>
          </cell>
          <cell r="E1815">
            <v>0</v>
          </cell>
          <cell r="F1815">
            <v>2</v>
          </cell>
          <cell r="H1815">
            <v>0</v>
          </cell>
          <cell r="O1815">
            <v>362424</v>
          </cell>
          <cell r="P1815" t="str">
            <v>2023/082-0009-01</v>
          </cell>
          <cell r="Q1815" t="str">
            <v>EST POLTRONA BUBA (TC CURATOR 112125 COR 884)</v>
          </cell>
          <cell r="R1815"/>
          <cell r="S1815"/>
          <cell r="T1815">
            <v>1.05</v>
          </cell>
          <cell r="U1815">
            <v>1</v>
          </cell>
          <cell r="V1815">
            <v>0.74</v>
          </cell>
          <cell r="W1815">
            <v>0</v>
          </cell>
          <cell r="X1815" t="str">
            <v>EST POLTRONA BUBA (TC CURATOR 112125 COR 884) - 1,05x1x0,74H</v>
          </cell>
          <cell r="Y1815">
            <v>29586.37</v>
          </cell>
          <cell r="Z1815">
            <v>0.35</v>
          </cell>
          <cell r="AA1815">
            <v>19231.140500000001</v>
          </cell>
          <cell r="AB1815"/>
        </row>
        <row r="1816">
          <cell r="C1816">
            <v>2</v>
          </cell>
          <cell r="D1816">
            <v>0</v>
          </cell>
          <cell r="E1816">
            <v>0</v>
          </cell>
          <cell r="F1816">
            <v>2</v>
          </cell>
          <cell r="H1816">
            <v>0</v>
          </cell>
          <cell r="O1816">
            <v>362424</v>
          </cell>
          <cell r="P1816" t="str">
            <v>2023/082-0010-01</v>
          </cell>
          <cell r="Q1816" t="str">
            <v>EST POLTRONA BUBA (TC CURATOR 112125 COR 884)</v>
          </cell>
          <cell r="R1816"/>
          <cell r="S1816"/>
          <cell r="T1816">
            <v>1.05</v>
          </cell>
          <cell r="U1816">
            <v>1</v>
          </cell>
          <cell r="V1816">
            <v>0.74</v>
          </cell>
          <cell r="W1816">
            <v>0</v>
          </cell>
          <cell r="X1816" t="str">
            <v>EST POLTRONA BUBA (TC CURATOR 112125 COR 884) - 1,05x1x0,74H</v>
          </cell>
          <cell r="Y1816">
            <v>29586.37</v>
          </cell>
          <cell r="Z1816">
            <v>0.35</v>
          </cell>
          <cell r="AA1816">
            <v>19231.140500000001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1</v>
          </cell>
          <cell r="H1817">
            <v>0</v>
          </cell>
          <cell r="O1817">
            <v>364309</v>
          </cell>
          <cell r="P1817" t="str">
            <v>2023/152-0043-01</v>
          </cell>
          <cell r="Q1817" t="str">
            <v>EST CADEIRA CACAU C/BRACO (NOGAL) (LATAO) TC 1000 - 1316</v>
          </cell>
          <cell r="R1817"/>
          <cell r="S1817"/>
          <cell r="T1817">
            <v>0.61</v>
          </cell>
          <cell r="U1817">
            <v>0.61</v>
          </cell>
          <cell r="V1817">
            <v>0.84</v>
          </cell>
          <cell r="W1817">
            <v>0</v>
          </cell>
          <cell r="X1817" t="str">
            <v>EST CADEIRA CACAU C/BRACO (NOGAL) (LATAO) TC 1000 - 1316 - 0,61x0,61x0,84H</v>
          </cell>
          <cell r="Y1817">
            <v>6616.15</v>
          </cell>
          <cell r="Z1817">
            <v>0.35</v>
          </cell>
          <cell r="AA1817">
            <v>4300.4974999999995</v>
          </cell>
          <cell r="AB1817"/>
        </row>
        <row r="1818">
          <cell r="C1818">
            <v>0</v>
          </cell>
          <cell r="D1818">
            <v>0</v>
          </cell>
          <cell r="E1818">
            <v>0</v>
          </cell>
          <cell r="F1818">
            <v>2</v>
          </cell>
          <cell r="H1818">
            <v>0</v>
          </cell>
          <cell r="O1818">
            <v>379850</v>
          </cell>
          <cell r="P1818" t="str">
            <v>2024/099-0045-01</v>
          </cell>
          <cell r="Q1818" t="str">
            <v>EST POLTRONA AGHATA PLUS (GIRATORIA) (MTX PRETO) FX B2312</v>
          </cell>
          <cell r="R1818"/>
          <cell r="S1818"/>
          <cell r="T1818">
            <v>0.68</v>
          </cell>
          <cell r="U1818">
            <v>0.8</v>
          </cell>
          <cell r="V1818">
            <v>0.76</v>
          </cell>
          <cell r="W1818">
            <v>0</v>
          </cell>
          <cell r="X1818" t="str">
            <v>EST POLTRONA AGHATA PLUS (GIRATORIA) (MTX PRETO) FX B2312 - 0,68x0,8x0,76H</v>
          </cell>
          <cell r="Y1818">
            <v>9627.9699999999993</v>
          </cell>
          <cell r="Z1818">
            <v>0.35</v>
          </cell>
          <cell r="AA1818">
            <v>6258.1805000000004</v>
          </cell>
          <cell r="AB1818"/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2</v>
          </cell>
          <cell r="H1819">
            <v>0</v>
          </cell>
          <cell r="O1819">
            <v>379850</v>
          </cell>
          <cell r="P1819" t="str">
            <v>2024/099-0046-01</v>
          </cell>
          <cell r="Q1819" t="str">
            <v>EST POLTRONA AGHATA PLUS (GIRATORIA) (MTX PRETO) FX B2312</v>
          </cell>
          <cell r="R1819"/>
          <cell r="S1819"/>
          <cell r="T1819">
            <v>0.68</v>
          </cell>
          <cell r="U1819">
            <v>0.8</v>
          </cell>
          <cell r="V1819">
            <v>0.76</v>
          </cell>
          <cell r="W1819">
            <v>0</v>
          </cell>
          <cell r="X1819" t="str">
            <v>EST POLTRONA AGHATA PLUS (GIRATORIA) (MTX PRETO) FX B2312 - 0,68x0,8x0,76H</v>
          </cell>
          <cell r="Y1819">
            <v>9627.9699999999993</v>
          </cell>
          <cell r="Z1819">
            <v>0.35</v>
          </cell>
          <cell r="AA1819">
            <v>6258.1805000000004</v>
          </cell>
          <cell r="AB1819"/>
        </row>
        <row r="1820">
          <cell r="C1820">
            <v>1</v>
          </cell>
          <cell r="D1820">
            <v>1</v>
          </cell>
          <cell r="E1820">
            <v>1</v>
          </cell>
          <cell r="F1820">
            <v>1</v>
          </cell>
          <cell r="H1820">
            <v>0</v>
          </cell>
          <cell r="O1820">
            <v>379914</v>
          </cell>
          <cell r="P1820" t="str">
            <v>2024/081-0052-01</v>
          </cell>
          <cell r="Q1820" t="str">
            <v>EST BANQUETA BAR YASMIM (TELA NOG) (AMENDOA) TC 2000 - 2335</v>
          </cell>
          <cell r="R1820"/>
          <cell r="S1820"/>
          <cell r="T1820">
            <v>0.45</v>
          </cell>
          <cell r="U1820">
            <v>0.52</v>
          </cell>
          <cell r="V1820">
            <v>0.95</v>
          </cell>
          <cell r="W1820">
            <v>0</v>
          </cell>
          <cell r="X1820" t="str">
            <v>EST BANQUETA BAR YASMIM (TELA NOG) (AMENDOA) TC 2000 - 2335 - 0,45x0,52x0,95H</v>
          </cell>
          <cell r="Y1820">
            <v>4738.72</v>
          </cell>
          <cell r="Z1820">
            <v>0.35</v>
          </cell>
          <cell r="AA1820">
            <v>3080.1680000000006</v>
          </cell>
          <cell r="AB1820"/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2</v>
          </cell>
          <cell r="H1821">
            <v>0</v>
          </cell>
          <cell r="O1821">
            <v>387676</v>
          </cell>
          <cell r="P1821" t="str">
            <v>2024/206-0089-01</v>
          </cell>
          <cell r="Q1821" t="str">
            <v>EST POLTRONA ANGELINA (DAMASCO) TC 1000- 1381</v>
          </cell>
          <cell r="R1821"/>
          <cell r="S1821"/>
          <cell r="T1821">
            <v>0.79</v>
          </cell>
          <cell r="U1821">
            <v>0.57999999999999996</v>
          </cell>
          <cell r="V1821">
            <v>0.79</v>
          </cell>
          <cell r="W1821">
            <v>0</v>
          </cell>
          <cell r="X1821" t="str">
            <v>EST POLTRONA ANGELINA (DAMASCO) TC 1000- 1381 - 0,79x0,58x0,79H</v>
          </cell>
          <cell r="Y1821">
            <v>14842.02</v>
          </cell>
          <cell r="Z1821">
            <v>0.35</v>
          </cell>
          <cell r="AA1821">
            <v>9647.3130000000019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2</v>
          </cell>
          <cell r="H1822">
            <v>0</v>
          </cell>
          <cell r="O1822">
            <v>387676</v>
          </cell>
          <cell r="P1822" t="str">
            <v>2024/206-0090-01</v>
          </cell>
          <cell r="Q1822" t="str">
            <v>EST POLTRONA ANGELINA (DAMASCO) TC 1000- 1381</v>
          </cell>
          <cell r="R1822"/>
          <cell r="S1822"/>
          <cell r="T1822">
            <v>0.79</v>
          </cell>
          <cell r="U1822">
            <v>0.57999999999999996</v>
          </cell>
          <cell r="V1822">
            <v>0.79</v>
          </cell>
          <cell r="W1822">
            <v>0</v>
          </cell>
          <cell r="X1822" t="str">
            <v>EST POLTRONA ANGELINA (DAMASCO) TC 1000- 1381 - 0,79x0,58x0,79H</v>
          </cell>
          <cell r="Y1822">
            <v>14842.02</v>
          </cell>
          <cell r="Z1822">
            <v>0.35</v>
          </cell>
          <cell r="AA1822">
            <v>9647.3130000000019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390012</v>
          </cell>
          <cell r="P1823" t="str">
            <v>2024/267-0062-01</v>
          </cell>
          <cell r="Q1823" t="str">
            <v>EST SOFA DUNAS BAX (FIBRA) (ENC DIR)TC VELUDO LUSSO 731</v>
          </cell>
          <cell r="R1823"/>
          <cell r="S1823"/>
          <cell r="T1823">
            <v>2.9</v>
          </cell>
          <cell r="U1823">
            <v>1.57</v>
          </cell>
          <cell r="V1823">
            <v>0.64</v>
          </cell>
          <cell r="W1823">
            <v>0</v>
          </cell>
          <cell r="X1823" t="str">
            <v>EST SOFA DUNAS BAX (FIBRA) (ENC DIR)TC VELUDO LUSSO 731 - 2,9x1,57x0,64H</v>
          </cell>
          <cell r="Y1823">
            <v>69547.98</v>
          </cell>
          <cell r="Z1823">
            <v>0.35</v>
          </cell>
          <cell r="AA1823">
            <v>45206.186999999998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394988</v>
          </cell>
          <cell r="P1824" t="str">
            <v>2024/352-0064-01</v>
          </cell>
          <cell r="Q1824" t="str">
            <v>EST BUFFET ROUND (TP MARM 1 ARMANI) (WALNUT)</v>
          </cell>
          <cell r="R1824"/>
          <cell r="S1824"/>
          <cell r="T1824">
            <v>2.4</v>
          </cell>
          <cell r="U1824">
            <v>0.5</v>
          </cell>
          <cell r="V1824">
            <v>0.83</v>
          </cell>
          <cell r="W1824">
            <v>0</v>
          </cell>
          <cell r="X1824" t="str">
            <v>EST BUFFET ROUND (TP MARM 1 ARMANI) (WALNUT) - 2,4x0,5x0,83H</v>
          </cell>
          <cell r="Y1824">
            <v>56708.47</v>
          </cell>
          <cell r="Z1824">
            <v>0.35</v>
          </cell>
          <cell r="AA1824">
            <v>36860.505499999999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402600</v>
          </cell>
          <cell r="P1825" t="str">
            <v>2025/177-0012-01</v>
          </cell>
          <cell r="Q1825" t="str">
            <v>EST BUFFET HIMALAYA (CLAS) (MAR 2 NEW ROME) (WALNUT) C/GAV</v>
          </cell>
          <cell r="R1825"/>
          <cell r="S1825"/>
          <cell r="T1825">
            <v>2</v>
          </cell>
          <cell r="U1825">
            <v>0.45</v>
          </cell>
          <cell r="V1825">
            <v>0.75</v>
          </cell>
          <cell r="W1825">
            <v>0</v>
          </cell>
          <cell r="X1825" t="str">
            <v>EST BUFFET HIMALAYA (CLAS) (MAR 2 NEW ROME) (WALNUT) C/GAV - 2x0,45x0,75H</v>
          </cell>
          <cell r="Y1825">
            <v>45131.65</v>
          </cell>
          <cell r="Z1825">
            <v>0.35</v>
          </cell>
          <cell r="AA1825">
            <v>29335.572500000002</v>
          </cell>
          <cell r="AB1825"/>
        </row>
        <row r="1826">
          <cell r="C1826">
            <v>0</v>
          </cell>
          <cell r="D1826">
            <v>0</v>
          </cell>
          <cell r="E1826">
            <v>0</v>
          </cell>
          <cell r="F1826">
            <v>1</v>
          </cell>
          <cell r="H1826">
            <v>0</v>
          </cell>
          <cell r="O1826">
            <v>402764</v>
          </cell>
          <cell r="P1826" t="str">
            <v>2025/112-0026-01</v>
          </cell>
          <cell r="Q1826" t="str">
            <v>EST MESA JANTAR AURORA (TPO TAJ MAHAL) BS LAMINA NOG</v>
          </cell>
          <cell r="R1826"/>
          <cell r="S1826"/>
          <cell r="T1826">
            <v>3</v>
          </cell>
          <cell r="U1826">
            <v>1.2</v>
          </cell>
          <cell r="V1826">
            <v>0.75</v>
          </cell>
          <cell r="W1826">
            <v>0</v>
          </cell>
          <cell r="X1826" t="str">
            <v>EST MESA JANTAR AURORA (TPO TAJ MAHAL) BS LAMINA NOG - 3x1,2x0,75H</v>
          </cell>
          <cell r="Y1826">
            <v>84960.689000000013</v>
          </cell>
          <cell r="Z1826">
            <v>0.35</v>
          </cell>
          <cell r="AA1826">
            <v>55224.447850000011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1</v>
          </cell>
          <cell r="H1827">
            <v>0</v>
          </cell>
          <cell r="O1827">
            <v>405723</v>
          </cell>
          <cell r="P1827" t="str">
            <v>2025/154-0098-01</v>
          </cell>
          <cell r="Q1827" t="str">
            <v>EST MESA CENTRO GROTA (TAMPO LISO) WALNUT MATT</v>
          </cell>
          <cell r="R1827"/>
          <cell r="S1827"/>
          <cell r="T1827">
            <v>1.82</v>
          </cell>
          <cell r="U1827">
            <v>0.72</v>
          </cell>
          <cell r="V1827">
            <v>0.18</v>
          </cell>
          <cell r="W1827">
            <v>0</v>
          </cell>
          <cell r="X1827" t="str">
            <v>EST MESA CENTRO GROTA (TAMPO LISO) WALNUT MATT - 1,82x0,72x0,18H</v>
          </cell>
          <cell r="Y1827">
            <v>13625.88</v>
          </cell>
          <cell r="Z1827">
            <v>0.35</v>
          </cell>
          <cell r="AA1827">
            <v>8856.8220000000001</v>
          </cell>
          <cell r="AB1827"/>
        </row>
        <row r="1828">
          <cell r="C1828">
            <v>0</v>
          </cell>
          <cell r="D1828">
            <v>0</v>
          </cell>
          <cell r="E1828">
            <v>1</v>
          </cell>
          <cell r="F1828">
            <v>2</v>
          </cell>
          <cell r="H1828">
            <v>0</v>
          </cell>
          <cell r="O1828">
            <v>409982</v>
          </cell>
          <cell r="P1828" t="str">
            <v>2025/261-0021-01</v>
          </cell>
          <cell r="Q1828" t="str">
            <v>EST MESA LATERAL PIN (WALNUT MATT) (DET PINT CORTEN)</v>
          </cell>
          <cell r="R1828"/>
          <cell r="S1828"/>
          <cell r="T1828">
            <v>0.35</v>
          </cell>
          <cell r="U1828">
            <v>0</v>
          </cell>
          <cell r="V1828">
            <v>0.52</v>
          </cell>
          <cell r="W1828">
            <v>0.35</v>
          </cell>
          <cell r="X1828" t="str">
            <v>EST MESA LATERAL PIN (WALNUT MATT) (DET PINT CORTEN) - Ø0,35x0,52H</v>
          </cell>
          <cell r="Y1828">
            <v>5384.51</v>
          </cell>
          <cell r="Z1828">
            <v>0.35</v>
          </cell>
          <cell r="AA1828">
            <v>3499.9315000000006</v>
          </cell>
          <cell r="AB1828"/>
        </row>
        <row r="1829">
          <cell r="C1829">
            <v>0</v>
          </cell>
          <cell r="D1829">
            <v>0</v>
          </cell>
          <cell r="E1829">
            <v>1</v>
          </cell>
          <cell r="F1829">
            <v>2</v>
          </cell>
          <cell r="H1829">
            <v>0</v>
          </cell>
          <cell r="O1829">
            <v>409982</v>
          </cell>
          <cell r="P1829" t="str">
            <v>2025/261-0023-01</v>
          </cell>
          <cell r="Q1829" t="str">
            <v>EST MESA LATERAL PIN (WALNUT MATT) (DET PINT CORTEN)</v>
          </cell>
          <cell r="R1829"/>
          <cell r="S1829"/>
          <cell r="T1829">
            <v>0.35</v>
          </cell>
          <cell r="U1829">
            <v>0</v>
          </cell>
          <cell r="V1829">
            <v>0.52</v>
          </cell>
          <cell r="W1829">
            <v>0.35</v>
          </cell>
          <cell r="X1829" t="str">
            <v>EST MESA LATERAL PIN (WALNUT MATT) (DET PINT CORTEN) - Ø0,35x0,52H</v>
          </cell>
          <cell r="Y1829">
            <v>5384.51</v>
          </cell>
          <cell r="Z1829">
            <v>0.35</v>
          </cell>
          <cell r="AA1829">
            <v>3499.9315000000006</v>
          </cell>
          <cell r="AB1829"/>
        </row>
        <row r="1830">
          <cell r="C1830">
            <v>0</v>
          </cell>
          <cell r="D1830">
            <v>1</v>
          </cell>
          <cell r="E1830">
            <v>1</v>
          </cell>
          <cell r="F1830">
            <v>0</v>
          </cell>
          <cell r="H1830">
            <v>0</v>
          </cell>
          <cell r="O1830">
            <v>253724</v>
          </cell>
          <cell r="P1830" t="str">
            <v>2019/333-0031-01</v>
          </cell>
          <cell r="Q1830" t="str">
            <v>EST ESPELHO NEO (ESP BRONZE) (BORDA LC FOSCA ONIX)</v>
          </cell>
          <cell r="R1830"/>
          <cell r="S1830"/>
          <cell r="T1830">
            <v>2</v>
          </cell>
          <cell r="U1830">
            <v>1.2</v>
          </cell>
          <cell r="V1830">
            <v>0.05</v>
          </cell>
          <cell r="W1830">
            <v>0</v>
          </cell>
          <cell r="X1830" t="str">
            <v>EST ESPELHO NEO (ESP BRONZE) (BORDA LC FOSCA ONIX) - 2x1,2x0,05H</v>
          </cell>
          <cell r="Y1830">
            <v>19772.48</v>
          </cell>
          <cell r="Z1830">
            <v>0.35</v>
          </cell>
          <cell r="AA1830">
            <v>12852.112000000001</v>
          </cell>
          <cell r="AB1830"/>
        </row>
        <row r="1831">
          <cell r="C1831">
            <v>0</v>
          </cell>
          <cell r="D1831">
            <v>1</v>
          </cell>
          <cell r="E1831">
            <v>1</v>
          </cell>
          <cell r="F1831">
            <v>0</v>
          </cell>
          <cell r="H1831">
            <v>0</v>
          </cell>
          <cell r="O1831">
            <v>253724</v>
          </cell>
          <cell r="P1831" t="str">
            <v>2019/323-0009-01</v>
          </cell>
          <cell r="Q1831" t="str">
            <v>EST ESPELHO NEO (ESP BRONZE) (BORDA LC FOSCA ONIX)</v>
          </cell>
          <cell r="R1831"/>
          <cell r="S1831"/>
          <cell r="T1831">
            <v>2</v>
          </cell>
          <cell r="U1831">
            <v>1.2</v>
          </cell>
          <cell r="V1831">
            <v>0.05</v>
          </cell>
          <cell r="W1831">
            <v>0</v>
          </cell>
          <cell r="X1831" t="str">
            <v>EST ESPELHO NEO (ESP BRONZE) (BORDA LC FOSCA ONIX) - 2x1,2x0,05H</v>
          </cell>
          <cell r="Y1831">
            <v>19772.48</v>
          </cell>
          <cell r="Z1831">
            <v>0.35</v>
          </cell>
          <cell r="AA1831">
            <v>12852.112000000001</v>
          </cell>
          <cell r="AB1831"/>
        </row>
        <row r="1832">
          <cell r="C1832">
            <v>0</v>
          </cell>
          <cell r="D1832">
            <v>1</v>
          </cell>
          <cell r="E1832">
            <v>0</v>
          </cell>
          <cell r="F1832">
            <v>0</v>
          </cell>
          <cell r="H1832">
            <v>0</v>
          </cell>
          <cell r="O1832">
            <v>353805</v>
          </cell>
          <cell r="P1832" t="str">
            <v>2022/272-0003-01</v>
          </cell>
          <cell r="Q1832" t="str">
            <v>EST ESPELHO NEO (ESP PRATA) (BORDA LC FOSCA ONIX)</v>
          </cell>
          <cell r="R1832"/>
          <cell r="S1832"/>
          <cell r="T1832">
            <v>2.2000000000000002</v>
          </cell>
          <cell r="U1832">
            <v>1.2</v>
          </cell>
          <cell r="V1832">
            <v>0.05</v>
          </cell>
          <cell r="W1832">
            <v>0</v>
          </cell>
          <cell r="X1832" t="str">
            <v>EST ESPELHO NEO (ESP PRATA) (BORDA LC FOSCA ONIX) - 2,2x1,2x0,05H</v>
          </cell>
          <cell r="Y1832">
            <v>17078.21</v>
          </cell>
          <cell r="Z1832">
            <v>0.35</v>
          </cell>
          <cell r="AA1832">
            <v>11100.836499999999</v>
          </cell>
          <cell r="AB1832"/>
        </row>
        <row r="1833">
          <cell r="C1833">
            <v>1</v>
          </cell>
          <cell r="D1833">
            <v>1</v>
          </cell>
          <cell r="E1833">
            <v>0</v>
          </cell>
          <cell r="F1833">
            <v>0</v>
          </cell>
          <cell r="H1833">
            <v>0</v>
          </cell>
          <cell r="O1833">
            <v>361513</v>
          </cell>
          <cell r="P1833" t="str">
            <v>2025/042-0004-01</v>
          </cell>
          <cell r="Q1833" t="str">
            <v>EST ESPELHO STONE (COM MOLDURA CINZA) (MOD 02) ESP FUME</v>
          </cell>
          <cell r="R1833"/>
          <cell r="S1833"/>
          <cell r="T1833">
            <v>1.35</v>
          </cell>
          <cell r="U1833">
            <v>1.1599999999999999</v>
          </cell>
          <cell r="V1833">
            <v>0.05</v>
          </cell>
          <cell r="W1833">
            <v>0</v>
          </cell>
          <cell r="X1833" t="str">
            <v>EST ESPELHO STONE (COM MOLDURA CINZA) (MOD 02) ESP FUME - 1,35x1,16x0,05H</v>
          </cell>
          <cell r="Y1833">
            <v>15600.7</v>
          </cell>
          <cell r="Z1833">
            <v>0.35</v>
          </cell>
          <cell r="AA1833">
            <v>10140.455000000002</v>
          </cell>
          <cell r="AB1833"/>
        </row>
        <row r="1834">
          <cell r="C1834">
            <v>1</v>
          </cell>
          <cell r="D1834">
            <v>1</v>
          </cell>
          <cell r="E1834">
            <v>0</v>
          </cell>
          <cell r="F1834">
            <v>0</v>
          </cell>
          <cell r="H1834">
            <v>0</v>
          </cell>
          <cell r="O1834">
            <v>361515</v>
          </cell>
          <cell r="P1834" t="str">
            <v>2025/042-0006-01</v>
          </cell>
          <cell r="Q1834" t="str">
            <v>EST ESPELHO STONE (COM MOLDURA CINZA) (MOD 04) ESP FUME</v>
          </cell>
          <cell r="R1834"/>
          <cell r="S1834"/>
          <cell r="T1834">
            <v>1.1399999999999999</v>
          </cell>
          <cell r="U1834">
            <v>0.84</v>
          </cell>
          <cell r="V1834">
            <v>0.05</v>
          </cell>
          <cell r="W1834">
            <v>0</v>
          </cell>
          <cell r="X1834" t="str">
            <v>EST ESPELHO STONE (COM MOLDURA CINZA) (MOD 04) ESP FUME - 1,14x0,84x0,05H</v>
          </cell>
          <cell r="Y1834">
            <v>10516.35</v>
          </cell>
          <cell r="Z1834">
            <v>0.35</v>
          </cell>
          <cell r="AA1834">
            <v>6835.6275000000005</v>
          </cell>
          <cell r="AB1834"/>
        </row>
        <row r="1835">
          <cell r="C1835">
            <v>0</v>
          </cell>
          <cell r="D1835">
            <v>1</v>
          </cell>
          <cell r="E1835">
            <v>0</v>
          </cell>
          <cell r="F1835">
            <v>0</v>
          </cell>
          <cell r="H1835">
            <v>0</v>
          </cell>
          <cell r="O1835">
            <v>390158</v>
          </cell>
          <cell r="P1835" t="str">
            <v>2024/243-0029-01</v>
          </cell>
          <cell r="Q1835" t="str">
            <v>EST ESPELHO STONE (MOLDURA CINZA) (MOD 01) (ESPELHO FUME)</v>
          </cell>
          <cell r="R1835"/>
          <cell r="S1835"/>
          <cell r="T1835">
            <v>1.58</v>
          </cell>
          <cell r="U1835">
            <v>0.48</v>
          </cell>
          <cell r="V1835">
            <v>0.05</v>
          </cell>
          <cell r="W1835">
            <v>0</v>
          </cell>
          <cell r="X1835" t="str">
            <v>EST ESPELHO STONE (MOLDURA CINZA) (MOD 01) (ESPELHO FUME) - 1,58x0,48x0,05H</v>
          </cell>
          <cell r="Y1835">
            <v>8560.83</v>
          </cell>
          <cell r="Z1835">
            <v>0.35</v>
          </cell>
          <cell r="AA1835">
            <v>5564.5395000000008</v>
          </cell>
          <cell r="AB1835"/>
        </row>
        <row r="1836">
          <cell r="C1836">
            <v>0</v>
          </cell>
          <cell r="D1836">
            <v>1</v>
          </cell>
          <cell r="E1836">
            <v>0</v>
          </cell>
          <cell r="F1836">
            <v>0</v>
          </cell>
          <cell r="H1836">
            <v>0</v>
          </cell>
          <cell r="O1836">
            <v>390159</v>
          </cell>
          <cell r="P1836" t="str">
            <v>2024/243-0030-01</v>
          </cell>
          <cell r="Q1836" t="str">
            <v>EST ESPELHO STONE (MOLDURA CINZA) (MOD 02) (ESPELHO FUME)</v>
          </cell>
          <cell r="R1836"/>
          <cell r="S1836"/>
          <cell r="T1836">
            <v>1.35</v>
          </cell>
          <cell r="U1836">
            <v>1.1599999999999999</v>
          </cell>
          <cell r="V1836">
            <v>0.05</v>
          </cell>
          <cell r="W1836">
            <v>0</v>
          </cell>
          <cell r="X1836" t="str">
            <v>EST ESPELHO STONE (MOLDURA CINZA) (MOD 02) (ESPELHO FUME) - 1,35x1,16x0,05H</v>
          </cell>
          <cell r="Y1836">
            <v>15600.7</v>
          </cell>
          <cell r="Z1836">
            <v>0.35</v>
          </cell>
          <cell r="AA1836">
            <v>10140.455000000002</v>
          </cell>
          <cell r="AB1836"/>
        </row>
        <row r="1837">
          <cell r="C1837">
            <v>0</v>
          </cell>
          <cell r="D1837">
            <v>1</v>
          </cell>
          <cell r="E1837">
            <v>0</v>
          </cell>
          <cell r="F1837">
            <v>0</v>
          </cell>
          <cell r="H1837">
            <v>0</v>
          </cell>
          <cell r="O1837">
            <v>390160</v>
          </cell>
          <cell r="P1837" t="str">
            <v>2024/243-0031-01</v>
          </cell>
          <cell r="Q1837" t="str">
            <v>EST ESPELHO STONE (MOLDURA CINZA) (MOD 03) (ESPELHO FUME)</v>
          </cell>
          <cell r="R1837"/>
          <cell r="S1837"/>
          <cell r="T1837">
            <v>0.41</v>
          </cell>
          <cell r="U1837">
            <v>0.24</v>
          </cell>
          <cell r="V1837">
            <v>0.05</v>
          </cell>
          <cell r="W1837">
            <v>0</v>
          </cell>
          <cell r="X1837" t="str">
            <v>EST ESPELHO STONE (MOLDURA CINZA) (MOD 03) (ESPELHO FUME) - 0,41x0,24x0,05H</v>
          </cell>
          <cell r="Y1837">
            <v>2815.95</v>
          </cell>
          <cell r="Z1837">
            <v>0.35</v>
          </cell>
          <cell r="AA1837">
            <v>1830.3674999999998</v>
          </cell>
          <cell r="AB1837"/>
        </row>
        <row r="1838">
          <cell r="C1838">
            <v>0</v>
          </cell>
          <cell r="D1838">
            <v>1</v>
          </cell>
          <cell r="E1838">
            <v>0</v>
          </cell>
          <cell r="F1838">
            <v>0</v>
          </cell>
          <cell r="H1838">
            <v>0</v>
          </cell>
          <cell r="O1838">
            <v>390161</v>
          </cell>
          <cell r="P1838" t="str">
            <v>2024/243-0032-01</v>
          </cell>
          <cell r="Q1838" t="str">
            <v>EST ESPELHO STONE (MOLDURA CINZA) (MOD 04) (ESPELHO FUME)</v>
          </cell>
          <cell r="R1838"/>
          <cell r="S1838"/>
          <cell r="T1838">
            <v>1.1399999999999999</v>
          </cell>
          <cell r="U1838">
            <v>0.84</v>
          </cell>
          <cell r="V1838">
            <v>0.05</v>
          </cell>
          <cell r="W1838">
            <v>0</v>
          </cell>
          <cell r="X1838" t="str">
            <v>EST ESPELHO STONE (MOLDURA CINZA) (MOD 04) (ESPELHO FUME) - 1,14x0,84x0,05H</v>
          </cell>
          <cell r="Y1838">
            <v>10516.35</v>
          </cell>
          <cell r="Z1838">
            <v>0.35</v>
          </cell>
          <cell r="AA1838">
            <v>6835.6275000000005</v>
          </cell>
          <cell r="AB1838"/>
        </row>
        <row r="1839">
          <cell r="C1839">
            <v>0</v>
          </cell>
          <cell r="D1839">
            <v>1</v>
          </cell>
          <cell r="E1839">
            <v>0</v>
          </cell>
          <cell r="F1839">
            <v>0</v>
          </cell>
          <cell r="H1839">
            <v>0</v>
          </cell>
          <cell r="O1839">
            <v>390162</v>
          </cell>
          <cell r="P1839" t="str">
            <v>2024/243-0033-01</v>
          </cell>
          <cell r="Q1839" t="str">
            <v>EST ESPELHO STONE (MOLDURA CINZA) (MOD 05) (ESPELHO FUME)</v>
          </cell>
          <cell r="R1839"/>
          <cell r="S1839"/>
          <cell r="T1839">
            <v>0.72</v>
          </cell>
          <cell r="U1839">
            <v>0.5</v>
          </cell>
          <cell r="V1839">
            <v>0.05</v>
          </cell>
          <cell r="W1839">
            <v>0</v>
          </cell>
          <cell r="X1839" t="str">
            <v>EST ESPELHO STONE (MOLDURA CINZA) (MOD 05) (ESPELHO FUME) - 0,72x0,5x0,05H</v>
          </cell>
          <cell r="Y1839">
            <v>5475.46</v>
          </cell>
          <cell r="Z1839">
            <v>0.35</v>
          </cell>
          <cell r="AA1839">
            <v>3559.049</v>
          </cell>
          <cell r="AB1839"/>
        </row>
        <row r="1840">
          <cell r="C1840">
            <v>0</v>
          </cell>
          <cell r="D1840">
            <v>2</v>
          </cell>
          <cell r="E1840">
            <v>0</v>
          </cell>
          <cell r="F1840">
            <v>0</v>
          </cell>
          <cell r="H1840">
            <v>0</v>
          </cell>
          <cell r="O1840">
            <v>394994</v>
          </cell>
          <cell r="P1840" t="str">
            <v>2025/014-0027-01</v>
          </cell>
          <cell r="Q1840" t="str">
            <v>EST CADEIRA DESIREE (GIR) (ENC FX F6232) (FX F6232)</v>
          </cell>
          <cell r="R1840"/>
          <cell r="S1840"/>
          <cell r="T1840">
            <v>0.66</v>
          </cell>
          <cell r="U1840">
            <v>0.62</v>
          </cell>
          <cell r="V1840">
            <v>0.81</v>
          </cell>
          <cell r="W1840">
            <v>0</v>
          </cell>
          <cell r="X1840" t="str">
            <v>EST CADEIRA DESIREE (GIR) (ENC FX F6232) (FX F6232) - 0,66x0,62x0,81H</v>
          </cell>
          <cell r="Y1840">
            <v>8594.48</v>
          </cell>
          <cell r="Z1840">
            <v>0.35</v>
          </cell>
          <cell r="AA1840">
            <v>5586.4120000000003</v>
          </cell>
          <cell r="AB1840"/>
        </row>
        <row r="1841">
          <cell r="C1841">
            <v>0</v>
          </cell>
          <cell r="D1841">
            <v>2</v>
          </cell>
          <cell r="E1841">
            <v>0</v>
          </cell>
          <cell r="F1841">
            <v>0</v>
          </cell>
          <cell r="H1841">
            <v>0</v>
          </cell>
          <cell r="O1841">
            <v>394994</v>
          </cell>
          <cell r="P1841" t="str">
            <v>2025/014-0028-01</v>
          </cell>
          <cell r="Q1841" t="str">
            <v>EST CADEIRA DESIREE (GIR) (ENC FX F6232) (FX F6232)</v>
          </cell>
          <cell r="R1841"/>
          <cell r="S1841"/>
          <cell r="T1841">
            <v>0.66</v>
          </cell>
          <cell r="U1841">
            <v>0.62</v>
          </cell>
          <cell r="V1841">
            <v>0.81</v>
          </cell>
          <cell r="W1841">
            <v>0</v>
          </cell>
          <cell r="X1841" t="str">
            <v>EST CADEIRA DESIREE (GIR) (ENC FX F6232) (FX F6232) - 0,66x0,62x0,81H</v>
          </cell>
          <cell r="Y1841">
            <v>8594.48</v>
          </cell>
          <cell r="Z1841">
            <v>0.35</v>
          </cell>
          <cell r="AA1841">
            <v>5586.4120000000003</v>
          </cell>
          <cell r="AB1841"/>
        </row>
        <row r="1842">
          <cell r="C1842">
            <v>1</v>
          </cell>
          <cell r="D1842">
            <v>0</v>
          </cell>
          <cell r="E1842">
            <v>0</v>
          </cell>
          <cell r="F1842">
            <v>0</v>
          </cell>
          <cell r="H1842">
            <v>0</v>
          </cell>
          <cell r="O1842">
            <v>353806</v>
          </cell>
          <cell r="P1842" t="str">
            <v>2022/287-0044-01</v>
          </cell>
          <cell r="Q1842" t="str">
            <v>EST ESPELHO NEO (ESP FUME) (BORDA LC FOSCA ONIX)</v>
          </cell>
          <cell r="R1842"/>
          <cell r="S1842"/>
          <cell r="T1842">
            <v>2.2000000000000002</v>
          </cell>
          <cell r="U1842">
            <v>1.2</v>
          </cell>
          <cell r="V1842">
            <v>0.05</v>
          </cell>
          <cell r="W1842">
            <v>0</v>
          </cell>
          <cell r="X1842" t="str">
            <v>EST ESPELHO NEO (ESP FUME) (BORDA LC FOSCA ONIX) - 2,2x1,2x0,05H</v>
          </cell>
          <cell r="Y1842">
            <v>24161.54</v>
          </cell>
          <cell r="Z1842">
            <v>0.5</v>
          </cell>
          <cell r="AA1842">
            <v>12080.77</v>
          </cell>
          <cell r="AB1842"/>
        </row>
        <row r="1843">
          <cell r="C1843">
            <v>1</v>
          </cell>
          <cell r="D1843">
            <v>0</v>
          </cell>
          <cell r="E1843">
            <v>0</v>
          </cell>
          <cell r="F1843">
            <v>0</v>
          </cell>
          <cell r="H1843">
            <v>0</v>
          </cell>
          <cell r="O1843">
            <v>353804</v>
          </cell>
          <cell r="P1843" t="str">
            <v>2022/272-0002-01</v>
          </cell>
          <cell r="Q1843" t="str">
            <v>EST ESPELHO NEO (ESP BRONZE) (BORDA LC FOSCA ONIX)</v>
          </cell>
          <cell r="R1843"/>
          <cell r="S1843"/>
          <cell r="T1843">
            <v>2.2000000000000002</v>
          </cell>
          <cell r="U1843">
            <v>1.2</v>
          </cell>
          <cell r="V1843">
            <v>0.05</v>
          </cell>
          <cell r="W1843">
            <v>0</v>
          </cell>
          <cell r="X1843" t="str">
            <v>EST ESPELHO NEO (ESP BRONZE) (BORDA LC FOSCA ONIX) - 2,2x1,2x0,05H</v>
          </cell>
          <cell r="Y1843">
            <v>24161.54</v>
          </cell>
          <cell r="Z1843">
            <v>0.35</v>
          </cell>
          <cell r="AA1843">
            <v>15705.001</v>
          </cell>
          <cell r="AB1843"/>
        </row>
        <row r="1844">
          <cell r="C1844">
            <v>1</v>
          </cell>
          <cell r="D1844">
            <v>0</v>
          </cell>
          <cell r="E1844">
            <v>0</v>
          </cell>
          <cell r="F1844">
            <v>0</v>
          </cell>
          <cell r="H1844">
            <v>0</v>
          </cell>
          <cell r="O1844">
            <v>361512</v>
          </cell>
          <cell r="P1844" t="str">
            <v>2025/041-0001-01</v>
          </cell>
          <cell r="Q1844" t="str">
            <v>EST ESPELHO STONE (COM MOLDURA CINZA) (MOD 01) ESP FUME</v>
          </cell>
          <cell r="R1844"/>
          <cell r="S1844"/>
          <cell r="T1844">
            <v>1.58</v>
          </cell>
          <cell r="U1844">
            <v>0.48</v>
          </cell>
          <cell r="V1844">
            <v>0.05</v>
          </cell>
          <cell r="W1844">
            <v>0</v>
          </cell>
          <cell r="X1844" t="str">
            <v>EST ESPELHO STONE (COM MOLDURA CINZA) (MOD 01) ESP FUME - 1,58x0,48x0,05H</v>
          </cell>
          <cell r="Y1844">
            <v>8560.83</v>
          </cell>
          <cell r="Z1844">
            <v>0.35</v>
          </cell>
          <cell r="AA1844">
            <v>5564.5395000000008</v>
          </cell>
          <cell r="AB1844"/>
        </row>
        <row r="1845">
          <cell r="C1845">
            <v>1</v>
          </cell>
          <cell r="D1845">
            <v>1</v>
          </cell>
          <cell r="E1845">
            <v>0</v>
          </cell>
          <cell r="F1845">
            <v>0</v>
          </cell>
          <cell r="H1845">
            <v>0</v>
          </cell>
          <cell r="O1845">
            <v>361513</v>
          </cell>
          <cell r="P1845" t="str">
            <v>2025/041-0002-01</v>
          </cell>
          <cell r="Q1845" t="str">
            <v>EST ESPELHO STONE (COM MOLDURA CINZA) (MOD 02) ESP FUME</v>
          </cell>
          <cell r="R1845"/>
          <cell r="S1845"/>
          <cell r="T1845">
            <v>1.35</v>
          </cell>
          <cell r="U1845">
            <v>1.1599999999999999</v>
          </cell>
          <cell r="V1845">
            <v>0.05</v>
          </cell>
          <cell r="W1845">
            <v>0</v>
          </cell>
          <cell r="X1845" t="str">
            <v>EST ESPELHO STONE (COM MOLDURA CINZA) (MOD 02) ESP FUME - 1,35x1,16x0,05H</v>
          </cell>
          <cell r="Y1845">
            <v>15600.7</v>
          </cell>
          <cell r="Z1845">
            <v>0.35</v>
          </cell>
          <cell r="AA1845">
            <v>10140.455000000002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0</v>
          </cell>
          <cell r="H1846">
            <v>0</v>
          </cell>
          <cell r="O1846">
            <v>361514</v>
          </cell>
          <cell r="P1846" t="str">
            <v>2025/041-0003-01</v>
          </cell>
          <cell r="Q1846" t="str">
            <v>EST ESPELHO STONE (COM MOLDURA CINZA) (MOD 03) ESP FUME</v>
          </cell>
          <cell r="R1846"/>
          <cell r="S1846"/>
          <cell r="T1846">
            <v>0.41</v>
          </cell>
          <cell r="U1846">
            <v>0.24</v>
          </cell>
          <cell r="V1846">
            <v>0.05</v>
          </cell>
          <cell r="W1846">
            <v>0</v>
          </cell>
          <cell r="X1846" t="str">
            <v>EST ESPELHO STONE (COM MOLDURA CINZA) (MOD 03) ESP FUME - 0,41x0,24x0,05H</v>
          </cell>
          <cell r="Y1846">
            <v>2815.95</v>
          </cell>
          <cell r="Z1846">
            <v>0.35</v>
          </cell>
          <cell r="AA1846">
            <v>1830.3674999999998</v>
          </cell>
          <cell r="AB1846"/>
        </row>
        <row r="1847">
          <cell r="C1847">
            <v>1</v>
          </cell>
          <cell r="D1847">
            <v>1</v>
          </cell>
          <cell r="E1847">
            <v>0</v>
          </cell>
          <cell r="F1847">
            <v>0</v>
          </cell>
          <cell r="H1847">
            <v>0</v>
          </cell>
          <cell r="O1847">
            <v>361515</v>
          </cell>
          <cell r="P1847" t="str">
            <v>2025/041-0004-01</v>
          </cell>
          <cell r="Q1847" t="str">
            <v>EST ESPELHO STONE (COM MOLDURA CINZA) (MOD 04) ESP FUME</v>
          </cell>
          <cell r="R1847"/>
          <cell r="S1847"/>
          <cell r="T1847">
            <v>1.1399999999999999</v>
          </cell>
          <cell r="U1847">
            <v>0.84</v>
          </cell>
          <cell r="V1847">
            <v>0.05</v>
          </cell>
          <cell r="W1847">
            <v>0</v>
          </cell>
          <cell r="X1847" t="str">
            <v>EST ESPELHO STONE (COM MOLDURA CINZA) (MOD 04) ESP FUME - 1,14x0,84x0,05H</v>
          </cell>
          <cell r="Y1847">
            <v>10516.35</v>
          </cell>
          <cell r="Z1847">
            <v>0.35</v>
          </cell>
          <cell r="AA1847">
            <v>6835.6275000000005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0</v>
          </cell>
          <cell r="H1848">
            <v>0</v>
          </cell>
          <cell r="O1848">
            <v>361516</v>
          </cell>
          <cell r="P1848" t="str">
            <v>2025/041-0005-01</v>
          </cell>
          <cell r="Q1848" t="str">
            <v>EST ESPELHO STONE (COM MOLDURA CINZA) (MOD 05) ESP FUME</v>
          </cell>
          <cell r="R1848"/>
          <cell r="S1848"/>
          <cell r="T1848">
            <v>0.72</v>
          </cell>
          <cell r="U1848">
            <v>0.5</v>
          </cell>
          <cell r="V1848">
            <v>0.05</v>
          </cell>
          <cell r="W1848">
            <v>0</v>
          </cell>
          <cell r="X1848" t="str">
            <v>EST ESPELHO STONE (COM MOLDURA CINZA) (MOD 05) ESP FUME - 0,72x0,5x0,05H</v>
          </cell>
          <cell r="Y1848">
            <v>5475.46</v>
          </cell>
          <cell r="Z1848">
            <v>0.35</v>
          </cell>
          <cell r="AA1848">
            <v>3559.049</v>
          </cell>
          <cell r="AB1848"/>
        </row>
        <row r="1849">
          <cell r="C1849">
            <v>0</v>
          </cell>
          <cell r="D1849">
            <v>0</v>
          </cell>
          <cell r="E1849">
            <v>1</v>
          </cell>
          <cell r="F1849">
            <v>0</v>
          </cell>
          <cell r="H1849">
            <v>0</v>
          </cell>
          <cell r="O1849">
            <v>275028</v>
          </cell>
          <cell r="P1849" t="str">
            <v>2021/165-0096-01</v>
          </cell>
          <cell r="Q1849" t="str">
            <v>EST MESA LATERAL KEW (TP LAMINADO NOGUEIRA/PES MTX CORTEN)</v>
          </cell>
          <cell r="R1849"/>
          <cell r="S1849"/>
          <cell r="T1849">
            <v>0.57999999999999996</v>
          </cell>
          <cell r="U1849">
            <v>0.6</v>
          </cell>
          <cell r="V1849">
            <v>0.49</v>
          </cell>
          <cell r="W1849">
            <v>0</v>
          </cell>
          <cell r="X1849" t="str">
            <v>EST MESA LATERAL KEW (TP LAMINADO NOGUEIRA/PES MTX CORTEN) - 0,58x0,6x0,49H</v>
          </cell>
          <cell r="Y1849">
            <v>14392.63</v>
          </cell>
          <cell r="Z1849">
            <v>0.35</v>
          </cell>
          <cell r="AA1849">
            <v>9355.2095000000008</v>
          </cell>
          <cell r="AB1849"/>
        </row>
        <row r="1850">
          <cell r="C1850">
            <v>0</v>
          </cell>
          <cell r="D1850">
            <v>2</v>
          </cell>
          <cell r="E1850">
            <v>2</v>
          </cell>
          <cell r="F1850">
            <v>0</v>
          </cell>
          <cell r="H1850">
            <v>0</v>
          </cell>
          <cell r="O1850">
            <v>223310</v>
          </cell>
          <cell r="P1850" t="str">
            <v>2018/268-0054-01</v>
          </cell>
          <cell r="Q1850" t="str">
            <v>EST BANDEJA JARDIM (MOD 4) Ø30 CONCAVO ROSA PARANA BRILHO</v>
          </cell>
          <cell r="R1850"/>
          <cell r="S1850"/>
          <cell r="T1850">
            <v>0.4</v>
          </cell>
          <cell r="U1850">
            <v>0</v>
          </cell>
          <cell r="V1850">
            <v>0</v>
          </cell>
          <cell r="W1850">
            <v>0.4</v>
          </cell>
          <cell r="X1850" t="str">
            <v>EST BANDEJA JARDIM (MOD 4) Ø30 CONCAVO ROSA PARANA BRILHO - Ø0,4x0H</v>
          </cell>
          <cell r="Y1850">
            <v>5397.55</v>
          </cell>
          <cell r="Z1850">
            <v>0.5</v>
          </cell>
          <cell r="AA1850">
            <v>2698.7750000000001</v>
          </cell>
          <cell r="AB1850"/>
        </row>
        <row r="1851">
          <cell r="C1851">
            <v>0</v>
          </cell>
          <cell r="D1851">
            <v>2</v>
          </cell>
          <cell r="E1851">
            <v>2</v>
          </cell>
          <cell r="F1851">
            <v>0</v>
          </cell>
          <cell r="H1851">
            <v>0</v>
          </cell>
          <cell r="O1851">
            <v>223310</v>
          </cell>
          <cell r="P1851" t="str">
            <v>2018/268-0053-01</v>
          </cell>
          <cell r="Q1851" t="str">
            <v>EST BANDEJA JARDIM (MOD 4) Ø30 CONCAVO ROSA PARANA BRILHO</v>
          </cell>
          <cell r="R1851"/>
          <cell r="S1851"/>
          <cell r="T1851">
            <v>0.4</v>
          </cell>
          <cell r="U1851">
            <v>0</v>
          </cell>
          <cell r="V1851">
            <v>0</v>
          </cell>
          <cell r="W1851">
            <v>0.4</v>
          </cell>
          <cell r="X1851" t="str">
            <v>EST BANDEJA JARDIM (MOD 4) Ø30 CONCAVO ROSA PARANA BRILHO - Ø0,4x0H</v>
          </cell>
          <cell r="Y1851">
            <v>5397.55</v>
          </cell>
          <cell r="Z1851">
            <v>0.5</v>
          </cell>
          <cell r="AA1851">
            <v>2698.7750000000001</v>
          </cell>
          <cell r="AB1851"/>
        </row>
        <row r="1852">
          <cell r="C1852">
            <v>2</v>
          </cell>
          <cell r="D1852">
            <v>2</v>
          </cell>
          <cell r="E1852">
            <v>2</v>
          </cell>
          <cell r="F1852">
            <v>0</v>
          </cell>
          <cell r="H1852">
            <v>0</v>
          </cell>
          <cell r="O1852">
            <v>223311</v>
          </cell>
          <cell r="P1852" t="str">
            <v>2018/268-0057-01</v>
          </cell>
          <cell r="Q1852" t="str">
            <v>EST BANDEJA JARDIM (MOD 3) QUAD MARMORE CARRARA FOSCO</v>
          </cell>
          <cell r="R1852"/>
          <cell r="S1852"/>
          <cell r="T1852">
            <v>0.25</v>
          </cell>
          <cell r="U1852">
            <v>0.25</v>
          </cell>
          <cell r="V1852">
            <v>0</v>
          </cell>
          <cell r="W1852">
            <v>0</v>
          </cell>
          <cell r="X1852" t="str">
            <v>EST BANDEJA JARDIM (MOD 3) QUAD MARMORE CARRARA FOSCO - 0,25x0,25x0H</v>
          </cell>
          <cell r="Y1852">
            <v>5729.47</v>
          </cell>
          <cell r="Z1852">
            <v>0.5</v>
          </cell>
          <cell r="AA1852">
            <v>2864.7350000000001</v>
          </cell>
          <cell r="AB1852"/>
        </row>
        <row r="1853">
          <cell r="C1853">
            <v>2</v>
          </cell>
          <cell r="D1853">
            <v>2</v>
          </cell>
          <cell r="E1853">
            <v>2</v>
          </cell>
          <cell r="F1853">
            <v>0</v>
          </cell>
          <cell r="H1853">
            <v>0</v>
          </cell>
          <cell r="O1853">
            <v>223311</v>
          </cell>
          <cell r="P1853" t="str">
            <v>2018/268-0058-01</v>
          </cell>
          <cell r="Q1853" t="str">
            <v>EST BANDEJA JARDIM (MOD 3) QUAD MARMORE CARRARA FOSCO</v>
          </cell>
          <cell r="R1853"/>
          <cell r="S1853"/>
          <cell r="T1853">
            <v>0.25</v>
          </cell>
          <cell r="U1853">
            <v>0.25</v>
          </cell>
          <cell r="V1853">
            <v>0</v>
          </cell>
          <cell r="W1853">
            <v>0</v>
          </cell>
          <cell r="X1853" t="str">
            <v>EST BANDEJA JARDIM (MOD 3) QUAD MARMORE CARRARA FOSCO - 0,25x0,25x0H</v>
          </cell>
          <cell r="Y1853">
            <v>5729.47</v>
          </cell>
          <cell r="Z1853">
            <v>0.5</v>
          </cell>
          <cell r="AA1853">
            <v>2864.7350000000001</v>
          </cell>
          <cell r="AB1853"/>
        </row>
        <row r="1854">
          <cell r="C1854">
            <v>0</v>
          </cell>
          <cell r="D1854">
            <v>0</v>
          </cell>
          <cell r="E1854">
            <v>1</v>
          </cell>
          <cell r="F1854">
            <v>0</v>
          </cell>
          <cell r="H1854">
            <v>1</v>
          </cell>
          <cell r="O1854">
            <v>223318</v>
          </cell>
          <cell r="P1854" t="str">
            <v>2018/185-0157-01</v>
          </cell>
          <cell r="Q1854" t="str">
            <v>EST CADEIRA DIOR (TC 3321 MADEIRA MEL 110)</v>
          </cell>
          <cell r="R1854"/>
          <cell r="S1854"/>
          <cell r="T1854">
            <v>0.49</v>
          </cell>
          <cell r="U1854">
            <v>0.51</v>
          </cell>
          <cell r="V1854">
            <v>0.83</v>
          </cell>
          <cell r="W1854">
            <v>0</v>
          </cell>
          <cell r="X1854" t="str">
            <v>EST CADEIRA DIOR (TC 3321 MADEIRA MEL 110) - 0,49x0,51x0,83H</v>
          </cell>
          <cell r="Y1854">
            <v>2122.04</v>
          </cell>
          <cell r="Z1854">
            <v>0.5</v>
          </cell>
          <cell r="AA1854">
            <v>1061.02</v>
          </cell>
          <cell r="AB1854"/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1</v>
          </cell>
          <cell r="H1855">
            <v>0</v>
          </cell>
          <cell r="O1855">
            <v>335070</v>
          </cell>
          <cell r="P1855" t="str">
            <v>2022/256-0030-01</v>
          </cell>
          <cell r="Q1855" t="str">
            <v>EST MESA LATERAL BUZIOS 300 (TP LAM NOGUEIRA/BS HST OXI)</v>
          </cell>
          <cell r="R1855"/>
          <cell r="S1855"/>
          <cell r="T1855">
            <v>0.3</v>
          </cell>
          <cell r="U1855">
            <v>0</v>
          </cell>
          <cell r="V1855">
            <v>0.55000000000000004</v>
          </cell>
          <cell r="W1855">
            <v>0.3</v>
          </cell>
          <cell r="X1855" t="str">
            <v>EST MESA LATERAL BUZIOS 300 (TP LAM NOGUEIRA/BS HST OXI) - Ø0,3x0,55H</v>
          </cell>
          <cell r="Y1855">
            <v>5146.18</v>
          </cell>
          <cell r="Z1855">
            <v>0.35</v>
          </cell>
          <cell r="AA1855">
            <v>3345.0170000000003</v>
          </cell>
          <cell r="AB1855"/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1</v>
          </cell>
          <cell r="H1856">
            <v>0</v>
          </cell>
          <cell r="O1856">
            <v>335071</v>
          </cell>
          <cell r="P1856" t="str">
            <v>2022/263-0042-01</v>
          </cell>
          <cell r="Q1856" t="str">
            <v>EST MESA LATERAL BUZIOS 300 (TP CALAC/BS CONC/HTS MTX PT)</v>
          </cell>
          <cell r="R1856"/>
          <cell r="S1856"/>
          <cell r="T1856">
            <v>0.3</v>
          </cell>
          <cell r="U1856">
            <v>0</v>
          </cell>
          <cell r="V1856">
            <v>0.55000000000000004</v>
          </cell>
          <cell r="W1856">
            <v>0.3</v>
          </cell>
          <cell r="X1856" t="str">
            <v>EST MESA LATERAL BUZIOS 300 (TP CALAC/BS CONC/HTS MTX PT) - Ø0,3x0,55H</v>
          </cell>
          <cell r="Y1856">
            <v>8864.08</v>
          </cell>
          <cell r="Z1856">
            <v>0.35</v>
          </cell>
          <cell r="AA1856">
            <v>5761.652</v>
          </cell>
          <cell r="AB1856"/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1</v>
          </cell>
          <cell r="H1857">
            <v>0</v>
          </cell>
          <cell r="O1857">
            <v>335075</v>
          </cell>
          <cell r="P1857" t="str">
            <v>2022/256-0034-01</v>
          </cell>
          <cell r="Q1857" t="str">
            <v>EST MESA LATERAL BUZIOS 600 (TP NERO USI/BS CONC CRB/HST PT)</v>
          </cell>
          <cell r="R1857"/>
          <cell r="S1857"/>
          <cell r="T1857">
            <v>0.6</v>
          </cell>
          <cell r="U1857">
            <v>0</v>
          </cell>
          <cell r="V1857">
            <v>0.41</v>
          </cell>
          <cell r="W1857">
            <v>0.6</v>
          </cell>
          <cell r="X1857" t="str">
            <v>EST MESA LATERAL BUZIOS 600 (TP NERO USI/BS CONC CRB/HST PT) - Ø0,6x0,41H</v>
          </cell>
          <cell r="Y1857">
            <v>12665</v>
          </cell>
          <cell r="Z1857">
            <v>0.35</v>
          </cell>
          <cell r="AA1857">
            <v>8232.25</v>
          </cell>
          <cell r="AB1857"/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1</v>
          </cell>
          <cell r="H1858">
            <v>0</v>
          </cell>
          <cell r="O1858">
            <v>335076</v>
          </cell>
          <cell r="P1858" t="str">
            <v>2022/263-0043-01</v>
          </cell>
          <cell r="Q1858" t="str">
            <v>EST MESA LATERAL BUZIOS 600 (TP CALACATA USINADA/CONC CARB)</v>
          </cell>
          <cell r="R1858"/>
          <cell r="S1858"/>
          <cell r="T1858">
            <v>0.6</v>
          </cell>
          <cell r="U1858">
            <v>0</v>
          </cell>
          <cell r="V1858">
            <v>0.41</v>
          </cell>
          <cell r="W1858">
            <v>0.6</v>
          </cell>
          <cell r="X1858" t="str">
            <v>EST MESA LATERAL BUZIOS 600 (TP CALACATA USINADA/CONC CARB) - Ø0,6x0,41H</v>
          </cell>
          <cell r="Y1858">
            <v>12665</v>
          </cell>
          <cell r="Z1858">
            <v>0.35</v>
          </cell>
          <cell r="AA1858">
            <v>8232.25</v>
          </cell>
          <cell r="AB1858"/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1</v>
          </cell>
          <cell r="H1859">
            <v>0</v>
          </cell>
          <cell r="O1859">
            <v>394993</v>
          </cell>
          <cell r="P1859" t="str">
            <v>2025/014-0052-01</v>
          </cell>
          <cell r="Q1859" t="str">
            <v>EST BANCO VITALITE I (MTZ CHUMBO) (EBONY) (NERO) FX C3186</v>
          </cell>
          <cell r="R1859"/>
          <cell r="S1859"/>
          <cell r="T1859">
            <v>1.78</v>
          </cell>
          <cell r="U1859">
            <v>0.45</v>
          </cell>
          <cell r="V1859">
            <v>0.42</v>
          </cell>
          <cell r="W1859">
            <v>0</v>
          </cell>
          <cell r="X1859" t="str">
            <v>EST BANCO VITALITE I (MTZ CHUMBO) (EBONY) (NERO) FX C3186 - 1,78x0,45x0,42H</v>
          </cell>
          <cell r="Y1859">
            <v>19293.7</v>
          </cell>
          <cell r="Z1859">
            <v>0.35</v>
          </cell>
          <cell r="AA1859">
            <v>12540.905000000001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275010</v>
          </cell>
          <cell r="P1860" t="str">
            <v>2021/165-0086-01</v>
          </cell>
          <cell r="Q1860" t="str">
            <v>EST MESA CENTRO ARAL (TP CALACATA/SUB FREIJO/BS MTX M BLANC)</v>
          </cell>
          <cell r="R1860"/>
          <cell r="S1860"/>
          <cell r="T1860">
            <v>1.1000000000000001</v>
          </cell>
          <cell r="U1860">
            <v>1.1000000000000001</v>
          </cell>
          <cell r="V1860">
            <v>0.27</v>
          </cell>
          <cell r="W1860">
            <v>0</v>
          </cell>
          <cell r="X1860" t="str">
            <v>EST MESA CENTRO ARAL (TP CALACATA/SUB FREIJO/BS MTX M BLANC) - 1,1x1,1x0,27H</v>
          </cell>
          <cell r="Y1860">
            <v>35774.28</v>
          </cell>
          <cell r="Z1860">
            <v>0.35</v>
          </cell>
          <cell r="AA1860">
            <v>23253.281999999999</v>
          </cell>
          <cell r="AB1860"/>
        </row>
        <row r="1861">
          <cell r="C1861">
            <v>0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308718</v>
          </cell>
          <cell r="P1861" t="str">
            <v>2021/287-0005-01</v>
          </cell>
          <cell r="Q1861" t="str">
            <v>EST MESA CENTRO ARAL (TP CALACAT/SUB TP NOG/BASE MTX CORTEN)</v>
          </cell>
          <cell r="R1861"/>
          <cell r="S1861"/>
          <cell r="T1861">
            <v>0.9</v>
          </cell>
          <cell r="U1861">
            <v>0.9</v>
          </cell>
          <cell r="V1861">
            <v>0.27</v>
          </cell>
          <cell r="W1861">
            <v>0</v>
          </cell>
          <cell r="X1861" t="str">
            <v>EST MESA CENTRO ARAL (TP CALACAT/SUB TP NOG/BASE MTX CORTEN) - 0,9x0,9x0,27H</v>
          </cell>
          <cell r="Y1861">
            <v>33687.269999999997</v>
          </cell>
          <cell r="Z1861">
            <v>0.35</v>
          </cell>
          <cell r="AA1861">
            <v>21896.7255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308721</v>
          </cell>
          <cell r="P1862" t="str">
            <v>2021/287-0006-01</v>
          </cell>
          <cell r="Q1862" t="str">
            <v>EST MESA CENTRO ARAL (TP LAMIANDO NOGUEIRA/BASE MTX CORTEN)</v>
          </cell>
          <cell r="R1862"/>
          <cell r="S1862"/>
          <cell r="T1862">
            <v>1.1000000000000001</v>
          </cell>
          <cell r="U1862">
            <v>1.1000000000000001</v>
          </cell>
          <cell r="V1862">
            <v>0.27</v>
          </cell>
          <cell r="W1862">
            <v>0</v>
          </cell>
          <cell r="X1862" t="str">
            <v>EST MESA CENTRO ARAL (TP LAMIANDO NOGUEIRA/BASE MTX CORTEN) - 1,1x1,1x0,27H</v>
          </cell>
          <cell r="Y1862">
            <v>18677.3</v>
          </cell>
          <cell r="Z1862">
            <v>0.35</v>
          </cell>
          <cell r="AA1862">
            <v>12140.244999999999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378051</v>
          </cell>
          <cell r="P1863" t="str">
            <v>2023/348-0023-01</v>
          </cell>
          <cell r="Q1863" t="str">
            <v>EST BANCO ZOE (LAMINADO/INTERNO LAMINADO NOGUEIRA)</v>
          </cell>
          <cell r="R1863"/>
          <cell r="S1863"/>
          <cell r="T1863">
            <v>2.4</v>
          </cell>
          <cell r="U1863">
            <v>0.48</v>
          </cell>
          <cell r="V1863">
            <v>0.43</v>
          </cell>
          <cell r="W1863">
            <v>0</v>
          </cell>
          <cell r="X1863" t="str">
            <v>EST BANCO ZOE (LAMINADO/INTERNO LAMINADO NOGUEIRA) - 2,4x0,48x0,43H</v>
          </cell>
          <cell r="Y1863">
            <v>33295.629999999997</v>
          </cell>
          <cell r="Z1863">
            <v>0.35</v>
          </cell>
          <cell r="AA1863">
            <v>21642.159500000002</v>
          </cell>
          <cell r="AB1863"/>
        </row>
        <row r="1864">
          <cell r="C1864">
            <v>0</v>
          </cell>
          <cell r="D1864">
            <v>1</v>
          </cell>
          <cell r="E1864">
            <v>0</v>
          </cell>
          <cell r="F1864">
            <v>0</v>
          </cell>
          <cell r="H1864">
            <v>0</v>
          </cell>
          <cell r="O1864">
            <v>390205</v>
          </cell>
          <cell r="P1864" t="str">
            <v>2024/269-0058-01</v>
          </cell>
          <cell r="Q1864" t="str">
            <v>EST MESA JANTAR AURORA (TPO CHANF LAM NOGUEIRA) BS LAMINADA</v>
          </cell>
          <cell r="R1864"/>
          <cell r="S1864"/>
          <cell r="T1864">
            <v>2.8</v>
          </cell>
          <cell r="U1864">
            <v>1.2</v>
          </cell>
          <cell r="V1864">
            <v>0.75</v>
          </cell>
          <cell r="W1864">
            <v>0</v>
          </cell>
          <cell r="X1864" t="str">
            <v>EST MESA JANTAR AURORA (TPO CHANF LAM NOGUEIRA) BS LAMINADA - 2,8x1,2x0,75H</v>
          </cell>
          <cell r="Y1864">
            <v>51591.628000000004</v>
          </cell>
          <cell r="Z1864">
            <v>0.35</v>
          </cell>
          <cell r="AA1864">
            <v>33534.558199999999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394992</v>
          </cell>
          <cell r="P1865" t="str">
            <v>2025/014-0051-01</v>
          </cell>
          <cell r="Q1865" t="str">
            <v>EST BANCO VITALITE II (MTZ CAPUCCINO) (ESP NOG) FX B2312</v>
          </cell>
          <cell r="R1865"/>
          <cell r="S1865"/>
          <cell r="T1865">
            <v>1.78</v>
          </cell>
          <cell r="U1865">
            <v>0.45</v>
          </cell>
          <cell r="V1865">
            <v>1.65</v>
          </cell>
          <cell r="W1865">
            <v>0</v>
          </cell>
          <cell r="X1865" t="str">
            <v>EST BANCO VITALITE II (MTZ CAPUCCINO) (ESP NOG) FX B2312 - 1,78x0,45x1,65H</v>
          </cell>
          <cell r="Y1865">
            <v>20147.099999999999</v>
          </cell>
          <cell r="Z1865">
            <v>0.35</v>
          </cell>
          <cell r="AA1865">
            <v>13095.615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206605</v>
          </cell>
          <cell r="P1866" t="str">
            <v>2018/015-0025-01</v>
          </cell>
          <cell r="Q1866" t="str">
            <v>EST MESA CENTRO LEED H26 (LAMINA CARV ESTONADO) (S/VIDRO)</v>
          </cell>
          <cell r="R1866"/>
          <cell r="S1866"/>
          <cell r="T1866">
            <v>2</v>
          </cell>
          <cell r="U1866">
            <v>0.7</v>
          </cell>
          <cell r="V1866">
            <v>0.26</v>
          </cell>
          <cell r="W1866">
            <v>0</v>
          </cell>
          <cell r="X1866" t="str">
            <v>EST MESA CENTRO LEED H26 (LAMINA CARV ESTONADO) (S/VIDRO) - 2x0,7x0,26H</v>
          </cell>
          <cell r="Y1866">
            <v>24933.75</v>
          </cell>
          <cell r="Z1866">
            <v>0.5</v>
          </cell>
          <cell r="AA1866">
            <v>12466.875</v>
          </cell>
          <cell r="AB1866"/>
        </row>
        <row r="1867">
          <cell r="C1867">
            <v>0</v>
          </cell>
          <cell r="D1867">
            <v>2</v>
          </cell>
          <cell r="E1867">
            <v>2</v>
          </cell>
          <cell r="F1867">
            <v>0</v>
          </cell>
          <cell r="H1867">
            <v>0</v>
          </cell>
          <cell r="O1867">
            <v>223310</v>
          </cell>
          <cell r="P1867" t="str">
            <v>2018/213-0052-01</v>
          </cell>
          <cell r="Q1867" t="str">
            <v>EST BANDEJA JARDIM (MOD 4) Ø30 CONCAVO ROSA PARANA BRILHO</v>
          </cell>
          <cell r="R1867"/>
          <cell r="S1867"/>
          <cell r="T1867">
            <v>0.4</v>
          </cell>
          <cell r="U1867">
            <v>0</v>
          </cell>
          <cell r="V1867">
            <v>0</v>
          </cell>
          <cell r="W1867">
            <v>0.4</v>
          </cell>
          <cell r="X1867" t="str">
            <v>EST BANDEJA JARDIM (MOD 4) Ø30 CONCAVO ROSA PARANA BRILHO - Ø0,4x0H</v>
          </cell>
          <cell r="Y1867">
            <v>5397.55</v>
          </cell>
          <cell r="Z1867">
            <v>0.5</v>
          </cell>
          <cell r="AA1867">
            <v>2698.7750000000001</v>
          </cell>
          <cell r="AB1867"/>
        </row>
        <row r="1868">
          <cell r="C1868">
            <v>0</v>
          </cell>
          <cell r="D1868">
            <v>2</v>
          </cell>
          <cell r="E1868">
            <v>2</v>
          </cell>
          <cell r="F1868">
            <v>0</v>
          </cell>
          <cell r="H1868">
            <v>0</v>
          </cell>
          <cell r="O1868">
            <v>223310</v>
          </cell>
          <cell r="P1868" t="str">
            <v>2018/213-0051-01</v>
          </cell>
          <cell r="Q1868" t="str">
            <v>EST BANDEJA JARDIM (MOD 4) Ø30 CONCAVO ROSA PARANA BRILHO</v>
          </cell>
          <cell r="R1868"/>
          <cell r="S1868"/>
          <cell r="T1868">
            <v>0.4</v>
          </cell>
          <cell r="U1868">
            <v>0</v>
          </cell>
          <cell r="V1868">
            <v>0</v>
          </cell>
          <cell r="W1868">
            <v>0.4</v>
          </cell>
          <cell r="X1868" t="str">
            <v>EST BANDEJA JARDIM (MOD 4) Ø30 CONCAVO ROSA PARANA BRILHO - Ø0,4x0H</v>
          </cell>
          <cell r="Y1868">
            <v>5397.55</v>
          </cell>
          <cell r="Z1868">
            <v>0.5</v>
          </cell>
          <cell r="AA1868">
            <v>2698.7750000000001</v>
          </cell>
          <cell r="AB1868"/>
        </row>
        <row r="1869">
          <cell r="C1869">
            <v>2</v>
          </cell>
          <cell r="D1869">
            <v>2</v>
          </cell>
          <cell r="E1869">
            <v>2</v>
          </cell>
          <cell r="F1869">
            <v>0</v>
          </cell>
          <cell r="H1869">
            <v>0</v>
          </cell>
          <cell r="O1869">
            <v>223311</v>
          </cell>
          <cell r="P1869" t="str">
            <v>2018/268-0059-01</v>
          </cell>
          <cell r="Q1869" t="str">
            <v>EST BANDEJA JARDIM (MOD 3) QUAD MARMORE CARRARA FOSCO</v>
          </cell>
          <cell r="R1869"/>
          <cell r="S1869"/>
          <cell r="T1869">
            <v>0.25</v>
          </cell>
          <cell r="U1869">
            <v>0.25</v>
          </cell>
          <cell r="V1869">
            <v>0</v>
          </cell>
          <cell r="W1869">
            <v>0</v>
          </cell>
          <cell r="X1869" t="str">
            <v>EST BANDEJA JARDIM (MOD 3) QUAD MARMORE CARRARA FOSCO - 0,25x0,25x0H</v>
          </cell>
          <cell r="Y1869">
            <v>5729.47</v>
          </cell>
          <cell r="Z1869">
            <v>0.5</v>
          </cell>
          <cell r="AA1869">
            <v>2864.7350000000001</v>
          </cell>
          <cell r="AB1869"/>
        </row>
        <row r="1870">
          <cell r="C1870">
            <v>2</v>
          </cell>
          <cell r="D1870">
            <v>2</v>
          </cell>
          <cell r="E1870">
            <v>2</v>
          </cell>
          <cell r="F1870">
            <v>0</v>
          </cell>
          <cell r="H1870">
            <v>0</v>
          </cell>
          <cell r="O1870">
            <v>223311</v>
          </cell>
          <cell r="P1870" t="str">
            <v>2018/268-0060-01</v>
          </cell>
          <cell r="Q1870" t="str">
            <v>EST BANDEJA JARDIM (MOD 3) QUAD MARMORE CARRARA FOSCO</v>
          </cell>
          <cell r="R1870"/>
          <cell r="S1870"/>
          <cell r="T1870">
            <v>0.25</v>
          </cell>
          <cell r="U1870">
            <v>0.25</v>
          </cell>
          <cell r="V1870">
            <v>0</v>
          </cell>
          <cell r="W1870">
            <v>0</v>
          </cell>
          <cell r="X1870" t="str">
            <v>EST BANDEJA JARDIM (MOD 3) QUAD MARMORE CARRARA FOSCO - 0,25x0,25x0H</v>
          </cell>
          <cell r="Y1870">
            <v>5729.47</v>
          </cell>
          <cell r="Z1870">
            <v>0.5</v>
          </cell>
          <cell r="AA1870">
            <v>2864.7350000000001</v>
          </cell>
          <cell r="AB1870"/>
        </row>
        <row r="1871">
          <cell r="C1871">
            <v>0</v>
          </cell>
          <cell r="D1871">
            <v>1</v>
          </cell>
          <cell r="E1871">
            <v>0</v>
          </cell>
          <cell r="F1871">
            <v>0</v>
          </cell>
          <cell r="H1871">
            <v>0</v>
          </cell>
          <cell r="O1871">
            <v>275018</v>
          </cell>
          <cell r="P1871" t="str">
            <v>2021/165-0090-01</v>
          </cell>
          <cell r="Q1871" t="str">
            <v>EST MESA LATERAL LEED (LAMINADA CARV ESTONADO) (C/VIDRO)</v>
          </cell>
          <cell r="R1871"/>
          <cell r="S1871"/>
          <cell r="T1871">
            <v>0.9</v>
          </cell>
          <cell r="U1871">
            <v>0.9</v>
          </cell>
          <cell r="V1871">
            <v>0.5</v>
          </cell>
          <cell r="W1871">
            <v>0</v>
          </cell>
          <cell r="X1871" t="str">
            <v>EST MESA LATERAL LEED (LAMINADA CARV ESTONADO) (C/VIDRO) - 0,9x0,9x0,5H</v>
          </cell>
          <cell r="Y1871">
            <v>17156.919999999998</v>
          </cell>
          <cell r="Z1871">
            <v>0.5</v>
          </cell>
          <cell r="AA1871">
            <v>8578.4599999999991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0</v>
          </cell>
          <cell r="H1872">
            <v>0</v>
          </cell>
          <cell r="O1872">
            <v>275018</v>
          </cell>
          <cell r="P1872" t="str">
            <v>2021/165-0116-01</v>
          </cell>
          <cell r="Q1872" t="str">
            <v>EST MESA LATERAL LEED (LAMINADA CARV ESTONADO) (C/VIDRO)</v>
          </cell>
          <cell r="R1872"/>
          <cell r="S1872"/>
          <cell r="T1872">
            <v>0.9</v>
          </cell>
          <cell r="U1872">
            <v>0.9</v>
          </cell>
          <cell r="V1872">
            <v>0.5</v>
          </cell>
          <cell r="W1872">
            <v>0</v>
          </cell>
          <cell r="X1872" t="str">
            <v>EST MESA LATERAL LEED (LAMINADA CARV ESTONADO) (C/VIDRO) - 0,9x0,9x0,5H</v>
          </cell>
          <cell r="Y1872">
            <v>17156.919999999998</v>
          </cell>
          <cell r="Z1872">
            <v>0.5</v>
          </cell>
          <cell r="AA1872">
            <v>8578.4599999999991</v>
          </cell>
          <cell r="AB1872"/>
        </row>
        <row r="1873">
          <cell r="C1873">
            <v>1</v>
          </cell>
          <cell r="D1873">
            <v>1</v>
          </cell>
          <cell r="E1873">
            <v>0</v>
          </cell>
          <cell r="F1873">
            <v>0</v>
          </cell>
          <cell r="H1873">
            <v>0</v>
          </cell>
          <cell r="O1873">
            <v>398672</v>
          </cell>
          <cell r="P1873" t="str">
            <v>2024/305-0058-01</v>
          </cell>
          <cell r="Q1873" t="str">
            <v>EST MESA LATERAL BUZIOS 300 (TP CALACATA RETO/CONC CARB)</v>
          </cell>
          <cell r="R1873"/>
          <cell r="S1873"/>
          <cell r="T1873">
            <v>0.3</v>
          </cell>
          <cell r="U1873">
            <v>0</v>
          </cell>
          <cell r="V1873">
            <v>0.55000000000000004</v>
          </cell>
          <cell r="W1873">
            <v>0.3</v>
          </cell>
          <cell r="X1873" t="str">
            <v>EST MESA LATERAL BUZIOS 300 (TP CALACATA RETO/CONC CARB) - Ø0,3x0,55H</v>
          </cell>
          <cell r="Y1873">
            <v>5745.06</v>
          </cell>
          <cell r="Z1873">
            <v>0.5</v>
          </cell>
          <cell r="AA1873">
            <v>2872.53</v>
          </cell>
          <cell r="AB1873"/>
        </row>
        <row r="1874">
          <cell r="C1874">
            <v>2</v>
          </cell>
          <cell r="D1874">
            <v>0</v>
          </cell>
          <cell r="E1874">
            <v>0</v>
          </cell>
          <cell r="F1874">
            <v>0</v>
          </cell>
          <cell r="H1874">
            <v>0</v>
          </cell>
          <cell r="O1874">
            <v>208359</v>
          </cell>
          <cell r="P1874" t="str">
            <v>2017/061-0052-01</v>
          </cell>
          <cell r="Q1874" t="str">
            <v>EST ALMOFADA (VELVET BAMBU DARK) (ENCHIMENTO PENA)</v>
          </cell>
          <cell r="R1874"/>
          <cell r="S1874"/>
          <cell r="T1874">
            <v>0.6</v>
          </cell>
          <cell r="U1874">
            <v>0.6</v>
          </cell>
          <cell r="V1874">
            <v>0.15</v>
          </cell>
          <cell r="W1874">
            <v>0</v>
          </cell>
          <cell r="X1874" t="str">
            <v>EST ALMOFADA (VELVET BAMBU DARK) (ENCHIMENTO PENA) - 0,6x0,6x0,15H</v>
          </cell>
          <cell r="Y1874">
            <v>500</v>
          </cell>
          <cell r="Z1874">
            <v>0.35</v>
          </cell>
          <cell r="AA1874">
            <v>325</v>
          </cell>
          <cell r="AB1874"/>
        </row>
        <row r="1875">
          <cell r="C1875">
            <v>2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208359</v>
          </cell>
          <cell r="P1875" t="str">
            <v>2017/061-0055-01</v>
          </cell>
          <cell r="Q1875" t="str">
            <v>EST ALMOFADA (VELVET BAMBU DARK) (ENCHIMENTO PENA)</v>
          </cell>
          <cell r="R1875"/>
          <cell r="S1875"/>
          <cell r="T1875">
            <v>0.6</v>
          </cell>
          <cell r="U1875">
            <v>0.6</v>
          </cell>
          <cell r="V1875">
            <v>0.15</v>
          </cell>
          <cell r="W1875">
            <v>0</v>
          </cell>
          <cell r="X1875" t="str">
            <v>EST ALMOFADA (VELVET BAMBU DARK) (ENCHIMENTO PENA) - 0,6x0,6x0,15H</v>
          </cell>
          <cell r="Y1875">
            <v>500</v>
          </cell>
          <cell r="Z1875">
            <v>0.35</v>
          </cell>
          <cell r="AA1875">
            <v>325</v>
          </cell>
          <cell r="AB1875"/>
        </row>
        <row r="1876">
          <cell r="C1876">
            <v>2</v>
          </cell>
          <cell r="D1876">
            <v>2</v>
          </cell>
          <cell r="E1876">
            <v>2</v>
          </cell>
          <cell r="F1876">
            <v>0</v>
          </cell>
          <cell r="H1876">
            <v>0</v>
          </cell>
          <cell r="O1876">
            <v>223311</v>
          </cell>
          <cell r="P1876" t="str">
            <v>2018/268-0088-01</v>
          </cell>
          <cell r="Q1876" t="str">
            <v>EST BANDEJA JARDIM (MOD 3) QUAD MARMORE CARRARA FOSCO</v>
          </cell>
          <cell r="R1876"/>
          <cell r="S1876"/>
          <cell r="T1876">
            <v>0.25</v>
          </cell>
          <cell r="U1876">
            <v>0.25</v>
          </cell>
          <cell r="V1876">
            <v>0</v>
          </cell>
          <cell r="W1876">
            <v>0</v>
          </cell>
          <cell r="X1876" t="str">
            <v>EST BANDEJA JARDIM (MOD 3) QUAD MARMORE CARRARA FOSCO - 0,25x0,25x0H</v>
          </cell>
          <cell r="Y1876">
            <v>5729.47</v>
          </cell>
          <cell r="Z1876">
            <v>0.5</v>
          </cell>
          <cell r="AA1876">
            <v>2864.7350000000001</v>
          </cell>
          <cell r="AB1876"/>
        </row>
        <row r="1877">
          <cell r="C1877">
            <v>2</v>
          </cell>
          <cell r="D1877">
            <v>2</v>
          </cell>
          <cell r="E1877">
            <v>2</v>
          </cell>
          <cell r="F1877">
            <v>0</v>
          </cell>
          <cell r="H1877">
            <v>0</v>
          </cell>
          <cell r="O1877">
            <v>223311</v>
          </cell>
          <cell r="P1877" t="str">
            <v>2018/268-0089-01</v>
          </cell>
          <cell r="Q1877" t="str">
            <v>EST BANDEJA JARDIM (MOD 3) QUAD MARMORE CARRARA FOSCO</v>
          </cell>
          <cell r="R1877"/>
          <cell r="S1877"/>
          <cell r="T1877">
            <v>0.25</v>
          </cell>
          <cell r="U1877">
            <v>0.25</v>
          </cell>
          <cell r="V1877">
            <v>0</v>
          </cell>
          <cell r="W1877">
            <v>0</v>
          </cell>
          <cell r="X1877" t="str">
            <v>EST BANDEJA JARDIM (MOD 3) QUAD MARMORE CARRARA FOSCO - 0,25x0,25x0H</v>
          </cell>
          <cell r="Y1877">
            <v>5729.47</v>
          </cell>
          <cell r="Z1877">
            <v>0.5</v>
          </cell>
          <cell r="AA1877">
            <v>2864.7350000000001</v>
          </cell>
          <cell r="AB1877"/>
        </row>
        <row r="1878">
          <cell r="C1878">
            <v>2</v>
          </cell>
          <cell r="D1878">
            <v>0</v>
          </cell>
          <cell r="E1878">
            <v>0</v>
          </cell>
          <cell r="F1878">
            <v>0</v>
          </cell>
          <cell r="H1878">
            <v>2</v>
          </cell>
          <cell r="O1878">
            <v>270480</v>
          </cell>
          <cell r="P1878" t="str">
            <v>2020/335-0122-01</v>
          </cell>
          <cell r="Q1878" t="str">
            <v>EST POLTRONA APOLLO PELE (ELETROST PRETA) C700/8/COURO PT</v>
          </cell>
          <cell r="R1878"/>
          <cell r="S1878"/>
          <cell r="T1878">
            <v>0.75</v>
          </cell>
          <cell r="U1878">
            <v>0.62</v>
          </cell>
          <cell r="V1878">
            <v>0.7</v>
          </cell>
          <cell r="W1878">
            <v>0</v>
          </cell>
          <cell r="X1878" t="str">
            <v>EST POLTRONA APOLLO PELE (ELETROST PRETA) C700/8/COURO PT - 0,75x0,62x0,7H</v>
          </cell>
          <cell r="Y1878">
            <v>23439.67</v>
          </cell>
          <cell r="Z1878">
            <v>0.5</v>
          </cell>
          <cell r="AA1878">
            <v>11719.834999999999</v>
          </cell>
          <cell r="AB1878"/>
        </row>
        <row r="1879">
          <cell r="C1879">
            <v>2</v>
          </cell>
          <cell r="D1879">
            <v>0</v>
          </cell>
          <cell r="E1879">
            <v>0</v>
          </cell>
          <cell r="F1879">
            <v>0</v>
          </cell>
          <cell r="H1879">
            <v>2</v>
          </cell>
          <cell r="O1879">
            <v>270480</v>
          </cell>
          <cell r="P1879" t="str">
            <v>2020/335-0123-01</v>
          </cell>
          <cell r="Q1879" t="str">
            <v>EST POLTRONA APOLLO PELE (ELETROST PRETA) C700/8/COURO PT</v>
          </cell>
          <cell r="R1879"/>
          <cell r="S1879"/>
          <cell r="T1879">
            <v>0.75</v>
          </cell>
          <cell r="U1879">
            <v>0.62</v>
          </cell>
          <cell r="V1879">
            <v>0.7</v>
          </cell>
          <cell r="W1879">
            <v>0</v>
          </cell>
          <cell r="X1879" t="str">
            <v>EST POLTRONA APOLLO PELE (ELETROST PRETA) C700/8/COURO PT - 0,75x0,62x0,7H</v>
          </cell>
          <cell r="Y1879">
            <v>23439.67</v>
          </cell>
          <cell r="Z1879">
            <v>0.5</v>
          </cell>
          <cell r="AA1879">
            <v>11719.834999999999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274937</v>
          </cell>
          <cell r="P1880" t="str">
            <v>2021/091-0018-01</v>
          </cell>
          <cell r="Q1880" t="str">
            <v>EST APARADOR AYLA (SUP1 TING NOG) (TP WALNUT NT) LATAO</v>
          </cell>
          <cell r="R1880"/>
          <cell r="S1880"/>
          <cell r="T1880">
            <v>2.2000000000000002</v>
          </cell>
          <cell r="U1880">
            <v>0.5</v>
          </cell>
          <cell r="V1880">
            <v>0.78</v>
          </cell>
          <cell r="W1880">
            <v>0</v>
          </cell>
          <cell r="X1880" t="str">
            <v>EST APARADOR AYLA (SUP1 TING NOG) (TP WALNUT NT) LATAO - 2,2x0,5x0,78H</v>
          </cell>
          <cell r="Y1880">
            <v>8562.58</v>
          </cell>
          <cell r="Z1880">
            <v>0.5</v>
          </cell>
          <cell r="AA1880">
            <v>4281.29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300087</v>
          </cell>
          <cell r="P1881" t="str">
            <v>2022/034-0023-01</v>
          </cell>
          <cell r="Q1881" t="str">
            <v>EST ESCRIVANINHA REGIA (LAMINA 2 FREIJO)</v>
          </cell>
          <cell r="R1881"/>
          <cell r="S1881"/>
          <cell r="T1881">
            <v>1.8</v>
          </cell>
          <cell r="U1881">
            <v>0.7</v>
          </cell>
          <cell r="V1881">
            <v>0.75</v>
          </cell>
          <cell r="W1881">
            <v>0</v>
          </cell>
          <cell r="X1881" t="str">
            <v>EST ESCRIVANINHA REGIA (LAMINA 2 FREIJO) - 1,8x0,7x0,75H</v>
          </cell>
          <cell r="Y1881">
            <v>32360.52</v>
          </cell>
          <cell r="Z1881">
            <v>0.5</v>
          </cell>
          <cell r="AA1881">
            <v>16180.26</v>
          </cell>
          <cell r="AB1881"/>
        </row>
        <row r="1882">
          <cell r="C1882">
            <v>7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314832</v>
          </cell>
          <cell r="P1882" t="str">
            <v>2021/344-0083-01</v>
          </cell>
          <cell r="Q1882" t="str">
            <v>EST ALMOFADA LOLITA GRAFITE</v>
          </cell>
          <cell r="R1882"/>
          <cell r="S1882"/>
          <cell r="T1882">
            <v>0.5</v>
          </cell>
          <cell r="U1882">
            <v>0.5</v>
          </cell>
          <cell r="V1882">
            <v>0</v>
          </cell>
          <cell r="W1882">
            <v>0</v>
          </cell>
          <cell r="X1882" t="str">
            <v>EST ALMOFADA LOLITA GRAFITE - 0,5x0,5x0H</v>
          </cell>
          <cell r="Y1882">
            <v>413.95</v>
          </cell>
          <cell r="Z1882">
            <v>0.5</v>
          </cell>
          <cell r="AA1882">
            <v>206.97499999999999</v>
          </cell>
          <cell r="AB1882"/>
        </row>
        <row r="1883">
          <cell r="C1883">
            <v>7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314832</v>
          </cell>
          <cell r="P1883" t="str">
            <v>2021/344-0084-01</v>
          </cell>
          <cell r="Q1883" t="str">
            <v>EST ALMOFADA LOLITA GRAFITE</v>
          </cell>
          <cell r="R1883"/>
          <cell r="S1883"/>
          <cell r="T1883">
            <v>0.5</v>
          </cell>
          <cell r="U1883">
            <v>0.5</v>
          </cell>
          <cell r="V1883">
            <v>0</v>
          </cell>
          <cell r="W1883">
            <v>0</v>
          </cell>
          <cell r="X1883" t="str">
            <v>EST ALMOFADA LOLITA GRAFITE - 0,5x0,5x0H</v>
          </cell>
          <cell r="Y1883">
            <v>413.95</v>
          </cell>
          <cell r="Z1883">
            <v>0.5</v>
          </cell>
          <cell r="AA1883">
            <v>206.97499999999999</v>
          </cell>
          <cell r="AB1883"/>
        </row>
        <row r="1884">
          <cell r="C1884">
            <v>7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314832</v>
          </cell>
          <cell r="P1884" t="str">
            <v>2021/344-0087-01</v>
          </cell>
          <cell r="Q1884" t="str">
            <v>EST ALMOFADA LOLITA GRAFITE</v>
          </cell>
          <cell r="R1884"/>
          <cell r="S1884"/>
          <cell r="T1884">
            <v>0.5</v>
          </cell>
          <cell r="U1884">
            <v>0.5</v>
          </cell>
          <cell r="V1884">
            <v>0</v>
          </cell>
          <cell r="W1884">
            <v>0</v>
          </cell>
          <cell r="X1884" t="str">
            <v>EST ALMOFADA LOLITA GRAFITE - 0,5x0,5x0H</v>
          </cell>
          <cell r="Y1884">
            <v>413.95</v>
          </cell>
          <cell r="Z1884">
            <v>0.5</v>
          </cell>
          <cell r="AA1884">
            <v>206.97499999999999</v>
          </cell>
          <cell r="AB1884"/>
        </row>
        <row r="1885">
          <cell r="C1885">
            <v>7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314832</v>
          </cell>
          <cell r="P1885" t="str">
            <v>2021/344-0081-01</v>
          </cell>
          <cell r="Q1885" t="str">
            <v>EST ALMOFADA LOLITA GRAFITE</v>
          </cell>
          <cell r="R1885"/>
          <cell r="S1885"/>
          <cell r="T1885">
            <v>0.5</v>
          </cell>
          <cell r="U1885">
            <v>0.5</v>
          </cell>
          <cell r="V1885">
            <v>0</v>
          </cell>
          <cell r="W1885">
            <v>0</v>
          </cell>
          <cell r="X1885" t="str">
            <v>EST ALMOFADA LOLITA GRAFITE - 0,5x0,5x0H</v>
          </cell>
          <cell r="Y1885">
            <v>413.95</v>
          </cell>
          <cell r="Z1885">
            <v>0.5</v>
          </cell>
          <cell r="AA1885">
            <v>206.97499999999999</v>
          </cell>
          <cell r="AB1885"/>
        </row>
        <row r="1886">
          <cell r="C1886">
            <v>7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314832</v>
          </cell>
          <cell r="P1886" t="str">
            <v>2021/344-0082-01</v>
          </cell>
          <cell r="Q1886" t="str">
            <v>EST ALMOFADA LOLITA GRAFITE</v>
          </cell>
          <cell r="R1886"/>
          <cell r="S1886"/>
          <cell r="T1886">
            <v>0.5</v>
          </cell>
          <cell r="U1886">
            <v>0.5</v>
          </cell>
          <cell r="V1886">
            <v>0</v>
          </cell>
          <cell r="W1886">
            <v>0</v>
          </cell>
          <cell r="X1886" t="str">
            <v>EST ALMOFADA LOLITA GRAFITE - 0,5x0,5x0H</v>
          </cell>
          <cell r="Y1886">
            <v>413.95</v>
          </cell>
          <cell r="Z1886">
            <v>0.5</v>
          </cell>
          <cell r="AA1886">
            <v>206.97499999999999</v>
          </cell>
          <cell r="AB1886"/>
        </row>
        <row r="1887">
          <cell r="C1887">
            <v>7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314832</v>
          </cell>
          <cell r="P1887" t="str">
            <v>2021/344-0085-01</v>
          </cell>
          <cell r="Q1887" t="str">
            <v>EST ALMOFADA LOLITA GRAFITE</v>
          </cell>
          <cell r="R1887"/>
          <cell r="S1887"/>
          <cell r="T1887">
            <v>0.5</v>
          </cell>
          <cell r="U1887">
            <v>0.5</v>
          </cell>
          <cell r="V1887">
            <v>0</v>
          </cell>
          <cell r="W1887">
            <v>0</v>
          </cell>
          <cell r="X1887" t="str">
            <v>EST ALMOFADA LOLITA GRAFITE - 0,5x0,5x0H</v>
          </cell>
          <cell r="Y1887">
            <v>413.95</v>
          </cell>
          <cell r="Z1887">
            <v>0.5</v>
          </cell>
          <cell r="AA1887">
            <v>206.97499999999999</v>
          </cell>
          <cell r="AB1887"/>
        </row>
        <row r="1888">
          <cell r="C1888">
            <v>7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314832</v>
          </cell>
          <cell r="P1888" t="str">
            <v>2021/344-0086-01</v>
          </cell>
          <cell r="Q1888" t="str">
            <v>EST ALMOFADA LOLITA GRAFITE</v>
          </cell>
          <cell r="R1888"/>
          <cell r="S1888"/>
          <cell r="T1888">
            <v>0.5</v>
          </cell>
          <cell r="U1888">
            <v>0.5</v>
          </cell>
          <cell r="V1888">
            <v>0</v>
          </cell>
          <cell r="W1888">
            <v>0</v>
          </cell>
          <cell r="X1888" t="str">
            <v>EST ALMOFADA LOLITA GRAFITE - 0,5x0,5x0H</v>
          </cell>
          <cell r="Y1888">
            <v>413.95</v>
          </cell>
          <cell r="Z1888">
            <v>0.5</v>
          </cell>
          <cell r="AA1888">
            <v>206.97499999999999</v>
          </cell>
          <cell r="AB1888"/>
        </row>
        <row r="1889">
          <cell r="C1889">
            <v>4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314833</v>
          </cell>
          <cell r="P1889" t="str">
            <v>2021/344-0089-01</v>
          </cell>
          <cell r="Q1889" t="str">
            <v>EST ALMOFADA LOLITA MARINHO</v>
          </cell>
          <cell r="R1889"/>
          <cell r="S1889"/>
          <cell r="T1889">
            <v>0.5</v>
          </cell>
          <cell r="U1889">
            <v>0.5</v>
          </cell>
          <cell r="V1889">
            <v>0</v>
          </cell>
          <cell r="W1889">
            <v>0</v>
          </cell>
          <cell r="X1889" t="str">
            <v>EST ALMOFADA LOLITA MARINHO - 0,5x0,5x0H</v>
          </cell>
          <cell r="Y1889">
            <v>413.95</v>
          </cell>
          <cell r="Z1889">
            <v>0.5</v>
          </cell>
          <cell r="AA1889">
            <v>206.97499999999999</v>
          </cell>
          <cell r="AB1889"/>
        </row>
        <row r="1890">
          <cell r="C1890">
            <v>4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314833</v>
          </cell>
          <cell r="P1890" t="str">
            <v>2021/344-0090-01</v>
          </cell>
          <cell r="Q1890" t="str">
            <v>EST ALMOFADA LOLITA MARINHO</v>
          </cell>
          <cell r="R1890"/>
          <cell r="S1890"/>
          <cell r="T1890">
            <v>0.5</v>
          </cell>
          <cell r="U1890">
            <v>0.5</v>
          </cell>
          <cell r="V1890">
            <v>0</v>
          </cell>
          <cell r="W1890">
            <v>0</v>
          </cell>
          <cell r="X1890" t="str">
            <v>EST ALMOFADA LOLITA MARINHO - 0,5x0,5x0H</v>
          </cell>
          <cell r="Y1890">
            <v>413.95</v>
          </cell>
          <cell r="Z1890">
            <v>0.5</v>
          </cell>
          <cell r="AA1890">
            <v>206.97499999999999</v>
          </cell>
          <cell r="AB1890"/>
        </row>
        <row r="1891">
          <cell r="C1891">
            <v>4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314833</v>
          </cell>
          <cell r="P1891" t="str">
            <v>2021/344-0091-01</v>
          </cell>
          <cell r="Q1891" t="str">
            <v>EST ALMOFADA LOLITA MARINHO</v>
          </cell>
          <cell r="R1891"/>
          <cell r="S1891"/>
          <cell r="T1891">
            <v>0.5</v>
          </cell>
          <cell r="U1891">
            <v>0.5</v>
          </cell>
          <cell r="V1891">
            <v>0</v>
          </cell>
          <cell r="W1891">
            <v>0</v>
          </cell>
          <cell r="X1891" t="str">
            <v>EST ALMOFADA LOLITA MARINHO - 0,5x0,5x0H</v>
          </cell>
          <cell r="Y1891">
            <v>413.95</v>
          </cell>
          <cell r="Z1891">
            <v>0.5</v>
          </cell>
          <cell r="AA1891">
            <v>206.97499999999999</v>
          </cell>
          <cell r="AB1891"/>
        </row>
        <row r="1892">
          <cell r="C1892">
            <v>4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314833</v>
          </cell>
          <cell r="P1892" t="str">
            <v>2021/344-0096-01</v>
          </cell>
          <cell r="Q1892" t="str">
            <v>EST ALMOFADA LOLITA MARINHO</v>
          </cell>
          <cell r="R1892"/>
          <cell r="S1892"/>
          <cell r="T1892">
            <v>0.5</v>
          </cell>
          <cell r="U1892">
            <v>0.5</v>
          </cell>
          <cell r="V1892">
            <v>0</v>
          </cell>
          <cell r="W1892">
            <v>0</v>
          </cell>
          <cell r="X1892" t="str">
            <v>EST ALMOFADA LOLITA MARINHO - 0,5x0,5x0H</v>
          </cell>
          <cell r="Y1892">
            <v>413.95</v>
          </cell>
          <cell r="Z1892">
            <v>0.5</v>
          </cell>
          <cell r="AA1892">
            <v>206.97499999999999</v>
          </cell>
          <cell r="AB1892"/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363865</v>
          </cell>
          <cell r="P1893" t="str">
            <v>2023/132-0001-01</v>
          </cell>
          <cell r="Q1893" t="str">
            <v>EST POLTRONA POMME FX G7125</v>
          </cell>
          <cell r="R1893"/>
          <cell r="S1893"/>
          <cell r="T1893">
            <v>1.3</v>
          </cell>
          <cell r="U1893">
            <v>0.9</v>
          </cell>
          <cell r="V1893">
            <v>0.7</v>
          </cell>
          <cell r="W1893">
            <v>0</v>
          </cell>
          <cell r="X1893" t="str">
            <v>EST POLTRONA POMME FX G7125 - 1,3x0,9x0,7H</v>
          </cell>
          <cell r="Y1893">
            <v>27827.79</v>
          </cell>
          <cell r="Z1893">
            <v>0.5</v>
          </cell>
          <cell r="AA1893">
            <v>13913.895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363865</v>
          </cell>
          <cell r="P1894" t="str">
            <v>2023/132-0002-01</v>
          </cell>
          <cell r="Q1894" t="str">
            <v>EST POLTRONA POMME FX G7125</v>
          </cell>
          <cell r="R1894"/>
          <cell r="S1894"/>
          <cell r="T1894">
            <v>1.3</v>
          </cell>
          <cell r="U1894">
            <v>0.9</v>
          </cell>
          <cell r="V1894">
            <v>0.7</v>
          </cell>
          <cell r="W1894">
            <v>0</v>
          </cell>
          <cell r="X1894" t="str">
            <v>EST POLTRONA POMME FX G7125 - 1,3x0,9x0,7H</v>
          </cell>
          <cell r="Y1894">
            <v>27827.79</v>
          </cell>
          <cell r="Z1894">
            <v>0.5</v>
          </cell>
          <cell r="AA1894">
            <v>13913.895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274996</v>
          </cell>
          <cell r="P1895" t="str">
            <v>2021/165-0078-01</v>
          </cell>
          <cell r="Q1895" t="str">
            <v>EST MESA LATERAL BUZIOS 600 (TP GRIGIO USINADO/MTX PT)</v>
          </cell>
          <cell r="R1895"/>
          <cell r="S1895"/>
          <cell r="T1895">
            <v>0.6</v>
          </cell>
          <cell r="U1895">
            <v>0</v>
          </cell>
          <cell r="V1895">
            <v>0.41</v>
          </cell>
          <cell r="W1895">
            <v>0.6</v>
          </cell>
          <cell r="X1895" t="str">
            <v>EST MESA LATERAL BUZIOS 600 (TP GRIGIO USINADO/MTX PT) - Ø0,6x0,41H</v>
          </cell>
          <cell r="Y1895">
            <v>12665</v>
          </cell>
          <cell r="Z1895">
            <v>0.35</v>
          </cell>
          <cell r="AA1895">
            <v>8232.25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275007</v>
          </cell>
          <cell r="P1896" t="str">
            <v>2021/165-0110-01</v>
          </cell>
          <cell r="Q1896" t="str">
            <v>EST BANCO ZOE (LAMINADO/INTERNO LAMINADO FREIJO)</v>
          </cell>
          <cell r="R1896"/>
          <cell r="S1896"/>
          <cell r="T1896">
            <v>2.4</v>
          </cell>
          <cell r="U1896">
            <v>0.48</v>
          </cell>
          <cell r="V1896">
            <v>0.43</v>
          </cell>
          <cell r="W1896">
            <v>0</v>
          </cell>
          <cell r="X1896" t="str">
            <v>EST BANCO ZOE (LAMINADO/INTERNO LAMINADO FREIJO) - 2,4x0,48x0,43H</v>
          </cell>
          <cell r="Y1896">
            <v>33295.629999999997</v>
          </cell>
          <cell r="Z1896">
            <v>0.35</v>
          </cell>
          <cell r="AA1896">
            <v>21642.159500000002</v>
          </cell>
          <cell r="AB1896"/>
        </row>
        <row r="1897">
          <cell r="C1897">
            <v>1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275009</v>
          </cell>
          <cell r="P1897" t="str">
            <v>2021/162-0035-01</v>
          </cell>
          <cell r="Q1897" t="str">
            <v>EST MESA CENTRO ARAL (TP NOGUEIRA/BS MTX CORTEN)</v>
          </cell>
          <cell r="R1897"/>
          <cell r="S1897"/>
          <cell r="T1897">
            <v>1.25</v>
          </cell>
          <cell r="U1897">
            <v>1.25</v>
          </cell>
          <cell r="V1897">
            <v>0.27</v>
          </cell>
          <cell r="W1897">
            <v>0</v>
          </cell>
          <cell r="X1897" t="str">
            <v>EST MESA CENTRO ARAL (TP NOGUEIRA/BS MTX CORTEN) - 1,25x1,25x0,27H</v>
          </cell>
          <cell r="Y1897">
            <v>19842.86</v>
          </cell>
          <cell r="Z1897">
            <v>0.35</v>
          </cell>
          <cell r="AA1897">
            <v>12897.859</v>
          </cell>
          <cell r="AB1897"/>
        </row>
        <row r="1898">
          <cell r="C1898">
            <v>1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275011</v>
          </cell>
          <cell r="P1898" t="str">
            <v>2021/162-0036-01</v>
          </cell>
          <cell r="Q1898" t="str">
            <v>EST MESA CENTRO ARAL (TP CALACATA/SUB NOG/BS MTX CORTEN)</v>
          </cell>
          <cell r="R1898"/>
          <cell r="S1898"/>
          <cell r="T1898">
            <v>1.1000000000000001</v>
          </cell>
          <cell r="U1898">
            <v>1.1000000000000001</v>
          </cell>
          <cell r="V1898">
            <v>0.27</v>
          </cell>
          <cell r="W1898">
            <v>0</v>
          </cell>
          <cell r="X1898" t="str">
            <v>EST MESA CENTRO ARAL (TP CALACATA/SUB NOG/BS MTX CORTEN) - 1,1x1,1x0,27H</v>
          </cell>
          <cell r="Y1898">
            <v>35774.28</v>
          </cell>
          <cell r="Z1898">
            <v>0.35</v>
          </cell>
          <cell r="AA1898">
            <v>23253.281999999999</v>
          </cell>
          <cell r="AB1898"/>
        </row>
        <row r="1899">
          <cell r="C1899">
            <v>1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363864</v>
          </cell>
          <cell r="P1899" t="str">
            <v>2023/128-0010-01</v>
          </cell>
          <cell r="Q1899" t="str">
            <v>EST SOFA POMME TC TARENTO 12</v>
          </cell>
          <cell r="R1899"/>
          <cell r="S1899"/>
          <cell r="T1899">
            <v>2.8</v>
          </cell>
          <cell r="U1899">
            <v>0.9</v>
          </cell>
          <cell r="V1899">
            <v>0.7</v>
          </cell>
          <cell r="W1899">
            <v>0</v>
          </cell>
          <cell r="X1899" t="str">
            <v>EST SOFA POMME TC TARENTO 12 - 2,8x0,9x0,7H</v>
          </cell>
          <cell r="Y1899">
            <v>50109.65</v>
          </cell>
          <cell r="Z1899">
            <v>0.35</v>
          </cell>
          <cell r="AA1899">
            <v>32571.272500000003</v>
          </cell>
          <cell r="AB1899"/>
        </row>
        <row r="1900">
          <cell r="C1900">
            <v>1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391398</v>
          </cell>
          <cell r="P1900" t="str">
            <v>2024/248-0013-01</v>
          </cell>
          <cell r="Q1900" t="str">
            <v>EST SOFA NEW CHATEAU (BI PARTIDO) (PES MTX PRETO) TC D4236</v>
          </cell>
          <cell r="R1900"/>
          <cell r="S1900"/>
          <cell r="T1900">
            <v>2.36</v>
          </cell>
          <cell r="U1900">
            <v>0.96</v>
          </cell>
          <cell r="V1900">
            <v>0.8</v>
          </cell>
          <cell r="W1900">
            <v>0</v>
          </cell>
          <cell r="X1900" t="str">
            <v>EST SOFA NEW CHATEAU (BI PARTIDO) (PES MTX PRETO) TC D4236 - 2,36x0,96x0,8H</v>
          </cell>
          <cell r="Y1900">
            <v>27285.57</v>
          </cell>
          <cell r="Z1900">
            <v>0.35</v>
          </cell>
          <cell r="AA1900">
            <v>17735.620500000001</v>
          </cell>
          <cell r="AB1900"/>
        </row>
        <row r="1901">
          <cell r="C1901">
            <v>1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394990</v>
          </cell>
          <cell r="P1901" t="str">
            <v>2025/014-0049-01</v>
          </cell>
          <cell r="Q1901" t="str">
            <v>EST BANCO VITALITE II (MTZ GOLD) (ESP CARV) (TRAV) FX C3180</v>
          </cell>
          <cell r="R1901"/>
          <cell r="S1901"/>
          <cell r="T1901">
            <v>1.98</v>
          </cell>
          <cell r="U1901">
            <v>0.45</v>
          </cell>
          <cell r="V1901">
            <v>1.65</v>
          </cell>
          <cell r="W1901">
            <v>0</v>
          </cell>
          <cell r="X1901" t="str">
            <v>EST BANCO VITALITE II (MTZ GOLD) (ESP CARV) (TRAV) FX C3180 - 1,98x0,45x1,65H</v>
          </cell>
          <cell r="Y1901">
            <v>22877.08</v>
          </cell>
          <cell r="Z1901">
            <v>0.35</v>
          </cell>
          <cell r="AA1901">
            <v>14870.102000000003</v>
          </cell>
          <cell r="AB1901"/>
        </row>
        <row r="1902">
          <cell r="C1902">
            <v>1</v>
          </cell>
          <cell r="D1902">
            <v>1</v>
          </cell>
          <cell r="E1902">
            <v>0</v>
          </cell>
          <cell r="F1902">
            <v>0</v>
          </cell>
          <cell r="H1902">
            <v>0</v>
          </cell>
          <cell r="O1902">
            <v>398672</v>
          </cell>
          <cell r="P1902" t="str">
            <v>2024/305-0059-01</v>
          </cell>
          <cell r="Q1902" t="str">
            <v>EST MESA LATERAL BUZIOS 300 (TP CALACATA RETO/CONC CARB)</v>
          </cell>
          <cell r="R1902"/>
          <cell r="S1902"/>
          <cell r="T1902">
            <v>0.3</v>
          </cell>
          <cell r="U1902">
            <v>0</v>
          </cell>
          <cell r="V1902">
            <v>0.55000000000000004</v>
          </cell>
          <cell r="W1902">
            <v>0.3</v>
          </cell>
          <cell r="X1902" t="str">
            <v>EST MESA LATERAL BUZIOS 300 (TP CALACATA RETO/CONC CARB) - Ø0,3x0,55H</v>
          </cell>
          <cell r="Y1902">
            <v>5745.06</v>
          </cell>
          <cell r="Z1902">
            <v>0.35</v>
          </cell>
          <cell r="AA1902">
            <v>3734.2890000000007</v>
          </cell>
          <cell r="AB1902"/>
        </row>
        <row r="1903">
          <cell r="C1903">
            <v>0</v>
          </cell>
          <cell r="D1903">
            <v>2</v>
          </cell>
          <cell r="E1903">
            <v>0</v>
          </cell>
          <cell r="F1903">
            <v>0</v>
          </cell>
          <cell r="H1903">
            <v>0</v>
          </cell>
          <cell r="O1903">
            <v>299549</v>
          </cell>
          <cell r="P1903" t="str">
            <v>2022/042-0025-01</v>
          </cell>
          <cell r="Q1903" t="str">
            <v>EST POLTRONA ETTRO (BC LAMIN NOG) FX C3008/REC 7440/M CLARO</v>
          </cell>
          <cell r="R1903"/>
          <cell r="S1903"/>
          <cell r="T1903">
            <v>0.87</v>
          </cell>
          <cell r="U1903">
            <v>0.9</v>
          </cell>
          <cell r="V1903">
            <v>0.74</v>
          </cell>
          <cell r="W1903">
            <v>0</v>
          </cell>
          <cell r="X1903" t="str">
            <v>EST POLTRONA ETTRO (BC LAMIN NOG) FX C3008/REC 7440/M CLARO - 0,87x0,9x0,74H</v>
          </cell>
          <cell r="Y1903">
            <v>18143.189999999999</v>
          </cell>
          <cell r="Z1903">
            <v>0.35</v>
          </cell>
          <cell r="AA1903">
            <v>11793.073499999999</v>
          </cell>
          <cell r="AB1903"/>
        </row>
        <row r="1904">
          <cell r="C1904">
            <v>0</v>
          </cell>
          <cell r="D1904">
            <v>2</v>
          </cell>
          <cell r="E1904">
            <v>0</v>
          </cell>
          <cell r="F1904">
            <v>0</v>
          </cell>
          <cell r="H1904">
            <v>0</v>
          </cell>
          <cell r="O1904">
            <v>299549</v>
          </cell>
          <cell r="P1904" t="str">
            <v>2022/042-0026-01</v>
          </cell>
          <cell r="Q1904" t="str">
            <v>EST POLTRONA ETTRO (BC LAMIN NOG) FX C3008/REC 7440/M CLARO</v>
          </cell>
          <cell r="R1904"/>
          <cell r="S1904"/>
          <cell r="T1904">
            <v>0.87</v>
          </cell>
          <cell r="U1904">
            <v>0.9</v>
          </cell>
          <cell r="V1904">
            <v>0.74</v>
          </cell>
          <cell r="W1904">
            <v>0</v>
          </cell>
          <cell r="X1904" t="str">
            <v>EST POLTRONA ETTRO (BC LAMIN NOG) FX C3008/REC 7440/M CLARO - 0,87x0,9x0,74H</v>
          </cell>
          <cell r="Y1904">
            <v>18143.189999999999</v>
          </cell>
          <cell r="Z1904">
            <v>0.35</v>
          </cell>
          <cell r="AA1904">
            <v>11793.073499999999</v>
          </cell>
          <cell r="AB1904"/>
        </row>
        <row r="1905">
          <cell r="C1905">
            <v>0</v>
          </cell>
          <cell r="D1905">
            <v>1</v>
          </cell>
          <cell r="E1905">
            <v>0</v>
          </cell>
          <cell r="F1905">
            <v>0</v>
          </cell>
          <cell r="H1905">
            <v>1</v>
          </cell>
          <cell r="O1905">
            <v>328005</v>
          </cell>
          <cell r="P1905" t="str">
            <v>2022/160-0025-01</v>
          </cell>
          <cell r="Q1905" t="str">
            <v>EST POLTRONA KAZZ TC C3016/REC 2562/ESTRUTURA MARROM CLARO</v>
          </cell>
          <cell r="R1905"/>
          <cell r="S1905"/>
          <cell r="T1905">
            <v>0.85</v>
          </cell>
          <cell r="U1905">
            <v>0.85</v>
          </cell>
          <cell r="V1905">
            <v>0.75</v>
          </cell>
          <cell r="W1905">
            <v>0</v>
          </cell>
          <cell r="X1905" t="str">
            <v>EST POLTRONA KAZZ TC C3016/REC 2562/ESTRUTURA MARROM CLARO - 0,85x0,85x0,75H</v>
          </cell>
          <cell r="Y1905">
            <v>18360.2</v>
          </cell>
          <cell r="Z1905">
            <v>0.35</v>
          </cell>
          <cell r="AA1905">
            <v>11934.130000000001</v>
          </cell>
          <cell r="AB1905"/>
        </row>
        <row r="1906">
          <cell r="C1906">
            <v>0</v>
          </cell>
          <cell r="D1906">
            <v>1</v>
          </cell>
          <cell r="E1906">
            <v>0</v>
          </cell>
          <cell r="F1906">
            <v>0</v>
          </cell>
          <cell r="H1906">
            <v>0</v>
          </cell>
          <cell r="O1906">
            <v>372725</v>
          </cell>
          <cell r="P1906" t="str">
            <v>2023/269-0058-01</v>
          </cell>
          <cell r="Q1906" t="str">
            <v>EST POLTRONA SUMA HIGH (COURO TP2 GARBO SILVESTRE) DET ONIX</v>
          </cell>
          <cell r="R1906"/>
          <cell r="S1906"/>
          <cell r="T1906">
            <v>0.68</v>
          </cell>
          <cell r="U1906">
            <v>0.93</v>
          </cell>
          <cell r="V1906">
            <v>0.87</v>
          </cell>
          <cell r="W1906">
            <v>0</v>
          </cell>
          <cell r="X1906" t="str">
            <v>EST POLTRONA SUMA HIGH (COURO TP2 GARBO SILVESTRE) DET ONIX - 0,68x0,93x0,87H</v>
          </cell>
          <cell r="Y1906">
            <v>21831.22</v>
          </cell>
          <cell r="Z1906">
            <v>0.35</v>
          </cell>
          <cell r="AA1906">
            <v>14190.293000000001</v>
          </cell>
          <cell r="AB1906"/>
        </row>
        <row r="1907">
          <cell r="C1907">
            <v>0</v>
          </cell>
          <cell r="D1907">
            <v>1</v>
          </cell>
          <cell r="E1907">
            <v>0</v>
          </cell>
          <cell r="F1907">
            <v>0</v>
          </cell>
          <cell r="H1907">
            <v>0</v>
          </cell>
          <cell r="O1907">
            <v>372727</v>
          </cell>
          <cell r="P1907" t="str">
            <v>2023/269-0059-01</v>
          </cell>
          <cell r="Q1907" t="str">
            <v>EST BANQUETA SUMA COURO TP2 GARBO SILVESTRE/BASE ONIX</v>
          </cell>
          <cell r="R1907"/>
          <cell r="S1907"/>
          <cell r="T1907">
            <v>0.54</v>
          </cell>
          <cell r="U1907">
            <v>0.43</v>
          </cell>
          <cell r="V1907">
            <v>0.37</v>
          </cell>
          <cell r="W1907">
            <v>0</v>
          </cell>
          <cell r="X1907" t="str">
            <v>EST BANQUETA SUMA COURO TP2 GARBO SILVESTRE/BASE ONIX - 0,54x0,43x0,37H</v>
          </cell>
          <cell r="Y1907">
            <v>4211.16</v>
          </cell>
          <cell r="Z1907">
            <v>0.35</v>
          </cell>
          <cell r="AA1907">
            <v>2737.2539999999999</v>
          </cell>
          <cell r="AB1907"/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H1908">
            <v>1</v>
          </cell>
          <cell r="O1908">
            <v>379020</v>
          </cell>
          <cell r="P1908" t="str">
            <v>2024/073-0006-01</v>
          </cell>
          <cell r="Q1908" t="str">
            <v>EST POLTRONA GALAPAGOS (COURO TP2 PROMO GRANO SANDSTORM)</v>
          </cell>
          <cell r="R1908"/>
          <cell r="S1908"/>
          <cell r="T1908">
            <v>0.85</v>
          </cell>
          <cell r="U1908">
            <v>0.92</v>
          </cell>
          <cell r="V1908">
            <v>0.8</v>
          </cell>
          <cell r="W1908">
            <v>0</v>
          </cell>
          <cell r="X1908" t="str">
            <v>EST POLTRONA GALAPAGOS (COURO TP2 PROMO GRANO SANDSTORM) - 0,85x0,92x0,8H</v>
          </cell>
          <cell r="Y1908">
            <v>21164.1</v>
          </cell>
          <cell r="Z1908">
            <v>0.35</v>
          </cell>
          <cell r="AA1908">
            <v>13756.665000000001</v>
          </cell>
          <cell r="AB1908"/>
        </row>
        <row r="1909">
          <cell r="C1909">
            <v>0</v>
          </cell>
          <cell r="D1909">
            <v>2</v>
          </cell>
          <cell r="E1909">
            <v>0</v>
          </cell>
          <cell r="F1909">
            <v>0</v>
          </cell>
          <cell r="H1909">
            <v>0</v>
          </cell>
          <cell r="O1909">
            <v>379928</v>
          </cell>
          <cell r="P1909" t="str">
            <v>2024/219-0042-01</v>
          </cell>
          <cell r="Q1909" t="str">
            <v>EST POLTRONA BARISTA (COURO TP3 NOZES) COCOA/TAUPE</v>
          </cell>
          <cell r="R1909"/>
          <cell r="S1909"/>
          <cell r="T1909">
            <v>1</v>
          </cell>
          <cell r="U1909">
            <v>0.81</v>
          </cell>
          <cell r="V1909">
            <v>0.69</v>
          </cell>
          <cell r="W1909">
            <v>0</v>
          </cell>
          <cell r="X1909" t="str">
            <v>EST POLTRONA BARISTA (COURO TP3 NOZES) COCOA/TAUPE - 1x0,81x0,69H</v>
          </cell>
          <cell r="Y1909">
            <v>20192.61</v>
          </cell>
          <cell r="Z1909">
            <v>0.35</v>
          </cell>
          <cell r="AA1909">
            <v>13125.196500000002</v>
          </cell>
          <cell r="AB1909"/>
        </row>
        <row r="1910">
          <cell r="C1910">
            <v>0</v>
          </cell>
          <cell r="D1910">
            <v>2</v>
          </cell>
          <cell r="E1910">
            <v>0</v>
          </cell>
          <cell r="F1910">
            <v>0</v>
          </cell>
          <cell r="H1910">
            <v>0</v>
          </cell>
          <cell r="O1910">
            <v>379928</v>
          </cell>
          <cell r="P1910" t="str">
            <v>2024/219-0043-01</v>
          </cell>
          <cell r="Q1910" t="str">
            <v>EST POLTRONA BARISTA (COURO TP3 NOZES) COCOA/TAUPE</v>
          </cell>
          <cell r="R1910"/>
          <cell r="S1910"/>
          <cell r="T1910">
            <v>1</v>
          </cell>
          <cell r="U1910">
            <v>0.81</v>
          </cell>
          <cell r="V1910">
            <v>0.69</v>
          </cell>
          <cell r="W1910">
            <v>0</v>
          </cell>
          <cell r="X1910" t="str">
            <v>EST POLTRONA BARISTA (COURO TP3 NOZES) COCOA/TAUPE - 1x0,81x0,69H</v>
          </cell>
          <cell r="Y1910">
            <v>20192.61</v>
          </cell>
          <cell r="Z1910">
            <v>0.35</v>
          </cell>
          <cell r="AA1910">
            <v>13125.196500000002</v>
          </cell>
          <cell r="AB1910"/>
        </row>
        <row r="1911">
          <cell r="C1911">
            <v>0</v>
          </cell>
          <cell r="D1911">
            <v>2</v>
          </cell>
          <cell r="E1911">
            <v>0</v>
          </cell>
          <cell r="F1911">
            <v>0</v>
          </cell>
          <cell r="H1911">
            <v>0</v>
          </cell>
          <cell r="O1911">
            <v>406796</v>
          </cell>
          <cell r="P1911" t="str">
            <v>2025/149-0051-01</v>
          </cell>
          <cell r="Q1911" t="str">
            <v>EST ALMOFADA DECORATIVA (F 670) (FX J0500)</v>
          </cell>
          <cell r="R1911"/>
          <cell r="S1911"/>
          <cell r="T1911">
            <v>0.92</v>
          </cell>
          <cell r="U1911">
            <v>0.57999999999999996</v>
          </cell>
          <cell r="V1911">
            <v>0.4</v>
          </cell>
          <cell r="W1911">
            <v>0</v>
          </cell>
          <cell r="X1911" t="str">
            <v>EST ALMOFADA DECORATIVA (F 670) (FX J0500) - 0,92x0,58x0,4H</v>
          </cell>
          <cell r="Y1911">
            <v>1002.04</v>
          </cell>
          <cell r="Z1911">
            <v>0.35</v>
          </cell>
          <cell r="AA1911">
            <v>651.32600000000002</v>
          </cell>
          <cell r="AB1911"/>
        </row>
        <row r="1912">
          <cell r="C1912">
            <v>0</v>
          </cell>
          <cell r="D1912">
            <v>2</v>
          </cell>
          <cell r="E1912">
            <v>0</v>
          </cell>
          <cell r="F1912">
            <v>0</v>
          </cell>
          <cell r="H1912">
            <v>0</v>
          </cell>
          <cell r="O1912">
            <v>406796</v>
          </cell>
          <cell r="P1912" t="str">
            <v>2025/149-0052-01</v>
          </cell>
          <cell r="Q1912" t="str">
            <v>EST ALMOFADA DECORATIVA (F 670) (FX J0500)</v>
          </cell>
          <cell r="R1912"/>
          <cell r="S1912"/>
          <cell r="T1912">
            <v>2.2000000000000002</v>
          </cell>
          <cell r="U1912">
            <v>0.5</v>
          </cell>
          <cell r="V1912">
            <v>0.8</v>
          </cell>
          <cell r="W1912">
            <v>0</v>
          </cell>
          <cell r="X1912" t="str">
            <v>EST ALMOFADA DECORATIVA (F 670) (FX J0500) - 2,2x0,5x0,8H</v>
          </cell>
          <cell r="Y1912">
            <v>1002.04</v>
          </cell>
          <cell r="Z1912">
            <v>0.35</v>
          </cell>
          <cell r="AA1912">
            <v>651.32600000000002</v>
          </cell>
          <cell r="AB1912"/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H1913">
            <v>2</v>
          </cell>
          <cell r="O1913">
            <v>406797</v>
          </cell>
          <cell r="P1913" t="str">
            <v>2025/149-0019-01</v>
          </cell>
          <cell r="Q1913" t="str">
            <v>EST ALMOFADA DECORATIVA (F 670) (FX B2080)</v>
          </cell>
          <cell r="R1913"/>
          <cell r="S1913"/>
          <cell r="T1913">
            <v>0.4</v>
          </cell>
          <cell r="U1913">
            <v>0.4</v>
          </cell>
          <cell r="V1913">
            <v>0</v>
          </cell>
          <cell r="W1913">
            <v>0</v>
          </cell>
          <cell r="X1913" t="str">
            <v>EST ALMOFADA DECORATIVA (F 670) (FX B2080) - 0,4x0,4x0H</v>
          </cell>
          <cell r="Y1913">
            <v>669.58</v>
          </cell>
          <cell r="Z1913">
            <v>0.5</v>
          </cell>
          <cell r="AA1913">
            <v>334.79</v>
          </cell>
          <cell r="AB1913"/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H1914">
            <v>2</v>
          </cell>
          <cell r="O1914">
            <v>406797</v>
          </cell>
          <cell r="P1914" t="str">
            <v>2025/149-0020-01</v>
          </cell>
          <cell r="Q1914" t="str">
            <v>EST ALMOFADA DECORATIVA (F 670) (FX B2080)</v>
          </cell>
          <cell r="R1914"/>
          <cell r="S1914"/>
          <cell r="T1914">
            <v>0.4</v>
          </cell>
          <cell r="U1914">
            <v>0.4</v>
          </cell>
          <cell r="V1914">
            <v>0</v>
          </cell>
          <cell r="W1914">
            <v>0</v>
          </cell>
          <cell r="X1914" t="str">
            <v>EST ALMOFADA DECORATIVA (F 670) (FX B2080) - 0,4x0,4x0H</v>
          </cell>
          <cell r="Y1914">
            <v>669.58</v>
          </cell>
          <cell r="Z1914">
            <v>0.5</v>
          </cell>
          <cell r="AA1914">
            <v>334.79</v>
          </cell>
          <cell r="AB1914"/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H1915">
            <v>2</v>
          </cell>
          <cell r="O1915">
            <v>406798</v>
          </cell>
          <cell r="P1915" t="str">
            <v>2025/149-0021-01</v>
          </cell>
          <cell r="Q1915" t="str">
            <v>EST ALMOFADA DECORATIVA (F 670) (FX B2080)</v>
          </cell>
          <cell r="R1915"/>
          <cell r="S1915"/>
          <cell r="T1915">
            <v>0.5</v>
          </cell>
          <cell r="U1915">
            <v>0.5</v>
          </cell>
          <cell r="V1915">
            <v>0</v>
          </cell>
          <cell r="W1915">
            <v>0</v>
          </cell>
          <cell r="X1915" t="str">
            <v>EST ALMOFADA DECORATIVA (F 670) (FX B2080) - 0,5x0,5x0H</v>
          </cell>
          <cell r="Y1915">
            <v>738.84</v>
          </cell>
          <cell r="Z1915">
            <v>0.5</v>
          </cell>
          <cell r="AA1915">
            <v>369.42</v>
          </cell>
          <cell r="AB1915"/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H1916">
            <v>2</v>
          </cell>
          <cell r="O1916">
            <v>406798</v>
          </cell>
          <cell r="P1916" t="str">
            <v>2025/149-0022-01</v>
          </cell>
          <cell r="Q1916" t="str">
            <v>EST ALMOFADA DECORATIVA (F 670) (FX B2080)</v>
          </cell>
          <cell r="R1916"/>
          <cell r="S1916"/>
          <cell r="T1916">
            <v>0.5</v>
          </cell>
          <cell r="U1916">
            <v>0.5</v>
          </cell>
          <cell r="V1916">
            <v>0</v>
          </cell>
          <cell r="W1916">
            <v>0</v>
          </cell>
          <cell r="X1916" t="str">
            <v>EST ALMOFADA DECORATIVA (F 670) (FX B2080) - 0,5x0,5x0H</v>
          </cell>
          <cell r="Y1916">
            <v>738.84</v>
          </cell>
          <cell r="Z1916">
            <v>0.5</v>
          </cell>
          <cell r="AA1916">
            <v>369.42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379021</v>
          </cell>
          <cell r="P1917" t="str">
            <v>2024/065-0102-01</v>
          </cell>
          <cell r="Q1917" t="str">
            <v>EST POLTRONA GALAPAGOS (COURO TP3 PROMO LA PAZ PINHAO FSC)</v>
          </cell>
          <cell r="R1917"/>
          <cell r="S1917"/>
          <cell r="T1917">
            <v>0.85</v>
          </cell>
          <cell r="U1917">
            <v>0.92</v>
          </cell>
          <cell r="V1917">
            <v>0.8</v>
          </cell>
          <cell r="W1917">
            <v>0</v>
          </cell>
          <cell r="X1917" t="str">
            <v>EST POLTRONA GALAPAGOS (COURO TP3 PROMO LA PAZ PINHAO FSC) - 0,85x0,92x0,8H</v>
          </cell>
          <cell r="Y1917">
            <v>22160.59</v>
          </cell>
          <cell r="Z1917">
            <v>0.35</v>
          </cell>
          <cell r="AA1917">
            <v>14404.3835</v>
          </cell>
          <cell r="AB1917"/>
        </row>
        <row r="1918">
          <cell r="C1918">
            <v>2</v>
          </cell>
          <cell r="D1918">
            <v>0</v>
          </cell>
          <cell r="E1918">
            <v>0</v>
          </cell>
          <cell r="F1918">
            <v>0</v>
          </cell>
          <cell r="H1918">
            <v>0</v>
          </cell>
          <cell r="O1918">
            <v>379021</v>
          </cell>
          <cell r="P1918" t="str">
            <v>2024/065-0103-01</v>
          </cell>
          <cell r="Q1918" t="str">
            <v>EST POLTRONA GALAPAGOS (COURO TP3 PROMO LA PAZ PINHAO FSC)</v>
          </cell>
          <cell r="R1918"/>
          <cell r="S1918"/>
          <cell r="T1918">
            <v>0.85</v>
          </cell>
          <cell r="U1918">
            <v>0.92</v>
          </cell>
          <cell r="V1918">
            <v>0.8</v>
          </cell>
          <cell r="W1918">
            <v>0</v>
          </cell>
          <cell r="X1918" t="str">
            <v>EST POLTRONA GALAPAGOS (COURO TP3 PROMO LA PAZ PINHAO FSC) - 0,85x0,92x0,8H</v>
          </cell>
          <cell r="Y1918">
            <v>22160.59</v>
          </cell>
          <cell r="Z1918">
            <v>0.35</v>
          </cell>
          <cell r="AA1918">
            <v>14404.3835</v>
          </cell>
          <cell r="AB1918"/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H1919">
            <v>2</v>
          </cell>
          <cell r="O1919">
            <v>379909</v>
          </cell>
          <cell r="P1919" t="str">
            <v>2024/219-0040-01</v>
          </cell>
          <cell r="Q1919" t="str">
            <v>EST POLTRONA BARISTA (COURO TP3 SAFARI) COCOA/NOZES</v>
          </cell>
          <cell r="R1919"/>
          <cell r="S1919"/>
          <cell r="T1919">
            <v>1</v>
          </cell>
          <cell r="U1919">
            <v>0.81</v>
          </cell>
          <cell r="V1919">
            <v>0.69</v>
          </cell>
          <cell r="W1919">
            <v>0</v>
          </cell>
          <cell r="X1919" t="str">
            <v>EST POLTRONA BARISTA (COURO TP3 SAFARI) COCOA/NOZES - 1x0,81x0,69H</v>
          </cell>
          <cell r="Y1919">
            <v>20192.61</v>
          </cell>
          <cell r="Z1919">
            <v>0.35</v>
          </cell>
          <cell r="AA1919">
            <v>13125.196500000002</v>
          </cell>
          <cell r="AB1919"/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H1920">
            <v>2</v>
          </cell>
          <cell r="O1920">
            <v>379909</v>
          </cell>
          <cell r="P1920" t="str">
            <v>2024/219-0041-01</v>
          </cell>
          <cell r="Q1920" t="str">
            <v>EST POLTRONA BARISTA (COURO TP3 SAFARI) COCOA/NOZES</v>
          </cell>
          <cell r="R1920"/>
          <cell r="S1920"/>
          <cell r="T1920">
            <v>1</v>
          </cell>
          <cell r="U1920">
            <v>0.81</v>
          </cell>
          <cell r="V1920">
            <v>0.69</v>
          </cell>
          <cell r="W1920">
            <v>0</v>
          </cell>
          <cell r="X1920" t="str">
            <v>EST POLTRONA BARISTA (COURO TP3 SAFARI) COCOA/NOZES - 1x0,81x0,69H</v>
          </cell>
          <cell r="Y1920">
            <v>20192.61</v>
          </cell>
          <cell r="Z1920">
            <v>0.35</v>
          </cell>
          <cell r="AA1920">
            <v>13125.196500000002</v>
          </cell>
          <cell r="AB1920"/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H1921">
            <v>1</v>
          </cell>
          <cell r="O1921">
            <v>365801</v>
          </cell>
          <cell r="P1921" t="str">
            <v>2023/094-0080-01</v>
          </cell>
          <cell r="Q1921" t="str">
            <v>EST POLTRONA CACAU TC V8001 (BRACO LADO DIREITO)</v>
          </cell>
          <cell r="R1921"/>
          <cell r="S1921"/>
          <cell r="T1921">
            <v>1.27</v>
          </cell>
          <cell r="U1921">
            <v>0.93</v>
          </cell>
          <cell r="V1921">
            <v>0.74</v>
          </cell>
          <cell r="W1921">
            <v>0</v>
          </cell>
          <cell r="X1921" t="str">
            <v>EST POLTRONA CACAU TC V8001 (BRACO LADO DIREITO) - 1,27x0,93x0,74H</v>
          </cell>
          <cell r="Y1921">
            <v>23254.07</v>
          </cell>
          <cell r="Z1921">
            <v>0.35</v>
          </cell>
          <cell r="AA1921">
            <v>15115.145500000001</v>
          </cell>
          <cell r="AB1921"/>
        </row>
        <row r="1922">
          <cell r="C1922">
            <v>1</v>
          </cell>
          <cell r="D1922">
            <v>0</v>
          </cell>
          <cell r="E1922">
            <v>0</v>
          </cell>
          <cell r="F1922">
            <v>0</v>
          </cell>
          <cell r="H1922">
            <v>1</v>
          </cell>
          <cell r="O1922">
            <v>365935</v>
          </cell>
          <cell r="P1922" t="str">
            <v>2023/094-0083-01</v>
          </cell>
          <cell r="Q1922" t="str">
            <v>EST BANQUETA CACAU TC V8001</v>
          </cell>
          <cell r="R1922"/>
          <cell r="S1922"/>
          <cell r="T1922">
            <v>0.92</v>
          </cell>
          <cell r="U1922">
            <v>0.57999999999999996</v>
          </cell>
          <cell r="V1922">
            <v>0.4</v>
          </cell>
          <cell r="W1922">
            <v>0</v>
          </cell>
          <cell r="X1922" t="str">
            <v>EST BANQUETA CACAU TC V8001 - 0,92x0,58x0,4H</v>
          </cell>
          <cell r="Y1922">
            <v>11952.73</v>
          </cell>
          <cell r="Z1922">
            <v>0.35</v>
          </cell>
          <cell r="AA1922">
            <v>7769.2744999999995</v>
          </cell>
          <cell r="AB1922"/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H1923">
            <v>1</v>
          </cell>
          <cell r="O1923">
            <v>180739</v>
          </cell>
          <cell r="P1923" t="str">
            <v>2015/342-0051-01</v>
          </cell>
          <cell r="Q1923" t="str">
            <v>EST APARADOR REDENTOR (NOGUEIRA) (LACA BRILHO FENDI)</v>
          </cell>
          <cell r="R1923"/>
          <cell r="S1923"/>
          <cell r="T1923">
            <v>2.2000000000000002</v>
          </cell>
          <cell r="U1923">
            <v>0.5</v>
          </cell>
          <cell r="V1923">
            <v>0.8</v>
          </cell>
          <cell r="W1923">
            <v>0</v>
          </cell>
          <cell r="X1923" t="str">
            <v>EST APARADOR REDENTOR (NOGUEIRA) (LACA BRILHO FENDI) - 2,2x0,5x0,8H</v>
          </cell>
          <cell r="Y1923">
            <v>15680</v>
          </cell>
          <cell r="Z1923">
            <v>0.5</v>
          </cell>
          <cell r="AA1923">
            <v>7840</v>
          </cell>
          <cell r="AB1923"/>
        </row>
        <row r="1924">
          <cell r="C1924">
            <v>1</v>
          </cell>
          <cell r="D1924">
            <v>0</v>
          </cell>
          <cell r="E1924">
            <v>0</v>
          </cell>
          <cell r="F1924">
            <v>0</v>
          </cell>
          <cell r="H1924">
            <v>2</v>
          </cell>
          <cell r="O1924">
            <v>182715</v>
          </cell>
          <cell r="P1924" t="str">
            <v>2016/019-0147-01</v>
          </cell>
          <cell r="Q1924" t="str">
            <v>EST SOFA TABLE POSITANO (EXTERNO ROVERE) (INTERNO BRANCO)</v>
          </cell>
          <cell r="R1924"/>
          <cell r="S1924"/>
          <cell r="T1924">
            <v>2.6</v>
          </cell>
          <cell r="U1924">
            <v>1</v>
          </cell>
          <cell r="V1924">
            <v>0.45</v>
          </cell>
          <cell r="W1924">
            <v>0</v>
          </cell>
          <cell r="X1924" t="str">
            <v>EST SOFA TABLE POSITANO (EXTERNO ROVERE) (INTERNO BRANCO) - 2,6x1x0,45H</v>
          </cell>
          <cell r="Y1924">
            <v>14135.7</v>
          </cell>
          <cell r="Z1924">
            <v>0.5</v>
          </cell>
          <cell r="AA1924">
            <v>7067.85</v>
          </cell>
          <cell r="AB1924"/>
        </row>
        <row r="1925">
          <cell r="C1925">
            <v>1</v>
          </cell>
          <cell r="D1925">
            <v>0</v>
          </cell>
          <cell r="E1925">
            <v>0</v>
          </cell>
          <cell r="F1925">
            <v>0</v>
          </cell>
          <cell r="H1925">
            <v>1</v>
          </cell>
          <cell r="O1925">
            <v>275021</v>
          </cell>
          <cell r="P1925" t="str">
            <v>2022/241-0002-01</v>
          </cell>
          <cell r="Q1925" t="str">
            <v>EST MESA JANTAR TRIBECA (TP/BS NOGUEIRA) DETALHE MTZ OXI</v>
          </cell>
          <cell r="R1925"/>
          <cell r="S1925"/>
          <cell r="T1925">
            <v>2.7</v>
          </cell>
          <cell r="U1925">
            <v>1.2</v>
          </cell>
          <cell r="V1925">
            <v>0.75</v>
          </cell>
          <cell r="W1925">
            <v>0</v>
          </cell>
          <cell r="X1925" t="str">
            <v>EST MESA JANTAR TRIBECA (TP/BS NOGUEIRA) DETALHE MTZ OXI - 2,7x1,2x0,75H</v>
          </cell>
          <cell r="Y1925">
            <v>53412.44</v>
          </cell>
          <cell r="Z1925">
            <v>0.5</v>
          </cell>
          <cell r="AA1925">
            <v>26706.22</v>
          </cell>
          <cell r="AB1925"/>
        </row>
        <row r="1926">
          <cell r="C1926">
            <v>1</v>
          </cell>
          <cell r="D1926">
            <v>0</v>
          </cell>
          <cell r="E1926">
            <v>0</v>
          </cell>
          <cell r="F1926">
            <v>0</v>
          </cell>
          <cell r="H1926">
            <v>0</v>
          </cell>
          <cell r="O1926">
            <v>379887</v>
          </cell>
          <cell r="P1926" t="str">
            <v>2024/068-0050-01</v>
          </cell>
          <cell r="Q1926" t="str">
            <v>EST CHAISE B/ESQ MONDRIAN (ESTOF) (C2 MAMMUT/NOG) (TC 7637)</v>
          </cell>
          <cell r="R1926"/>
          <cell r="S1926"/>
          <cell r="T1926">
            <v>1.04</v>
          </cell>
          <cell r="U1926">
            <v>1.7</v>
          </cell>
          <cell r="V1926">
            <v>0.71</v>
          </cell>
          <cell r="W1926">
            <v>0</v>
          </cell>
          <cell r="X1926" t="str">
            <v>EST CHAISE B/ESQ MONDRIAN (ESTOF) (C2 MAMMUT/NOG) (TC 7637) - 1,04x1,7x0,71H</v>
          </cell>
          <cell r="Y1926">
            <v>46650.6</v>
          </cell>
          <cell r="Z1926">
            <v>0.5</v>
          </cell>
          <cell r="AA1926">
            <v>23325.3</v>
          </cell>
          <cell r="AB1926"/>
        </row>
        <row r="1927">
          <cell r="C1927">
            <v>1</v>
          </cell>
          <cell r="D1927">
            <v>0</v>
          </cell>
          <cell r="E1927">
            <v>0</v>
          </cell>
          <cell r="F1927">
            <v>0</v>
          </cell>
          <cell r="H1927">
            <v>0</v>
          </cell>
          <cell r="O1927">
            <v>380081</v>
          </cell>
          <cell r="P1927" t="str">
            <v>2024/068-0064-01</v>
          </cell>
          <cell r="Q1927" t="str">
            <v>EST COLCHAO COLUMBAE (TC 694) (QUEEN)</v>
          </cell>
          <cell r="R1927"/>
          <cell r="S1927"/>
          <cell r="T1927">
            <v>1.58</v>
          </cell>
          <cell r="U1927">
            <v>1.98</v>
          </cell>
          <cell r="V1927">
            <v>0.36</v>
          </cell>
          <cell r="W1927">
            <v>0</v>
          </cell>
          <cell r="X1927" t="str">
            <v>EST COLCHAO COLUMBAE (TC 694) (QUEEN) - 1,58x1,98x0,36H</v>
          </cell>
          <cell r="Y1927">
            <v>20078.060000000001</v>
          </cell>
          <cell r="Z1927">
            <v>0.5</v>
          </cell>
          <cell r="AA1927">
            <v>10039.030000000001</v>
          </cell>
          <cell r="AB1927"/>
        </row>
        <row r="1928">
          <cell r="C1928">
            <v>1</v>
          </cell>
          <cell r="D1928">
            <v>0</v>
          </cell>
          <cell r="E1928">
            <v>0</v>
          </cell>
          <cell r="F1928">
            <v>0</v>
          </cell>
          <cell r="H1928">
            <v>0</v>
          </cell>
          <cell r="O1928">
            <v>380177</v>
          </cell>
          <cell r="P1928" t="str">
            <v>2024/068-0065-01</v>
          </cell>
          <cell r="Q1928" t="str">
            <v>EST CAMA MONDRIAN (LAM NOG/C2 MAMMUT) (FX 10027)</v>
          </cell>
          <cell r="R1928"/>
          <cell r="S1928"/>
          <cell r="T1928">
            <v>1.86</v>
          </cell>
          <cell r="U1928">
            <v>2.27</v>
          </cell>
          <cell r="V1928">
            <v>1.1000000000000001</v>
          </cell>
          <cell r="W1928">
            <v>0</v>
          </cell>
          <cell r="X1928" t="str">
            <v>EST CAMA MONDRIAN (LAM NOG/C2 MAMMUT) (FX 10027) - 1,86x2,27x1,1H</v>
          </cell>
          <cell r="Y1928">
            <v>55675.42</v>
          </cell>
          <cell r="Z1928">
            <v>0.5</v>
          </cell>
          <cell r="AA1928">
            <v>27837.71</v>
          </cell>
          <cell r="AB1928"/>
        </row>
        <row r="1929">
          <cell r="C1929">
            <v>1</v>
          </cell>
          <cell r="D1929">
            <v>0</v>
          </cell>
          <cell r="E1929">
            <v>0</v>
          </cell>
          <cell r="F1929">
            <v>0</v>
          </cell>
          <cell r="H1929">
            <v>0</v>
          </cell>
          <cell r="O1929">
            <v>380178</v>
          </cell>
          <cell r="P1929" t="str">
            <v>2024/068-0066-01</v>
          </cell>
          <cell r="Q1929" t="str">
            <v>EST MOVEL AUXILIAR MONDRIAN (NOGUEIRA) (PEDRA 2 Q BRONZITE)</v>
          </cell>
          <cell r="R1929"/>
          <cell r="S1929"/>
          <cell r="T1929">
            <v>0.9</v>
          </cell>
          <cell r="U1929">
            <v>0.45</v>
          </cell>
          <cell r="V1929">
            <v>0.45</v>
          </cell>
          <cell r="W1929">
            <v>0</v>
          </cell>
          <cell r="X1929" t="str">
            <v>EST MOVEL AUXILIAR MONDRIAN (NOGUEIRA) (PEDRA 2 Q BRONZITE) - 0,9x0,45x0,45H</v>
          </cell>
          <cell r="Y1929">
            <v>35372.11</v>
          </cell>
          <cell r="Z1929">
            <v>0.5</v>
          </cell>
          <cell r="AA1929">
            <v>17686.055</v>
          </cell>
          <cell r="AB1929"/>
        </row>
        <row r="1930">
          <cell r="C1930">
            <v>3</v>
          </cell>
          <cell r="D1930">
            <v>0</v>
          </cell>
          <cell r="E1930">
            <v>0</v>
          </cell>
          <cell r="F1930">
            <v>0</v>
          </cell>
          <cell r="H1930">
            <v>0</v>
          </cell>
          <cell r="O1930">
            <v>299555</v>
          </cell>
          <cell r="P1930" t="str">
            <v>2022/034-0002-01</v>
          </cell>
          <cell r="Q1930" t="str">
            <v>EST ESTANTE BURLE (MTX MARROM FSC) (LAM 2 PRAT FREIJO NAT)</v>
          </cell>
          <cell r="R1930"/>
          <cell r="S1930"/>
          <cell r="T1930">
            <v>1.3</v>
          </cell>
          <cell r="U1930">
            <v>0.45</v>
          </cell>
          <cell r="V1930">
            <v>1.83</v>
          </cell>
          <cell r="W1930">
            <v>0</v>
          </cell>
          <cell r="X1930" t="str">
            <v>EST ESTANTE BURLE (MTX MARROM FSC) (LAM 2 PRAT FREIJO NAT) - 1,3x0,45x1,83H</v>
          </cell>
          <cell r="Y1930">
            <v>44856.36</v>
          </cell>
          <cell r="Z1930">
            <v>0.35</v>
          </cell>
          <cell r="AA1930">
            <v>29156.634000000002</v>
          </cell>
          <cell r="AB1930"/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H1931">
            <v>1</v>
          </cell>
          <cell r="O1931">
            <v>324014</v>
          </cell>
          <cell r="P1931" t="str">
            <v>2022/101-0064-01</v>
          </cell>
          <cell r="Q1931" t="str">
            <v>EST TAPETE AREIA (LIST IRR) (10MM) F:1471/D:103/1057/1237/95</v>
          </cell>
          <cell r="R1931"/>
          <cell r="S1931"/>
          <cell r="T1931">
            <v>4</v>
          </cell>
          <cell r="U1931">
            <v>4</v>
          </cell>
          <cell r="V1931">
            <v>0.01</v>
          </cell>
          <cell r="W1931">
            <v>0</v>
          </cell>
          <cell r="X1931" t="str">
            <v>EST TAPETE AREIA (LIST IRR) (10MM) F:1471/D:103/1057/1237/95 - 4x4x0,01H</v>
          </cell>
          <cell r="Y1931">
            <v>40714.239999999998</v>
          </cell>
          <cell r="Z1931">
            <v>0.35</v>
          </cell>
          <cell r="AA1931">
            <v>26464.256000000001</v>
          </cell>
          <cell r="AB1931"/>
        </row>
        <row r="1932">
          <cell r="C1932">
            <v>1</v>
          </cell>
          <cell r="D1932">
            <v>0</v>
          </cell>
          <cell r="E1932">
            <v>0</v>
          </cell>
          <cell r="F1932">
            <v>0</v>
          </cell>
          <cell r="H1932">
            <v>0</v>
          </cell>
          <cell r="O1932">
            <v>342294</v>
          </cell>
          <cell r="P1932" t="str">
            <v>2022/217-0002-01</v>
          </cell>
          <cell r="Q1932" t="str">
            <v>EST TAPETE MATISSE WAVES ROUND 1 (CENT LAP) (10MM) F:1280</v>
          </cell>
          <cell r="R1932"/>
          <cell r="S1932"/>
          <cell r="T1932">
            <v>5.5</v>
          </cell>
          <cell r="U1932">
            <v>4</v>
          </cell>
          <cell r="V1932">
            <v>0.01</v>
          </cell>
          <cell r="W1932">
            <v>0</v>
          </cell>
          <cell r="X1932" t="str">
            <v>EST TAPETE MATISSE WAVES ROUND 1 (CENT LAP) (10MM) F:1280 - 5,5x4x0,01H</v>
          </cell>
          <cell r="Y1932">
            <v>80424.960000000006</v>
          </cell>
          <cell r="Z1932">
            <v>0.35</v>
          </cell>
          <cell r="AA1932">
            <v>52276.224000000002</v>
          </cell>
          <cell r="AB1932"/>
        </row>
        <row r="1933">
          <cell r="C1933">
            <v>1</v>
          </cell>
          <cell r="D1933">
            <v>0</v>
          </cell>
          <cell r="E1933">
            <v>0</v>
          </cell>
          <cell r="F1933">
            <v>0</v>
          </cell>
          <cell r="H1933">
            <v>0</v>
          </cell>
          <cell r="O1933">
            <v>342303</v>
          </cell>
          <cell r="P1933" t="str">
            <v>2022/217-0012-01</v>
          </cell>
          <cell r="Q1933" t="str">
            <v>EST TAPETE CURTIAN (10MM) F:1469/D:6 CORES</v>
          </cell>
          <cell r="R1933"/>
          <cell r="S1933"/>
          <cell r="T1933">
            <v>5</v>
          </cell>
          <cell r="U1933">
            <v>3.5</v>
          </cell>
          <cell r="V1933">
            <v>0.01</v>
          </cell>
          <cell r="W1933">
            <v>0</v>
          </cell>
          <cell r="X1933" t="str">
            <v>EST TAPETE CURTIAN (10MM) F:1469/D:6 CORES - 5x3,5x0,01H</v>
          </cell>
          <cell r="Y1933">
            <v>54488</v>
          </cell>
          <cell r="Z1933">
            <v>0.35</v>
          </cell>
          <cell r="AA1933">
            <v>35417.199999999997</v>
          </cell>
          <cell r="AB1933"/>
        </row>
        <row r="1934">
          <cell r="C1934">
            <v>1</v>
          </cell>
          <cell r="D1934">
            <v>0</v>
          </cell>
          <cell r="E1934">
            <v>0</v>
          </cell>
          <cell r="F1934">
            <v>0</v>
          </cell>
          <cell r="H1934">
            <v>0</v>
          </cell>
          <cell r="O1934">
            <v>365802</v>
          </cell>
          <cell r="P1934" t="str">
            <v>2023/094-0081-01</v>
          </cell>
          <cell r="Q1934" t="str">
            <v>EST POLTRONA CACAU TC V8001 (BRACO LADO ESQUERDO)</v>
          </cell>
          <cell r="R1934"/>
          <cell r="S1934"/>
          <cell r="T1934">
            <v>1.27</v>
          </cell>
          <cell r="U1934">
            <v>0.93</v>
          </cell>
          <cell r="V1934">
            <v>0.74</v>
          </cell>
          <cell r="W1934">
            <v>0</v>
          </cell>
          <cell r="X1934" t="str">
            <v>EST POLTRONA CACAU TC V8001 (BRACO LADO ESQUERDO) - 1,27x0,93x0,74H</v>
          </cell>
          <cell r="Y1934">
            <v>23254.07</v>
          </cell>
          <cell r="Z1934">
            <v>0.35</v>
          </cell>
          <cell r="AA1934">
            <v>15115.145500000001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1</v>
          </cell>
          <cell r="O1935">
            <v>365935</v>
          </cell>
          <cell r="P1935" t="str">
            <v>2023/094-0082-01</v>
          </cell>
          <cell r="Q1935" t="str">
            <v>EST BANQUETA CACAU TC V8001</v>
          </cell>
          <cell r="R1935"/>
          <cell r="S1935"/>
          <cell r="T1935">
            <v>0.92</v>
          </cell>
          <cell r="U1935">
            <v>0.57999999999999996</v>
          </cell>
          <cell r="V1935">
            <v>0.4</v>
          </cell>
          <cell r="W1935">
            <v>0</v>
          </cell>
          <cell r="X1935" t="str">
            <v>EST BANQUETA CACAU TC V8001 - 0,92x0,58x0,4H</v>
          </cell>
          <cell r="Y1935">
            <v>11952.73</v>
          </cell>
          <cell r="Z1935">
            <v>0.35</v>
          </cell>
          <cell r="AA1935">
            <v>7769.2744999999995</v>
          </cell>
          <cell r="AB1935"/>
        </row>
        <row r="1936">
          <cell r="C1936">
            <v>0</v>
          </cell>
          <cell r="D1936">
            <v>1</v>
          </cell>
          <cell r="E1936">
            <v>0</v>
          </cell>
          <cell r="F1936">
            <v>0</v>
          </cell>
          <cell r="H1936">
            <v>1</v>
          </cell>
          <cell r="O1936">
            <v>378173</v>
          </cell>
          <cell r="P1936" t="str">
            <v>2024/023-0010-01</v>
          </cell>
          <cell r="Q1936" t="str">
            <v>EST TAPETE SISAL C44 (BARRA VIRADA)</v>
          </cell>
          <cell r="R1936"/>
          <cell r="S1936"/>
          <cell r="T1936">
            <v>5</v>
          </cell>
          <cell r="U1936">
            <v>4</v>
          </cell>
          <cell r="V1936">
            <v>0</v>
          </cell>
          <cell r="W1936">
            <v>0</v>
          </cell>
          <cell r="X1936" t="str">
            <v>EST TAPETE SISAL C44 (BARRA VIRADA) - 5x4x0H</v>
          </cell>
          <cell r="Y1936">
            <v>8892.7999999999993</v>
          </cell>
          <cell r="Z1936">
            <v>0.35</v>
          </cell>
          <cell r="AA1936">
            <v>5780.32</v>
          </cell>
          <cell r="AB1936"/>
        </row>
        <row r="1937">
          <cell r="C1937">
            <v>2</v>
          </cell>
          <cell r="D1937">
            <v>2</v>
          </cell>
          <cell r="E1937">
            <v>0</v>
          </cell>
          <cell r="F1937">
            <v>0</v>
          </cell>
          <cell r="H1937">
            <v>0</v>
          </cell>
          <cell r="O1937">
            <v>378925</v>
          </cell>
          <cell r="P1937" t="str">
            <v>2024/065-0088-01</v>
          </cell>
          <cell r="Q1937" t="str">
            <v>EST MESA CENTRO HIMALAYA VITRINE (CLEAR) (LAM2 PFERRO) NOGAL</v>
          </cell>
          <cell r="R1937"/>
          <cell r="S1937"/>
          <cell r="T1937">
            <v>0.9</v>
          </cell>
          <cell r="U1937">
            <v>0.9</v>
          </cell>
          <cell r="V1937">
            <v>0.3</v>
          </cell>
          <cell r="W1937">
            <v>0</v>
          </cell>
          <cell r="X1937" t="str">
            <v>EST MESA CENTRO HIMALAYA VITRINE (CLEAR) (LAM2 PFERRO) NOGAL - 0,9x0,9x0,3H</v>
          </cell>
          <cell r="Y1937">
            <v>31947.37</v>
          </cell>
          <cell r="Z1937">
            <v>0.35</v>
          </cell>
          <cell r="AA1937">
            <v>20765.790499999999</v>
          </cell>
          <cell r="AB1937"/>
        </row>
        <row r="1938">
          <cell r="C1938">
            <v>2</v>
          </cell>
          <cell r="D1938">
            <v>2</v>
          </cell>
          <cell r="E1938">
            <v>0</v>
          </cell>
          <cell r="F1938">
            <v>0</v>
          </cell>
          <cell r="H1938">
            <v>0</v>
          </cell>
          <cell r="O1938">
            <v>378925</v>
          </cell>
          <cell r="P1938" t="str">
            <v>2024/065-0087-01</v>
          </cell>
          <cell r="Q1938" t="str">
            <v>EST MESA CENTRO HIMALAYA VITRINE (CLEAR) (LAM2 PFERRO) NOGAL</v>
          </cell>
          <cell r="R1938"/>
          <cell r="S1938"/>
          <cell r="T1938">
            <v>0.9</v>
          </cell>
          <cell r="U1938">
            <v>0.9</v>
          </cell>
          <cell r="V1938">
            <v>0.3</v>
          </cell>
          <cell r="W1938">
            <v>0</v>
          </cell>
          <cell r="X1938" t="str">
            <v>EST MESA CENTRO HIMALAYA VITRINE (CLEAR) (LAM2 PFERRO) NOGAL - 0,9x0,9x0,3H</v>
          </cell>
          <cell r="Y1938">
            <v>31947.37</v>
          </cell>
          <cell r="Z1938">
            <v>0.35</v>
          </cell>
          <cell r="AA1938">
            <v>20765.790499999999</v>
          </cell>
          <cell r="AB1938"/>
        </row>
        <row r="1939">
          <cell r="C1939">
            <v>1</v>
          </cell>
          <cell r="D1939">
            <v>0</v>
          </cell>
          <cell r="E1939">
            <v>0</v>
          </cell>
          <cell r="F1939">
            <v>2</v>
          </cell>
          <cell r="H1939">
            <v>2</v>
          </cell>
          <cell r="O1939">
            <v>389953</v>
          </cell>
          <cell r="P1939" t="str">
            <v>2024/267-0073-01</v>
          </cell>
          <cell r="Q1939" t="str">
            <v>EST MODULO PUFF LENCOIS M OUTDOOR TC KEEPSAKE TAUPE</v>
          </cell>
          <cell r="R1939"/>
          <cell r="S1939"/>
          <cell r="T1939">
            <v>1.7</v>
          </cell>
          <cell r="U1939">
            <v>1</v>
          </cell>
          <cell r="V1939">
            <v>0.38</v>
          </cell>
          <cell r="W1939">
            <v>0</v>
          </cell>
          <cell r="X1939" t="str">
            <v>EST MODULO PUFF LENCOIS M OUTDOOR TC KEEPSAKE TAUPE - 1,7x1x0,38H</v>
          </cell>
          <cell r="Y1939">
            <v>26097.426900000002</v>
          </cell>
          <cell r="Z1939">
            <v>0.35</v>
          </cell>
          <cell r="AA1939">
            <v>16963.327485000002</v>
          </cell>
          <cell r="AB1939"/>
        </row>
        <row r="1940">
          <cell r="C1940">
            <v>1</v>
          </cell>
          <cell r="D1940">
            <v>0</v>
          </cell>
          <cell r="E1940">
            <v>0</v>
          </cell>
          <cell r="F1940">
            <v>2</v>
          </cell>
          <cell r="H1940">
            <v>2</v>
          </cell>
          <cell r="O1940">
            <v>389953</v>
          </cell>
          <cell r="P1940" t="str">
            <v>2024/267-0071-01</v>
          </cell>
          <cell r="Q1940" t="str">
            <v>EST MODULO PUFF LENCOIS M OUTDOOR TC KEEPSAKE TAUPE</v>
          </cell>
          <cell r="R1940"/>
          <cell r="S1940"/>
          <cell r="T1940">
            <v>1.7</v>
          </cell>
          <cell r="U1940">
            <v>1</v>
          </cell>
          <cell r="V1940">
            <v>0.38</v>
          </cell>
          <cell r="W1940">
            <v>0</v>
          </cell>
          <cell r="X1940" t="str">
            <v>EST MODULO PUFF LENCOIS M OUTDOOR TC KEEPSAKE TAUPE - 1,7x1x0,38H</v>
          </cell>
          <cell r="Y1940">
            <v>26097.426900000002</v>
          </cell>
          <cell r="Z1940">
            <v>0.35</v>
          </cell>
          <cell r="AA1940">
            <v>16963.327485000002</v>
          </cell>
          <cell r="AB1940"/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H1941">
            <v>2</v>
          </cell>
          <cell r="O1941">
            <v>389954</v>
          </cell>
          <cell r="P1941" t="str">
            <v>2024/267-0076-01</v>
          </cell>
          <cell r="Q1941" t="str">
            <v>EST MODULO ENCOSTO (L) LENCOIS M OUTDOOR TC KEEPSAKE TAUPE</v>
          </cell>
          <cell r="R1941"/>
          <cell r="S1941"/>
          <cell r="T1941">
            <v>0.8</v>
          </cell>
          <cell r="U1941">
            <v>0.8</v>
          </cell>
          <cell r="V1941">
            <v>0.26</v>
          </cell>
          <cell r="W1941">
            <v>0</v>
          </cell>
          <cell r="X1941" t="str">
            <v>EST MODULO ENCOSTO (L) LENCOIS M OUTDOOR TC KEEPSAKE TAUPE - 0,8x0,8x0,26H</v>
          </cell>
          <cell r="Y1941">
            <v>6989.4105</v>
          </cell>
          <cell r="Z1941">
            <v>0.35</v>
          </cell>
          <cell r="AA1941">
            <v>4543.1168250000001</v>
          </cell>
          <cell r="AB1941"/>
        </row>
        <row r="1942">
          <cell r="C1942">
            <v>1</v>
          </cell>
          <cell r="D1942">
            <v>1</v>
          </cell>
          <cell r="E1942">
            <v>0</v>
          </cell>
          <cell r="F1942">
            <v>1</v>
          </cell>
          <cell r="H1942">
            <v>0</v>
          </cell>
          <cell r="O1942">
            <v>402542</v>
          </cell>
          <cell r="P1942" t="str">
            <v>2025/104-0025-01</v>
          </cell>
          <cell r="Q1942" t="str">
            <v>EST LLUMINARIA PISO NOVENTA (3W - 300LM) (PRETA)</v>
          </cell>
          <cell r="R1942"/>
          <cell r="S1942"/>
          <cell r="T1942">
            <v>0.26</v>
          </cell>
          <cell r="U1942">
            <v>0.12</v>
          </cell>
          <cell r="V1942">
            <v>1.62</v>
          </cell>
          <cell r="W1942">
            <v>0</v>
          </cell>
          <cell r="X1942" t="str">
            <v>EST LLUMINARIA PISO NOVENTA (3W - 300LM) (PRETA) - 0,26x0,12x1,62H</v>
          </cell>
          <cell r="Y1942">
            <v>9044.4500000000007</v>
          </cell>
          <cell r="Z1942">
            <v>0.35</v>
          </cell>
          <cell r="AA1942">
            <v>5878.8925000000008</v>
          </cell>
          <cell r="AB1942"/>
        </row>
        <row r="1943">
          <cell r="C1943">
            <v>1</v>
          </cell>
          <cell r="D1943">
            <v>0</v>
          </cell>
          <cell r="E1943">
            <v>1</v>
          </cell>
          <cell r="F1943">
            <v>0</v>
          </cell>
          <cell r="H1943">
            <v>1</v>
          </cell>
          <cell r="O1943">
            <v>404587</v>
          </cell>
          <cell r="P1943" t="str">
            <v>2025/154-0027-01</v>
          </cell>
          <cell r="Q1943" t="str">
            <v>EST CHAISE BELLAGIO (ALU C24 | CORD V01)</v>
          </cell>
          <cell r="R1943"/>
          <cell r="S1943"/>
          <cell r="T1943">
            <v>1.7</v>
          </cell>
          <cell r="U1943">
            <v>0.7</v>
          </cell>
          <cell r="V1943">
            <v>0.66</v>
          </cell>
          <cell r="W1943">
            <v>0</v>
          </cell>
          <cell r="X1943" t="str">
            <v>EST CHAISE BELLAGIO (ALU C24 | CORD V01) - 1,7x0,7x0,66H</v>
          </cell>
          <cell r="Y1943">
            <v>14625.32</v>
          </cell>
          <cell r="Z1943">
            <v>0.35</v>
          </cell>
          <cell r="AA1943">
            <v>9506.4580000000005</v>
          </cell>
          <cell r="AB1943"/>
        </row>
        <row r="1944">
          <cell r="C1944">
            <v>1</v>
          </cell>
          <cell r="D1944">
            <v>0</v>
          </cell>
          <cell r="E1944">
            <v>1</v>
          </cell>
          <cell r="F1944">
            <v>0</v>
          </cell>
          <cell r="H1944">
            <v>1</v>
          </cell>
          <cell r="O1944">
            <v>404589</v>
          </cell>
          <cell r="P1944" t="str">
            <v>2025/154-0030-01</v>
          </cell>
          <cell r="Q1944" t="str">
            <v>EST COMPONENTE ALMOFADA CHAISE BELLAGIO TC KEEPSAKE SILVER</v>
          </cell>
          <cell r="R1944"/>
          <cell r="S1944"/>
          <cell r="T1944">
            <v>1.7</v>
          </cell>
          <cell r="U1944">
            <v>0.7</v>
          </cell>
          <cell r="V1944">
            <v>0.05</v>
          </cell>
          <cell r="W1944">
            <v>0</v>
          </cell>
          <cell r="X1944" t="str">
            <v>EST COMPONENTE ALMOFADA CHAISE BELLAGIO TC KEEPSAKE SILVER - 1,7x0,7x0,05H</v>
          </cell>
          <cell r="Y1944">
            <v>8865.7227999999996</v>
          </cell>
          <cell r="Z1944">
            <v>0.35</v>
          </cell>
          <cell r="AA1944">
            <v>5762.7198200000003</v>
          </cell>
          <cell r="AB1944"/>
        </row>
        <row r="1945">
          <cell r="C1945">
            <v>2</v>
          </cell>
          <cell r="D1945">
            <v>2</v>
          </cell>
          <cell r="E1945">
            <v>0</v>
          </cell>
          <cell r="F1945">
            <v>0</v>
          </cell>
          <cell r="H1945">
            <v>0</v>
          </cell>
          <cell r="O1945">
            <v>404592</v>
          </cell>
          <cell r="P1945" t="str">
            <v>2025/154-0039-01</v>
          </cell>
          <cell r="Q1945" t="str">
            <v>EST POLTRONA BELLAGIO (ALU C24 | CORD V01)</v>
          </cell>
          <cell r="R1945"/>
          <cell r="S1945"/>
          <cell r="T1945">
            <v>0.8</v>
          </cell>
          <cell r="U1945">
            <v>0.85</v>
          </cell>
          <cell r="V1945">
            <v>0.72</v>
          </cell>
          <cell r="W1945">
            <v>0</v>
          </cell>
          <cell r="X1945" t="str">
            <v>EST POLTRONA BELLAGIO (ALU C24 | CORD V01) - 0,8x0,85x0,72H</v>
          </cell>
          <cell r="Y1945">
            <v>10458.69</v>
          </cell>
          <cell r="Z1945">
            <v>0.35</v>
          </cell>
          <cell r="AA1945">
            <v>6798.1485000000011</v>
          </cell>
          <cell r="AB1945"/>
        </row>
        <row r="1946">
          <cell r="C1946">
            <v>2</v>
          </cell>
          <cell r="D1946">
            <v>2</v>
          </cell>
          <cell r="E1946">
            <v>0</v>
          </cell>
          <cell r="F1946">
            <v>0</v>
          </cell>
          <cell r="H1946">
            <v>0</v>
          </cell>
          <cell r="O1946">
            <v>404592</v>
          </cell>
          <cell r="P1946" t="str">
            <v>2025/154-0040-01</v>
          </cell>
          <cell r="Q1946" t="str">
            <v>EST POLTRONA BELLAGIO (ALU C24 | CORD V01)</v>
          </cell>
          <cell r="R1946"/>
          <cell r="S1946"/>
          <cell r="T1946">
            <v>0.8</v>
          </cell>
          <cell r="U1946">
            <v>0.85</v>
          </cell>
          <cell r="V1946">
            <v>0.72</v>
          </cell>
          <cell r="W1946">
            <v>0</v>
          </cell>
          <cell r="X1946" t="str">
            <v>EST POLTRONA BELLAGIO (ALU C24 | CORD V01) - 0,8x0,85x0,72H</v>
          </cell>
          <cell r="Y1946">
            <v>10458.69</v>
          </cell>
          <cell r="Z1946">
            <v>0.35</v>
          </cell>
          <cell r="AA1946">
            <v>6798.1485000000011</v>
          </cell>
          <cell r="AB1946"/>
        </row>
        <row r="1947">
          <cell r="C1947">
            <v>2</v>
          </cell>
          <cell r="D1947">
            <v>2</v>
          </cell>
          <cell r="E1947">
            <v>0</v>
          </cell>
          <cell r="F1947">
            <v>0</v>
          </cell>
          <cell r="H1947">
            <v>0</v>
          </cell>
          <cell r="O1947">
            <v>404595</v>
          </cell>
          <cell r="P1947" t="str">
            <v>2025/154-0049-01</v>
          </cell>
          <cell r="Q1947" t="str">
            <v>EST COMPONENTE ALMOFADA POLTRONA BELLAGIO TC KEEPSAKE SILVER</v>
          </cell>
          <cell r="R1947"/>
          <cell r="S1947"/>
          <cell r="T1947">
            <v>0.8</v>
          </cell>
          <cell r="U1947">
            <v>0.85</v>
          </cell>
          <cell r="V1947">
            <v>0.05</v>
          </cell>
          <cell r="W1947">
            <v>0</v>
          </cell>
          <cell r="X1947" t="str">
            <v>EST COMPONENTE ALMOFADA POLTRONA BELLAGIO TC KEEPSAKE SILVER - 0,8x0,85x0,05H</v>
          </cell>
          <cell r="Y1947">
            <v>6064.2404999999999</v>
          </cell>
          <cell r="Z1947">
            <v>0.35</v>
          </cell>
          <cell r="AA1947">
            <v>3941.7563249999998</v>
          </cell>
          <cell r="AB1947"/>
        </row>
        <row r="1948">
          <cell r="C1948">
            <v>2</v>
          </cell>
          <cell r="D1948">
            <v>2</v>
          </cell>
          <cell r="E1948">
            <v>0</v>
          </cell>
          <cell r="F1948">
            <v>0</v>
          </cell>
          <cell r="H1948">
            <v>0</v>
          </cell>
          <cell r="O1948">
            <v>404595</v>
          </cell>
          <cell r="P1948" t="str">
            <v>2025/154-0050-01</v>
          </cell>
          <cell r="Q1948" t="str">
            <v>EST COMPONENTE ALMOFADA POLTRONA BELLAGIO TC KEEPSAKE SILVER</v>
          </cell>
          <cell r="R1948"/>
          <cell r="S1948"/>
          <cell r="T1948">
            <v>0.8</v>
          </cell>
          <cell r="U1948">
            <v>0.85</v>
          </cell>
          <cell r="V1948">
            <v>0.05</v>
          </cell>
          <cell r="W1948">
            <v>0</v>
          </cell>
          <cell r="X1948" t="str">
            <v>EST COMPONENTE ALMOFADA POLTRONA BELLAGIO TC KEEPSAKE SILVER - 0,8x0,85x0,05H</v>
          </cell>
          <cell r="Y1948">
            <v>6064.2404999999999</v>
          </cell>
          <cell r="Z1948">
            <v>0.35</v>
          </cell>
          <cell r="AA1948">
            <v>3941.7563249999998</v>
          </cell>
          <cell r="AB1948"/>
        </row>
        <row r="1949">
          <cell r="C1949">
            <v>1</v>
          </cell>
          <cell r="D1949">
            <v>0</v>
          </cell>
          <cell r="E1949">
            <v>0</v>
          </cell>
          <cell r="F1949">
            <v>0</v>
          </cell>
          <cell r="H1949">
            <v>0</v>
          </cell>
          <cell r="O1949">
            <v>404599</v>
          </cell>
          <cell r="P1949" t="str">
            <v>2025/154-0010-01</v>
          </cell>
          <cell r="Q1949" t="str">
            <v>EST MESA JANTAR BELLAGIO (ALU C29 | CORD V01) C/FURO</v>
          </cell>
          <cell r="R1949"/>
          <cell r="S1949"/>
          <cell r="T1949">
            <v>1.8</v>
          </cell>
          <cell r="U1949">
            <v>0</v>
          </cell>
          <cell r="V1949">
            <v>0.75</v>
          </cell>
          <cell r="W1949">
            <v>1.8</v>
          </cell>
          <cell r="X1949" t="str">
            <v>EST MESA JANTAR BELLAGIO (ALU C29 | CORD V01) C/FURO - Ø1,8x0,75H</v>
          </cell>
          <cell r="Y1949">
            <v>41155.39</v>
          </cell>
          <cell r="Z1949">
            <v>0.35</v>
          </cell>
          <cell r="AA1949">
            <v>26751.003499999999</v>
          </cell>
          <cell r="AB1949"/>
        </row>
        <row r="1950">
          <cell r="C1950">
            <v>1</v>
          </cell>
          <cell r="D1950">
            <v>0</v>
          </cell>
          <cell r="E1950">
            <v>0</v>
          </cell>
          <cell r="F1950">
            <v>0</v>
          </cell>
          <cell r="H1950">
            <v>0</v>
          </cell>
          <cell r="O1950">
            <v>404612</v>
          </cell>
          <cell r="P1950" t="str">
            <v>2025/154-0020-01</v>
          </cell>
          <cell r="Q1950" t="str">
            <v>EST MESA LATERAL BELLAGIO (ALU C29)</v>
          </cell>
          <cell r="R1950"/>
          <cell r="S1950"/>
          <cell r="T1950">
            <v>0.5</v>
          </cell>
          <cell r="U1950">
            <v>0</v>
          </cell>
          <cell r="V1950">
            <v>0.45</v>
          </cell>
          <cell r="W1950">
            <v>0.5</v>
          </cell>
          <cell r="X1950" t="str">
            <v>EST MESA LATERAL BELLAGIO (ALU C29) - Ø0,5x0,45H</v>
          </cell>
          <cell r="Y1950">
            <v>6968.46</v>
          </cell>
          <cell r="Z1950">
            <v>0.35</v>
          </cell>
          <cell r="AA1950">
            <v>4529.4989999999998</v>
          </cell>
          <cell r="AB1950"/>
        </row>
        <row r="1951">
          <cell r="C1951">
            <v>1</v>
          </cell>
          <cell r="D1951">
            <v>0</v>
          </cell>
          <cell r="E1951">
            <v>0</v>
          </cell>
          <cell r="F1951">
            <v>0</v>
          </cell>
          <cell r="H1951">
            <v>0</v>
          </cell>
          <cell r="O1951">
            <v>404613</v>
          </cell>
          <cell r="P1951" t="str">
            <v>2025/154-0021-01</v>
          </cell>
          <cell r="Q1951" t="str">
            <v>EST MESA LATERAL BELLAGIO (FORMICA TS CORDA) (ALU C29)</v>
          </cell>
          <cell r="R1951"/>
          <cell r="S1951"/>
          <cell r="T1951">
            <v>0.5</v>
          </cell>
          <cell r="U1951">
            <v>0</v>
          </cell>
          <cell r="V1951">
            <v>0.45</v>
          </cell>
          <cell r="W1951">
            <v>0.5</v>
          </cell>
          <cell r="X1951" t="str">
            <v>EST MESA LATERAL BELLAGIO (FORMICA TS CORDA) (ALU C29) - Ø0,5x0,45H</v>
          </cell>
          <cell r="Y1951">
            <v>13365.45</v>
          </cell>
          <cell r="Z1951">
            <v>0.35</v>
          </cell>
          <cell r="AA1951">
            <v>8687.5424999999996</v>
          </cell>
          <cell r="AB1951"/>
        </row>
        <row r="1952">
          <cell r="C1952">
            <v>1</v>
          </cell>
          <cell r="D1952">
            <v>0</v>
          </cell>
          <cell r="E1952">
            <v>0</v>
          </cell>
          <cell r="F1952">
            <v>0</v>
          </cell>
          <cell r="H1952">
            <v>0</v>
          </cell>
          <cell r="O1952">
            <v>404615</v>
          </cell>
          <cell r="P1952" t="str">
            <v>2025/154-0023-01</v>
          </cell>
          <cell r="Q1952" t="str">
            <v>EST APARADOR BELLAGIO (FORMICA TS CORDA) (ALU C29)</v>
          </cell>
          <cell r="R1952"/>
          <cell r="S1952"/>
          <cell r="T1952">
            <v>1.6</v>
          </cell>
          <cell r="U1952">
            <v>0.45</v>
          </cell>
          <cell r="V1952">
            <v>0.75</v>
          </cell>
          <cell r="W1952">
            <v>0</v>
          </cell>
          <cell r="X1952" t="str">
            <v>EST APARADOR BELLAGIO (FORMICA TS CORDA) (ALU C29) - 1,6x0,45x0,75H</v>
          </cell>
          <cell r="Y1952">
            <v>25372.79</v>
          </cell>
          <cell r="Z1952">
            <v>0.35</v>
          </cell>
          <cell r="AA1952">
            <v>16492.313500000004</v>
          </cell>
          <cell r="AB1952"/>
        </row>
        <row r="1953">
          <cell r="C1953">
            <v>6</v>
          </cell>
          <cell r="D1953">
            <v>0</v>
          </cell>
          <cell r="E1953">
            <v>0</v>
          </cell>
          <cell r="F1953">
            <v>0</v>
          </cell>
          <cell r="H1953">
            <v>0</v>
          </cell>
          <cell r="O1953">
            <v>404889</v>
          </cell>
          <cell r="P1953" t="str">
            <v>2025/154-0070-01</v>
          </cell>
          <cell r="Q1953" t="str">
            <v>EST CADEIRA BELLAGIO (ALU C29 | CORD V01) TC KEEPSAKE SILVER</v>
          </cell>
          <cell r="R1953"/>
          <cell r="S1953"/>
          <cell r="T1953">
            <v>0.61</v>
          </cell>
          <cell r="U1953">
            <v>0.6</v>
          </cell>
          <cell r="V1953">
            <v>0.76</v>
          </cell>
          <cell r="W1953">
            <v>0</v>
          </cell>
          <cell r="X1953" t="str">
            <v>EST CADEIRA BELLAGIO (ALU C29 | CORD V01) TC KEEPSAKE SILVER - 0,61x0,6x0,76H</v>
          </cell>
          <cell r="Y1953">
            <v>9386.0164000000004</v>
          </cell>
          <cell r="Z1953">
            <v>0.35</v>
          </cell>
          <cell r="AA1953">
            <v>6100.9106600000005</v>
          </cell>
          <cell r="AB1953"/>
        </row>
        <row r="1954">
          <cell r="C1954">
            <v>6</v>
          </cell>
          <cell r="D1954">
            <v>0</v>
          </cell>
          <cell r="E1954">
            <v>0</v>
          </cell>
          <cell r="F1954">
            <v>0</v>
          </cell>
          <cell r="H1954">
            <v>0</v>
          </cell>
          <cell r="O1954">
            <v>404889</v>
          </cell>
          <cell r="P1954" t="str">
            <v>2025/154-0071-01</v>
          </cell>
          <cell r="Q1954" t="str">
            <v>EST CADEIRA BELLAGIO (ALU C29 | CORD V01) TC KEEPSAKE SILVER</v>
          </cell>
          <cell r="R1954"/>
          <cell r="S1954"/>
          <cell r="T1954">
            <v>0.61</v>
          </cell>
          <cell r="U1954">
            <v>0.6</v>
          </cell>
          <cell r="V1954">
            <v>0.76</v>
          </cell>
          <cell r="W1954">
            <v>0</v>
          </cell>
          <cell r="X1954" t="str">
            <v>EST CADEIRA BELLAGIO (ALU C29 | CORD V01) TC KEEPSAKE SILVER - 0,61x0,6x0,76H</v>
          </cell>
          <cell r="Y1954">
            <v>9386.0164000000004</v>
          </cell>
          <cell r="Z1954">
            <v>0.35</v>
          </cell>
          <cell r="AA1954">
            <v>6100.9106600000005</v>
          </cell>
          <cell r="AB1954"/>
        </row>
        <row r="1955">
          <cell r="C1955">
            <v>6</v>
          </cell>
          <cell r="D1955">
            <v>0</v>
          </cell>
          <cell r="E1955">
            <v>0</v>
          </cell>
          <cell r="F1955">
            <v>0</v>
          </cell>
          <cell r="H1955">
            <v>0</v>
          </cell>
          <cell r="O1955">
            <v>404889</v>
          </cell>
          <cell r="P1955" t="str">
            <v>2025/154-0072-01</v>
          </cell>
          <cell r="Q1955" t="str">
            <v>EST CADEIRA BELLAGIO (ALU C29 | CORD V01) TC KEEPSAKE SILVER</v>
          </cell>
          <cell r="R1955"/>
          <cell r="S1955"/>
          <cell r="T1955">
            <v>0.61</v>
          </cell>
          <cell r="U1955">
            <v>0.6</v>
          </cell>
          <cell r="V1955">
            <v>0.76</v>
          </cell>
          <cell r="W1955">
            <v>0</v>
          </cell>
          <cell r="X1955" t="str">
            <v>EST CADEIRA BELLAGIO (ALU C29 | CORD V01) TC KEEPSAKE SILVER - 0,61x0,6x0,76H</v>
          </cell>
          <cell r="Y1955">
            <v>9386.0164000000004</v>
          </cell>
          <cell r="Z1955">
            <v>0.35</v>
          </cell>
          <cell r="AA1955">
            <v>6100.9106600000005</v>
          </cell>
          <cell r="AB1955"/>
        </row>
        <row r="1956">
          <cell r="C1956">
            <v>6</v>
          </cell>
          <cell r="D1956">
            <v>0</v>
          </cell>
          <cell r="E1956">
            <v>0</v>
          </cell>
          <cell r="F1956">
            <v>0</v>
          </cell>
          <cell r="H1956">
            <v>0</v>
          </cell>
          <cell r="O1956">
            <v>404889</v>
          </cell>
          <cell r="P1956" t="str">
            <v>2025/154-0073-01</v>
          </cell>
          <cell r="Q1956" t="str">
            <v>EST CADEIRA BELLAGIO (ALU C29 | CORD V01) TC KEEPSAKE SILVER</v>
          </cell>
          <cell r="R1956"/>
          <cell r="S1956"/>
          <cell r="T1956">
            <v>0.61</v>
          </cell>
          <cell r="U1956">
            <v>0.6</v>
          </cell>
          <cell r="V1956">
            <v>0.76</v>
          </cell>
          <cell r="W1956">
            <v>0</v>
          </cell>
          <cell r="X1956" t="str">
            <v>EST CADEIRA BELLAGIO (ALU C29 | CORD V01) TC KEEPSAKE SILVER - 0,61x0,6x0,76H</v>
          </cell>
          <cell r="Y1956">
            <v>9386.0164000000004</v>
          </cell>
          <cell r="Z1956">
            <v>0.35</v>
          </cell>
          <cell r="AA1956">
            <v>6100.9106600000005</v>
          </cell>
          <cell r="AB1956"/>
        </row>
        <row r="1957">
          <cell r="C1957">
            <v>6</v>
          </cell>
          <cell r="D1957">
            <v>0</v>
          </cell>
          <cell r="E1957">
            <v>0</v>
          </cell>
          <cell r="F1957">
            <v>0</v>
          </cell>
          <cell r="H1957">
            <v>0</v>
          </cell>
          <cell r="O1957">
            <v>404889</v>
          </cell>
          <cell r="P1957" t="str">
            <v>2025/154-0074-01</v>
          </cell>
          <cell r="Q1957" t="str">
            <v>EST CADEIRA BELLAGIO (ALU C29 | CORD V01) TC KEEPSAKE SILVER</v>
          </cell>
          <cell r="R1957"/>
          <cell r="S1957"/>
          <cell r="T1957">
            <v>0.61</v>
          </cell>
          <cell r="U1957">
            <v>0.6</v>
          </cell>
          <cell r="V1957">
            <v>0.76</v>
          </cell>
          <cell r="W1957">
            <v>0</v>
          </cell>
          <cell r="X1957" t="str">
            <v>EST CADEIRA BELLAGIO (ALU C29 | CORD V01) TC KEEPSAKE SILVER - 0,61x0,6x0,76H</v>
          </cell>
          <cell r="Y1957">
            <v>9386.0164000000004</v>
          </cell>
          <cell r="Z1957">
            <v>0.35</v>
          </cell>
          <cell r="AA1957">
            <v>6100.9106600000005</v>
          </cell>
          <cell r="AB1957"/>
        </row>
        <row r="1958">
          <cell r="C1958">
            <v>6</v>
          </cell>
          <cell r="D1958">
            <v>0</v>
          </cell>
          <cell r="E1958">
            <v>0</v>
          </cell>
          <cell r="F1958">
            <v>0</v>
          </cell>
          <cell r="H1958">
            <v>0</v>
          </cell>
          <cell r="O1958">
            <v>404889</v>
          </cell>
          <cell r="P1958" t="str">
            <v>2025/154-0075-01</v>
          </cell>
          <cell r="Q1958" t="str">
            <v>EST CADEIRA BELLAGIO (ALU C29 | CORD V01) TC KEEPSAKE SILVER</v>
          </cell>
          <cell r="R1958"/>
          <cell r="S1958"/>
          <cell r="T1958">
            <v>0.61</v>
          </cell>
          <cell r="U1958">
            <v>0.6</v>
          </cell>
          <cell r="V1958">
            <v>0.76</v>
          </cell>
          <cell r="W1958">
            <v>0</v>
          </cell>
          <cell r="X1958" t="str">
            <v>EST CADEIRA BELLAGIO (ALU C29 | CORD V01) TC KEEPSAKE SILVER - 0,61x0,6x0,76H</v>
          </cell>
          <cell r="Y1958">
            <v>9386.0164000000004</v>
          </cell>
          <cell r="Z1958">
            <v>0.35</v>
          </cell>
          <cell r="AA1958">
            <v>6100.9106600000005</v>
          </cell>
          <cell r="AB1958"/>
        </row>
        <row r="1959">
          <cell r="C1959">
            <v>1</v>
          </cell>
          <cell r="D1959">
            <v>1</v>
          </cell>
          <cell r="E1959">
            <v>0</v>
          </cell>
          <cell r="F1959">
            <v>0</v>
          </cell>
          <cell r="H1959">
            <v>0</v>
          </cell>
          <cell r="O1959">
            <v>405105</v>
          </cell>
          <cell r="P1959" t="str">
            <v>2025/213-0049-01</v>
          </cell>
          <cell r="Q1959" t="str">
            <v>EST POLTRONA FLORIPA (MTX BROWN) COURO CH05</v>
          </cell>
          <cell r="R1959"/>
          <cell r="S1959"/>
          <cell r="T1959">
            <v>0.71</v>
          </cell>
          <cell r="U1959">
            <v>0.84</v>
          </cell>
          <cell r="V1959">
            <v>0.89</v>
          </cell>
          <cell r="W1959">
            <v>0</v>
          </cell>
          <cell r="X1959" t="str">
            <v>EST POLTRONA FLORIPA (MTX BROWN) COURO CH05 - 0,71x0,84x0,89H</v>
          </cell>
          <cell r="Y1959">
            <v>19442.66</v>
          </cell>
          <cell r="Z1959">
            <v>0.35</v>
          </cell>
          <cell r="AA1959">
            <v>12637.728999999999</v>
          </cell>
          <cell r="AB1959"/>
        </row>
        <row r="1960">
          <cell r="C1960">
            <v>1</v>
          </cell>
          <cell r="D1960">
            <v>1</v>
          </cell>
          <cell r="E1960">
            <v>0</v>
          </cell>
          <cell r="F1960">
            <v>0</v>
          </cell>
          <cell r="H1960">
            <v>0</v>
          </cell>
          <cell r="O1960">
            <v>405106</v>
          </cell>
          <cell r="P1960" t="str">
            <v>2025/213-0051-01</v>
          </cell>
          <cell r="Q1960" t="str">
            <v>EST BANQUETA FLORIPA (MTX BROWN) COURO CH05</v>
          </cell>
          <cell r="R1960"/>
          <cell r="S1960"/>
          <cell r="T1960">
            <v>0.6</v>
          </cell>
          <cell r="U1960">
            <v>0.6</v>
          </cell>
          <cell r="V1960">
            <v>0.4</v>
          </cell>
          <cell r="W1960">
            <v>0</v>
          </cell>
          <cell r="X1960" t="str">
            <v>EST BANQUETA FLORIPA (MTX BROWN) COURO CH05 - 0,6x0,6x0,4H</v>
          </cell>
          <cell r="Y1960">
            <v>12491.54</v>
          </cell>
          <cell r="Z1960">
            <v>0.35</v>
          </cell>
          <cell r="AA1960">
            <v>8119.5010000000011</v>
          </cell>
          <cell r="AB1960"/>
        </row>
        <row r="1961">
          <cell r="C1961">
            <v>1</v>
          </cell>
          <cell r="D1961">
            <v>0</v>
          </cell>
          <cell r="E1961">
            <v>0</v>
          </cell>
          <cell r="F1961">
            <v>0</v>
          </cell>
          <cell r="H1961">
            <v>0</v>
          </cell>
          <cell r="O1961">
            <v>405889</v>
          </cell>
          <cell r="P1961" t="str">
            <v>2025/189-0003-01</v>
          </cell>
          <cell r="Q1961" t="str">
            <v>EST MESA CENTRO SOLEIL (MARMORE TRAVERTINO) (LAMINA ITALIAN)</v>
          </cell>
          <cell r="R1961"/>
          <cell r="S1961"/>
          <cell r="T1961">
            <v>1.5</v>
          </cell>
          <cell r="U1961">
            <v>1.2</v>
          </cell>
          <cell r="V1961">
            <v>0.3</v>
          </cell>
          <cell r="W1961">
            <v>0</v>
          </cell>
          <cell r="X1961" t="str">
            <v>EST MESA CENTRO SOLEIL (MARMORE TRAVERTINO) (LAMINA ITALIAN) - 1,5x1,2x0,3H</v>
          </cell>
          <cell r="Y1961">
            <v>55095.31</v>
          </cell>
          <cell r="Z1961">
            <v>0.35</v>
          </cell>
          <cell r="AA1961">
            <v>35811.951499999996</v>
          </cell>
          <cell r="AB1961"/>
        </row>
        <row r="1962">
          <cell r="C1962">
            <v>1</v>
          </cell>
          <cell r="D1962">
            <v>0</v>
          </cell>
          <cell r="E1962">
            <v>0</v>
          </cell>
          <cell r="F1962">
            <v>0</v>
          </cell>
          <cell r="H1962">
            <v>0</v>
          </cell>
          <cell r="O1962">
            <v>409779</v>
          </cell>
          <cell r="P1962" t="str">
            <v>2025/237-0017-01</v>
          </cell>
          <cell r="Q1962" t="str">
            <v>EST SOFA ELLUS (CARVALHO) FX E5001</v>
          </cell>
          <cell r="R1962"/>
          <cell r="S1962"/>
          <cell r="T1962">
            <v>2.8</v>
          </cell>
          <cell r="U1962">
            <v>1</v>
          </cell>
          <cell r="V1962">
            <v>0.82</v>
          </cell>
          <cell r="W1962">
            <v>0</v>
          </cell>
          <cell r="X1962" t="str">
            <v>EST SOFA ELLUS (CARVALHO) FX E5001 - 2,8x1x0,82H</v>
          </cell>
          <cell r="Y1962">
            <v>25148.35</v>
          </cell>
          <cell r="Z1962">
            <v>0.35</v>
          </cell>
          <cell r="AA1962">
            <v>16346.4275</v>
          </cell>
          <cell r="AB1962"/>
        </row>
        <row r="1963">
          <cell r="C1963">
            <v>2</v>
          </cell>
          <cell r="D1963">
            <v>0</v>
          </cell>
          <cell r="E1963">
            <v>2</v>
          </cell>
          <cell r="F1963">
            <v>0</v>
          </cell>
          <cell r="H1963">
            <v>0</v>
          </cell>
          <cell r="O1963">
            <v>409983</v>
          </cell>
          <cell r="P1963" t="str">
            <v>2025/261-0026-01</v>
          </cell>
          <cell r="Q1963" t="str">
            <v>EST MESA LATERAL PIN (NATURE MATT) (DET PINT CORTEN)</v>
          </cell>
          <cell r="R1963"/>
          <cell r="S1963"/>
          <cell r="T1963">
            <v>0.35</v>
          </cell>
          <cell r="U1963">
            <v>0</v>
          </cell>
          <cell r="V1963">
            <v>0.52</v>
          </cell>
          <cell r="W1963">
            <v>0.35</v>
          </cell>
          <cell r="X1963" t="str">
            <v>EST MESA LATERAL PIN (NATURE MATT) (DET PINT CORTEN) - Ø0,35x0,52H</v>
          </cell>
          <cell r="Y1963">
            <v>5384.51</v>
          </cell>
          <cell r="Z1963">
            <v>0.35</v>
          </cell>
          <cell r="AA1963">
            <v>3499.9315000000006</v>
          </cell>
          <cell r="AB1963"/>
        </row>
        <row r="1964">
          <cell r="C1964">
            <v>2</v>
          </cell>
          <cell r="D1964">
            <v>0</v>
          </cell>
          <cell r="E1964">
            <v>2</v>
          </cell>
          <cell r="F1964">
            <v>0</v>
          </cell>
          <cell r="H1964">
            <v>0</v>
          </cell>
          <cell r="O1964">
            <v>409983</v>
          </cell>
          <cell r="P1964" t="str">
            <v>2025/261-0028-01</v>
          </cell>
          <cell r="Q1964" t="str">
            <v>EST MESA LATERAL PIN (NATURE MATT) (DET PINT CORTEN)</v>
          </cell>
          <cell r="R1964"/>
          <cell r="S1964"/>
          <cell r="T1964">
            <v>0.35</v>
          </cell>
          <cell r="U1964">
            <v>0</v>
          </cell>
          <cell r="V1964">
            <v>0.52</v>
          </cell>
          <cell r="W1964">
            <v>0.35</v>
          </cell>
          <cell r="X1964" t="str">
            <v>EST MESA LATERAL PIN (NATURE MATT) (DET PINT CORTEN) - Ø0,35x0,52H</v>
          </cell>
          <cell r="Y1964">
            <v>5384.51</v>
          </cell>
          <cell r="Z1964">
            <v>0.35</v>
          </cell>
          <cell r="AA1964">
            <v>3499.9315000000006</v>
          </cell>
          <cell r="AB1964"/>
        </row>
        <row r="1965">
          <cell r="C1965">
            <v>0</v>
          </cell>
          <cell r="D1965">
            <v>0</v>
          </cell>
          <cell r="E1965">
            <v>1</v>
          </cell>
          <cell r="F1965">
            <v>1</v>
          </cell>
          <cell r="H1965">
            <v>0</v>
          </cell>
          <cell r="O1965">
            <v>270545</v>
          </cell>
          <cell r="P1965" t="str">
            <v>2021/007-0073-01</v>
          </cell>
          <cell r="Q1965" t="str">
            <v>EST CADEIRA MEG C/BRACO (MARFIM NOCCE) (FX A1018)</v>
          </cell>
          <cell r="R1965"/>
          <cell r="S1965"/>
          <cell r="T1965">
            <v>0.63</v>
          </cell>
          <cell r="U1965">
            <v>0.63</v>
          </cell>
          <cell r="V1965">
            <v>0.81</v>
          </cell>
          <cell r="W1965">
            <v>0</v>
          </cell>
          <cell r="X1965" t="str">
            <v>EST CADEIRA MEG C/BRACO (MARFIM NOCCE) (FX A1018) - 0,63x0,63x0,81H</v>
          </cell>
          <cell r="Y1965">
            <v>3848.28</v>
          </cell>
          <cell r="Z1965">
            <v>0.5</v>
          </cell>
          <cell r="AA1965">
            <v>1924.14</v>
          </cell>
          <cell r="AB1965"/>
        </row>
        <row r="1966">
          <cell r="C1966">
            <v>6</v>
          </cell>
          <cell r="D1966">
            <v>0</v>
          </cell>
          <cell r="E1966">
            <v>1</v>
          </cell>
          <cell r="F1966">
            <v>1</v>
          </cell>
          <cell r="H1966">
            <v>0</v>
          </cell>
          <cell r="O1966">
            <v>378829</v>
          </cell>
          <cell r="P1966" t="str">
            <v>2024/065-0029-01</v>
          </cell>
          <cell r="Q1966" t="str">
            <v>EST CADEIRA DYLAN III (CINAMOMO AMENDOA NOCE) COURO CH 32</v>
          </cell>
          <cell r="R1966"/>
          <cell r="S1966"/>
          <cell r="T1966">
            <v>0.5</v>
          </cell>
          <cell r="U1966">
            <v>0.57999999999999996</v>
          </cell>
          <cell r="V1966">
            <v>0.8</v>
          </cell>
          <cell r="W1966">
            <v>0</v>
          </cell>
          <cell r="X1966" t="str">
            <v>EST CADEIRA DYLAN III (CINAMOMO AMENDOA NOCE) COURO CH 32 - 0,5x0,58x0,8H</v>
          </cell>
          <cell r="Y1966">
            <v>4387.8899999999994</v>
          </cell>
          <cell r="Z1966">
            <v>0.35</v>
          </cell>
          <cell r="AA1966">
            <v>2852.1284999999998</v>
          </cell>
          <cell r="AB1966"/>
        </row>
        <row r="1967">
          <cell r="C1967">
            <v>0</v>
          </cell>
          <cell r="D1967">
            <v>0</v>
          </cell>
          <cell r="E1967">
            <v>1</v>
          </cell>
          <cell r="F1967">
            <v>1</v>
          </cell>
          <cell r="H1967">
            <v>0</v>
          </cell>
          <cell r="O1967">
            <v>270545</v>
          </cell>
          <cell r="P1967" t="str">
            <v>2021/007-0072-01</v>
          </cell>
          <cell r="Q1967" t="str">
            <v>EST CADEIRA MEG C/BRACO (MARFIM NOCCE) (FX A1018)</v>
          </cell>
          <cell r="R1967"/>
          <cell r="S1967"/>
          <cell r="T1967">
            <v>0.63</v>
          </cell>
          <cell r="U1967">
            <v>0.63</v>
          </cell>
          <cell r="V1967">
            <v>0.81</v>
          </cell>
          <cell r="W1967">
            <v>0</v>
          </cell>
          <cell r="X1967" t="str">
            <v>EST CADEIRA MEG C/BRACO (MARFIM NOCCE) (FX A1018) - 0,63x0,63x0,81H</v>
          </cell>
          <cell r="Y1967">
            <v>3848.28</v>
          </cell>
          <cell r="Z1967">
            <v>0.5</v>
          </cell>
          <cell r="AA1967">
            <v>1924.14</v>
          </cell>
          <cell r="AB1967"/>
        </row>
        <row r="1968">
          <cell r="C1968">
            <v>0</v>
          </cell>
          <cell r="D1968">
            <v>8</v>
          </cell>
          <cell r="E1968">
            <v>0</v>
          </cell>
          <cell r="F1968">
            <v>0</v>
          </cell>
          <cell r="H1968">
            <v>0</v>
          </cell>
          <cell r="O1968">
            <v>378831</v>
          </cell>
          <cell r="P1968" t="str">
            <v>2024/065-0030-01</v>
          </cell>
          <cell r="Q1968" t="str">
            <v>EST CADEIRA MEG (CINAMOMO AMENDOA CLARO) COURO CH 05</v>
          </cell>
          <cell r="R1968"/>
          <cell r="S1968"/>
          <cell r="T1968">
            <v>0.59</v>
          </cell>
          <cell r="U1968">
            <v>0.59</v>
          </cell>
          <cell r="V1968">
            <v>0.81</v>
          </cell>
          <cell r="W1968">
            <v>0</v>
          </cell>
          <cell r="X1968" t="str">
            <v>EST CADEIRA MEG (CINAMOMO AMENDOA CLARO) COURO CH 05 - 0,59x0,59x0,81H</v>
          </cell>
          <cell r="Y1968">
            <v>5562.6399999999994</v>
          </cell>
          <cell r="Z1968">
            <v>0.35</v>
          </cell>
          <cell r="AA1968">
            <v>3615.7159999999994</v>
          </cell>
          <cell r="AB1968"/>
        </row>
        <row r="1969">
          <cell r="C1969">
            <v>0</v>
          </cell>
          <cell r="D1969">
            <v>8</v>
          </cell>
          <cell r="E1969">
            <v>0</v>
          </cell>
          <cell r="F1969">
            <v>0</v>
          </cell>
          <cell r="H1969">
            <v>0</v>
          </cell>
          <cell r="O1969">
            <v>378831</v>
          </cell>
          <cell r="P1969" t="str">
            <v>2024/065-0031-01</v>
          </cell>
          <cell r="Q1969" t="str">
            <v>EST CADEIRA MEG (CINAMOMO AMENDOA CLARO) COURO CH 05</v>
          </cell>
          <cell r="R1969"/>
          <cell r="S1969"/>
          <cell r="T1969">
            <v>0.59</v>
          </cell>
          <cell r="U1969">
            <v>0.59</v>
          </cell>
          <cell r="V1969">
            <v>0.81</v>
          </cell>
          <cell r="W1969">
            <v>0</v>
          </cell>
          <cell r="X1969" t="str">
            <v>EST CADEIRA MEG (CINAMOMO AMENDOA CLARO) COURO CH 05 - 0,59x0,59x0,81H</v>
          </cell>
          <cell r="Y1969">
            <v>5562.6399999999994</v>
          </cell>
          <cell r="Z1969">
            <v>0.35</v>
          </cell>
          <cell r="AA1969">
            <v>3615.7159999999994</v>
          </cell>
          <cell r="AB1969"/>
        </row>
        <row r="1970">
          <cell r="C1970">
            <v>0</v>
          </cell>
          <cell r="D1970">
            <v>8</v>
          </cell>
          <cell r="E1970">
            <v>0</v>
          </cell>
          <cell r="F1970">
            <v>0</v>
          </cell>
          <cell r="H1970">
            <v>0</v>
          </cell>
          <cell r="O1970">
            <v>378831</v>
          </cell>
          <cell r="P1970" t="str">
            <v>2024/065-0032-01</v>
          </cell>
          <cell r="Q1970" t="str">
            <v>EST CADEIRA MEG (CINAMOMO AMENDOA CLARO) COURO CH 05</v>
          </cell>
          <cell r="R1970"/>
          <cell r="S1970"/>
          <cell r="T1970">
            <v>0.59</v>
          </cell>
          <cell r="U1970">
            <v>0.59</v>
          </cell>
          <cell r="V1970">
            <v>0.81</v>
          </cell>
          <cell r="W1970">
            <v>0</v>
          </cell>
          <cell r="X1970" t="str">
            <v>EST CADEIRA MEG (CINAMOMO AMENDOA CLARO) COURO CH 05 - 0,59x0,59x0,81H</v>
          </cell>
          <cell r="Y1970">
            <v>5562.6399999999994</v>
          </cell>
          <cell r="Z1970">
            <v>0.35</v>
          </cell>
          <cell r="AA1970">
            <v>3615.7159999999994</v>
          </cell>
          <cell r="AB1970"/>
        </row>
        <row r="1971">
          <cell r="C1971">
            <v>0</v>
          </cell>
          <cell r="D1971">
            <v>8</v>
          </cell>
          <cell r="E1971">
            <v>0</v>
          </cell>
          <cell r="F1971">
            <v>0</v>
          </cell>
          <cell r="H1971">
            <v>0</v>
          </cell>
          <cell r="O1971">
            <v>378831</v>
          </cell>
          <cell r="P1971" t="str">
            <v>2024/065-0033-01</v>
          </cell>
          <cell r="Q1971" t="str">
            <v>EST CADEIRA MEG (CINAMOMO AMENDOA CLARO) COURO CH 05</v>
          </cell>
          <cell r="R1971"/>
          <cell r="S1971"/>
          <cell r="T1971">
            <v>0.59</v>
          </cell>
          <cell r="U1971">
            <v>0.59</v>
          </cell>
          <cell r="V1971">
            <v>0.81</v>
          </cell>
          <cell r="W1971">
            <v>0</v>
          </cell>
          <cell r="X1971" t="str">
            <v>EST CADEIRA MEG (CINAMOMO AMENDOA CLARO) COURO CH 05 - 0,59x0,59x0,81H</v>
          </cell>
          <cell r="Y1971">
            <v>5562.6399999999994</v>
          </cell>
          <cell r="Z1971">
            <v>0.35</v>
          </cell>
          <cell r="AA1971">
            <v>3615.7159999999994</v>
          </cell>
          <cell r="AB1971"/>
        </row>
        <row r="1972">
          <cell r="C1972">
            <v>0</v>
          </cell>
          <cell r="D1972">
            <v>8</v>
          </cell>
          <cell r="E1972">
            <v>0</v>
          </cell>
          <cell r="F1972">
            <v>0</v>
          </cell>
          <cell r="H1972">
            <v>0</v>
          </cell>
          <cell r="O1972">
            <v>378831</v>
          </cell>
          <cell r="P1972" t="str">
            <v>2024/065-0034-01</v>
          </cell>
          <cell r="Q1972" t="str">
            <v>EST CADEIRA MEG (CINAMOMO AMENDOA CLARO) COURO CH 05</v>
          </cell>
          <cell r="R1972"/>
          <cell r="S1972"/>
          <cell r="T1972">
            <v>0.59</v>
          </cell>
          <cell r="U1972">
            <v>0.59</v>
          </cell>
          <cell r="V1972">
            <v>0.81</v>
          </cell>
          <cell r="W1972">
            <v>0</v>
          </cell>
          <cell r="X1972" t="str">
            <v>EST CADEIRA MEG (CINAMOMO AMENDOA CLARO) COURO CH 05 - 0,59x0,59x0,81H</v>
          </cell>
          <cell r="Y1972">
            <v>5562.6399999999994</v>
          </cell>
          <cell r="Z1972">
            <v>0.35</v>
          </cell>
          <cell r="AA1972">
            <v>3615.7159999999994</v>
          </cell>
          <cell r="AB1972"/>
        </row>
        <row r="1973">
          <cell r="C1973">
            <v>0</v>
          </cell>
          <cell r="D1973">
            <v>8</v>
          </cell>
          <cell r="E1973">
            <v>0</v>
          </cell>
          <cell r="F1973">
            <v>0</v>
          </cell>
          <cell r="H1973">
            <v>0</v>
          </cell>
          <cell r="O1973">
            <v>378831</v>
          </cell>
          <cell r="P1973" t="str">
            <v>2024/065-0035-01</v>
          </cell>
          <cell r="Q1973" t="str">
            <v>EST CADEIRA MEG (CINAMOMO AMENDOA CLARO) COURO CH 05</v>
          </cell>
          <cell r="R1973"/>
          <cell r="S1973"/>
          <cell r="T1973">
            <v>0.59</v>
          </cell>
          <cell r="U1973">
            <v>0.59</v>
          </cell>
          <cell r="V1973">
            <v>0.81</v>
          </cell>
          <cell r="W1973">
            <v>0</v>
          </cell>
          <cell r="X1973" t="str">
            <v>EST CADEIRA MEG (CINAMOMO AMENDOA CLARO) COURO CH 05 - 0,59x0,59x0,81H</v>
          </cell>
          <cell r="Y1973">
            <v>5562.6399999999994</v>
          </cell>
          <cell r="Z1973">
            <v>0.35</v>
          </cell>
          <cell r="AA1973">
            <v>3615.7159999999994</v>
          </cell>
          <cell r="AB1973"/>
        </row>
        <row r="1974">
          <cell r="C1974">
            <v>0</v>
          </cell>
          <cell r="D1974">
            <v>8</v>
          </cell>
          <cell r="E1974">
            <v>0</v>
          </cell>
          <cell r="F1974">
            <v>0</v>
          </cell>
          <cell r="H1974">
            <v>0</v>
          </cell>
          <cell r="O1974">
            <v>378831</v>
          </cell>
          <cell r="P1974" t="str">
            <v>2024/065-0036-01</v>
          </cell>
          <cell r="Q1974" t="str">
            <v>EST CADEIRA MEG (CINAMOMO AMENDOA CLARO) COURO CH 05</v>
          </cell>
          <cell r="R1974"/>
          <cell r="S1974"/>
          <cell r="T1974">
            <v>0.59</v>
          </cell>
          <cell r="U1974">
            <v>0.59</v>
          </cell>
          <cell r="V1974">
            <v>0.81</v>
          </cell>
          <cell r="W1974">
            <v>0</v>
          </cell>
          <cell r="X1974" t="str">
            <v>EST CADEIRA MEG (CINAMOMO AMENDOA CLARO) COURO CH 05 - 0,59x0,59x0,81H</v>
          </cell>
          <cell r="Y1974">
            <v>5562.6399999999994</v>
          </cell>
          <cell r="Z1974">
            <v>0.35</v>
          </cell>
          <cell r="AA1974">
            <v>3615.7159999999994</v>
          </cell>
          <cell r="AB1974"/>
        </row>
        <row r="1975">
          <cell r="C1975">
            <v>0</v>
          </cell>
          <cell r="D1975">
            <v>8</v>
          </cell>
          <cell r="E1975">
            <v>0</v>
          </cell>
          <cell r="F1975">
            <v>0</v>
          </cell>
          <cell r="H1975">
            <v>0</v>
          </cell>
          <cell r="O1975">
            <v>378831</v>
          </cell>
          <cell r="P1975" t="str">
            <v>2024/065-0037-01</v>
          </cell>
          <cell r="Q1975" t="str">
            <v>EST CADEIRA MEG (CINAMOMO AMENDOA CLARO) COURO CH 05</v>
          </cell>
          <cell r="R1975"/>
          <cell r="S1975"/>
          <cell r="T1975">
            <v>0.59</v>
          </cell>
          <cell r="U1975">
            <v>0.59</v>
          </cell>
          <cell r="V1975">
            <v>0.81</v>
          </cell>
          <cell r="W1975">
            <v>0</v>
          </cell>
          <cell r="X1975" t="str">
            <v>EST CADEIRA MEG (CINAMOMO AMENDOA CLARO) COURO CH 05 - 0,59x0,59x0,81H</v>
          </cell>
          <cell r="Y1975">
            <v>5562.6399999999994</v>
          </cell>
          <cell r="Z1975">
            <v>0.35</v>
          </cell>
          <cell r="AA1975">
            <v>3615.7159999999994</v>
          </cell>
          <cell r="AB1975"/>
        </row>
        <row r="1976">
          <cell r="C1976">
            <v>0</v>
          </cell>
          <cell r="D1976">
            <v>8</v>
          </cell>
          <cell r="E1976">
            <v>0</v>
          </cell>
          <cell r="F1976">
            <v>0</v>
          </cell>
          <cell r="H1976">
            <v>0</v>
          </cell>
          <cell r="O1976">
            <v>378832</v>
          </cell>
          <cell r="P1976" t="str">
            <v>2024/065-0038-01</v>
          </cell>
          <cell r="Q1976" t="str">
            <v>EST CADEIRA DYLAN III (CINAMOMO AMENDOA ESCURO) (FX B2002)</v>
          </cell>
          <cell r="R1976"/>
          <cell r="S1976"/>
          <cell r="T1976">
            <v>0.5</v>
          </cell>
          <cell r="U1976">
            <v>0.57999999999999996</v>
          </cell>
          <cell r="V1976">
            <v>0.8</v>
          </cell>
          <cell r="W1976">
            <v>0</v>
          </cell>
          <cell r="X1976" t="str">
            <v>EST CADEIRA DYLAN III (CINAMOMO AMENDOA ESCURO) (FX B2002) - 0,5x0,58x0,8H</v>
          </cell>
          <cell r="Y1976">
            <v>3185.37</v>
          </cell>
          <cell r="Z1976">
            <v>0.35</v>
          </cell>
          <cell r="AA1976">
            <v>2070.4904999999999</v>
          </cell>
          <cell r="AB1976"/>
        </row>
        <row r="1977">
          <cell r="C1977">
            <v>0</v>
          </cell>
          <cell r="D1977">
            <v>8</v>
          </cell>
          <cell r="E1977">
            <v>0</v>
          </cell>
          <cell r="F1977">
            <v>0</v>
          </cell>
          <cell r="H1977">
            <v>0</v>
          </cell>
          <cell r="O1977">
            <v>378832</v>
          </cell>
          <cell r="P1977" t="str">
            <v>2024/065-0039-01</v>
          </cell>
          <cell r="Q1977" t="str">
            <v>EST CADEIRA DYLAN III (CINAMOMO AMENDOA ESCURO) (FX B2002)</v>
          </cell>
          <cell r="R1977"/>
          <cell r="S1977"/>
          <cell r="T1977">
            <v>0.5</v>
          </cell>
          <cell r="U1977">
            <v>0.57999999999999996</v>
          </cell>
          <cell r="V1977">
            <v>0.8</v>
          </cell>
          <cell r="W1977">
            <v>0</v>
          </cell>
          <cell r="X1977" t="str">
            <v>EST CADEIRA DYLAN III (CINAMOMO AMENDOA ESCURO) (FX B2002) - 0,5x0,58x0,8H</v>
          </cell>
          <cell r="Y1977">
            <v>3185.37</v>
          </cell>
          <cell r="Z1977">
            <v>0.35</v>
          </cell>
          <cell r="AA1977">
            <v>2070.4904999999999</v>
          </cell>
          <cell r="AB1977"/>
        </row>
        <row r="1978">
          <cell r="C1978">
            <v>0</v>
          </cell>
          <cell r="D1978">
            <v>8</v>
          </cell>
          <cell r="E1978">
            <v>0</v>
          </cell>
          <cell r="F1978">
            <v>0</v>
          </cell>
          <cell r="H1978">
            <v>0</v>
          </cell>
          <cell r="O1978">
            <v>378832</v>
          </cell>
          <cell r="P1978" t="str">
            <v>2024/065-0041-01</v>
          </cell>
          <cell r="Q1978" t="str">
            <v>EST CADEIRA DYLAN III (CINAMOMO AMENDOA ESCURO) (FX B2002)</v>
          </cell>
          <cell r="R1978"/>
          <cell r="S1978"/>
          <cell r="T1978">
            <v>0.5</v>
          </cell>
          <cell r="U1978">
            <v>0.57999999999999996</v>
          </cell>
          <cell r="V1978">
            <v>0.8</v>
          </cell>
          <cell r="W1978">
            <v>0</v>
          </cell>
          <cell r="X1978" t="str">
            <v>EST CADEIRA DYLAN III (CINAMOMO AMENDOA ESCURO) (FX B2002) - 0,5x0,58x0,8H</v>
          </cell>
          <cell r="Y1978">
            <v>3185.37</v>
          </cell>
          <cell r="Z1978">
            <v>0.35</v>
          </cell>
          <cell r="AA1978">
            <v>2070.4904999999999</v>
          </cell>
          <cell r="AB1978"/>
        </row>
        <row r="1979">
          <cell r="C1979">
            <v>0</v>
          </cell>
          <cell r="D1979">
            <v>8</v>
          </cell>
          <cell r="E1979">
            <v>0</v>
          </cell>
          <cell r="F1979">
            <v>0</v>
          </cell>
          <cell r="H1979">
            <v>0</v>
          </cell>
          <cell r="O1979">
            <v>378832</v>
          </cell>
          <cell r="P1979" t="str">
            <v>2024/065-0042-01</v>
          </cell>
          <cell r="Q1979" t="str">
            <v>EST CADEIRA DYLAN III (CINAMOMO AMENDOA ESCURO) (FX B2002)</v>
          </cell>
          <cell r="R1979"/>
          <cell r="S1979"/>
          <cell r="T1979">
            <v>0.5</v>
          </cell>
          <cell r="U1979">
            <v>0.57999999999999996</v>
          </cell>
          <cell r="V1979">
            <v>0.8</v>
          </cell>
          <cell r="W1979">
            <v>0</v>
          </cell>
          <cell r="X1979" t="str">
            <v>EST CADEIRA DYLAN III (CINAMOMO AMENDOA ESCURO) (FX B2002) - 0,5x0,58x0,8H</v>
          </cell>
          <cell r="Y1979">
            <v>3185.37</v>
          </cell>
          <cell r="Z1979">
            <v>0.35</v>
          </cell>
          <cell r="AA1979">
            <v>2070.4904999999999</v>
          </cell>
          <cell r="AB1979"/>
        </row>
        <row r="1980">
          <cell r="C1980">
            <v>0</v>
          </cell>
          <cell r="D1980">
            <v>8</v>
          </cell>
          <cell r="E1980">
            <v>0</v>
          </cell>
          <cell r="F1980">
            <v>0</v>
          </cell>
          <cell r="H1980">
            <v>0</v>
          </cell>
          <cell r="O1980">
            <v>378832</v>
          </cell>
          <cell r="P1980" t="str">
            <v>2024/065-0043-01</v>
          </cell>
          <cell r="Q1980" t="str">
            <v>EST CADEIRA DYLAN III (CINAMOMO AMENDOA ESCURO) (FX B2002)</v>
          </cell>
          <cell r="R1980"/>
          <cell r="S1980"/>
          <cell r="T1980">
            <v>0.5</v>
          </cell>
          <cell r="U1980">
            <v>0.57999999999999996</v>
          </cell>
          <cell r="V1980">
            <v>0.8</v>
          </cell>
          <cell r="W1980">
            <v>0</v>
          </cell>
          <cell r="X1980" t="str">
            <v>EST CADEIRA DYLAN III (CINAMOMO AMENDOA ESCURO) (FX B2002) - 0,5x0,58x0,8H</v>
          </cell>
          <cell r="Y1980">
            <v>3185.37</v>
          </cell>
          <cell r="Z1980">
            <v>0.35</v>
          </cell>
          <cell r="AA1980">
            <v>2070.4904999999999</v>
          </cell>
          <cell r="AB1980"/>
        </row>
        <row r="1981">
          <cell r="C1981">
            <v>0</v>
          </cell>
          <cell r="D1981">
            <v>8</v>
          </cell>
          <cell r="E1981">
            <v>0</v>
          </cell>
          <cell r="F1981">
            <v>0</v>
          </cell>
          <cell r="H1981">
            <v>0</v>
          </cell>
          <cell r="O1981">
            <v>378832</v>
          </cell>
          <cell r="P1981" t="str">
            <v>2024/065-0044-01</v>
          </cell>
          <cell r="Q1981" t="str">
            <v>EST CADEIRA DYLAN III (CINAMOMO AMENDOA ESCURO) (FX B2002)</v>
          </cell>
          <cell r="R1981"/>
          <cell r="S1981"/>
          <cell r="T1981">
            <v>0.5</v>
          </cell>
          <cell r="U1981">
            <v>0.57999999999999996</v>
          </cell>
          <cell r="V1981">
            <v>0.8</v>
          </cell>
          <cell r="W1981">
            <v>0</v>
          </cell>
          <cell r="X1981" t="str">
            <v>EST CADEIRA DYLAN III (CINAMOMO AMENDOA ESCURO) (FX B2002) - 0,5x0,58x0,8H</v>
          </cell>
          <cell r="Y1981">
            <v>3185.37</v>
          </cell>
          <cell r="Z1981">
            <v>0.35</v>
          </cell>
          <cell r="AA1981">
            <v>2070.4904999999999</v>
          </cell>
          <cell r="AB1981"/>
        </row>
        <row r="1982">
          <cell r="C1982">
            <v>0</v>
          </cell>
          <cell r="D1982">
            <v>8</v>
          </cell>
          <cell r="E1982">
            <v>0</v>
          </cell>
          <cell r="F1982">
            <v>0</v>
          </cell>
          <cell r="H1982">
            <v>0</v>
          </cell>
          <cell r="O1982">
            <v>378832</v>
          </cell>
          <cell r="P1982" t="str">
            <v>2024/065-0045-01</v>
          </cell>
          <cell r="Q1982" t="str">
            <v>EST CADEIRA DYLAN III (CINAMOMO AMENDOA ESCURO) (FX B2002)</v>
          </cell>
          <cell r="R1982"/>
          <cell r="S1982"/>
          <cell r="T1982">
            <v>0.5</v>
          </cell>
          <cell r="U1982">
            <v>0.57999999999999996</v>
          </cell>
          <cell r="V1982">
            <v>0.8</v>
          </cell>
          <cell r="W1982">
            <v>0</v>
          </cell>
          <cell r="X1982" t="str">
            <v>EST CADEIRA DYLAN III (CINAMOMO AMENDOA ESCURO) (FX B2002) - 0,5x0,58x0,8H</v>
          </cell>
          <cell r="Y1982">
            <v>3185.37</v>
          </cell>
          <cell r="Z1982">
            <v>0.35</v>
          </cell>
          <cell r="AA1982">
            <v>2070.4904999999999</v>
          </cell>
          <cell r="AB1982"/>
        </row>
        <row r="1983">
          <cell r="C1983">
            <v>0</v>
          </cell>
          <cell r="D1983">
            <v>8</v>
          </cell>
          <cell r="E1983">
            <v>0</v>
          </cell>
          <cell r="F1983">
            <v>0</v>
          </cell>
          <cell r="H1983">
            <v>0</v>
          </cell>
          <cell r="O1983">
            <v>378832</v>
          </cell>
          <cell r="P1983" t="str">
            <v>2024/065-0040-01</v>
          </cell>
          <cell r="Q1983" t="str">
            <v>EST CADEIRA DYLAN III (CINAMOMO AMENDOA ESCURO) (FX B2002)</v>
          </cell>
          <cell r="R1983"/>
          <cell r="S1983"/>
          <cell r="T1983">
            <v>0.5</v>
          </cell>
          <cell r="U1983">
            <v>0.57999999999999996</v>
          </cell>
          <cell r="V1983">
            <v>0.8</v>
          </cell>
          <cell r="W1983">
            <v>0</v>
          </cell>
          <cell r="X1983" t="str">
            <v>EST CADEIRA DYLAN III (CINAMOMO AMENDOA ESCURO) (FX B2002) - 0,5x0,58x0,8H</v>
          </cell>
          <cell r="Y1983">
            <v>3185.37</v>
          </cell>
          <cell r="Z1983">
            <v>0.35</v>
          </cell>
          <cell r="AA1983">
            <v>2070.4904999999999</v>
          </cell>
          <cell r="AB1983"/>
        </row>
        <row r="1984">
          <cell r="C1984">
            <v>0</v>
          </cell>
          <cell r="D1984">
            <v>1</v>
          </cell>
          <cell r="E1984">
            <v>0</v>
          </cell>
          <cell r="F1984">
            <v>0</v>
          </cell>
          <cell r="H1984">
            <v>1</v>
          </cell>
          <cell r="O1984">
            <v>270548</v>
          </cell>
          <cell r="P1984" t="str">
            <v>2020/332-0002-01</v>
          </cell>
          <cell r="Q1984" t="str">
            <v>EST CADEIRA MEG C/BRACO (MARFIM CASTANHO) (COURO CARAMELO)</v>
          </cell>
          <cell r="R1984"/>
          <cell r="S1984"/>
          <cell r="T1984">
            <v>0.63</v>
          </cell>
          <cell r="U1984">
            <v>0.63</v>
          </cell>
          <cell r="V1984">
            <v>0.81</v>
          </cell>
          <cell r="W1984">
            <v>0</v>
          </cell>
          <cell r="X1984" t="str">
            <v>EST CADEIRA MEG C/BRACO (MARFIM CASTANHO) (COURO CARAMELO) - 0,63x0,63x0,81H</v>
          </cell>
          <cell r="Y1984">
            <v>7312.66</v>
          </cell>
          <cell r="Z1984">
            <v>0.5</v>
          </cell>
          <cell r="AA1984">
            <v>3656.33</v>
          </cell>
          <cell r="AB1984"/>
        </row>
        <row r="1985">
          <cell r="C1985">
            <v>1</v>
          </cell>
          <cell r="D1985">
            <v>1</v>
          </cell>
          <cell r="E1985">
            <v>0</v>
          </cell>
          <cell r="F1985">
            <v>0</v>
          </cell>
          <cell r="H1985">
            <v>1</v>
          </cell>
          <cell r="O1985">
            <v>270551</v>
          </cell>
          <cell r="P1985" t="str">
            <v>2020/332-0015-01</v>
          </cell>
          <cell r="Q1985" t="str">
            <v>EST BANQUETA BAR LISBOA (MARFIM NOCCE) (FX A1094/DET CAMEL)</v>
          </cell>
          <cell r="R1985"/>
          <cell r="S1985"/>
          <cell r="T1985">
            <v>0.45</v>
          </cell>
          <cell r="U1985">
            <v>0.54</v>
          </cell>
          <cell r="V1985">
            <v>1.01</v>
          </cell>
          <cell r="W1985">
            <v>0</v>
          </cell>
          <cell r="X1985" t="str">
            <v>EST BANQUETA BAR LISBOA (MARFIM NOCCE) (FX A1094/DET CAMEL) - 0,45x0,54x1,01H</v>
          </cell>
          <cell r="Y1985">
            <v>4139.5200000000004</v>
          </cell>
          <cell r="Z1985">
            <v>0.5</v>
          </cell>
          <cell r="AA1985">
            <v>2069.7600000000002</v>
          </cell>
          <cell r="AB1985"/>
        </row>
        <row r="1986">
          <cell r="C1986">
            <v>1</v>
          </cell>
          <cell r="D1986">
            <v>1</v>
          </cell>
          <cell r="E1986">
            <v>0</v>
          </cell>
          <cell r="F1986">
            <v>0</v>
          </cell>
          <cell r="H1986">
            <v>1</v>
          </cell>
          <cell r="O1986">
            <v>270551</v>
          </cell>
          <cell r="P1986" t="str">
            <v>2020/332-0014-01</v>
          </cell>
          <cell r="Q1986" t="str">
            <v>EST BANQUETA BAR LISBOA (MARFIM NOCCE) (FX A1094/DET CAMEL)</v>
          </cell>
          <cell r="R1986"/>
          <cell r="S1986"/>
          <cell r="T1986">
            <v>0.45</v>
          </cell>
          <cell r="U1986">
            <v>0.54</v>
          </cell>
          <cell r="V1986">
            <v>1.01</v>
          </cell>
          <cell r="W1986">
            <v>0</v>
          </cell>
          <cell r="X1986" t="str">
            <v>EST BANQUETA BAR LISBOA (MARFIM NOCCE) (FX A1094/DET CAMEL) - 0,45x0,54x1,01H</v>
          </cell>
          <cell r="Y1986">
            <v>4139.5200000000004</v>
          </cell>
          <cell r="Z1986">
            <v>0.5</v>
          </cell>
          <cell r="AA1986">
            <v>2069.7600000000002</v>
          </cell>
          <cell r="AB1986"/>
        </row>
        <row r="1987">
          <cell r="C1987">
            <v>1</v>
          </cell>
          <cell r="D1987">
            <v>0</v>
          </cell>
          <cell r="E1987">
            <v>0</v>
          </cell>
          <cell r="F1987">
            <v>0</v>
          </cell>
          <cell r="H1987">
            <v>2</v>
          </cell>
          <cell r="O1987">
            <v>270552</v>
          </cell>
          <cell r="P1987" t="str">
            <v>2020/332-0017-01</v>
          </cell>
          <cell r="Q1987" t="str">
            <v>EST BANQUETA BAR APOLLO (MARFIM NOCCE) (FX A1094)</v>
          </cell>
          <cell r="R1987"/>
          <cell r="S1987"/>
          <cell r="T1987">
            <v>0.49</v>
          </cell>
          <cell r="U1987">
            <v>0.51</v>
          </cell>
          <cell r="V1987">
            <v>1.01</v>
          </cell>
          <cell r="W1987">
            <v>0</v>
          </cell>
          <cell r="X1987" t="str">
            <v>EST BANQUETA BAR APOLLO (MARFIM NOCCE) (FX A1094) - 0,49x0,51x1,01H</v>
          </cell>
          <cell r="Y1987">
            <v>3628.26</v>
          </cell>
          <cell r="Z1987">
            <v>0.5</v>
          </cell>
          <cell r="AA1987">
            <v>1814.13</v>
          </cell>
          <cell r="AB1987"/>
        </row>
        <row r="1988">
          <cell r="C1988">
            <v>6</v>
          </cell>
          <cell r="D1988">
            <v>0</v>
          </cell>
          <cell r="E1988">
            <v>1</v>
          </cell>
          <cell r="F1988">
            <v>1</v>
          </cell>
          <cell r="H1988">
            <v>0</v>
          </cell>
          <cell r="O1988">
            <v>378829</v>
          </cell>
          <cell r="P1988" t="str">
            <v>2024/065-0022-01</v>
          </cell>
          <cell r="Q1988" t="str">
            <v>EST CADEIRA DYLAN III (CINAMOMO AMENDOA NOCE) COURO CH 32</v>
          </cell>
          <cell r="R1988"/>
          <cell r="S1988"/>
          <cell r="T1988">
            <v>0.5</v>
          </cell>
          <cell r="U1988">
            <v>0.57999999999999996</v>
          </cell>
          <cell r="V1988">
            <v>0.8</v>
          </cell>
          <cell r="W1988">
            <v>0</v>
          </cell>
          <cell r="X1988" t="str">
            <v>EST CADEIRA DYLAN III (CINAMOMO AMENDOA NOCE) COURO CH 32 - 0,5x0,58x0,8H</v>
          </cell>
          <cell r="Y1988">
            <v>4387.8899999999994</v>
          </cell>
          <cell r="Z1988">
            <v>0.35</v>
          </cell>
          <cell r="AA1988">
            <v>2852.1284999999998</v>
          </cell>
          <cell r="AB1988"/>
        </row>
        <row r="1989">
          <cell r="C1989">
            <v>6</v>
          </cell>
          <cell r="D1989">
            <v>0</v>
          </cell>
          <cell r="E1989">
            <v>1</v>
          </cell>
          <cell r="F1989">
            <v>1</v>
          </cell>
          <cell r="H1989">
            <v>0</v>
          </cell>
          <cell r="O1989">
            <v>378829</v>
          </cell>
          <cell r="P1989" t="str">
            <v>2024/065-0024-01</v>
          </cell>
          <cell r="Q1989" t="str">
            <v>EST CADEIRA DYLAN III (CINAMOMO AMENDOA NOCE) COURO CH 32</v>
          </cell>
          <cell r="R1989"/>
          <cell r="S1989"/>
          <cell r="T1989">
            <v>0.5</v>
          </cell>
          <cell r="U1989">
            <v>0.57999999999999996</v>
          </cell>
          <cell r="V1989">
            <v>0.8</v>
          </cell>
          <cell r="W1989">
            <v>0</v>
          </cell>
          <cell r="X1989" t="str">
            <v>EST CADEIRA DYLAN III (CINAMOMO AMENDOA NOCE) COURO CH 32 - 0,5x0,58x0,8H</v>
          </cell>
          <cell r="Y1989">
            <v>4387.8899999999994</v>
          </cell>
          <cell r="Z1989">
            <v>0.35</v>
          </cell>
          <cell r="AA1989">
            <v>2852.1284999999998</v>
          </cell>
          <cell r="AB1989"/>
        </row>
        <row r="1990">
          <cell r="C1990">
            <v>6</v>
          </cell>
          <cell r="D1990">
            <v>0</v>
          </cell>
          <cell r="E1990">
            <v>1</v>
          </cell>
          <cell r="F1990">
            <v>1</v>
          </cell>
          <cell r="H1990">
            <v>0</v>
          </cell>
          <cell r="O1990">
            <v>378829</v>
          </cell>
          <cell r="P1990" t="str">
            <v>2024/065-0025-01</v>
          </cell>
          <cell r="Q1990" t="str">
            <v>EST CADEIRA DYLAN III (CINAMOMO AMENDOA NOCE) COURO CH 32</v>
          </cell>
          <cell r="R1990"/>
          <cell r="S1990"/>
          <cell r="T1990">
            <v>0.5</v>
          </cell>
          <cell r="U1990">
            <v>0.57999999999999996</v>
          </cell>
          <cell r="V1990">
            <v>0.8</v>
          </cell>
          <cell r="W1990">
            <v>0</v>
          </cell>
          <cell r="X1990" t="str">
            <v>EST CADEIRA DYLAN III (CINAMOMO AMENDOA NOCE) COURO CH 32 - 0,5x0,58x0,8H</v>
          </cell>
          <cell r="Y1990">
            <v>4387.8899999999994</v>
          </cell>
          <cell r="Z1990">
            <v>0.35</v>
          </cell>
          <cell r="AA1990">
            <v>2852.1284999999998</v>
          </cell>
          <cell r="AB1990"/>
        </row>
        <row r="1991">
          <cell r="C1991">
            <v>6</v>
          </cell>
          <cell r="D1991">
            <v>0</v>
          </cell>
          <cell r="E1991">
            <v>1</v>
          </cell>
          <cell r="F1991">
            <v>1</v>
          </cell>
          <cell r="H1991">
            <v>0</v>
          </cell>
          <cell r="O1991">
            <v>378829</v>
          </cell>
          <cell r="P1991" t="str">
            <v>2024/065-0026-01</v>
          </cell>
          <cell r="Q1991" t="str">
            <v>EST CADEIRA DYLAN III (CINAMOMO AMENDOA NOCE) COURO CH 32</v>
          </cell>
          <cell r="R1991"/>
          <cell r="S1991"/>
          <cell r="T1991">
            <v>0.5</v>
          </cell>
          <cell r="U1991">
            <v>0.57999999999999996</v>
          </cell>
          <cell r="V1991">
            <v>0.8</v>
          </cell>
          <cell r="W1991">
            <v>0</v>
          </cell>
          <cell r="X1991" t="str">
            <v>EST CADEIRA DYLAN III (CINAMOMO AMENDOA NOCE) COURO CH 32 - 0,5x0,58x0,8H</v>
          </cell>
          <cell r="Y1991">
            <v>4387.8899999999994</v>
          </cell>
          <cell r="Z1991">
            <v>0.35</v>
          </cell>
          <cell r="AA1991">
            <v>2852.1284999999998</v>
          </cell>
          <cell r="AB1991"/>
        </row>
        <row r="1992">
          <cell r="C1992">
            <v>6</v>
          </cell>
          <cell r="D1992">
            <v>0</v>
          </cell>
          <cell r="E1992">
            <v>1</v>
          </cell>
          <cell r="F1992">
            <v>1</v>
          </cell>
          <cell r="H1992">
            <v>0</v>
          </cell>
          <cell r="O1992">
            <v>378829</v>
          </cell>
          <cell r="P1992" t="str">
            <v>2024/065-0027-01</v>
          </cell>
          <cell r="Q1992" t="str">
            <v>EST CADEIRA DYLAN III (CINAMOMO AMENDOA NOCE) COURO CH 32</v>
          </cell>
          <cell r="R1992"/>
          <cell r="S1992"/>
          <cell r="T1992">
            <v>0.5</v>
          </cell>
          <cell r="U1992">
            <v>0.57999999999999996</v>
          </cell>
          <cell r="V1992">
            <v>0.8</v>
          </cell>
          <cell r="W1992">
            <v>0</v>
          </cell>
          <cell r="X1992" t="str">
            <v>EST CADEIRA DYLAN III (CINAMOMO AMENDOA NOCE) COURO CH 32 - 0,5x0,58x0,8H</v>
          </cell>
          <cell r="Y1992">
            <v>4387.8899999999994</v>
          </cell>
          <cell r="Z1992">
            <v>0.35</v>
          </cell>
          <cell r="AA1992">
            <v>2852.1284999999998</v>
          </cell>
          <cell r="AB1992"/>
        </row>
        <row r="1993">
          <cell r="C1993">
            <v>6</v>
          </cell>
          <cell r="D1993">
            <v>0</v>
          </cell>
          <cell r="E1993">
            <v>1</v>
          </cell>
          <cell r="F1993">
            <v>1</v>
          </cell>
          <cell r="H1993">
            <v>0</v>
          </cell>
          <cell r="O1993">
            <v>378829</v>
          </cell>
          <cell r="P1993" t="str">
            <v>2024/065-0028-01</v>
          </cell>
          <cell r="Q1993" t="str">
            <v>EST CADEIRA DYLAN III (CINAMOMO AMENDOA NOCE) COURO CH 32</v>
          </cell>
          <cell r="R1993"/>
          <cell r="S1993"/>
          <cell r="T1993">
            <v>0.5</v>
          </cell>
          <cell r="U1993">
            <v>0.57999999999999996</v>
          </cell>
          <cell r="V1993">
            <v>0.8</v>
          </cell>
          <cell r="W1993">
            <v>0</v>
          </cell>
          <cell r="X1993" t="str">
            <v>EST CADEIRA DYLAN III (CINAMOMO AMENDOA NOCE) COURO CH 32 - 0,5x0,58x0,8H</v>
          </cell>
          <cell r="Y1993">
            <v>4387.8899999999994</v>
          </cell>
          <cell r="Z1993">
            <v>0.35</v>
          </cell>
          <cell r="AA1993">
            <v>2852.1284999999998</v>
          </cell>
          <cell r="AB1993"/>
        </row>
        <row r="1994">
          <cell r="C1994">
            <v>1</v>
          </cell>
          <cell r="D1994">
            <v>0</v>
          </cell>
          <cell r="E1994">
            <v>0</v>
          </cell>
          <cell r="F1994">
            <v>0</v>
          </cell>
          <cell r="H1994">
            <v>0</v>
          </cell>
          <cell r="O1994">
            <v>405722</v>
          </cell>
          <cell r="P1994" t="str">
            <v>2025/154-0095-01</v>
          </cell>
          <cell r="Q1994" t="str">
            <v>EST MESA CENTRO GROTA (TAMPO MARCHETARIA) WALNUT MATT</v>
          </cell>
          <cell r="R1994"/>
          <cell r="S1994"/>
          <cell r="T1994">
            <v>1.02</v>
          </cell>
          <cell r="U1994">
            <v>1.02</v>
          </cell>
          <cell r="V1994">
            <v>0.25</v>
          </cell>
          <cell r="W1994">
            <v>0</v>
          </cell>
          <cell r="X1994" t="str">
            <v>EST MESA CENTRO GROTA (TAMPO MARCHETARIA) WALNUT MATT - 1,02x1,02x0,25H</v>
          </cell>
          <cell r="Y1994">
            <v>14193.45</v>
          </cell>
          <cell r="Z1994">
            <v>0.35</v>
          </cell>
          <cell r="AA1994">
            <v>9225.7425000000003</v>
          </cell>
          <cell r="AB1994"/>
        </row>
        <row r="1995">
          <cell r="C1995">
            <v>2</v>
          </cell>
          <cell r="D1995">
            <v>0</v>
          </cell>
          <cell r="E1995">
            <v>0</v>
          </cell>
          <cell r="F1995">
            <v>0</v>
          </cell>
          <cell r="H1995">
            <v>0</v>
          </cell>
          <cell r="O1995">
            <v>407200</v>
          </cell>
          <cell r="P1995" t="str">
            <v>2025/276-0013-01</v>
          </cell>
          <cell r="Q1995" t="str">
            <v>EST POLTRONA MARIA (TAUARI NAT) TC TAURUS FOG</v>
          </cell>
          <cell r="R1995"/>
          <cell r="S1995"/>
          <cell r="T1995">
            <v>0.66</v>
          </cell>
          <cell r="U1995">
            <v>0.66</v>
          </cell>
          <cell r="V1995">
            <v>0.81</v>
          </cell>
          <cell r="W1995">
            <v>0</v>
          </cell>
          <cell r="X1995" t="str">
            <v>EST POLTRONA MARIA (TAUARI NAT) TC TAURUS FOG - 0,66x0,66x0,81H</v>
          </cell>
          <cell r="Y1995">
            <v>22999.857199999999</v>
          </cell>
          <cell r="Z1995">
            <v>0.35</v>
          </cell>
          <cell r="AA1995">
            <v>14949.907179999998</v>
          </cell>
          <cell r="AB1995"/>
        </row>
        <row r="1996">
          <cell r="C1996">
            <v>2</v>
          </cell>
          <cell r="D1996">
            <v>0</v>
          </cell>
          <cell r="E1996">
            <v>0</v>
          </cell>
          <cell r="F1996">
            <v>0</v>
          </cell>
          <cell r="H1996">
            <v>0</v>
          </cell>
          <cell r="O1996">
            <v>407200</v>
          </cell>
          <cell r="P1996" t="str">
            <v>2025/276-0014-01</v>
          </cell>
          <cell r="Q1996" t="str">
            <v>EST POLTRONA MARIA (TAUARI NAT) TC TAURUS FOG</v>
          </cell>
          <cell r="R1996"/>
          <cell r="S1996"/>
          <cell r="T1996">
            <v>0.66</v>
          </cell>
          <cell r="U1996">
            <v>0.66</v>
          </cell>
          <cell r="V1996">
            <v>0.81</v>
          </cell>
          <cell r="W1996">
            <v>0</v>
          </cell>
          <cell r="X1996" t="str">
            <v>EST POLTRONA MARIA (TAUARI NAT) TC TAURUS FOG - 0,66x0,66x0,81H</v>
          </cell>
          <cell r="Y1996">
            <v>22999.857199999999</v>
          </cell>
          <cell r="Z1996">
            <v>0.35</v>
          </cell>
          <cell r="AA1996">
            <v>14949.907179999998</v>
          </cell>
          <cell r="AB1996"/>
        </row>
        <row r="1997">
          <cell r="C1997">
            <v>1</v>
          </cell>
          <cell r="D1997">
            <v>0</v>
          </cell>
          <cell r="E1997">
            <v>0</v>
          </cell>
          <cell r="F1997">
            <v>0</v>
          </cell>
          <cell r="H1997">
            <v>0</v>
          </cell>
          <cell r="O1997">
            <v>409033</v>
          </cell>
          <cell r="P1997" t="str">
            <v>2025/268-0067-01</v>
          </cell>
          <cell r="Q1997" t="str">
            <v>EST BUFFET HIMALAYA (CONT) (LAMINA WALNUT) C/GAV</v>
          </cell>
          <cell r="R1997"/>
          <cell r="S1997"/>
          <cell r="T1997">
            <v>2.4</v>
          </cell>
          <cell r="U1997">
            <v>0.45</v>
          </cell>
          <cell r="V1997">
            <v>0.75</v>
          </cell>
          <cell r="W1997">
            <v>0</v>
          </cell>
          <cell r="X1997" t="str">
            <v>EST BUFFET HIMALAYA (CONT) (LAMINA WALNUT) C/GAV - 2,4x0,45x0,75H</v>
          </cell>
          <cell r="Y1997">
            <v>26893.8</v>
          </cell>
          <cell r="Z1997">
            <v>0.35</v>
          </cell>
          <cell r="AA1997">
            <v>17480.97</v>
          </cell>
          <cell r="AB1997"/>
        </row>
        <row r="1998">
          <cell r="C1998">
            <v>0</v>
          </cell>
          <cell r="D1998">
            <v>1</v>
          </cell>
          <cell r="E1998">
            <v>0</v>
          </cell>
          <cell r="F1998">
            <v>1</v>
          </cell>
          <cell r="H1998">
            <v>0</v>
          </cell>
          <cell r="O1998">
            <v>342301</v>
          </cell>
          <cell r="P1998" t="str">
            <v>2022/217-0010-01</v>
          </cell>
          <cell r="Q1998" t="str">
            <v>EST TAPETE MATISSE STRIPES LINHAS 1 (10MM) F:1280/D:73</v>
          </cell>
          <cell r="R1998"/>
          <cell r="S1998"/>
          <cell r="T1998">
            <v>4</v>
          </cell>
          <cell r="U1998">
            <v>3</v>
          </cell>
          <cell r="V1998">
            <v>0.01</v>
          </cell>
          <cell r="W1998">
            <v>0</v>
          </cell>
          <cell r="X1998" t="str">
            <v>EST TAPETE MATISSE STRIPES LINHAS 1 (10MM) F:1280/D:73 - 4x3x0,01H</v>
          </cell>
          <cell r="Y1998">
            <v>30535.68</v>
          </cell>
          <cell r="Z1998">
            <v>0.35</v>
          </cell>
          <cell r="AA1998">
            <v>19848.192000000003</v>
          </cell>
          <cell r="AB1998"/>
        </row>
        <row r="1999">
          <cell r="C1999">
            <v>0</v>
          </cell>
          <cell r="D1999">
            <v>1</v>
          </cell>
          <cell r="E1999">
            <v>0</v>
          </cell>
          <cell r="F1999">
            <v>0</v>
          </cell>
          <cell r="H1999">
            <v>0</v>
          </cell>
          <cell r="O1999">
            <v>223329</v>
          </cell>
          <cell r="P1999" t="str">
            <v>2024/094-0001-01</v>
          </cell>
          <cell r="Q1999" t="str">
            <v>EST MESA JANTAR PREMIUM (LAMINA A3 P FERRO COMP) BS PRET FSC</v>
          </cell>
          <cell r="R1999"/>
          <cell r="S1999"/>
          <cell r="T1999">
            <v>3</v>
          </cell>
          <cell r="U1999">
            <v>1.2</v>
          </cell>
          <cell r="V1999">
            <v>0.76</v>
          </cell>
          <cell r="W1999">
            <v>0</v>
          </cell>
          <cell r="X1999" t="str">
            <v>EST MESA JANTAR PREMIUM (LAMINA A3 P FERRO COMP) BS PRET FSC - 3x1,2x0,76H</v>
          </cell>
          <cell r="Y1999">
            <v>59702.18</v>
          </cell>
          <cell r="Z1999">
            <v>0.35</v>
          </cell>
          <cell r="AA1999">
            <v>38806.417000000001</v>
          </cell>
          <cell r="AB1999"/>
        </row>
        <row r="2000">
          <cell r="C2000">
            <v>0</v>
          </cell>
          <cell r="D2000">
            <v>1</v>
          </cell>
          <cell r="E2000">
            <v>0</v>
          </cell>
          <cell r="F2000">
            <v>0</v>
          </cell>
          <cell r="H2000">
            <v>0</v>
          </cell>
          <cell r="O2000">
            <v>281020</v>
          </cell>
          <cell r="P2000" t="str">
            <v>2021/288-0030-01</v>
          </cell>
          <cell r="Q2000" t="str">
            <v>EST SOFA NEW ANDROS (1B ESQ) FX D4107 (BASE LAMINA EBONY)</v>
          </cell>
          <cell r="R2000"/>
          <cell r="S2000"/>
          <cell r="T2000">
            <v>3</v>
          </cell>
          <cell r="U2000">
            <v>1.5</v>
          </cell>
          <cell r="V2000">
            <v>0.76</v>
          </cell>
          <cell r="W2000">
            <v>0</v>
          </cell>
          <cell r="X2000" t="str">
            <v>EST SOFA NEW ANDROS (1B ESQ) FX D4107 (BASE LAMINA EBONY) - 3x1,5x0,76H</v>
          </cell>
          <cell r="Y2000">
            <v>47848.73</v>
          </cell>
          <cell r="Z2000">
            <v>0.35</v>
          </cell>
          <cell r="AA2000">
            <v>31101.674500000005</v>
          </cell>
          <cell r="AB2000"/>
        </row>
        <row r="2001">
          <cell r="C2001">
            <v>0</v>
          </cell>
          <cell r="D2001">
            <v>1</v>
          </cell>
          <cell r="E2001">
            <v>0</v>
          </cell>
          <cell r="F2001">
            <v>0</v>
          </cell>
          <cell r="H2001">
            <v>0</v>
          </cell>
          <cell r="O2001">
            <v>308173</v>
          </cell>
          <cell r="P2001" t="str">
            <v>2022/011-0003-01</v>
          </cell>
          <cell r="Q2001" t="str">
            <v>EST CHAISE REGIA TC N2018/PES MTZ RB02</v>
          </cell>
          <cell r="R2001"/>
          <cell r="S2001"/>
          <cell r="T2001">
            <v>1.68</v>
          </cell>
          <cell r="U2001">
            <v>1.65</v>
          </cell>
          <cell r="V2001">
            <v>0.85</v>
          </cell>
          <cell r="W2001">
            <v>0</v>
          </cell>
          <cell r="X2001" t="str">
            <v>EST CHAISE REGIA TC N2018/PES MTZ RB02 - 1,68x1,65x0,85H</v>
          </cell>
          <cell r="Y2001">
            <v>48992.03</v>
          </cell>
          <cell r="Z2001">
            <v>0.35</v>
          </cell>
          <cell r="AA2001">
            <v>31844.819500000001</v>
          </cell>
          <cell r="AB2001"/>
        </row>
        <row r="2002">
          <cell r="C2002">
            <v>0</v>
          </cell>
          <cell r="D2002">
            <v>1</v>
          </cell>
          <cell r="E2002">
            <v>0</v>
          </cell>
          <cell r="F2002">
            <v>0</v>
          </cell>
          <cell r="H2002">
            <v>0</v>
          </cell>
          <cell r="O2002">
            <v>312449</v>
          </cell>
          <cell r="P2002" t="str">
            <v>2023/156-0043-01</v>
          </cell>
          <cell r="Q2002" t="str">
            <v>EST LUMINARIA DE TETO OYSTER 38 (3133)</v>
          </cell>
          <cell r="R2002"/>
          <cell r="S2002"/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 t="str">
            <v>EST LUMINARIA DE TETO OYSTER 38 (3133) - Ø0x0H</v>
          </cell>
          <cell r="Y2002">
            <v>3360</v>
          </cell>
          <cell r="Z2002">
            <v>0.35</v>
          </cell>
          <cell r="AA2002">
            <v>2184</v>
          </cell>
          <cell r="AB2002"/>
        </row>
        <row r="2003">
          <cell r="C2003">
            <v>0</v>
          </cell>
          <cell r="D2003">
            <v>8</v>
          </cell>
          <cell r="E2003">
            <v>0</v>
          </cell>
          <cell r="F2003">
            <v>0</v>
          </cell>
          <cell r="H2003">
            <v>0</v>
          </cell>
          <cell r="O2003">
            <v>320669</v>
          </cell>
          <cell r="P2003" t="str">
            <v>2022/083-0008-01</v>
          </cell>
          <cell r="Q2003" t="str">
            <v>EST CADEIRA JULIA C/BRACO (COURO PIG 101 BEGE) (PRETO FSC)</v>
          </cell>
          <cell r="R2003"/>
          <cell r="S2003"/>
          <cell r="T2003">
            <v>0.61</v>
          </cell>
          <cell r="U2003">
            <v>0.54</v>
          </cell>
          <cell r="V2003">
            <v>0.76</v>
          </cell>
          <cell r="W2003">
            <v>0</v>
          </cell>
          <cell r="X2003" t="str">
            <v>EST CADEIRA JULIA C/BRACO (COURO PIG 101 BEGE) (PRETO FSC) - 0,61x0,54x0,76H</v>
          </cell>
          <cell r="Y2003">
            <v>8798.630000000001</v>
          </cell>
          <cell r="Z2003">
            <v>0.35</v>
          </cell>
          <cell r="AA2003">
            <v>5719.1095000000005</v>
          </cell>
          <cell r="AB2003"/>
        </row>
        <row r="2004">
          <cell r="C2004">
            <v>0</v>
          </cell>
          <cell r="D2004">
            <v>8</v>
          </cell>
          <cell r="E2004">
            <v>0</v>
          </cell>
          <cell r="F2004">
            <v>0</v>
          </cell>
          <cell r="H2004">
            <v>0</v>
          </cell>
          <cell r="O2004">
            <v>320669</v>
          </cell>
          <cell r="P2004" t="str">
            <v>2022/083-0001-01</v>
          </cell>
          <cell r="Q2004" t="str">
            <v>EST CADEIRA JULIA C/BRACO (COURO PIG 101 BEGE) (PRETO FSC)</v>
          </cell>
          <cell r="R2004"/>
          <cell r="S2004"/>
          <cell r="T2004">
            <v>0.61</v>
          </cell>
          <cell r="U2004">
            <v>0.54</v>
          </cell>
          <cell r="V2004">
            <v>0.76</v>
          </cell>
          <cell r="W2004">
            <v>0</v>
          </cell>
          <cell r="X2004" t="str">
            <v>EST CADEIRA JULIA C/BRACO (COURO PIG 101 BEGE) (PRETO FSC) - 0,61x0,54x0,76H</v>
          </cell>
          <cell r="Y2004">
            <v>8798.630000000001</v>
          </cell>
          <cell r="Z2004">
            <v>0.35</v>
          </cell>
          <cell r="AA2004">
            <v>5719.1095000000005</v>
          </cell>
          <cell r="AB2004"/>
        </row>
        <row r="2005">
          <cell r="C2005">
            <v>0</v>
          </cell>
          <cell r="D2005">
            <v>8</v>
          </cell>
          <cell r="E2005">
            <v>0</v>
          </cell>
          <cell r="F2005">
            <v>0</v>
          </cell>
          <cell r="H2005">
            <v>0</v>
          </cell>
          <cell r="O2005">
            <v>320669</v>
          </cell>
          <cell r="P2005" t="str">
            <v>2022/083-0002-01</v>
          </cell>
          <cell r="Q2005" t="str">
            <v>EST CADEIRA JULIA C/BRACO (COURO PIG 101 BEGE) (PRETO FSC)</v>
          </cell>
          <cell r="R2005"/>
          <cell r="S2005"/>
          <cell r="T2005">
            <v>0.61</v>
          </cell>
          <cell r="U2005">
            <v>0.54</v>
          </cell>
          <cell r="V2005">
            <v>0.76</v>
          </cell>
          <cell r="W2005">
            <v>0</v>
          </cell>
          <cell r="X2005" t="str">
            <v>EST CADEIRA JULIA C/BRACO (COURO PIG 101 BEGE) (PRETO FSC) - 0,61x0,54x0,76H</v>
          </cell>
          <cell r="Y2005">
            <v>8798.630000000001</v>
          </cell>
          <cell r="Z2005">
            <v>0.35</v>
          </cell>
          <cell r="AA2005">
            <v>5719.1095000000005</v>
          </cell>
          <cell r="AB2005"/>
        </row>
        <row r="2006">
          <cell r="C2006">
            <v>0</v>
          </cell>
          <cell r="D2006">
            <v>8</v>
          </cell>
          <cell r="E2006">
            <v>0</v>
          </cell>
          <cell r="F2006">
            <v>0</v>
          </cell>
          <cell r="H2006">
            <v>0</v>
          </cell>
          <cell r="O2006">
            <v>320669</v>
          </cell>
          <cell r="P2006" t="str">
            <v>2022/083-0003-01</v>
          </cell>
          <cell r="Q2006" t="str">
            <v>EST CADEIRA JULIA C/BRACO (COURO PIG 101 BEGE) (PRETO FSC)</v>
          </cell>
          <cell r="R2006"/>
          <cell r="S2006"/>
          <cell r="T2006">
            <v>0.61</v>
          </cell>
          <cell r="U2006">
            <v>0.54</v>
          </cell>
          <cell r="V2006">
            <v>0.76</v>
          </cell>
          <cell r="W2006">
            <v>0</v>
          </cell>
          <cell r="X2006" t="str">
            <v>EST CADEIRA JULIA C/BRACO (COURO PIG 101 BEGE) (PRETO FSC) - 0,61x0,54x0,76H</v>
          </cell>
          <cell r="Y2006">
            <v>8798.630000000001</v>
          </cell>
          <cell r="Z2006">
            <v>0.35</v>
          </cell>
          <cell r="AA2006">
            <v>5719.1095000000005</v>
          </cell>
          <cell r="AB2006"/>
        </row>
        <row r="2007">
          <cell r="C2007">
            <v>0</v>
          </cell>
          <cell r="D2007">
            <v>8</v>
          </cell>
          <cell r="E2007">
            <v>0</v>
          </cell>
          <cell r="F2007">
            <v>0</v>
          </cell>
          <cell r="H2007">
            <v>0</v>
          </cell>
          <cell r="O2007">
            <v>320669</v>
          </cell>
          <cell r="P2007" t="str">
            <v>2022/083-0004-01</v>
          </cell>
          <cell r="Q2007" t="str">
            <v>EST CADEIRA JULIA C/BRACO (COURO PIG 101 BEGE) (PRETO FSC)</v>
          </cell>
          <cell r="R2007"/>
          <cell r="S2007"/>
          <cell r="T2007">
            <v>0.61</v>
          </cell>
          <cell r="U2007">
            <v>0.54</v>
          </cell>
          <cell r="V2007">
            <v>0.76</v>
          </cell>
          <cell r="W2007">
            <v>0</v>
          </cell>
          <cell r="X2007" t="str">
            <v>EST CADEIRA JULIA C/BRACO (COURO PIG 101 BEGE) (PRETO FSC) - 0,61x0,54x0,76H</v>
          </cell>
          <cell r="Y2007">
            <v>8798.630000000001</v>
          </cell>
          <cell r="Z2007">
            <v>0.35</v>
          </cell>
          <cell r="AA2007">
            <v>5719.1095000000005</v>
          </cell>
          <cell r="AB2007"/>
        </row>
        <row r="2008">
          <cell r="C2008">
            <v>0</v>
          </cell>
          <cell r="D2008">
            <v>8</v>
          </cell>
          <cell r="E2008">
            <v>0</v>
          </cell>
          <cell r="F2008">
            <v>0</v>
          </cell>
          <cell r="H2008">
            <v>0</v>
          </cell>
          <cell r="O2008">
            <v>320669</v>
          </cell>
          <cell r="P2008" t="str">
            <v>2022/083-0005-01</v>
          </cell>
          <cell r="Q2008" t="str">
            <v>EST CADEIRA JULIA C/BRACO (COURO PIG 101 BEGE) (PRETO FSC)</v>
          </cell>
          <cell r="R2008"/>
          <cell r="S2008"/>
          <cell r="T2008">
            <v>0.61</v>
          </cell>
          <cell r="U2008">
            <v>0.54</v>
          </cell>
          <cell r="V2008">
            <v>0.76</v>
          </cell>
          <cell r="W2008">
            <v>0</v>
          </cell>
          <cell r="X2008" t="str">
            <v>EST CADEIRA JULIA C/BRACO (COURO PIG 101 BEGE) (PRETO FSC) - 0,61x0,54x0,76H</v>
          </cell>
          <cell r="Y2008">
            <v>8798.630000000001</v>
          </cell>
          <cell r="Z2008">
            <v>0.35</v>
          </cell>
          <cell r="AA2008">
            <v>5719.1095000000005</v>
          </cell>
          <cell r="AB2008"/>
        </row>
        <row r="2009">
          <cell r="C2009">
            <v>0</v>
          </cell>
          <cell r="D2009">
            <v>8</v>
          </cell>
          <cell r="E2009">
            <v>0</v>
          </cell>
          <cell r="F2009">
            <v>0</v>
          </cell>
          <cell r="H2009">
            <v>0</v>
          </cell>
          <cell r="O2009">
            <v>320669</v>
          </cell>
          <cell r="P2009" t="str">
            <v>2022/083-0006-01</v>
          </cell>
          <cell r="Q2009" t="str">
            <v>EST CADEIRA JULIA C/BRACO (COURO PIG 101 BEGE) (PRETO FSC)</v>
          </cell>
          <cell r="R2009"/>
          <cell r="S2009"/>
          <cell r="T2009">
            <v>0.61</v>
          </cell>
          <cell r="U2009">
            <v>0.54</v>
          </cell>
          <cell r="V2009">
            <v>0.76</v>
          </cell>
          <cell r="W2009">
            <v>0</v>
          </cell>
          <cell r="X2009" t="str">
            <v>EST CADEIRA JULIA C/BRACO (COURO PIG 101 BEGE) (PRETO FSC) - 0,61x0,54x0,76H</v>
          </cell>
          <cell r="Y2009">
            <v>8798.630000000001</v>
          </cell>
          <cell r="Z2009">
            <v>0.35</v>
          </cell>
          <cell r="AA2009">
            <v>5719.1095000000005</v>
          </cell>
          <cell r="AB2009"/>
        </row>
        <row r="2010">
          <cell r="C2010">
            <v>0</v>
          </cell>
          <cell r="D2010">
            <v>8</v>
          </cell>
          <cell r="E2010">
            <v>0</v>
          </cell>
          <cell r="F2010">
            <v>0</v>
          </cell>
          <cell r="H2010">
            <v>0</v>
          </cell>
          <cell r="O2010">
            <v>320669</v>
          </cell>
          <cell r="P2010" t="str">
            <v>2022/083-0007-01</v>
          </cell>
          <cell r="Q2010" t="str">
            <v>EST CADEIRA JULIA C/BRACO (COURO PIG 101 BEGE) (PRETO FSC)</v>
          </cell>
          <cell r="R2010"/>
          <cell r="S2010"/>
          <cell r="T2010">
            <v>0.61</v>
          </cell>
          <cell r="U2010">
            <v>0.54</v>
          </cell>
          <cell r="V2010">
            <v>0.76</v>
          </cell>
          <cell r="W2010">
            <v>0</v>
          </cell>
          <cell r="X2010" t="str">
            <v>EST CADEIRA JULIA C/BRACO (COURO PIG 101 BEGE) (PRETO FSC) - 0,61x0,54x0,76H</v>
          </cell>
          <cell r="Y2010">
            <v>8798.630000000001</v>
          </cell>
          <cell r="Z2010">
            <v>0.35</v>
          </cell>
          <cell r="AA2010">
            <v>5719.1095000000005</v>
          </cell>
          <cell r="AB2010"/>
        </row>
        <row r="2011">
          <cell r="C2011">
            <v>0</v>
          </cell>
          <cell r="D2011">
            <v>2</v>
          </cell>
          <cell r="E2011">
            <v>0</v>
          </cell>
          <cell r="F2011">
            <v>0</v>
          </cell>
          <cell r="H2011">
            <v>0</v>
          </cell>
          <cell r="O2011">
            <v>324023</v>
          </cell>
          <cell r="P2011" t="str">
            <v>2022/090-0040-01</v>
          </cell>
          <cell r="Q2011" t="str">
            <v>EST TAPETE CORAL (HEXAGONO) (2 CORES) (10MM) F:1303/L:73</v>
          </cell>
          <cell r="R2011"/>
          <cell r="S2011"/>
          <cell r="T2011">
            <v>3.5</v>
          </cell>
          <cell r="U2011">
            <v>4.5</v>
          </cell>
          <cell r="V2011">
            <v>0.01</v>
          </cell>
          <cell r="W2011">
            <v>0</v>
          </cell>
          <cell r="X2011" t="str">
            <v>EST TAPETE CORAL (HEXAGONO) (2 CORES) (10MM) F:1303/L:73 - 3,5x4,5x0,01H</v>
          </cell>
          <cell r="Y2011">
            <v>45581.760000000002</v>
          </cell>
          <cell r="Z2011">
            <v>0.35</v>
          </cell>
          <cell r="AA2011">
            <v>29628.144</v>
          </cell>
          <cell r="AB2011"/>
        </row>
        <row r="2012">
          <cell r="C2012">
            <v>0</v>
          </cell>
          <cell r="D2012">
            <v>2</v>
          </cell>
          <cell r="E2012">
            <v>0</v>
          </cell>
          <cell r="F2012">
            <v>0</v>
          </cell>
          <cell r="H2012">
            <v>0</v>
          </cell>
          <cell r="O2012">
            <v>324023</v>
          </cell>
          <cell r="P2012" t="str">
            <v>2022/090-0039-01</v>
          </cell>
          <cell r="Q2012" t="str">
            <v>EST TAPETE CORAL (HEXAGONO) (2 CORES) (10MM) F:1303/L:73</v>
          </cell>
          <cell r="R2012"/>
          <cell r="S2012"/>
          <cell r="T2012">
            <v>3.5</v>
          </cell>
          <cell r="U2012">
            <v>4.5</v>
          </cell>
          <cell r="V2012">
            <v>0.01</v>
          </cell>
          <cell r="W2012">
            <v>0</v>
          </cell>
          <cell r="X2012" t="str">
            <v>EST TAPETE CORAL (HEXAGONO) (2 CORES) (10MM) F:1303/L:73 - 3,5x4,5x0,01H</v>
          </cell>
          <cell r="Y2012">
            <v>45581.760000000002</v>
          </cell>
          <cell r="Z2012">
            <v>0.35</v>
          </cell>
          <cell r="AA2012">
            <v>29628.144</v>
          </cell>
          <cell r="AB2012"/>
        </row>
        <row r="2013">
          <cell r="C2013">
            <v>0</v>
          </cell>
          <cell r="D2013">
            <v>2</v>
          </cell>
          <cell r="E2013">
            <v>0</v>
          </cell>
          <cell r="F2013">
            <v>0</v>
          </cell>
          <cell r="H2013">
            <v>0</v>
          </cell>
          <cell r="O2013">
            <v>324025</v>
          </cell>
          <cell r="P2013" t="str">
            <v>2022/101-0070-01</v>
          </cell>
          <cell r="Q2013" t="str">
            <v>EST TAPETE DUNAS (DES) (10MM) F:1303/D:1580/5013/89</v>
          </cell>
          <cell r="R2013"/>
          <cell r="S2013"/>
          <cell r="T2013">
            <v>3</v>
          </cell>
          <cell r="U2013">
            <v>4</v>
          </cell>
          <cell r="V2013">
            <v>0.01</v>
          </cell>
          <cell r="W2013">
            <v>0</v>
          </cell>
          <cell r="X2013" t="str">
            <v>EST TAPETE DUNAS (DES) (10MM) F:1303/D:1580/5013/89 - 3x4x0,01H</v>
          </cell>
          <cell r="Y2013">
            <v>30535.68</v>
          </cell>
          <cell r="Z2013">
            <v>0.35</v>
          </cell>
          <cell r="AA2013">
            <v>19848.192000000003</v>
          </cell>
          <cell r="AB2013"/>
        </row>
        <row r="2014">
          <cell r="C2014">
            <v>0</v>
          </cell>
          <cell r="D2014">
            <v>2</v>
          </cell>
          <cell r="E2014">
            <v>0</v>
          </cell>
          <cell r="F2014">
            <v>0</v>
          </cell>
          <cell r="H2014">
            <v>0</v>
          </cell>
          <cell r="O2014">
            <v>324025</v>
          </cell>
          <cell r="P2014" t="str">
            <v>2022/101-0071-01</v>
          </cell>
          <cell r="Q2014" t="str">
            <v>EST TAPETE DUNAS (DES) (10MM) F:1303/D:1580/5013/89</v>
          </cell>
          <cell r="R2014"/>
          <cell r="S2014"/>
          <cell r="T2014">
            <v>3</v>
          </cell>
          <cell r="U2014">
            <v>4</v>
          </cell>
          <cell r="V2014">
            <v>0.01</v>
          </cell>
          <cell r="W2014">
            <v>0</v>
          </cell>
          <cell r="X2014" t="str">
            <v>EST TAPETE DUNAS (DES) (10MM) F:1303/D:1580/5013/89 - 3x4x0,01H</v>
          </cell>
          <cell r="Y2014">
            <v>30535.68</v>
          </cell>
          <cell r="Z2014">
            <v>0.35</v>
          </cell>
          <cell r="AA2014">
            <v>19848.192000000003</v>
          </cell>
          <cell r="AB2014"/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H2015">
            <v>1</v>
          </cell>
          <cell r="O2015">
            <v>324029</v>
          </cell>
          <cell r="P2015" t="str">
            <v>2022/090-0052-01</v>
          </cell>
          <cell r="Q2015" t="str">
            <v>EST TAPETE LUA (ORGANIC) (2 CORES) (10MM) F:139/FX:1137</v>
          </cell>
          <cell r="R2015"/>
          <cell r="S2015"/>
          <cell r="T2015">
            <v>2.5</v>
          </cell>
          <cell r="U2015">
            <v>0</v>
          </cell>
          <cell r="V2015">
            <v>0.01</v>
          </cell>
          <cell r="W2015">
            <v>2.5</v>
          </cell>
          <cell r="X2015" t="str">
            <v>EST TAPETE LUA (ORGANIC) (2 CORES) (10MM) F:139/FX:1137 - Ø2,5x0,01H</v>
          </cell>
          <cell r="Y2015">
            <v>22848</v>
          </cell>
          <cell r="Z2015">
            <v>0.35</v>
          </cell>
          <cell r="AA2015">
            <v>14851.2</v>
          </cell>
          <cell r="AB2015"/>
        </row>
        <row r="2016">
          <cell r="C2016">
            <v>0</v>
          </cell>
          <cell r="D2016">
            <v>1</v>
          </cell>
          <cell r="E2016">
            <v>0</v>
          </cell>
          <cell r="F2016">
            <v>0</v>
          </cell>
          <cell r="H2016">
            <v>0</v>
          </cell>
          <cell r="O2016">
            <v>336544</v>
          </cell>
          <cell r="P2016" t="str">
            <v>2022/245-0084-02</v>
          </cell>
          <cell r="Q2016" t="str">
            <v>EST MESA JANTAR MAR ADENTRO (LAMINA 2 NOGUEIRA NT/BS CORTEN)</v>
          </cell>
          <cell r="R2016"/>
          <cell r="S2016"/>
          <cell r="T2016">
            <v>3</v>
          </cell>
          <cell r="U2016">
            <v>1.2</v>
          </cell>
          <cell r="V2016">
            <v>0.75</v>
          </cell>
          <cell r="W2016">
            <v>0</v>
          </cell>
          <cell r="X2016" t="str">
            <v>EST MESA JANTAR MAR ADENTRO (LAMINA 2 NOGUEIRA NT/BS CORTEN) - 3x1,2x0,75H</v>
          </cell>
          <cell r="Y2016">
            <v>67216.62</v>
          </cell>
          <cell r="Z2016">
            <v>0.35</v>
          </cell>
          <cell r="AA2016">
            <v>43690.803</v>
          </cell>
          <cell r="AB2016"/>
        </row>
        <row r="2017">
          <cell r="C2017">
            <v>0</v>
          </cell>
          <cell r="D2017">
            <v>1</v>
          </cell>
          <cell r="E2017">
            <v>0</v>
          </cell>
          <cell r="F2017">
            <v>1</v>
          </cell>
          <cell r="H2017">
            <v>0</v>
          </cell>
          <cell r="O2017">
            <v>342301</v>
          </cell>
          <cell r="P2017" t="str">
            <v>2022/217-0009-01</v>
          </cell>
          <cell r="Q2017" t="str">
            <v>EST TAPETE MATISSE STRIPES LINHAS 1 (10MM) F:1280/D:73</v>
          </cell>
          <cell r="R2017"/>
          <cell r="S2017"/>
          <cell r="T2017">
            <v>4</v>
          </cell>
          <cell r="U2017">
            <v>3</v>
          </cell>
          <cell r="V2017">
            <v>0.01</v>
          </cell>
          <cell r="W2017">
            <v>0</v>
          </cell>
          <cell r="X2017" t="str">
            <v>EST TAPETE MATISSE STRIPES LINHAS 1 (10MM) F:1280/D:73 - 4x3x0,01H</v>
          </cell>
          <cell r="Y2017">
            <v>30535.68</v>
          </cell>
          <cell r="Z2017">
            <v>0.35</v>
          </cell>
          <cell r="AA2017">
            <v>19848.192000000003</v>
          </cell>
          <cell r="AB2017"/>
        </row>
        <row r="2018">
          <cell r="C2018">
            <v>0</v>
          </cell>
          <cell r="D2018">
            <v>1</v>
          </cell>
          <cell r="E2018">
            <v>0</v>
          </cell>
          <cell r="F2018">
            <v>0</v>
          </cell>
          <cell r="H2018">
            <v>0</v>
          </cell>
          <cell r="O2018">
            <v>350001</v>
          </cell>
          <cell r="P2018" t="str">
            <v>2022/222-0002-01</v>
          </cell>
          <cell r="Q2018" t="str">
            <v>EST MESA JANTAR MATISSE (TP NOG PURE) (BS NOG PURE)</v>
          </cell>
          <cell r="R2018"/>
          <cell r="S2018"/>
          <cell r="T2018">
            <v>3</v>
          </cell>
          <cell r="U2018">
            <v>1.05</v>
          </cell>
          <cell r="V2018">
            <v>0.75</v>
          </cell>
          <cell r="W2018">
            <v>0</v>
          </cell>
          <cell r="X2018" t="str">
            <v>EST MESA JANTAR MATISSE (TP NOG PURE) (BS NOG PURE) - 3x1,05x0,75H</v>
          </cell>
          <cell r="Y2018">
            <v>59262.2</v>
          </cell>
          <cell r="Z2018">
            <v>0.35</v>
          </cell>
          <cell r="AA2018">
            <v>38520.43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350002</v>
          </cell>
          <cell r="P2019" t="str">
            <v>2022/222-0003-01</v>
          </cell>
          <cell r="Q2019" t="str">
            <v>EST MESA JANTAR MATISSE (TP NOG PURE S/DET) (BS BRONZE CF)</v>
          </cell>
          <cell r="R2019"/>
          <cell r="S2019"/>
          <cell r="T2019">
            <v>1.83</v>
          </cell>
          <cell r="U2019">
            <v>0</v>
          </cell>
          <cell r="V2019">
            <v>0.75</v>
          </cell>
          <cell r="W2019">
            <v>1.83</v>
          </cell>
          <cell r="X2019" t="str">
            <v>EST MESA JANTAR MATISSE (TP NOG PURE S/DET) (BS BRONZE CF) - Ø1,83x0,75H</v>
          </cell>
          <cell r="Y2019">
            <v>51369.11</v>
          </cell>
          <cell r="Z2019">
            <v>0.35</v>
          </cell>
          <cell r="AA2019">
            <v>33389.921499999997</v>
          </cell>
          <cell r="AB2019"/>
        </row>
        <row r="2020">
          <cell r="C2020">
            <v>0</v>
          </cell>
          <cell r="D2020">
            <v>2</v>
          </cell>
          <cell r="E2020">
            <v>0</v>
          </cell>
          <cell r="F2020">
            <v>0</v>
          </cell>
          <cell r="H2020">
            <v>0</v>
          </cell>
          <cell r="O2020">
            <v>364311</v>
          </cell>
          <cell r="P2020" t="str">
            <v>2023/152-0048-01</v>
          </cell>
          <cell r="Q2020" t="str">
            <v>EST CADEIRA CACAU (CASTANHO) (LATAO) TC PREMIUM P016</v>
          </cell>
          <cell r="R2020"/>
          <cell r="S2020"/>
          <cell r="T2020">
            <v>0.5</v>
          </cell>
          <cell r="U2020">
            <v>0.61</v>
          </cell>
          <cell r="V2020">
            <v>0.84</v>
          </cell>
          <cell r="W2020">
            <v>0</v>
          </cell>
          <cell r="X2020" t="str">
            <v>EST CADEIRA CACAU (CASTANHO) (LATAO) TC PREMIUM P016 - 0,5x0,61x0,84H</v>
          </cell>
          <cell r="Y2020">
            <v>5085.5600000000004</v>
          </cell>
          <cell r="Z2020">
            <v>0.35</v>
          </cell>
          <cell r="AA2020">
            <v>3305.6140000000005</v>
          </cell>
          <cell r="AB2020"/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364311</v>
          </cell>
          <cell r="P2021" t="str">
            <v>2023/152-0047-01</v>
          </cell>
          <cell r="Q2021" t="str">
            <v>EST CADEIRA CACAU (CASTANHO) (LATAO) TC PREMIUM P016</v>
          </cell>
          <cell r="R2021"/>
          <cell r="S2021"/>
          <cell r="T2021">
            <v>0.5</v>
          </cell>
          <cell r="U2021">
            <v>0.61</v>
          </cell>
          <cell r="V2021">
            <v>0.84</v>
          </cell>
          <cell r="W2021">
            <v>0</v>
          </cell>
          <cell r="X2021" t="str">
            <v>EST CADEIRA CACAU (CASTANHO) (LATAO) TC PREMIUM P016 - 0,5x0,61x0,84H</v>
          </cell>
          <cell r="Y2021">
            <v>5085.5600000000004</v>
          </cell>
          <cell r="Z2021">
            <v>0.35</v>
          </cell>
          <cell r="AA2021">
            <v>3305.6140000000005</v>
          </cell>
          <cell r="AB2021"/>
        </row>
        <row r="2022">
          <cell r="C2022">
            <v>0</v>
          </cell>
          <cell r="D2022">
            <v>1</v>
          </cell>
          <cell r="E2022">
            <v>0</v>
          </cell>
          <cell r="F2022">
            <v>0</v>
          </cell>
          <cell r="H2022">
            <v>0</v>
          </cell>
          <cell r="O2022">
            <v>371593</v>
          </cell>
          <cell r="P2022" t="str">
            <v>2023/271-0010-01</v>
          </cell>
          <cell r="Q2022" t="str">
            <v>EST MESA JANTAR THAI (TP MARM 1 NUVOLA GOLD) (TOBACCO)</v>
          </cell>
          <cell r="R2022"/>
          <cell r="S2022"/>
          <cell r="T2022">
            <v>2.7</v>
          </cell>
          <cell r="U2022">
            <v>1.2</v>
          </cell>
          <cell r="V2022">
            <v>0.76</v>
          </cell>
          <cell r="W2022">
            <v>0</v>
          </cell>
          <cell r="X2022" t="str">
            <v>EST MESA JANTAR THAI (TP MARM 1 NUVOLA GOLD) (TOBACCO) - 2,7x1,2x0,76H</v>
          </cell>
          <cell r="Y2022">
            <v>89043.67</v>
          </cell>
          <cell r="Z2022">
            <v>0.35</v>
          </cell>
          <cell r="AA2022">
            <v>57878.385500000004</v>
          </cell>
          <cell r="AB2022"/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H2023">
            <v>10</v>
          </cell>
          <cell r="O2023">
            <v>371710</v>
          </cell>
          <cell r="P2023" t="str">
            <v>2023/234-0053-01</v>
          </cell>
          <cell r="Q2023" t="str">
            <v>EST CADEIRA LUIZA C/BRACO FORN COURO PIG 259/JEQ CAST CLARO</v>
          </cell>
          <cell r="R2023"/>
          <cell r="S2023"/>
          <cell r="T2023">
            <v>0.59</v>
          </cell>
          <cell r="U2023">
            <v>0.56000000000000005</v>
          </cell>
          <cell r="V2023">
            <v>0.74</v>
          </cell>
          <cell r="W2023">
            <v>0</v>
          </cell>
          <cell r="X2023" t="str">
            <v>EST CADEIRA LUIZA C/BRACO FORN COURO PIG 259/JEQ CAST CLARO - 0,59x0,56x0,74H</v>
          </cell>
          <cell r="Y2023">
            <v>5341.634</v>
          </cell>
          <cell r="Z2023">
            <v>0.35</v>
          </cell>
          <cell r="AA2023">
            <v>3472.0621000000001</v>
          </cell>
          <cell r="AB2023"/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H2024">
            <v>10</v>
          </cell>
          <cell r="O2024">
            <v>371710</v>
          </cell>
          <cell r="P2024" t="str">
            <v>2023/234-0055-01</v>
          </cell>
          <cell r="Q2024" t="str">
            <v>EST CADEIRA LUIZA C/BRACO FORN COURO PIG 259/JEQ CAST CLARO</v>
          </cell>
          <cell r="R2024"/>
          <cell r="S2024"/>
          <cell r="T2024">
            <v>0.59</v>
          </cell>
          <cell r="U2024">
            <v>0.56000000000000005</v>
          </cell>
          <cell r="V2024">
            <v>0.74</v>
          </cell>
          <cell r="W2024">
            <v>0</v>
          </cell>
          <cell r="X2024" t="str">
            <v>EST CADEIRA LUIZA C/BRACO FORN COURO PIG 259/JEQ CAST CLARO - 0,59x0,56x0,74H</v>
          </cell>
          <cell r="Y2024">
            <v>5341.634</v>
          </cell>
          <cell r="Z2024">
            <v>0.35</v>
          </cell>
          <cell r="AA2024">
            <v>3472.0621000000001</v>
          </cell>
          <cell r="AB2024"/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H2025">
            <v>10</v>
          </cell>
          <cell r="O2025">
            <v>371710</v>
          </cell>
          <cell r="P2025" t="str">
            <v>2023/234-0056-01</v>
          </cell>
          <cell r="Q2025" t="str">
            <v>EST CADEIRA LUIZA C/BRACO FORN COURO PIG 259/JEQ CAST CLARO</v>
          </cell>
          <cell r="R2025"/>
          <cell r="S2025"/>
          <cell r="T2025">
            <v>0.59</v>
          </cell>
          <cell r="U2025">
            <v>0.56000000000000005</v>
          </cell>
          <cell r="V2025">
            <v>0.74</v>
          </cell>
          <cell r="W2025">
            <v>0</v>
          </cell>
          <cell r="X2025" t="str">
            <v>EST CADEIRA LUIZA C/BRACO FORN COURO PIG 259/JEQ CAST CLARO - 0,59x0,56x0,74H</v>
          </cell>
          <cell r="Y2025">
            <v>5341.634</v>
          </cell>
          <cell r="Z2025">
            <v>0.35</v>
          </cell>
          <cell r="AA2025">
            <v>3472.0621000000001</v>
          </cell>
          <cell r="AB2025"/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H2026">
            <v>10</v>
          </cell>
          <cell r="O2026">
            <v>371710</v>
          </cell>
          <cell r="P2026" t="str">
            <v>2023/234-0060-01</v>
          </cell>
          <cell r="Q2026" t="str">
            <v>EST CADEIRA LUIZA C/BRACO FORN COURO PIG 259/JEQ CAST CLARO</v>
          </cell>
          <cell r="R2026"/>
          <cell r="S2026"/>
          <cell r="T2026">
            <v>0.59</v>
          </cell>
          <cell r="U2026">
            <v>0.56000000000000005</v>
          </cell>
          <cell r="V2026">
            <v>0.74</v>
          </cell>
          <cell r="W2026">
            <v>0</v>
          </cell>
          <cell r="X2026" t="str">
            <v>EST CADEIRA LUIZA C/BRACO FORN COURO PIG 259/JEQ CAST CLARO - 0,59x0,56x0,74H</v>
          </cell>
          <cell r="Y2026">
            <v>5341.634</v>
          </cell>
          <cell r="Z2026">
            <v>0.35</v>
          </cell>
          <cell r="AA2026">
            <v>3472.0621000000001</v>
          </cell>
          <cell r="AB2026"/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H2027">
            <v>10</v>
          </cell>
          <cell r="O2027">
            <v>371710</v>
          </cell>
          <cell r="P2027" t="str">
            <v>2023/234-0061-01</v>
          </cell>
          <cell r="Q2027" t="str">
            <v>EST CADEIRA LUIZA C/BRACO FORN COURO PIG 259/JEQ CAST CLARO</v>
          </cell>
          <cell r="R2027"/>
          <cell r="S2027"/>
          <cell r="T2027">
            <v>0.59</v>
          </cell>
          <cell r="U2027">
            <v>0.56000000000000005</v>
          </cell>
          <cell r="V2027">
            <v>0.74</v>
          </cell>
          <cell r="W2027">
            <v>0</v>
          </cell>
          <cell r="X2027" t="str">
            <v>EST CADEIRA LUIZA C/BRACO FORN COURO PIG 259/JEQ CAST CLARO - 0,59x0,56x0,74H</v>
          </cell>
          <cell r="Y2027">
            <v>5341.634</v>
          </cell>
          <cell r="Z2027">
            <v>0.35</v>
          </cell>
          <cell r="AA2027">
            <v>3472.0621000000001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10</v>
          </cell>
          <cell r="O2028">
            <v>371710</v>
          </cell>
          <cell r="P2028" t="str">
            <v>2023/234-0057-01</v>
          </cell>
          <cell r="Q2028" t="str">
            <v>EST CADEIRA LUIZA C/BRACO FORN COURO PIG 259/JEQ CAST CLARO</v>
          </cell>
          <cell r="R2028"/>
          <cell r="S2028"/>
          <cell r="T2028">
            <v>0.59</v>
          </cell>
          <cell r="U2028">
            <v>0.56000000000000005</v>
          </cell>
          <cell r="V2028">
            <v>0.74</v>
          </cell>
          <cell r="W2028">
            <v>0</v>
          </cell>
          <cell r="X2028" t="str">
            <v>EST CADEIRA LUIZA C/BRACO FORN COURO PIG 259/JEQ CAST CLARO - 0,59x0,56x0,74H</v>
          </cell>
          <cell r="Y2028">
            <v>5341.634</v>
          </cell>
          <cell r="Z2028">
            <v>0.35</v>
          </cell>
          <cell r="AA2028">
            <v>3472.0621000000001</v>
          </cell>
          <cell r="AB2028"/>
        </row>
        <row r="2029">
          <cell r="C2029">
            <v>0</v>
          </cell>
          <cell r="D2029">
            <v>2</v>
          </cell>
          <cell r="E2029">
            <v>0</v>
          </cell>
          <cell r="F2029">
            <v>0</v>
          </cell>
          <cell r="H2029">
            <v>0</v>
          </cell>
          <cell r="O2029">
            <v>399360</v>
          </cell>
          <cell r="P2029" t="str">
            <v>2025/044-0020-01</v>
          </cell>
          <cell r="Q2029" t="str">
            <v>EST POLTRONA SUMA (COURO TP1 ESTONADO AMARULA) DET COCOA</v>
          </cell>
          <cell r="R2029"/>
          <cell r="S2029"/>
          <cell r="T2029">
            <v>0.68</v>
          </cell>
          <cell r="U2029">
            <v>0.87</v>
          </cell>
          <cell r="V2029">
            <v>0.7</v>
          </cell>
          <cell r="W2029">
            <v>0</v>
          </cell>
          <cell r="X2029" t="str">
            <v>EST POLTRONA SUMA (COURO TP1 ESTONADO AMARULA) DET COCOA - 0,68x0,87x0,7H</v>
          </cell>
          <cell r="Y2029">
            <v>18387.259999999998</v>
          </cell>
          <cell r="Z2029">
            <v>0.35</v>
          </cell>
          <cell r="AA2029">
            <v>11951.718999999999</v>
          </cell>
          <cell r="AB2029"/>
        </row>
        <row r="2030">
          <cell r="C2030">
            <v>0</v>
          </cell>
          <cell r="D2030">
            <v>2</v>
          </cell>
          <cell r="E2030">
            <v>0</v>
          </cell>
          <cell r="F2030">
            <v>0</v>
          </cell>
          <cell r="H2030">
            <v>0</v>
          </cell>
          <cell r="O2030">
            <v>399360</v>
          </cell>
          <cell r="P2030" t="str">
            <v>2025/044-0021-01</v>
          </cell>
          <cell r="Q2030" t="str">
            <v>EST POLTRONA SUMA (COURO TP1 ESTONADO AMARULA) DET COCOA</v>
          </cell>
          <cell r="R2030"/>
          <cell r="S2030"/>
          <cell r="T2030">
            <v>0.68</v>
          </cell>
          <cell r="U2030">
            <v>0.87</v>
          </cell>
          <cell r="V2030">
            <v>0.7</v>
          </cell>
          <cell r="W2030">
            <v>0</v>
          </cell>
          <cell r="X2030" t="str">
            <v>EST POLTRONA SUMA (COURO TP1 ESTONADO AMARULA) DET COCOA - 0,68x0,87x0,7H</v>
          </cell>
          <cell r="Y2030">
            <v>18387.259999999998</v>
          </cell>
          <cell r="Z2030">
            <v>0.35</v>
          </cell>
          <cell r="AA2030">
            <v>11951.718999999999</v>
          </cell>
          <cell r="AB2030"/>
        </row>
        <row r="2031">
          <cell r="C2031">
            <v>0</v>
          </cell>
          <cell r="D2031">
            <v>1</v>
          </cell>
          <cell r="E2031">
            <v>0</v>
          </cell>
          <cell r="F2031">
            <v>0</v>
          </cell>
          <cell r="H2031">
            <v>0</v>
          </cell>
          <cell r="O2031">
            <v>402445</v>
          </cell>
          <cell r="P2031" t="str">
            <v>2025/094-0028-01</v>
          </cell>
          <cell r="Q2031" t="str">
            <v>EST BANCO TRILHO (CARVALHO TING MEL)</v>
          </cell>
          <cell r="R2031"/>
          <cell r="S2031"/>
          <cell r="T2031">
            <v>1.8</v>
          </cell>
          <cell r="U2031">
            <v>0.52</v>
          </cell>
          <cell r="V2031">
            <v>0.42</v>
          </cell>
          <cell r="W2031">
            <v>0</v>
          </cell>
          <cell r="X2031" t="str">
            <v>EST BANCO TRILHO (CARVALHO TING MEL) - 1,8x0,52x0,42H</v>
          </cell>
          <cell r="Y2031">
            <v>27984.41</v>
          </cell>
          <cell r="Z2031">
            <v>0.35</v>
          </cell>
          <cell r="AA2031">
            <v>18189.8665</v>
          </cell>
          <cell r="AB2031"/>
        </row>
        <row r="2032">
          <cell r="C2032">
            <v>2</v>
          </cell>
          <cell r="D2032">
            <v>2</v>
          </cell>
          <cell r="E2032">
            <v>0</v>
          </cell>
          <cell r="F2032">
            <v>0</v>
          </cell>
          <cell r="H2032">
            <v>0</v>
          </cell>
          <cell r="O2032">
            <v>404592</v>
          </cell>
          <cell r="P2032" t="str">
            <v>2025/154-0037-01</v>
          </cell>
          <cell r="Q2032" t="str">
            <v>EST POLTRONA BELLAGIO (ALU C24 | CORD V01)</v>
          </cell>
          <cell r="R2032"/>
          <cell r="S2032"/>
          <cell r="T2032">
            <v>0.8</v>
          </cell>
          <cell r="U2032">
            <v>0.85</v>
          </cell>
          <cell r="V2032">
            <v>0.72</v>
          </cell>
          <cell r="W2032">
            <v>0</v>
          </cell>
          <cell r="X2032" t="str">
            <v>EST POLTRONA BELLAGIO (ALU C24 | CORD V01) - 0,8x0,85x0,72H</v>
          </cell>
          <cell r="Y2032">
            <v>10458.69</v>
          </cell>
          <cell r="Z2032">
            <v>0.35</v>
          </cell>
          <cell r="AA2032">
            <v>6798.1485000000011</v>
          </cell>
          <cell r="AB2032"/>
        </row>
        <row r="2033">
          <cell r="C2033">
            <v>2</v>
          </cell>
          <cell r="D2033">
            <v>2</v>
          </cell>
          <cell r="E2033">
            <v>0</v>
          </cell>
          <cell r="F2033">
            <v>0</v>
          </cell>
          <cell r="H2033">
            <v>0</v>
          </cell>
          <cell r="O2033">
            <v>404592</v>
          </cell>
          <cell r="P2033" t="str">
            <v>2025/154-0038-01</v>
          </cell>
          <cell r="Q2033" t="str">
            <v>EST POLTRONA BELLAGIO (ALU C24 | CORD V01)</v>
          </cell>
          <cell r="R2033"/>
          <cell r="S2033"/>
          <cell r="T2033">
            <v>0.8</v>
          </cell>
          <cell r="U2033">
            <v>0.85</v>
          </cell>
          <cell r="V2033">
            <v>0.72</v>
          </cell>
          <cell r="W2033">
            <v>0</v>
          </cell>
          <cell r="X2033" t="str">
            <v>EST POLTRONA BELLAGIO (ALU C24 | CORD V01) - 0,8x0,85x0,72H</v>
          </cell>
          <cell r="Y2033">
            <v>10458.69</v>
          </cell>
          <cell r="Z2033">
            <v>0.35</v>
          </cell>
          <cell r="AA2033">
            <v>6798.1485000000011</v>
          </cell>
          <cell r="AB2033"/>
        </row>
        <row r="2034">
          <cell r="C2034">
            <v>2</v>
          </cell>
          <cell r="D2034">
            <v>2</v>
          </cell>
          <cell r="E2034">
            <v>0</v>
          </cell>
          <cell r="F2034">
            <v>0</v>
          </cell>
          <cell r="H2034">
            <v>0</v>
          </cell>
          <cell r="O2034">
            <v>404595</v>
          </cell>
          <cell r="P2034" t="str">
            <v>2025/154-0047-01</v>
          </cell>
          <cell r="Q2034" t="str">
            <v>EST COMPONENTE ALMOFADA POLTRONA BELLAGIO TC KEEPSAKE SILVER</v>
          </cell>
          <cell r="R2034"/>
          <cell r="S2034"/>
          <cell r="T2034">
            <v>0.8</v>
          </cell>
          <cell r="U2034">
            <v>0.85</v>
          </cell>
          <cell r="V2034">
            <v>0.05</v>
          </cell>
          <cell r="W2034">
            <v>0</v>
          </cell>
          <cell r="X2034" t="str">
            <v>EST COMPONENTE ALMOFADA POLTRONA BELLAGIO TC KEEPSAKE SILVER - 0,8x0,85x0,05H</v>
          </cell>
          <cell r="Y2034">
            <v>6064.2404999999999</v>
          </cell>
          <cell r="Z2034">
            <v>0.35</v>
          </cell>
          <cell r="AA2034">
            <v>3941.7563249999998</v>
          </cell>
          <cell r="AB2034"/>
        </row>
        <row r="2035">
          <cell r="C2035">
            <v>2</v>
          </cell>
          <cell r="D2035">
            <v>2</v>
          </cell>
          <cell r="E2035">
            <v>0</v>
          </cell>
          <cell r="F2035">
            <v>0</v>
          </cell>
          <cell r="H2035">
            <v>0</v>
          </cell>
          <cell r="O2035">
            <v>404595</v>
          </cell>
          <cell r="P2035" t="str">
            <v>2025/154-0048-01</v>
          </cell>
          <cell r="Q2035" t="str">
            <v>EST COMPONENTE ALMOFADA POLTRONA BELLAGIO TC KEEPSAKE SILVER</v>
          </cell>
          <cell r="R2035"/>
          <cell r="S2035"/>
          <cell r="T2035">
            <v>0.8</v>
          </cell>
          <cell r="U2035">
            <v>0.85</v>
          </cell>
          <cell r="V2035">
            <v>0.05</v>
          </cell>
          <cell r="W2035">
            <v>0</v>
          </cell>
          <cell r="X2035" t="str">
            <v>EST COMPONENTE ALMOFADA POLTRONA BELLAGIO TC KEEPSAKE SILVER - 0,8x0,85x0,05H</v>
          </cell>
          <cell r="Y2035">
            <v>6064.2404999999999</v>
          </cell>
          <cell r="Z2035">
            <v>0.35</v>
          </cell>
          <cell r="AA2035">
            <v>3941.7563249999998</v>
          </cell>
          <cell r="AB2035"/>
        </row>
        <row r="2036">
          <cell r="C2036">
            <v>0</v>
          </cell>
          <cell r="D2036">
            <v>1</v>
          </cell>
          <cell r="E2036">
            <v>0</v>
          </cell>
          <cell r="F2036">
            <v>0</v>
          </cell>
          <cell r="H2036">
            <v>0</v>
          </cell>
          <cell r="O2036">
            <v>404609</v>
          </cell>
          <cell r="P2036" t="str">
            <v>2025/154-0017-01</v>
          </cell>
          <cell r="Q2036" t="str">
            <v>EST MESA LATERAL BELLAGIO (ALU C24)</v>
          </cell>
          <cell r="R2036"/>
          <cell r="S2036"/>
          <cell r="T2036">
            <v>0.7</v>
          </cell>
          <cell r="U2036">
            <v>0</v>
          </cell>
          <cell r="V2036">
            <v>0.55000000000000004</v>
          </cell>
          <cell r="W2036">
            <v>0.7</v>
          </cell>
          <cell r="X2036" t="str">
            <v>EST MESA LATERAL BELLAGIO (ALU C24) - Ø0,7x0,55H</v>
          </cell>
          <cell r="Y2036">
            <v>10168.44</v>
          </cell>
          <cell r="Z2036">
            <v>0.35</v>
          </cell>
          <cell r="AA2036">
            <v>6609.4860000000008</v>
          </cell>
          <cell r="AB2036"/>
        </row>
        <row r="2037">
          <cell r="C2037">
            <v>1</v>
          </cell>
          <cell r="D2037">
            <v>1</v>
          </cell>
          <cell r="E2037">
            <v>0</v>
          </cell>
          <cell r="F2037">
            <v>0</v>
          </cell>
          <cell r="H2037">
            <v>0</v>
          </cell>
          <cell r="O2037">
            <v>405105</v>
          </cell>
          <cell r="P2037" t="str">
            <v>2025/213-0050-01</v>
          </cell>
          <cell r="Q2037" t="str">
            <v>EST POLTRONA FLORIPA (MTX BROWN) COURO CH05</v>
          </cell>
          <cell r="R2037"/>
          <cell r="S2037"/>
          <cell r="T2037">
            <v>0.71</v>
          </cell>
          <cell r="U2037">
            <v>0.84</v>
          </cell>
          <cell r="V2037">
            <v>0.89</v>
          </cell>
          <cell r="W2037">
            <v>0</v>
          </cell>
          <cell r="X2037" t="str">
            <v>EST POLTRONA FLORIPA (MTX BROWN) COURO CH05 - 0,71x0,84x0,89H</v>
          </cell>
          <cell r="Y2037">
            <v>19442.66</v>
          </cell>
          <cell r="Z2037">
            <v>0.35</v>
          </cell>
          <cell r="AA2037">
            <v>12637.728999999999</v>
          </cell>
          <cell r="AB2037"/>
        </row>
        <row r="2038">
          <cell r="C2038">
            <v>1</v>
          </cell>
          <cell r="D2038">
            <v>1</v>
          </cell>
          <cell r="E2038">
            <v>0</v>
          </cell>
          <cell r="F2038">
            <v>0</v>
          </cell>
          <cell r="H2038">
            <v>0</v>
          </cell>
          <cell r="O2038">
            <v>405106</v>
          </cell>
          <cell r="P2038" t="str">
            <v>2025/213-0052-01</v>
          </cell>
          <cell r="Q2038" t="str">
            <v>EST BANQUETA FLORIPA (MTX BROWN) COURO CH05</v>
          </cell>
          <cell r="R2038"/>
          <cell r="S2038"/>
          <cell r="T2038">
            <v>0.6</v>
          </cell>
          <cell r="U2038">
            <v>0.6</v>
          </cell>
          <cell r="V2038">
            <v>0.4</v>
          </cell>
          <cell r="W2038">
            <v>0</v>
          </cell>
          <cell r="X2038" t="str">
            <v>EST BANQUETA FLORIPA (MTX BROWN) COURO CH05 - 0,6x0,6x0,4H</v>
          </cell>
          <cell r="Y2038">
            <v>12491.54</v>
          </cell>
          <cell r="Z2038">
            <v>0.35</v>
          </cell>
          <cell r="AA2038">
            <v>8119.5010000000011</v>
          </cell>
          <cell r="AB2038"/>
        </row>
        <row r="2039">
          <cell r="C2039">
            <v>0</v>
          </cell>
          <cell r="D2039">
            <v>1</v>
          </cell>
          <cell r="E2039">
            <v>0</v>
          </cell>
          <cell r="F2039">
            <v>0</v>
          </cell>
          <cell r="H2039">
            <v>0</v>
          </cell>
          <cell r="O2039">
            <v>186323</v>
          </cell>
          <cell r="P2039" t="str">
            <v>2016/098-0129-01</v>
          </cell>
          <cell r="Q2039" t="str">
            <v>EST MESA CENTRO GANACHE H32 (TP CARVALHO NAT/PES LATAO FSC)</v>
          </cell>
          <cell r="R2039"/>
          <cell r="S2039"/>
          <cell r="T2039">
            <v>1.3</v>
          </cell>
          <cell r="U2039">
            <v>1.3</v>
          </cell>
          <cell r="V2039">
            <v>0.32</v>
          </cell>
          <cell r="W2039">
            <v>0</v>
          </cell>
          <cell r="X2039" t="str">
            <v>EST MESA CENTRO GANACHE H32 (TP CARVALHO NAT/PES LATAO FSC) - 1,3x1,3x0,32H</v>
          </cell>
          <cell r="Y2039">
            <v>17248.990000000002</v>
          </cell>
          <cell r="Z2039">
            <v>0.5</v>
          </cell>
          <cell r="AA2039">
            <v>8624.4950000000008</v>
          </cell>
          <cell r="AB2039"/>
        </row>
        <row r="2040">
          <cell r="C2040">
            <v>0</v>
          </cell>
          <cell r="D2040">
            <v>1</v>
          </cell>
          <cell r="E2040">
            <v>0</v>
          </cell>
          <cell r="F2040">
            <v>0</v>
          </cell>
          <cell r="H2040">
            <v>0</v>
          </cell>
          <cell r="O2040">
            <v>239159</v>
          </cell>
          <cell r="P2040" t="str">
            <v>2021/046-0004-01</v>
          </cell>
          <cell r="Q2040" t="str">
            <v>EST MESA CENTRO GANACHE H32 (TP CALACATA/PES LATAO FSC)</v>
          </cell>
          <cell r="R2040"/>
          <cell r="S2040"/>
          <cell r="T2040">
            <v>1.1000000000000001</v>
          </cell>
          <cell r="U2040">
            <v>1.1000000000000001</v>
          </cell>
          <cell r="V2040">
            <v>0.27</v>
          </cell>
          <cell r="W2040">
            <v>0</v>
          </cell>
          <cell r="X2040" t="str">
            <v>EST MESA CENTRO GANACHE H32 (TP CALACATA/PES LATAO FSC) - 1,1x1,1x0,27H</v>
          </cell>
          <cell r="Y2040">
            <v>34590.57</v>
          </cell>
          <cell r="Z2040">
            <v>0.5</v>
          </cell>
          <cell r="AA2040">
            <v>17295.285</v>
          </cell>
          <cell r="AB2040"/>
        </row>
        <row r="2041">
          <cell r="C2041">
            <v>2</v>
          </cell>
          <cell r="D2041">
            <v>1</v>
          </cell>
          <cell r="E2041">
            <v>0</v>
          </cell>
          <cell r="F2041">
            <v>0</v>
          </cell>
          <cell r="H2041">
            <v>0</v>
          </cell>
          <cell r="O2041">
            <v>312448</v>
          </cell>
          <cell r="P2041" t="str">
            <v>2022/021-0032-01</v>
          </cell>
          <cell r="Q2041" t="str">
            <v>EST LUMINARIA DE TETO OYSTER 23 (3132)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LUMINARIA DE TETO OYSTER 23 (3132) - Ø0x0H</v>
          </cell>
          <cell r="Y2041">
            <v>2665.6</v>
          </cell>
          <cell r="Z2041">
            <v>0.5</v>
          </cell>
          <cell r="AA2041">
            <v>1332.8</v>
          </cell>
          <cell r="AB2041"/>
        </row>
        <row r="2042">
          <cell r="C2042">
            <v>0</v>
          </cell>
          <cell r="D2042">
            <v>1</v>
          </cell>
          <cell r="E2042">
            <v>0</v>
          </cell>
          <cell r="F2042">
            <v>0</v>
          </cell>
          <cell r="H2042">
            <v>0</v>
          </cell>
          <cell r="O2042">
            <v>334650</v>
          </cell>
          <cell r="P2042" t="str">
            <v>2022/210-0134-01</v>
          </cell>
          <cell r="Q2042" t="str">
            <v>EST MESA CENTRO COOLER (MAD LAM NOGAL) (AUT OXI)</v>
          </cell>
          <cell r="R2042"/>
          <cell r="S2042"/>
          <cell r="T2042">
            <v>1.8</v>
          </cell>
          <cell r="U2042">
            <v>0.8</v>
          </cell>
          <cell r="V2042">
            <v>0.3</v>
          </cell>
          <cell r="W2042">
            <v>0</v>
          </cell>
          <cell r="X2042" t="str">
            <v>EST MESA CENTRO COOLER (MAD LAM NOGAL) (AUT OXI) - 1,8x0,8x0,3H</v>
          </cell>
          <cell r="Y2042">
            <v>40631.620000000003</v>
          </cell>
          <cell r="Z2042">
            <v>0.5</v>
          </cell>
          <cell r="AA2042">
            <v>20315.810000000001</v>
          </cell>
          <cell r="AB2042"/>
        </row>
        <row r="2043">
          <cell r="C2043">
            <v>0</v>
          </cell>
          <cell r="D2043">
            <v>6</v>
          </cell>
          <cell r="E2043">
            <v>4</v>
          </cell>
          <cell r="F2043">
            <v>0</v>
          </cell>
          <cell r="H2043">
            <v>0</v>
          </cell>
          <cell r="O2043">
            <v>383975</v>
          </cell>
          <cell r="P2043" t="str">
            <v>2024/073-0043-01</v>
          </cell>
          <cell r="Q2043" t="str">
            <v>EST QUADRO (1210 PRETO)</v>
          </cell>
          <cell r="R2043"/>
          <cell r="S2043"/>
          <cell r="T2043">
            <v>0.8</v>
          </cell>
          <cell r="U2043">
            <v>1.1000000000000001</v>
          </cell>
          <cell r="V2043">
            <v>0.06</v>
          </cell>
          <cell r="W2043">
            <v>0</v>
          </cell>
          <cell r="X2043" t="str">
            <v>EST QUADRO (1210 PRETO) - 0,8x1,1x0,06H</v>
          </cell>
          <cell r="Y2043">
            <v>1747.2</v>
          </cell>
          <cell r="Z2043">
            <v>0.5</v>
          </cell>
          <cell r="AA2043">
            <v>873.6</v>
          </cell>
          <cell r="AB2043"/>
        </row>
        <row r="2044">
          <cell r="C2044">
            <v>0</v>
          </cell>
          <cell r="D2044">
            <v>6</v>
          </cell>
          <cell r="E2044">
            <v>4</v>
          </cell>
          <cell r="F2044">
            <v>0</v>
          </cell>
          <cell r="H2044">
            <v>0</v>
          </cell>
          <cell r="O2044">
            <v>383975</v>
          </cell>
          <cell r="P2044" t="str">
            <v>2024/073-0044-01</v>
          </cell>
          <cell r="Q2044" t="str">
            <v>EST QUADRO (1210 PRETO)</v>
          </cell>
          <cell r="R2044"/>
          <cell r="S2044"/>
          <cell r="T2044">
            <v>0.8</v>
          </cell>
          <cell r="U2044">
            <v>1.1000000000000001</v>
          </cell>
          <cell r="V2044">
            <v>0.06</v>
          </cell>
          <cell r="W2044">
            <v>0</v>
          </cell>
          <cell r="X2044" t="str">
            <v>EST QUADRO (1210 PRETO) - 0,8x1,1x0,06H</v>
          </cell>
          <cell r="Y2044">
            <v>1747.2</v>
          </cell>
          <cell r="Z2044">
            <v>0.5</v>
          </cell>
          <cell r="AA2044">
            <v>873.6</v>
          </cell>
          <cell r="AB2044"/>
        </row>
        <row r="2045">
          <cell r="C2045">
            <v>0</v>
          </cell>
          <cell r="D2045">
            <v>6</v>
          </cell>
          <cell r="E2045">
            <v>4</v>
          </cell>
          <cell r="F2045">
            <v>0</v>
          </cell>
          <cell r="H2045">
            <v>0</v>
          </cell>
          <cell r="O2045">
            <v>383975</v>
          </cell>
          <cell r="P2045" t="str">
            <v>2024/073-0045-01</v>
          </cell>
          <cell r="Q2045" t="str">
            <v>EST QUADRO (1210 PRETO)</v>
          </cell>
          <cell r="R2045"/>
          <cell r="S2045"/>
          <cell r="T2045">
            <v>0.8</v>
          </cell>
          <cell r="U2045">
            <v>1.1000000000000001</v>
          </cell>
          <cell r="V2045">
            <v>0.06</v>
          </cell>
          <cell r="W2045">
            <v>0</v>
          </cell>
          <cell r="X2045" t="str">
            <v>EST QUADRO (1210 PRETO) - 0,8x1,1x0,06H</v>
          </cell>
          <cell r="Y2045">
            <v>1747.2</v>
          </cell>
          <cell r="Z2045">
            <v>0.5</v>
          </cell>
          <cell r="AA2045">
            <v>873.6</v>
          </cell>
          <cell r="AB2045"/>
        </row>
        <row r="2046">
          <cell r="C2046">
            <v>0</v>
          </cell>
          <cell r="D2046">
            <v>6</v>
          </cell>
          <cell r="E2046">
            <v>4</v>
          </cell>
          <cell r="F2046">
            <v>0</v>
          </cell>
          <cell r="H2046">
            <v>0</v>
          </cell>
          <cell r="O2046">
            <v>383975</v>
          </cell>
          <cell r="P2046" t="str">
            <v>2024/073-0046-01</v>
          </cell>
          <cell r="Q2046" t="str">
            <v>EST QUADRO (1210 PRETO)</v>
          </cell>
          <cell r="R2046"/>
          <cell r="S2046"/>
          <cell r="T2046">
            <v>0.8</v>
          </cell>
          <cell r="U2046">
            <v>1.1000000000000001</v>
          </cell>
          <cell r="V2046">
            <v>0.06</v>
          </cell>
          <cell r="W2046">
            <v>0</v>
          </cell>
          <cell r="X2046" t="str">
            <v>EST QUADRO (1210 PRETO) - 0,8x1,1x0,06H</v>
          </cell>
          <cell r="Y2046">
            <v>1747.2</v>
          </cell>
          <cell r="Z2046">
            <v>0.5</v>
          </cell>
          <cell r="AA2046">
            <v>873.6</v>
          </cell>
          <cell r="AB2046"/>
        </row>
        <row r="2047">
          <cell r="C2047">
            <v>0</v>
          </cell>
          <cell r="D2047">
            <v>6</v>
          </cell>
          <cell r="E2047">
            <v>4</v>
          </cell>
          <cell r="F2047">
            <v>0</v>
          </cell>
          <cell r="H2047">
            <v>0</v>
          </cell>
          <cell r="O2047">
            <v>383975</v>
          </cell>
          <cell r="P2047" t="str">
            <v>2024/073-0047-01</v>
          </cell>
          <cell r="Q2047" t="str">
            <v>EST QUADRO (1210 PRETO)</v>
          </cell>
          <cell r="R2047"/>
          <cell r="S2047"/>
          <cell r="T2047">
            <v>0.8</v>
          </cell>
          <cell r="U2047">
            <v>1.1000000000000001</v>
          </cell>
          <cell r="V2047">
            <v>0.06</v>
          </cell>
          <cell r="W2047">
            <v>0</v>
          </cell>
          <cell r="X2047" t="str">
            <v>EST QUADRO (1210 PRETO) - 0,8x1,1x0,06H</v>
          </cell>
          <cell r="Y2047">
            <v>1747.2</v>
          </cell>
          <cell r="Z2047">
            <v>0.5</v>
          </cell>
          <cell r="AA2047">
            <v>873.6</v>
          </cell>
          <cell r="AB2047"/>
        </row>
        <row r="2048">
          <cell r="C2048">
            <v>0</v>
          </cell>
          <cell r="D2048">
            <v>6</v>
          </cell>
          <cell r="E2048">
            <v>4</v>
          </cell>
          <cell r="F2048">
            <v>0</v>
          </cell>
          <cell r="H2048">
            <v>0</v>
          </cell>
          <cell r="O2048">
            <v>383975</v>
          </cell>
          <cell r="P2048" t="str">
            <v>2024/073-0048-01</v>
          </cell>
          <cell r="Q2048" t="str">
            <v>EST QUADRO (1210 PRETO)</v>
          </cell>
          <cell r="R2048"/>
          <cell r="S2048"/>
          <cell r="T2048">
            <v>0.8</v>
          </cell>
          <cell r="U2048">
            <v>1.1000000000000001</v>
          </cell>
          <cell r="V2048">
            <v>0.06</v>
          </cell>
          <cell r="W2048">
            <v>0</v>
          </cell>
          <cell r="X2048" t="str">
            <v>EST QUADRO (1210 PRETO) - 0,8x1,1x0,06H</v>
          </cell>
          <cell r="Y2048">
            <v>1747.2</v>
          </cell>
          <cell r="Z2048">
            <v>0.5</v>
          </cell>
          <cell r="AA2048">
            <v>873.6</v>
          </cell>
          <cell r="AB2048"/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410449</v>
          </cell>
          <cell r="P2049" t="str">
            <v>2025/287-0043-01</v>
          </cell>
          <cell r="Q2049" t="str">
            <v>EST APARADOR THAE (JEQ NOGUEIRA) (TP JEQ NOGUEIRA)</v>
          </cell>
          <cell r="R2049"/>
          <cell r="S2049"/>
          <cell r="T2049">
            <v>2.6</v>
          </cell>
          <cell r="U2049">
            <v>0.5</v>
          </cell>
          <cell r="V2049">
            <v>0.75</v>
          </cell>
          <cell r="W2049">
            <v>0</v>
          </cell>
          <cell r="X2049" t="str">
            <v>EST APARADOR THAE (JEQ NOGUEIRA) (TP JEQ NOGUEIRA) - 2,6x0,5x0,75H</v>
          </cell>
          <cell r="Y2049">
            <v>28056.67</v>
          </cell>
          <cell r="Z2049">
            <v>0.35</v>
          </cell>
          <cell r="AA2049">
            <v>18236.835500000001</v>
          </cell>
          <cell r="AB2049"/>
        </row>
        <row r="2050">
          <cell r="C2050">
            <v>1</v>
          </cell>
          <cell r="D2050">
            <v>0</v>
          </cell>
          <cell r="E2050">
            <v>0</v>
          </cell>
          <cell r="F2050">
            <v>0</v>
          </cell>
          <cell r="H2050">
            <v>0</v>
          </cell>
          <cell r="O2050">
            <v>410448</v>
          </cell>
          <cell r="P2050" t="str">
            <v>2025/287-0042-01</v>
          </cell>
          <cell r="Q2050" t="str">
            <v>EST MESA JANTAR THAE (JEQ NOGUEIRA) (TP JEQ NOGUEIRA)</v>
          </cell>
          <cell r="R2050"/>
          <cell r="S2050"/>
          <cell r="T2050">
            <v>3</v>
          </cell>
          <cell r="U2050">
            <v>1.2</v>
          </cell>
          <cell r="V2050">
            <v>0.75</v>
          </cell>
          <cell r="W2050">
            <v>0</v>
          </cell>
          <cell r="X2050" t="str">
            <v>EST MESA JANTAR THAE (JEQ NOGUEIRA) (TP JEQ NOGUEIRA) - 3x1,2x0,75H</v>
          </cell>
          <cell r="Y2050">
            <v>47734.13</v>
          </cell>
          <cell r="Z2050">
            <v>0.35</v>
          </cell>
          <cell r="AA2050">
            <v>31027.184499999999</v>
          </cell>
          <cell r="AB2050"/>
        </row>
        <row r="2051">
          <cell r="C2051">
            <v>0</v>
          </cell>
          <cell r="D2051">
            <v>6</v>
          </cell>
          <cell r="E2051">
            <v>0</v>
          </cell>
          <cell r="F2051">
            <v>1</v>
          </cell>
          <cell r="H2051">
            <v>3</v>
          </cell>
          <cell r="O2051">
            <v>371709</v>
          </cell>
          <cell r="P2051" t="str">
            <v>2023/234-0047-01</v>
          </cell>
          <cell r="Q2051" t="str">
            <v>EST CADEIRA LUIZA C/BRACO (JEQ CAST CLARO) COURO PIG 611</v>
          </cell>
          <cell r="R2051"/>
          <cell r="S2051"/>
          <cell r="T2051">
            <v>0.59</v>
          </cell>
          <cell r="U2051">
            <v>0.56000000000000005</v>
          </cell>
          <cell r="V2051">
            <v>0.74</v>
          </cell>
          <cell r="W2051">
            <v>0</v>
          </cell>
          <cell r="X2051" t="str">
            <v>EST CADEIRA LUIZA C/BRACO (JEQ CAST CLARO) COURO PIG 611 - 0,59x0,56x0,74H</v>
          </cell>
          <cell r="Y2051">
            <v>5341.634</v>
          </cell>
          <cell r="Z2051">
            <v>0.35</v>
          </cell>
          <cell r="AA2051">
            <v>3472.0621000000001</v>
          </cell>
          <cell r="AB2051"/>
        </row>
        <row r="2052">
          <cell r="C2052">
            <v>0</v>
          </cell>
          <cell r="D2052">
            <v>6</v>
          </cell>
          <cell r="E2052">
            <v>0</v>
          </cell>
          <cell r="F2052">
            <v>1</v>
          </cell>
          <cell r="H2052">
            <v>3</v>
          </cell>
          <cell r="O2052">
            <v>371709</v>
          </cell>
          <cell r="P2052" t="str">
            <v>2023/234-0048-01</v>
          </cell>
          <cell r="Q2052" t="str">
            <v>EST CADEIRA LUIZA C/BRACO (JEQ CAST CLARO) COURO PIG 611</v>
          </cell>
          <cell r="R2052"/>
          <cell r="S2052"/>
          <cell r="T2052">
            <v>0.59</v>
          </cell>
          <cell r="U2052">
            <v>0.56000000000000005</v>
          </cell>
          <cell r="V2052">
            <v>0.74</v>
          </cell>
          <cell r="W2052">
            <v>0</v>
          </cell>
          <cell r="X2052" t="str">
            <v>EST CADEIRA LUIZA C/BRACO (JEQ CAST CLARO) COURO PIG 611 - 0,59x0,56x0,74H</v>
          </cell>
          <cell r="Y2052">
            <v>5341.634</v>
          </cell>
          <cell r="Z2052">
            <v>0.35</v>
          </cell>
          <cell r="AA2052">
            <v>3472.0621000000001</v>
          </cell>
          <cell r="AB2052"/>
        </row>
        <row r="2053">
          <cell r="C2053">
            <v>0</v>
          </cell>
          <cell r="D2053">
            <v>6</v>
          </cell>
          <cell r="E2053">
            <v>0</v>
          </cell>
          <cell r="F2053">
            <v>1</v>
          </cell>
          <cell r="H2053">
            <v>3</v>
          </cell>
          <cell r="O2053">
            <v>371709</v>
          </cell>
          <cell r="P2053" t="str">
            <v>2023/234-0049-01</v>
          </cell>
          <cell r="Q2053" t="str">
            <v>EST CADEIRA LUIZA C/BRACO (JEQ CAST CLARO) COURO PIG 611</v>
          </cell>
          <cell r="R2053"/>
          <cell r="S2053"/>
          <cell r="T2053">
            <v>0.59</v>
          </cell>
          <cell r="U2053">
            <v>0.56000000000000005</v>
          </cell>
          <cell r="V2053">
            <v>0.74</v>
          </cell>
          <cell r="W2053">
            <v>0</v>
          </cell>
          <cell r="X2053" t="str">
            <v>EST CADEIRA LUIZA C/BRACO (JEQ CAST CLARO) COURO PIG 611 - 0,59x0,56x0,74H</v>
          </cell>
          <cell r="Y2053">
            <v>5341.634</v>
          </cell>
          <cell r="Z2053">
            <v>0.35</v>
          </cell>
          <cell r="AA2053">
            <v>3472.0621000000001</v>
          </cell>
          <cell r="AB2053"/>
        </row>
        <row r="2054">
          <cell r="C2054">
            <v>0</v>
          </cell>
          <cell r="D2054">
            <v>6</v>
          </cell>
          <cell r="E2054">
            <v>0</v>
          </cell>
          <cell r="F2054">
            <v>1</v>
          </cell>
          <cell r="H2054">
            <v>3</v>
          </cell>
          <cell r="O2054">
            <v>371709</v>
          </cell>
          <cell r="P2054" t="str">
            <v>2023/234-0050-01</v>
          </cell>
          <cell r="Q2054" t="str">
            <v>EST CADEIRA LUIZA C/BRACO (JEQ CAST CLARO) COURO PIG 611</v>
          </cell>
          <cell r="R2054"/>
          <cell r="S2054"/>
          <cell r="T2054">
            <v>0.59</v>
          </cell>
          <cell r="U2054">
            <v>0.56000000000000005</v>
          </cell>
          <cell r="V2054">
            <v>0.74</v>
          </cell>
          <cell r="W2054">
            <v>0</v>
          </cell>
          <cell r="X2054" t="str">
            <v>EST CADEIRA LUIZA C/BRACO (JEQ CAST CLARO) COURO PIG 611 - 0,59x0,56x0,74H</v>
          </cell>
          <cell r="Y2054">
            <v>5341.634</v>
          </cell>
          <cell r="Z2054">
            <v>0.35</v>
          </cell>
          <cell r="AA2054">
            <v>3472.0621000000001</v>
          </cell>
          <cell r="AB2054"/>
        </row>
        <row r="2055">
          <cell r="C2055">
            <v>0</v>
          </cell>
          <cell r="D2055">
            <v>6</v>
          </cell>
          <cell r="E2055">
            <v>0</v>
          </cell>
          <cell r="F2055">
            <v>1</v>
          </cell>
          <cell r="H2055">
            <v>3</v>
          </cell>
          <cell r="O2055">
            <v>371709</v>
          </cell>
          <cell r="P2055" t="str">
            <v>2023/234-0051-01</v>
          </cell>
          <cell r="Q2055" t="str">
            <v>EST CADEIRA LUIZA C/BRACO (JEQ CAST CLARO) COURO PIG 611</v>
          </cell>
          <cell r="R2055"/>
          <cell r="S2055"/>
          <cell r="T2055">
            <v>0.59</v>
          </cell>
          <cell r="U2055">
            <v>0.56000000000000005</v>
          </cell>
          <cell r="V2055">
            <v>0.74</v>
          </cell>
          <cell r="W2055">
            <v>0</v>
          </cell>
          <cell r="X2055" t="str">
            <v>EST CADEIRA LUIZA C/BRACO (JEQ CAST CLARO) COURO PIG 611 - 0,59x0,56x0,74H</v>
          </cell>
          <cell r="Y2055">
            <v>5341.634</v>
          </cell>
          <cell r="Z2055">
            <v>0.35</v>
          </cell>
          <cell r="AA2055">
            <v>3472.0621000000001</v>
          </cell>
          <cell r="AB2055"/>
        </row>
        <row r="2056">
          <cell r="C2056">
            <v>0</v>
          </cell>
          <cell r="D2056">
            <v>6</v>
          </cell>
          <cell r="E2056">
            <v>0</v>
          </cell>
          <cell r="F2056">
            <v>1</v>
          </cell>
          <cell r="H2056">
            <v>3</v>
          </cell>
          <cell r="O2056">
            <v>371709</v>
          </cell>
          <cell r="P2056" t="str">
            <v>2023/234-0052-01</v>
          </cell>
          <cell r="Q2056" t="str">
            <v>EST CADEIRA LUIZA C/BRACO (JEQ CAST CLARO) COURO PIG 611</v>
          </cell>
          <cell r="R2056"/>
          <cell r="S2056"/>
          <cell r="T2056">
            <v>0.59</v>
          </cell>
          <cell r="U2056">
            <v>0.56000000000000005</v>
          </cell>
          <cell r="V2056">
            <v>0.74</v>
          </cell>
          <cell r="W2056">
            <v>0</v>
          </cell>
          <cell r="X2056" t="str">
            <v>EST CADEIRA LUIZA C/BRACO (JEQ CAST CLARO) COURO PIG 611 - 0,59x0,56x0,74H</v>
          </cell>
          <cell r="Y2056">
            <v>5341.634</v>
          </cell>
          <cell r="Z2056">
            <v>0.35</v>
          </cell>
          <cell r="AA2056">
            <v>3472.0621000000001</v>
          </cell>
          <cell r="AB2056"/>
        </row>
        <row r="2057">
          <cell r="C2057">
            <v>1</v>
          </cell>
          <cell r="D2057">
            <v>0</v>
          </cell>
          <cell r="E2057">
            <v>0</v>
          </cell>
          <cell r="F2057">
            <v>0</v>
          </cell>
          <cell r="H2057">
            <v>0</v>
          </cell>
          <cell r="O2057">
            <v>336643</v>
          </cell>
          <cell r="P2057" t="str">
            <v>2022/251-0029-01</v>
          </cell>
          <cell r="Q2057" t="str">
            <v>EST MESA LATERAL TWA (BS FERRO URANO) (TP LAM JAQ DARK W)</v>
          </cell>
          <cell r="R2057"/>
          <cell r="S2057"/>
          <cell r="T2057">
            <v>0.41</v>
          </cell>
          <cell r="U2057">
            <v>0.38</v>
          </cell>
          <cell r="V2057">
            <v>0.69</v>
          </cell>
          <cell r="W2057">
            <v>0</v>
          </cell>
          <cell r="X2057" t="str">
            <v>EST MESA LATERAL TWA (BS FERRO URANO) (TP LAM JAQ DARK W) - 0,41x0,38x0,69H</v>
          </cell>
          <cell r="Y2057">
            <v>6715.55</v>
          </cell>
          <cell r="Z2057">
            <v>0.5</v>
          </cell>
          <cell r="AA2057">
            <v>3357.7750000000001</v>
          </cell>
          <cell r="AB2057"/>
        </row>
        <row r="2058">
          <cell r="C2058">
            <v>1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399774</v>
          </cell>
          <cell r="P2058" t="str">
            <v>2024/345-0030-01</v>
          </cell>
          <cell r="Q2058" t="str">
            <v>EST BANCO PATMOS (T3 LA PAZ CAMEL FSC) (CINTA AMBAR) NOGUIRA</v>
          </cell>
          <cell r="R2058"/>
          <cell r="S2058"/>
          <cell r="T2058">
            <v>1.55</v>
          </cell>
          <cell r="U2058">
            <v>0.53</v>
          </cell>
          <cell r="V2058">
            <v>0.41</v>
          </cell>
          <cell r="W2058">
            <v>0</v>
          </cell>
          <cell r="X2058" t="str">
            <v>EST BANCO PATMOS (T3 LA PAZ CAMEL FSC) (CINTA AMBAR) NOGUIRA - 1,55x0,53x0,41H</v>
          </cell>
          <cell r="Y2058">
            <v>22585.93</v>
          </cell>
          <cell r="Z2058">
            <v>0.35</v>
          </cell>
          <cell r="AA2058">
            <v>14680.854500000001</v>
          </cell>
          <cell r="AB2058"/>
        </row>
        <row r="2059">
          <cell r="C2059">
            <v>1</v>
          </cell>
          <cell r="D2059">
            <v>0</v>
          </cell>
          <cell r="E2059">
            <v>0</v>
          </cell>
          <cell r="F2059">
            <v>2</v>
          </cell>
          <cell r="H2059">
            <v>0</v>
          </cell>
          <cell r="O2059">
            <v>389956</v>
          </cell>
          <cell r="P2059" t="str">
            <v>2024/267-0082-01</v>
          </cell>
          <cell r="Q2059" t="str">
            <v>EST CAPA PUFF LENCOIS M OUTDOOR (CAPA LISO) TC 8599</v>
          </cell>
          <cell r="R2059"/>
          <cell r="S2059"/>
          <cell r="T2059">
            <v>1.7</v>
          </cell>
          <cell r="U2059">
            <v>0</v>
          </cell>
          <cell r="V2059">
            <v>0</v>
          </cell>
          <cell r="W2059">
            <v>0</v>
          </cell>
          <cell r="X2059" t="str">
            <v>EST CAPA PUFF LENCOIS M OUTDOOR (CAPA LISO) TC 8599 - Ø0x0H</v>
          </cell>
          <cell r="Y2059">
            <v>5320.99</v>
          </cell>
          <cell r="Z2059">
            <v>0.35</v>
          </cell>
          <cell r="AA2059">
            <v>3458.6435000000001</v>
          </cell>
          <cell r="AB2059"/>
        </row>
        <row r="2060">
          <cell r="C2060">
            <v>1</v>
          </cell>
          <cell r="D2060">
            <v>0</v>
          </cell>
          <cell r="E2060">
            <v>0</v>
          </cell>
          <cell r="F2060">
            <v>2</v>
          </cell>
          <cell r="H2060">
            <v>2</v>
          </cell>
          <cell r="O2060">
            <v>389957</v>
          </cell>
          <cell r="P2060" t="str">
            <v>2024/247-0113-01</v>
          </cell>
          <cell r="Q2060" t="str">
            <v>EST ALMOFADA DECORATIVA HIMALAYA (G) TC KEEPSAKE TAUPE</v>
          </cell>
          <cell r="R2060"/>
          <cell r="S2060"/>
          <cell r="T2060">
            <v>0.9</v>
          </cell>
          <cell r="U2060">
            <v>0.7</v>
          </cell>
          <cell r="V2060">
            <v>0</v>
          </cell>
          <cell r="W2060">
            <v>0</v>
          </cell>
          <cell r="X2060" t="str">
            <v>EST ALMOFADA DECORATIVA HIMALAYA (G) TC KEEPSAKE TAUPE - 0,9x0,7x0H</v>
          </cell>
          <cell r="Y2060">
            <v>2778.5439400000005</v>
          </cell>
          <cell r="Z2060">
            <v>0.35</v>
          </cell>
          <cell r="AA2060">
            <v>1806.0535610000004</v>
          </cell>
          <cell r="AB2060"/>
        </row>
        <row r="2061">
          <cell r="C2061">
            <v>1</v>
          </cell>
          <cell r="D2061">
            <v>0</v>
          </cell>
          <cell r="E2061">
            <v>0</v>
          </cell>
          <cell r="F2061">
            <v>2</v>
          </cell>
          <cell r="H2061">
            <v>1</v>
          </cell>
          <cell r="O2061">
            <v>389958</v>
          </cell>
          <cell r="P2061" t="str">
            <v>2024/267-0085-01</v>
          </cell>
          <cell r="Q2061" t="str">
            <v>EST ALMOFADA DECORATIVA LENCOIS M OUTDOOR TC KEEPSAKE TAUPE</v>
          </cell>
          <cell r="R2061"/>
          <cell r="S2061"/>
          <cell r="T2061">
            <v>0.6</v>
          </cell>
          <cell r="U2061">
            <v>0.6</v>
          </cell>
          <cell r="V2061">
            <v>0</v>
          </cell>
          <cell r="W2061">
            <v>0</v>
          </cell>
          <cell r="X2061" t="str">
            <v>EST ALMOFADA DECORATIVA LENCOIS M OUTDOOR TC KEEPSAKE TAUPE - 0,6x0,6x0H</v>
          </cell>
          <cell r="Y2061">
            <v>1751.3990200000003</v>
          </cell>
          <cell r="Z2061">
            <v>0.35</v>
          </cell>
          <cell r="AA2061">
            <v>1138.4093630000002</v>
          </cell>
          <cell r="AB2061"/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H2062">
            <v>0</v>
          </cell>
          <cell r="O2062">
            <v>387780</v>
          </cell>
          <cell r="P2062" t="str">
            <v>2024/197-0115-01</v>
          </cell>
          <cell r="Q2062" t="str">
            <v>EST POLTRONA LUAR (MAD A TAUARI ENV) COURO FIRENZE 12</v>
          </cell>
          <cell r="R2062"/>
          <cell r="S2062"/>
          <cell r="T2062">
            <v>0.94</v>
          </cell>
          <cell r="U2062">
            <v>0.92</v>
          </cell>
          <cell r="V2062">
            <v>0.74</v>
          </cell>
          <cell r="W2062">
            <v>0</v>
          </cell>
          <cell r="X2062" t="str">
            <v>EST POLTRONA LUAR (MAD A TAUARI ENV) COURO FIRENZE 12 - 0,94x0,92x0,74H</v>
          </cell>
          <cell r="Y2062">
            <v>34837.508000000002</v>
          </cell>
          <cell r="Z2062">
            <v>0.35</v>
          </cell>
          <cell r="AA2062">
            <v>22644.3802</v>
          </cell>
          <cell r="AB2062"/>
        </row>
        <row r="2063">
          <cell r="C2063">
            <v>0</v>
          </cell>
          <cell r="D2063">
            <v>0</v>
          </cell>
          <cell r="E2063">
            <v>1</v>
          </cell>
          <cell r="F2063">
            <v>0</v>
          </cell>
          <cell r="H2063">
            <v>0</v>
          </cell>
          <cell r="O2063">
            <v>407114</v>
          </cell>
          <cell r="P2063" t="str">
            <v>2025/171-0096-01</v>
          </cell>
          <cell r="Q2063" t="str">
            <v>EST SOFA IZADORA (CAPA/PENA) (BIPARTIDO) TC 01-28</v>
          </cell>
          <cell r="R2063"/>
          <cell r="S2063"/>
          <cell r="T2063">
            <v>3</v>
          </cell>
          <cell r="U2063">
            <v>1.04</v>
          </cell>
          <cell r="V2063">
            <v>0.89</v>
          </cell>
          <cell r="W2063">
            <v>0</v>
          </cell>
          <cell r="X2063" t="str">
            <v>EST SOFA IZADORA (CAPA/PENA) (BIPARTIDO) TC 01-28 - 3x1,04x0,89H</v>
          </cell>
          <cell r="Y2063">
            <v>33059.17</v>
          </cell>
          <cell r="Z2063">
            <v>0.35</v>
          </cell>
          <cell r="AA2063">
            <v>21488.460500000001</v>
          </cell>
          <cell r="AB2063"/>
        </row>
        <row r="2064">
          <cell r="C2064">
            <v>0</v>
          </cell>
          <cell r="D2064">
            <v>0</v>
          </cell>
          <cell r="E2064">
            <v>1</v>
          </cell>
          <cell r="F2064">
            <v>0</v>
          </cell>
          <cell r="H2064">
            <v>0</v>
          </cell>
          <cell r="O2064">
            <v>335088</v>
          </cell>
          <cell r="P2064" t="str">
            <v>2022/244-0026-01</v>
          </cell>
          <cell r="Q2064" t="str">
            <v>EST MESA CENTRO ARGOLA (B) (COURO CAFE) (MAD A CINAM NOG)</v>
          </cell>
          <cell r="R2064"/>
          <cell r="S2064"/>
          <cell r="T2064">
            <v>1</v>
          </cell>
          <cell r="U2064">
            <v>0</v>
          </cell>
          <cell r="V2064">
            <v>0.35</v>
          </cell>
          <cell r="W2064">
            <v>1</v>
          </cell>
          <cell r="X2064" t="str">
            <v>EST MESA CENTRO ARGOLA (B) (COURO CAFE) (MAD A CINAM NOG) - Ø1x0,35H</v>
          </cell>
          <cell r="Y2064">
            <v>19388.900000000001</v>
          </cell>
          <cell r="Z2064">
            <v>0.35</v>
          </cell>
          <cell r="AA2064">
            <v>12602.785000000002</v>
          </cell>
          <cell r="AB2064"/>
        </row>
        <row r="2065">
          <cell r="C2065">
            <v>0</v>
          </cell>
          <cell r="D2065">
            <v>0</v>
          </cell>
          <cell r="E2065">
            <v>1</v>
          </cell>
          <cell r="F2065">
            <v>0</v>
          </cell>
          <cell r="H2065">
            <v>0</v>
          </cell>
          <cell r="O2065">
            <v>335093</v>
          </cell>
          <cell r="P2065" t="str">
            <v>2022/244-0029-01</v>
          </cell>
          <cell r="Q2065" t="str">
            <v>EST MESA CENTRO ARGOLA (C) (MAD B FREIJO ENV)</v>
          </cell>
          <cell r="R2065"/>
          <cell r="S2065"/>
          <cell r="T2065">
            <v>0.6</v>
          </cell>
          <cell r="U2065">
            <v>0</v>
          </cell>
          <cell r="V2065">
            <v>0.45</v>
          </cell>
          <cell r="W2065">
            <v>0.6</v>
          </cell>
          <cell r="X2065" t="str">
            <v>EST MESA CENTRO ARGOLA (C) (MAD B FREIJO ENV) - Ø0,6x0,45H</v>
          </cell>
          <cell r="Y2065">
            <v>13366.84</v>
          </cell>
          <cell r="Z2065">
            <v>0.35</v>
          </cell>
          <cell r="AA2065">
            <v>8688.4459999999999</v>
          </cell>
          <cell r="AB2065"/>
        </row>
        <row r="2066">
          <cell r="C2066">
            <v>0</v>
          </cell>
          <cell r="D2066">
            <v>0</v>
          </cell>
          <cell r="E2066">
            <v>1</v>
          </cell>
          <cell r="F2066">
            <v>0</v>
          </cell>
          <cell r="H2066">
            <v>0</v>
          </cell>
          <cell r="O2066">
            <v>335094</v>
          </cell>
          <cell r="P2066" t="str">
            <v>2022/244-0030-01</v>
          </cell>
          <cell r="Q2066" t="str">
            <v>EST MESA CENTRO ARGOLA (A) (VIDRO INC) (MAD B FREIJO ENV)</v>
          </cell>
          <cell r="R2066"/>
          <cell r="S2066"/>
          <cell r="T2066">
            <v>1.2</v>
          </cell>
          <cell r="U2066">
            <v>0</v>
          </cell>
          <cell r="V2066">
            <v>0.25</v>
          </cell>
          <cell r="W2066">
            <v>1.2</v>
          </cell>
          <cell r="X2066" t="str">
            <v>EST MESA CENTRO ARGOLA (A) (VIDRO INC) (MAD B FREIJO ENV) - Ø1,2x0,25H</v>
          </cell>
          <cell r="Y2066">
            <v>33361.660000000003</v>
          </cell>
          <cell r="Z2066">
            <v>0.35</v>
          </cell>
          <cell r="AA2066">
            <v>21685.079000000005</v>
          </cell>
          <cell r="AB2066"/>
        </row>
        <row r="2067">
          <cell r="C2067">
            <v>0</v>
          </cell>
          <cell r="D2067">
            <v>0</v>
          </cell>
          <cell r="E2067">
            <v>1</v>
          </cell>
          <cell r="F2067">
            <v>0</v>
          </cell>
          <cell r="H2067">
            <v>0</v>
          </cell>
          <cell r="O2067">
            <v>336558</v>
          </cell>
          <cell r="P2067" t="str">
            <v>2022/251-0009-01</v>
          </cell>
          <cell r="Q2067" t="str">
            <v>EST FRUTEIRA CHIE (MOD 02) (LACA PRETA FSC)</v>
          </cell>
          <cell r="R2067"/>
          <cell r="S2067"/>
          <cell r="T2067">
            <v>0.25</v>
          </cell>
          <cell r="U2067">
            <v>0</v>
          </cell>
          <cell r="V2067">
            <v>0.28999999999999998</v>
          </cell>
          <cell r="W2067">
            <v>0.25</v>
          </cell>
          <cell r="X2067" t="str">
            <v>EST FRUTEIRA CHIE (MOD 02) (LACA PRETA FSC) - Ø0,25x0,29H</v>
          </cell>
          <cell r="Y2067">
            <v>3279.32</v>
          </cell>
          <cell r="Z2067">
            <v>0.35</v>
          </cell>
          <cell r="AA2067">
            <v>2131.558</v>
          </cell>
          <cell r="AB2067"/>
        </row>
        <row r="2068">
          <cell r="C2068">
            <v>0</v>
          </cell>
          <cell r="D2068">
            <v>0</v>
          </cell>
          <cell r="E2068">
            <v>1</v>
          </cell>
          <cell r="F2068">
            <v>0</v>
          </cell>
          <cell r="H2068">
            <v>0</v>
          </cell>
          <cell r="O2068">
            <v>377303</v>
          </cell>
          <cell r="P2068" t="str">
            <v>2023/331-0026-01</v>
          </cell>
          <cell r="Q2068" t="str">
            <v>EST MESA CENTRO ARGOLA (C) (MAD A TAUARI ENV)</v>
          </cell>
          <cell r="R2068"/>
          <cell r="S2068"/>
          <cell r="T2068">
            <v>0.6</v>
          </cell>
          <cell r="U2068">
            <v>0</v>
          </cell>
          <cell r="V2068">
            <v>0.45</v>
          </cell>
          <cell r="W2068">
            <v>0.6</v>
          </cell>
          <cell r="X2068" t="str">
            <v>EST MESA CENTRO ARGOLA (C) (MAD A TAUARI ENV) - Ø0,6x0,45H</v>
          </cell>
          <cell r="Y2068">
            <v>12150.43</v>
          </cell>
          <cell r="Z2068">
            <v>0.35</v>
          </cell>
          <cell r="AA2068">
            <v>7897.7795000000006</v>
          </cell>
          <cell r="AB2068"/>
        </row>
        <row r="2069">
          <cell r="C2069">
            <v>0</v>
          </cell>
          <cell r="D2069">
            <v>0</v>
          </cell>
          <cell r="E2069">
            <v>1</v>
          </cell>
          <cell r="F2069">
            <v>0</v>
          </cell>
          <cell r="H2069">
            <v>0</v>
          </cell>
          <cell r="O2069">
            <v>409020</v>
          </cell>
          <cell r="P2069" t="str">
            <v>2025/223-0061-01</v>
          </cell>
          <cell r="Q2069" t="str">
            <v>EST CADEIRA PAX OFFICE MISTA (MAD A TAUARI ENV) TC UDIN 102</v>
          </cell>
          <cell r="R2069"/>
          <cell r="S2069"/>
          <cell r="T2069">
            <v>0.61</v>
          </cell>
          <cell r="U2069">
            <v>0.57999999999999996</v>
          </cell>
          <cell r="V2069">
            <v>0.89</v>
          </cell>
          <cell r="W2069">
            <v>0</v>
          </cell>
          <cell r="X2069" t="str">
            <v>EST CADEIRA PAX OFFICE MISTA (MAD A TAUARI ENV) TC UDIN 102 - 0,61x0,58x0,89H</v>
          </cell>
          <cell r="Y2069">
            <v>24751.06</v>
          </cell>
          <cell r="Z2069">
            <v>0.35</v>
          </cell>
          <cell r="AA2069">
            <v>16088.189000000002</v>
          </cell>
          <cell r="AB2069"/>
        </row>
        <row r="2070">
          <cell r="C2070">
            <v>0</v>
          </cell>
          <cell r="D2070">
            <v>0</v>
          </cell>
          <cell r="E2070">
            <v>1</v>
          </cell>
          <cell r="F2070">
            <v>0</v>
          </cell>
          <cell r="H2070">
            <v>0</v>
          </cell>
          <cell r="O2070">
            <v>271311</v>
          </cell>
          <cell r="P2070" t="str">
            <v>2020/343-0137-01</v>
          </cell>
          <cell r="Q2070" t="str">
            <v>EST SOFA TARANTO FX B2111</v>
          </cell>
          <cell r="R2070"/>
          <cell r="S2070"/>
          <cell r="T2070">
            <v>2.8</v>
          </cell>
          <cell r="U2070">
            <v>1</v>
          </cell>
          <cell r="V2070">
            <v>0.95</v>
          </cell>
          <cell r="W2070">
            <v>0</v>
          </cell>
          <cell r="X2070" t="str">
            <v>EST SOFA TARANTO FX B2111 - 2,8x1x0,95H</v>
          </cell>
          <cell r="Y2070">
            <v>30803.45</v>
          </cell>
          <cell r="Z2070">
            <v>0.5</v>
          </cell>
          <cell r="AA2070">
            <v>15401.725</v>
          </cell>
          <cell r="AB2070"/>
        </row>
        <row r="2071">
          <cell r="C2071">
            <v>0</v>
          </cell>
          <cell r="D2071">
            <v>0</v>
          </cell>
          <cell r="E2071">
            <v>1</v>
          </cell>
          <cell r="F2071">
            <v>0</v>
          </cell>
          <cell r="H2071">
            <v>0</v>
          </cell>
          <cell r="O2071">
            <v>404838</v>
          </cell>
          <cell r="P2071" t="str">
            <v>2025/087-0004-01</v>
          </cell>
          <cell r="Q2071" t="str">
            <v>EST MESA CENTRO LEED H26 (LAMINA FREIJO C/VIDRO 4MM)</v>
          </cell>
          <cell r="R2071"/>
          <cell r="S2071"/>
          <cell r="T2071">
            <v>2</v>
          </cell>
          <cell r="U2071">
            <v>0.7</v>
          </cell>
          <cell r="V2071">
            <v>0.26</v>
          </cell>
          <cell r="W2071">
            <v>0</v>
          </cell>
          <cell r="X2071" t="str">
            <v>EST MESA CENTRO LEED H26 (LAMINA FREIJO C/VIDRO 4MM) - 2x0,7x0,26H</v>
          </cell>
          <cell r="Y2071">
            <v>27426.2</v>
          </cell>
          <cell r="Z2071">
            <v>0.35</v>
          </cell>
          <cell r="AA2071">
            <v>17827.03</v>
          </cell>
          <cell r="AB2071"/>
        </row>
        <row r="2072">
          <cell r="C2072">
            <v>0</v>
          </cell>
          <cell r="D2072">
            <v>0</v>
          </cell>
          <cell r="E2072">
            <v>1</v>
          </cell>
          <cell r="F2072">
            <v>0</v>
          </cell>
          <cell r="H2072">
            <v>0</v>
          </cell>
          <cell r="O2072">
            <v>388713</v>
          </cell>
          <cell r="P2072" t="str">
            <v>2024/239-0109-01</v>
          </cell>
          <cell r="Q2072" t="str">
            <v>EST POLTRONA REMO (MAD B TECA NATURALE) TC EL ANGOLA BEIGE</v>
          </cell>
          <cell r="R2072"/>
          <cell r="S2072"/>
          <cell r="T2072">
            <v>0.85</v>
          </cell>
          <cell r="U2072">
            <v>0.8</v>
          </cell>
          <cell r="V2072">
            <v>0.92</v>
          </cell>
          <cell r="W2072">
            <v>0</v>
          </cell>
          <cell r="X2072" t="str">
            <v>EST POLTRONA REMO (MAD B TECA NATURALE) TC EL ANGOLA BEIGE - 0,85x0,8x0,92H</v>
          </cell>
          <cell r="Y2072">
            <v>40055.9856</v>
          </cell>
          <cell r="Z2072">
            <v>0.35</v>
          </cell>
          <cell r="AA2072">
            <v>26036.390640000001</v>
          </cell>
          <cell r="AB2072"/>
        </row>
        <row r="2073">
          <cell r="C2073">
            <v>0</v>
          </cell>
          <cell r="D2073">
            <v>0</v>
          </cell>
          <cell r="E2073">
            <v>1</v>
          </cell>
          <cell r="F2073">
            <v>0</v>
          </cell>
          <cell r="H2073">
            <v>0</v>
          </cell>
          <cell r="O2073">
            <v>388717</v>
          </cell>
          <cell r="P2073" t="str">
            <v>2024/239-0112-01</v>
          </cell>
          <cell r="Q2073" t="str">
            <v>EST BANQUETA REMO (MAD B TECA NATURALE) TC EL ANGOLA BEIGE</v>
          </cell>
          <cell r="R2073"/>
          <cell r="S2073"/>
          <cell r="T2073">
            <v>0.62</v>
          </cell>
          <cell r="U2073">
            <v>0.5</v>
          </cell>
          <cell r="V2073">
            <v>0.41</v>
          </cell>
          <cell r="W2073">
            <v>0</v>
          </cell>
          <cell r="X2073" t="str">
            <v>EST BANQUETA REMO (MAD B TECA NATURALE) TC EL ANGOLA BEIGE - 0,62x0,5x0,41H</v>
          </cell>
          <cell r="Y2073">
            <v>10778.76376</v>
          </cell>
          <cell r="Z2073">
            <v>0.35</v>
          </cell>
          <cell r="AA2073">
            <v>7006.1964440000002</v>
          </cell>
          <cell r="AB2073"/>
        </row>
        <row r="2074">
          <cell r="C2074">
            <v>0</v>
          </cell>
          <cell r="D2074">
            <v>0</v>
          </cell>
          <cell r="E2074">
            <v>1</v>
          </cell>
          <cell r="F2074">
            <v>0</v>
          </cell>
          <cell r="H2074">
            <v>0</v>
          </cell>
          <cell r="O2074">
            <v>336548</v>
          </cell>
          <cell r="P2074" t="str">
            <v>2022/307-0060-01</v>
          </cell>
          <cell r="Q2074" t="str">
            <v>EST MESA LATERAL LUSA (OBL CER AZUL) (MAD A TAUARI ENV)</v>
          </cell>
          <cell r="R2074"/>
          <cell r="S2074"/>
          <cell r="T2074">
            <v>0.51</v>
          </cell>
          <cell r="U2074">
            <v>0.28000000000000003</v>
          </cell>
          <cell r="V2074">
            <v>0.62</v>
          </cell>
          <cell r="W2074">
            <v>0</v>
          </cell>
          <cell r="X2074" t="str">
            <v>EST MESA LATERAL LUSA (OBL CER AZUL) (MAD A TAUARI ENV) - 0,51x0,28x0,62H</v>
          </cell>
          <cell r="Y2074">
            <v>13292.88</v>
          </cell>
          <cell r="Z2074">
            <v>0.5</v>
          </cell>
          <cell r="AA2074">
            <v>6646.44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1</v>
          </cell>
          <cell r="H2075">
            <v>0</v>
          </cell>
          <cell r="O2075">
            <v>362673</v>
          </cell>
          <cell r="P2075" t="str">
            <v>2023/087-0004-01</v>
          </cell>
          <cell r="Q2075" t="str">
            <v>EST MESA CENTRO COB (C/VIDRO) (MAD B FREIJO NATURAL)</v>
          </cell>
          <cell r="R2075"/>
          <cell r="S2075"/>
          <cell r="T2075">
            <v>1.42</v>
          </cell>
          <cell r="U2075">
            <v>1.42</v>
          </cell>
          <cell r="V2075">
            <v>0.25</v>
          </cell>
          <cell r="W2075">
            <v>0</v>
          </cell>
          <cell r="X2075" t="str">
            <v>EST MESA CENTRO COB (C/VIDRO) (MAD B FREIJO NATURAL) - 1,42x1,42x0,25H</v>
          </cell>
          <cell r="Y2075">
            <v>38700.949999999997</v>
          </cell>
          <cell r="Z2075">
            <v>0.35</v>
          </cell>
          <cell r="AA2075">
            <v>25155.6175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1</v>
          </cell>
          <cell r="H2076">
            <v>0</v>
          </cell>
          <cell r="O2076">
            <v>387770</v>
          </cell>
          <cell r="P2076" t="str">
            <v>2024/197-0112-01</v>
          </cell>
          <cell r="Q2076" t="str">
            <v>EST POLTRONA LUAR (MAD A JEQ 03) TC ALTAMURA COR 907</v>
          </cell>
          <cell r="R2076"/>
          <cell r="S2076"/>
          <cell r="T2076">
            <v>0.94</v>
          </cell>
          <cell r="U2076">
            <v>0.92</v>
          </cell>
          <cell r="V2076">
            <v>0.74</v>
          </cell>
          <cell r="W2076">
            <v>0</v>
          </cell>
          <cell r="X2076" t="str">
            <v>EST POLTRONA LUAR (MAD A JEQ 03) TC ALTAMURA COR 907 - 0,94x0,92x0,74H</v>
          </cell>
          <cell r="Y2076">
            <v>31111.01</v>
          </cell>
          <cell r="Z2076">
            <v>0.35</v>
          </cell>
          <cell r="AA2076">
            <v>20222.156499999997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1</v>
          </cell>
          <cell r="H2077">
            <v>0</v>
          </cell>
          <cell r="O2077">
            <v>388718</v>
          </cell>
          <cell r="P2077" t="str">
            <v>2024/239-0113-01</v>
          </cell>
          <cell r="Q2077" t="str">
            <v>EST BANQUETA REMO (MAD B TECA NATURAL PU) COURO PIG 101</v>
          </cell>
          <cell r="R2077"/>
          <cell r="S2077"/>
          <cell r="T2077">
            <v>0.62</v>
          </cell>
          <cell r="U2077">
            <v>0.5</v>
          </cell>
          <cell r="V2077">
            <v>0.41</v>
          </cell>
          <cell r="W2077">
            <v>0</v>
          </cell>
          <cell r="X2077" t="str">
            <v>EST BANQUETA REMO (MAD B TECA NATURAL PU) COURO PIG 101 - 0,62x0,5x0,41H</v>
          </cell>
          <cell r="Y2077">
            <v>10300.24</v>
          </cell>
          <cell r="Z2077">
            <v>0.35</v>
          </cell>
          <cell r="AA2077">
            <v>6695.1559999999999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1</v>
          </cell>
          <cell r="H2078">
            <v>0</v>
          </cell>
          <cell r="O2078">
            <v>399039</v>
          </cell>
          <cell r="P2078" t="str">
            <v>2024/311-0029-01</v>
          </cell>
          <cell r="Q2078" t="str">
            <v>EST CADEIRA PAX OFFICE MISTA (MAD A TAUARI POA) TC RUST 5412</v>
          </cell>
          <cell r="R2078"/>
          <cell r="S2078"/>
          <cell r="T2078">
            <v>0.61</v>
          </cell>
          <cell r="U2078">
            <v>0.57999999999999996</v>
          </cell>
          <cell r="V2078">
            <v>0.89</v>
          </cell>
          <cell r="W2078">
            <v>0</v>
          </cell>
          <cell r="X2078" t="str">
            <v>EST CADEIRA PAX OFFICE MISTA (MAD A TAUARI POA) TC RUST 5412 - 0,61x0,58x0,89H</v>
          </cell>
          <cell r="Y2078">
            <v>24684.93</v>
          </cell>
          <cell r="Z2078">
            <v>0.35</v>
          </cell>
          <cell r="AA2078">
            <v>16045.204500000002</v>
          </cell>
          <cell r="AB2078"/>
        </row>
        <row r="2079">
          <cell r="C2079">
            <v>1</v>
          </cell>
          <cell r="D2079">
            <v>0</v>
          </cell>
          <cell r="E2079">
            <v>0</v>
          </cell>
          <cell r="F2079">
            <v>6</v>
          </cell>
          <cell r="H2079">
            <v>0</v>
          </cell>
          <cell r="O2079">
            <v>312385</v>
          </cell>
          <cell r="P2079" t="str">
            <v>2022/038-0018-01</v>
          </cell>
          <cell r="Q2079" t="str">
            <v>EST CADEIRA VIKY (LOURO ESPECIAL) COURO NOBUCK VERDE</v>
          </cell>
          <cell r="R2079"/>
          <cell r="S2079"/>
          <cell r="T2079">
            <v>0.53</v>
          </cell>
          <cell r="U2079">
            <v>0.59</v>
          </cell>
          <cell r="V2079">
            <v>0.83</v>
          </cell>
          <cell r="W2079">
            <v>0</v>
          </cell>
          <cell r="X2079" t="str">
            <v>EST CADEIRA VIKY (LOURO ESPECIAL) COURO NOBUCK VERDE - 0,53x0,59x0,83H</v>
          </cell>
          <cell r="Y2079">
            <v>9717.57</v>
          </cell>
          <cell r="Z2079">
            <v>0.35</v>
          </cell>
          <cell r="AA2079">
            <v>6316.4205000000002</v>
          </cell>
          <cell r="AB2079"/>
        </row>
        <row r="2080">
          <cell r="C2080">
            <v>1</v>
          </cell>
          <cell r="D2080">
            <v>0</v>
          </cell>
          <cell r="E2080">
            <v>0</v>
          </cell>
          <cell r="F2080">
            <v>6</v>
          </cell>
          <cell r="H2080">
            <v>0</v>
          </cell>
          <cell r="O2080">
            <v>312385</v>
          </cell>
          <cell r="P2080" t="str">
            <v>2022/038-0021-01</v>
          </cell>
          <cell r="Q2080" t="str">
            <v>EST CADEIRA VIKY (LOURO ESPECIAL) COURO NOBUCK VERDE</v>
          </cell>
          <cell r="R2080"/>
          <cell r="S2080"/>
          <cell r="T2080">
            <v>0.53</v>
          </cell>
          <cell r="U2080">
            <v>0.59</v>
          </cell>
          <cell r="V2080">
            <v>0.83</v>
          </cell>
          <cell r="W2080">
            <v>0</v>
          </cell>
          <cell r="X2080" t="str">
            <v>EST CADEIRA VIKY (LOURO ESPECIAL) COURO NOBUCK VERDE - 0,53x0,59x0,83H</v>
          </cell>
          <cell r="Y2080">
            <v>9717.57</v>
          </cell>
          <cell r="Z2080">
            <v>0.35</v>
          </cell>
          <cell r="AA2080">
            <v>6316.4205000000002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6</v>
          </cell>
          <cell r="H2081">
            <v>0</v>
          </cell>
          <cell r="O2081">
            <v>388707</v>
          </cell>
          <cell r="P2081" t="str">
            <v>2024/239-0101-01</v>
          </cell>
          <cell r="Q2081" t="str">
            <v>EST CADEIRA REMO C/B (MAD A MUIRACATIARA PU) TC STB VANILLA</v>
          </cell>
          <cell r="R2081"/>
          <cell r="S2081"/>
          <cell r="T2081">
            <v>0.63</v>
          </cell>
          <cell r="U2081">
            <v>0.69</v>
          </cell>
          <cell r="V2081">
            <v>0.84</v>
          </cell>
          <cell r="W2081">
            <v>0</v>
          </cell>
          <cell r="X2081" t="str">
            <v>EST CADEIRA REMO C/B (MAD A MUIRACATIARA PU) TC STB VANILLA - 0,63x0,69x0,84H</v>
          </cell>
          <cell r="Y2081">
            <v>17557.4228</v>
          </cell>
          <cell r="Z2081">
            <v>0.35</v>
          </cell>
          <cell r="AA2081">
            <v>11412.324820000002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6</v>
          </cell>
          <cell r="H2082">
            <v>0</v>
          </cell>
          <cell r="O2082">
            <v>388707</v>
          </cell>
          <cell r="P2082" t="str">
            <v>2024/239-0102-01</v>
          </cell>
          <cell r="Q2082" t="str">
            <v>EST CADEIRA REMO C/B (MAD A MUIRACATIARA PU) TC STB VANILLA</v>
          </cell>
          <cell r="R2082"/>
          <cell r="S2082"/>
          <cell r="T2082">
            <v>0.63</v>
          </cell>
          <cell r="U2082">
            <v>0.69</v>
          </cell>
          <cell r="V2082">
            <v>0.84</v>
          </cell>
          <cell r="W2082">
            <v>0</v>
          </cell>
          <cell r="X2082" t="str">
            <v>EST CADEIRA REMO C/B (MAD A MUIRACATIARA PU) TC STB VANILLA - 0,63x0,69x0,84H</v>
          </cell>
          <cell r="Y2082">
            <v>17557.4228</v>
          </cell>
          <cell r="Z2082">
            <v>0.35</v>
          </cell>
          <cell r="AA2082">
            <v>11412.324820000002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6</v>
          </cell>
          <cell r="H2083">
            <v>0</v>
          </cell>
          <cell r="O2083">
            <v>388707</v>
          </cell>
          <cell r="P2083" t="str">
            <v>2024/239-0103-01</v>
          </cell>
          <cell r="Q2083" t="str">
            <v>EST CADEIRA REMO C/B (MAD A MUIRACATIARA PU) TC STB VANILLA</v>
          </cell>
          <cell r="R2083"/>
          <cell r="S2083"/>
          <cell r="T2083">
            <v>0.63</v>
          </cell>
          <cell r="U2083">
            <v>0.69</v>
          </cell>
          <cell r="V2083">
            <v>0.84</v>
          </cell>
          <cell r="W2083">
            <v>0</v>
          </cell>
          <cell r="X2083" t="str">
            <v>EST CADEIRA REMO C/B (MAD A MUIRACATIARA PU) TC STB VANILLA - 0,63x0,69x0,84H</v>
          </cell>
          <cell r="Y2083">
            <v>17557.4228</v>
          </cell>
          <cell r="Z2083">
            <v>0.35</v>
          </cell>
          <cell r="AA2083">
            <v>11412.324820000002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6</v>
          </cell>
          <cell r="H2084">
            <v>0</v>
          </cell>
          <cell r="O2084">
            <v>388707</v>
          </cell>
          <cell r="P2084" t="str">
            <v>2024/239-0104-01</v>
          </cell>
          <cell r="Q2084" t="str">
            <v>EST CADEIRA REMO C/B (MAD A MUIRACATIARA PU) TC STB VANILLA</v>
          </cell>
          <cell r="R2084"/>
          <cell r="S2084"/>
          <cell r="T2084">
            <v>0.63</v>
          </cell>
          <cell r="U2084">
            <v>0.69</v>
          </cell>
          <cell r="V2084">
            <v>0.84</v>
          </cell>
          <cell r="W2084">
            <v>0</v>
          </cell>
          <cell r="X2084" t="str">
            <v>EST CADEIRA REMO C/B (MAD A MUIRACATIARA PU) TC STB VANILLA - 0,63x0,69x0,84H</v>
          </cell>
          <cell r="Y2084">
            <v>17557.4228</v>
          </cell>
          <cell r="Z2084">
            <v>0.35</v>
          </cell>
          <cell r="AA2084">
            <v>11412.324820000002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6</v>
          </cell>
          <cell r="H2085">
            <v>0</v>
          </cell>
          <cell r="O2085">
            <v>388707</v>
          </cell>
          <cell r="P2085" t="str">
            <v>2024/239-0105-01</v>
          </cell>
          <cell r="Q2085" t="str">
            <v>EST CADEIRA REMO C/B (MAD A MUIRACATIARA PU) TC STB VANILLA</v>
          </cell>
          <cell r="R2085"/>
          <cell r="S2085"/>
          <cell r="T2085">
            <v>0.63</v>
          </cell>
          <cell r="U2085">
            <v>0.69</v>
          </cell>
          <cell r="V2085">
            <v>0.84</v>
          </cell>
          <cell r="W2085">
            <v>0</v>
          </cell>
          <cell r="X2085" t="str">
            <v>EST CADEIRA REMO C/B (MAD A MUIRACATIARA PU) TC STB VANILLA - 0,63x0,69x0,84H</v>
          </cell>
          <cell r="Y2085">
            <v>17557.4228</v>
          </cell>
          <cell r="Z2085">
            <v>0.35</v>
          </cell>
          <cell r="AA2085">
            <v>11412.324820000002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6</v>
          </cell>
          <cell r="H2086">
            <v>0</v>
          </cell>
          <cell r="O2086">
            <v>388707</v>
          </cell>
          <cell r="P2086" t="str">
            <v>2024/239-0106-01</v>
          </cell>
          <cell r="Q2086" t="str">
            <v>EST CADEIRA REMO C/B (MAD A MUIRACATIARA PU) TC STB VANILLA</v>
          </cell>
          <cell r="R2086"/>
          <cell r="S2086"/>
          <cell r="T2086">
            <v>0.63</v>
          </cell>
          <cell r="U2086">
            <v>0.69</v>
          </cell>
          <cell r="V2086">
            <v>0.84</v>
          </cell>
          <cell r="W2086">
            <v>0</v>
          </cell>
          <cell r="X2086" t="str">
            <v>EST CADEIRA REMO C/B (MAD A MUIRACATIARA PU) TC STB VANILLA - 0,63x0,69x0,84H</v>
          </cell>
          <cell r="Y2086">
            <v>17557.4228</v>
          </cell>
          <cell r="Z2086">
            <v>0.35</v>
          </cell>
          <cell r="AA2086">
            <v>11412.324820000002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1</v>
          </cell>
          <cell r="H2087">
            <v>0</v>
          </cell>
          <cell r="O2087">
            <v>388714</v>
          </cell>
          <cell r="P2087" t="str">
            <v>2024/239-0110-01</v>
          </cell>
          <cell r="Q2087" t="str">
            <v>EST POLTRONA REMO (MAD B TECA NATURAL PU) COURO PIG 101</v>
          </cell>
          <cell r="R2087"/>
          <cell r="S2087"/>
          <cell r="T2087">
            <v>0.85</v>
          </cell>
          <cell r="U2087">
            <v>0.8</v>
          </cell>
          <cell r="V2087">
            <v>0.92</v>
          </cell>
          <cell r="W2087">
            <v>0</v>
          </cell>
          <cell r="X2087" t="str">
            <v>EST POLTRONA REMO (MAD B TECA NATURAL PU) COURO PIG 101 - 0,85x0,8x0,92H</v>
          </cell>
          <cell r="Y2087">
            <v>37718.951999999997</v>
          </cell>
          <cell r="Z2087">
            <v>0.35</v>
          </cell>
          <cell r="AA2087">
            <v>24517.318800000001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2</v>
          </cell>
          <cell r="H2088">
            <v>0</v>
          </cell>
          <cell r="O2088">
            <v>388968</v>
          </cell>
          <cell r="P2088" t="str">
            <v>2024/239-0125-01</v>
          </cell>
          <cell r="Q2088" t="str">
            <v>EST POLTRONA IPANEMA (MAD A TAUAR ENV) WINCHESTER/OLD BEAVER</v>
          </cell>
          <cell r="R2088"/>
          <cell r="S2088"/>
          <cell r="T2088">
            <v>0.73</v>
          </cell>
          <cell r="U2088">
            <v>0.77</v>
          </cell>
          <cell r="V2088">
            <v>0.76</v>
          </cell>
          <cell r="W2088">
            <v>0</v>
          </cell>
          <cell r="X2088" t="str">
            <v>EST POLTRONA IPANEMA (MAD A TAUAR ENV) WINCHESTER/OLD BEAVER - 0,73x0,77x0,76H</v>
          </cell>
          <cell r="Y2088">
            <v>32142.39</v>
          </cell>
          <cell r="Z2088">
            <v>0.35</v>
          </cell>
          <cell r="AA2088">
            <v>20892.553500000002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2</v>
          </cell>
          <cell r="H2089">
            <v>0</v>
          </cell>
          <cell r="O2089">
            <v>388968</v>
          </cell>
          <cell r="P2089" t="str">
            <v>2024/239-0126-01</v>
          </cell>
          <cell r="Q2089" t="str">
            <v>EST POLTRONA IPANEMA (MAD A TAUAR ENV) WINCHESTER/OLD BEAVER</v>
          </cell>
          <cell r="R2089"/>
          <cell r="S2089"/>
          <cell r="T2089">
            <v>0.73</v>
          </cell>
          <cell r="U2089">
            <v>0.77</v>
          </cell>
          <cell r="V2089">
            <v>0.76</v>
          </cell>
          <cell r="W2089">
            <v>0</v>
          </cell>
          <cell r="X2089" t="str">
            <v>EST POLTRONA IPANEMA (MAD A TAUAR ENV) WINCHESTER/OLD BEAVER - 0,73x0,77x0,76H</v>
          </cell>
          <cell r="Y2089">
            <v>32142.39</v>
          </cell>
          <cell r="Z2089">
            <v>0.35</v>
          </cell>
          <cell r="AA2089">
            <v>20892.553500000002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1</v>
          </cell>
          <cell r="H2090">
            <v>0</v>
          </cell>
          <cell r="O2090">
            <v>238166</v>
          </cell>
          <cell r="P2090" t="str">
            <v>2019/205-0021-01</v>
          </cell>
          <cell r="Q2090" t="str">
            <v>EST MESA CENTRO ARGOLA (A) (VIDRO INC) (MAD A CINAM NT)</v>
          </cell>
          <cell r="R2090"/>
          <cell r="S2090"/>
          <cell r="T2090">
            <v>1.2</v>
          </cell>
          <cell r="U2090">
            <v>0</v>
          </cell>
          <cell r="V2090">
            <v>0.25</v>
          </cell>
          <cell r="W2090">
            <v>1.2</v>
          </cell>
          <cell r="X2090" t="str">
            <v>EST MESA CENTRO ARGOLA (A) (VIDRO INC) (MAD A CINAM NT) - Ø1,2x0,25H</v>
          </cell>
          <cell r="Y2090">
            <v>28893.72</v>
          </cell>
          <cell r="Z2090">
            <v>0.35</v>
          </cell>
          <cell r="AA2090">
            <v>18780.918000000001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1</v>
          </cell>
          <cell r="H2091">
            <v>0</v>
          </cell>
          <cell r="O2091">
            <v>335339</v>
          </cell>
          <cell r="P2091" t="str">
            <v>2022/292-0036-01</v>
          </cell>
          <cell r="Q2091" t="str">
            <v>EST MESA LATERAL LUSA (RED CER BEGE) (MAD A CINAM NOG)</v>
          </cell>
          <cell r="R2091"/>
          <cell r="S2091"/>
          <cell r="T2091">
            <v>0.4</v>
          </cell>
          <cell r="U2091">
            <v>0</v>
          </cell>
          <cell r="V2091">
            <v>0.72</v>
          </cell>
          <cell r="W2091">
            <v>0.4</v>
          </cell>
          <cell r="X2091" t="str">
            <v>EST MESA LATERAL LUSA (RED CER BEGE) (MAD A CINAM NOG) - Ø0,4x0,72H</v>
          </cell>
          <cell r="Y2091">
            <v>14060.66</v>
          </cell>
          <cell r="Z2091">
            <v>0.35</v>
          </cell>
          <cell r="AA2091">
            <v>9139.4290000000001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1</v>
          </cell>
          <cell r="H2092">
            <v>0</v>
          </cell>
          <cell r="O2092">
            <v>335344</v>
          </cell>
          <cell r="P2092" t="str">
            <v>2022/292-0039-01</v>
          </cell>
          <cell r="Q2092" t="str">
            <v>EST MESA LATERAL LUSA (OBL CER BEGE) (MAD A CINAM NOG)</v>
          </cell>
          <cell r="R2092"/>
          <cell r="S2092"/>
          <cell r="T2092">
            <v>0.45</v>
          </cell>
          <cell r="U2092">
            <v>0.28000000000000003</v>
          </cell>
          <cell r="V2092">
            <v>0.45</v>
          </cell>
          <cell r="W2092">
            <v>0</v>
          </cell>
          <cell r="X2092" t="str">
            <v>EST MESA LATERAL LUSA (OBL CER BEGE) (MAD A CINAM NOG) - 0,45x0,28x0,45H</v>
          </cell>
          <cell r="Y2092">
            <v>12756.35</v>
          </cell>
          <cell r="Z2092">
            <v>0.35</v>
          </cell>
          <cell r="AA2092">
            <v>8291.6275000000005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1</v>
          </cell>
          <cell r="H2093">
            <v>0</v>
          </cell>
          <cell r="O2093">
            <v>336735</v>
          </cell>
          <cell r="P2093" t="str">
            <v>2022/230-0038-01</v>
          </cell>
          <cell r="Q2093" t="str">
            <v>EST FRUTEIRA CHIE (MOD 01) (MAD A JEQ EBANO)</v>
          </cell>
          <cell r="R2093"/>
          <cell r="S2093"/>
          <cell r="T2093">
            <v>0.19</v>
          </cell>
          <cell r="U2093">
            <v>0</v>
          </cell>
          <cell r="V2093">
            <v>0.35</v>
          </cell>
          <cell r="W2093">
            <v>0.19</v>
          </cell>
          <cell r="X2093" t="str">
            <v>EST FRUTEIRA CHIE (MOD 01) (MAD A JEQ EBANO) - Ø0,19x0,35H</v>
          </cell>
          <cell r="Y2093">
            <v>2789.02</v>
          </cell>
          <cell r="Z2093">
            <v>0.35</v>
          </cell>
          <cell r="AA2093">
            <v>1812.8630000000001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1</v>
          </cell>
          <cell r="H2094">
            <v>0</v>
          </cell>
          <cell r="O2094">
            <v>336736</v>
          </cell>
          <cell r="P2094" t="str">
            <v>2022/230-0039-01</v>
          </cell>
          <cell r="Q2094" t="str">
            <v>EST FRUTEIRA CHIE (MOD 02) (MAD A JEQ 05)</v>
          </cell>
          <cell r="R2094"/>
          <cell r="S2094"/>
          <cell r="T2094">
            <v>0.25</v>
          </cell>
          <cell r="U2094">
            <v>0</v>
          </cell>
          <cell r="V2094">
            <v>0.28999999999999998</v>
          </cell>
          <cell r="W2094">
            <v>0.25</v>
          </cell>
          <cell r="X2094" t="str">
            <v>EST FRUTEIRA CHIE (MOD 02) (MAD A JEQ 05) - Ø0,25x0,29H</v>
          </cell>
          <cell r="Y2094">
            <v>3279.32</v>
          </cell>
          <cell r="Z2094">
            <v>0.35</v>
          </cell>
          <cell r="AA2094">
            <v>2131.558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1</v>
          </cell>
          <cell r="H2095">
            <v>0</v>
          </cell>
          <cell r="O2095">
            <v>350051</v>
          </cell>
          <cell r="P2095" t="str">
            <v>2022/216-0051-01</v>
          </cell>
          <cell r="Q2095" t="str">
            <v>EST ESPELHO YOU (MAD B TECA NATURAL) METAL ONIX</v>
          </cell>
          <cell r="R2095"/>
          <cell r="S2095"/>
          <cell r="T2095">
            <v>0.86</v>
          </cell>
          <cell r="U2095">
            <v>0.35</v>
          </cell>
          <cell r="V2095">
            <v>1.8</v>
          </cell>
          <cell r="W2095">
            <v>0</v>
          </cell>
          <cell r="X2095" t="str">
            <v>EST ESPELHO YOU (MAD B TECA NATURAL) METAL ONIX - 0,86x0,35x1,8H</v>
          </cell>
          <cell r="Y2095">
            <v>43171.7</v>
          </cell>
          <cell r="Z2095">
            <v>0.35</v>
          </cell>
          <cell r="AA2095">
            <v>28061.605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1</v>
          </cell>
          <cell r="H2096">
            <v>0</v>
          </cell>
          <cell r="O2096">
            <v>377306</v>
          </cell>
          <cell r="P2096" t="str">
            <v>2023/331-0029-01</v>
          </cell>
          <cell r="Q2096" t="str">
            <v>EST MESA CENTRO ARGOLA (B) (CORTEN) (MAD A JEQ 03)</v>
          </cell>
          <cell r="R2096"/>
          <cell r="S2096"/>
          <cell r="T2096">
            <v>1</v>
          </cell>
          <cell r="U2096">
            <v>0</v>
          </cell>
          <cell r="V2096">
            <v>0.35</v>
          </cell>
          <cell r="W2096">
            <v>1</v>
          </cell>
          <cell r="X2096" t="str">
            <v>EST MESA CENTRO ARGOLA (B) (CORTEN) (MAD A JEQ 03) - Ø1x0,35H</v>
          </cell>
          <cell r="Y2096">
            <v>18584.07</v>
          </cell>
          <cell r="Z2096">
            <v>0.35</v>
          </cell>
          <cell r="AA2096">
            <v>12079.645500000001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2</v>
          </cell>
          <cell r="H2097">
            <v>0</v>
          </cell>
          <cell r="O2097">
            <v>388709</v>
          </cell>
          <cell r="P2097" t="str">
            <v>2024/239-0107-01</v>
          </cell>
          <cell r="Q2097" t="str">
            <v>EST BANCO TOTI (MAD A TAUARI ENV) TELA SEXTAVADA TINGIDA</v>
          </cell>
          <cell r="R2097"/>
          <cell r="S2097"/>
          <cell r="T2097">
            <v>0.44</v>
          </cell>
          <cell r="U2097">
            <v>0.44</v>
          </cell>
          <cell r="V2097">
            <v>0.44</v>
          </cell>
          <cell r="W2097">
            <v>0</v>
          </cell>
          <cell r="X2097" t="str">
            <v>EST BANCO TOTI (MAD A TAUARI ENV) TELA SEXTAVADA TINGIDA - 0,44x0,44x0,44H</v>
          </cell>
          <cell r="Y2097">
            <v>4847.2299999999996</v>
          </cell>
          <cell r="Z2097">
            <v>0.35</v>
          </cell>
          <cell r="AA2097">
            <v>3150.6994999999997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2</v>
          </cell>
          <cell r="H2098">
            <v>0</v>
          </cell>
          <cell r="O2098">
            <v>388709</v>
          </cell>
          <cell r="P2098" t="str">
            <v>2024/239-0108-01</v>
          </cell>
          <cell r="Q2098" t="str">
            <v>EST BANCO TOTI (MAD A TAUARI ENV) TELA SEXTAVADA TINGIDA</v>
          </cell>
          <cell r="R2098"/>
          <cell r="S2098"/>
          <cell r="T2098">
            <v>0.44</v>
          </cell>
          <cell r="U2098">
            <v>0.44</v>
          </cell>
          <cell r="V2098">
            <v>0.44</v>
          </cell>
          <cell r="W2098">
            <v>0</v>
          </cell>
          <cell r="X2098" t="str">
            <v>EST BANCO TOTI (MAD A TAUARI ENV) TELA SEXTAVADA TINGIDA - 0,44x0,44x0,44H</v>
          </cell>
          <cell r="Y2098">
            <v>4847.2299999999996</v>
          </cell>
          <cell r="Z2098">
            <v>0.35</v>
          </cell>
          <cell r="AA2098">
            <v>3150.6994999999997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1</v>
          </cell>
          <cell r="H2099">
            <v>0</v>
          </cell>
          <cell r="O2099">
            <v>388731</v>
          </cell>
          <cell r="P2099" t="str">
            <v>2024/239-0121-01</v>
          </cell>
          <cell r="Q2099" t="str">
            <v>EST MESA JANTAR MUXA (MAD A MUIRACATIARA PU)</v>
          </cell>
          <cell r="R2099"/>
          <cell r="S2099"/>
          <cell r="T2099">
            <v>1.8</v>
          </cell>
          <cell r="U2099">
            <v>0</v>
          </cell>
          <cell r="V2099">
            <v>0.75</v>
          </cell>
          <cell r="W2099">
            <v>1.8</v>
          </cell>
          <cell r="X2099" t="str">
            <v>EST MESA JANTAR MUXA (MAD A MUIRACATIARA PU) - Ø1,8x0,75H</v>
          </cell>
          <cell r="Y2099">
            <v>51011.43</v>
          </cell>
          <cell r="Z2099">
            <v>0.35</v>
          </cell>
          <cell r="AA2099">
            <v>33157.429499999998</v>
          </cell>
          <cell r="AB2099"/>
        </row>
        <row r="2100">
          <cell r="C2100">
            <v>1</v>
          </cell>
          <cell r="D2100">
            <v>0</v>
          </cell>
          <cell r="E2100">
            <v>0</v>
          </cell>
          <cell r="F2100">
            <v>6</v>
          </cell>
          <cell r="H2100">
            <v>0</v>
          </cell>
          <cell r="O2100">
            <v>312385</v>
          </cell>
          <cell r="P2100" t="str">
            <v>2022/038-0017-01</v>
          </cell>
          <cell r="Q2100" t="str">
            <v>EST CADEIRA VIKY (LOURO ESPECIAL) COURO NOBUCK VERDE</v>
          </cell>
          <cell r="R2100"/>
          <cell r="S2100"/>
          <cell r="T2100">
            <v>0.53</v>
          </cell>
          <cell r="U2100">
            <v>0.59</v>
          </cell>
          <cell r="V2100">
            <v>0.83</v>
          </cell>
          <cell r="W2100">
            <v>0</v>
          </cell>
          <cell r="X2100" t="str">
            <v>EST CADEIRA VIKY (LOURO ESPECIAL) COURO NOBUCK VERDE - 0,53x0,59x0,83H</v>
          </cell>
          <cell r="Y2100">
            <v>9717.57</v>
          </cell>
          <cell r="Z2100">
            <v>0.35</v>
          </cell>
          <cell r="AA2100">
            <v>6316.4205000000002</v>
          </cell>
          <cell r="AB2100"/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6</v>
          </cell>
          <cell r="H2101">
            <v>0</v>
          </cell>
          <cell r="O2101">
            <v>312385</v>
          </cell>
          <cell r="P2101" t="str">
            <v>2022/038-0019-01</v>
          </cell>
          <cell r="Q2101" t="str">
            <v>EST CADEIRA VIKY (LOURO ESPECIAL) COURO NOBUCK VERDE</v>
          </cell>
          <cell r="R2101"/>
          <cell r="S2101"/>
          <cell r="T2101">
            <v>0.53</v>
          </cell>
          <cell r="U2101">
            <v>0.59</v>
          </cell>
          <cell r="V2101">
            <v>0.83</v>
          </cell>
          <cell r="W2101">
            <v>0</v>
          </cell>
          <cell r="X2101" t="str">
            <v>EST CADEIRA VIKY (LOURO ESPECIAL) COURO NOBUCK VERDE - 0,53x0,59x0,83H</v>
          </cell>
          <cell r="Y2101">
            <v>9717.57</v>
          </cell>
          <cell r="Z2101">
            <v>0.35</v>
          </cell>
          <cell r="AA2101">
            <v>6316.4205000000002</v>
          </cell>
          <cell r="AB2101"/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6</v>
          </cell>
          <cell r="H2102">
            <v>0</v>
          </cell>
          <cell r="O2102">
            <v>312385</v>
          </cell>
          <cell r="P2102" t="str">
            <v>2022/038-0020-01</v>
          </cell>
          <cell r="Q2102" t="str">
            <v>EST CADEIRA VIKY (LOURO ESPECIAL) COURO NOBUCK VERDE</v>
          </cell>
          <cell r="R2102"/>
          <cell r="S2102"/>
          <cell r="T2102">
            <v>0.53</v>
          </cell>
          <cell r="U2102">
            <v>0.59</v>
          </cell>
          <cell r="V2102">
            <v>0.83</v>
          </cell>
          <cell r="W2102">
            <v>0</v>
          </cell>
          <cell r="X2102" t="str">
            <v>EST CADEIRA VIKY (LOURO ESPECIAL) COURO NOBUCK VERDE - 0,53x0,59x0,83H</v>
          </cell>
          <cell r="Y2102">
            <v>9717.57</v>
          </cell>
          <cell r="Z2102">
            <v>0.35</v>
          </cell>
          <cell r="AA2102">
            <v>6316.4205000000002</v>
          </cell>
          <cell r="AB2102"/>
        </row>
        <row r="2103">
          <cell r="C2103">
            <v>1</v>
          </cell>
          <cell r="D2103">
            <v>0</v>
          </cell>
          <cell r="E2103">
            <v>0</v>
          </cell>
          <cell r="F2103">
            <v>6</v>
          </cell>
          <cell r="H2103">
            <v>0</v>
          </cell>
          <cell r="O2103">
            <v>312385</v>
          </cell>
          <cell r="P2103" t="str">
            <v>2022/038-0024-01</v>
          </cell>
          <cell r="Q2103" t="str">
            <v>EST CADEIRA VIKY (LOURO ESPECIAL) COURO NOBUCK VERDE</v>
          </cell>
          <cell r="R2103"/>
          <cell r="S2103"/>
          <cell r="T2103">
            <v>0.53</v>
          </cell>
          <cell r="U2103">
            <v>0.59</v>
          </cell>
          <cell r="V2103">
            <v>0.83</v>
          </cell>
          <cell r="W2103">
            <v>0</v>
          </cell>
          <cell r="X2103" t="str">
            <v>EST CADEIRA VIKY (LOURO ESPECIAL) COURO NOBUCK VERDE - 0,53x0,59x0,83H</v>
          </cell>
          <cell r="Y2103">
            <v>9717.57</v>
          </cell>
          <cell r="Z2103">
            <v>0.35</v>
          </cell>
          <cell r="AA2103">
            <v>6316.4205000000002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1</v>
          </cell>
          <cell r="H2104">
            <v>6</v>
          </cell>
          <cell r="O2104">
            <v>336546</v>
          </cell>
          <cell r="P2104" t="str">
            <v>2022/248-0007-01</v>
          </cell>
          <cell r="Q2104" t="str">
            <v>EST CADEIRA NINA (MAD B LOURO ESP) 74 CAMEL/SEXT NAT</v>
          </cell>
          <cell r="R2104"/>
          <cell r="S2104"/>
          <cell r="T2104">
            <v>0.5</v>
          </cell>
          <cell r="U2104">
            <v>0.61</v>
          </cell>
          <cell r="V2104">
            <v>0.88</v>
          </cell>
          <cell r="W2104">
            <v>0</v>
          </cell>
          <cell r="X2104" t="str">
            <v>EST CADEIRA NINA (MAD B LOURO ESP) 74 CAMEL/SEXT NAT - 0,5x0,61x0,88H</v>
          </cell>
          <cell r="Y2104">
            <v>10068.620000000001</v>
          </cell>
          <cell r="Z2104">
            <v>0.5</v>
          </cell>
          <cell r="AA2104">
            <v>5034.3100000000004</v>
          </cell>
          <cell r="AB2104"/>
        </row>
        <row r="2105">
          <cell r="C2105">
            <v>0</v>
          </cell>
          <cell r="D2105">
            <v>1</v>
          </cell>
          <cell r="E2105">
            <v>0</v>
          </cell>
          <cell r="F2105">
            <v>1</v>
          </cell>
          <cell r="H2105">
            <v>0</v>
          </cell>
          <cell r="O2105">
            <v>223591</v>
          </cell>
          <cell r="P2105" t="str">
            <v>2021/054-0047-01</v>
          </cell>
          <cell r="Q2105" t="str">
            <v>EST LUMINARIA CATAVENTO (INOX ENV) (MAD B LOURO ESP)</v>
          </cell>
          <cell r="R2105"/>
          <cell r="S2105"/>
          <cell r="T2105">
            <v>0.47</v>
          </cell>
          <cell r="U2105">
            <v>0.22</v>
          </cell>
          <cell r="V2105">
            <v>0.34</v>
          </cell>
          <cell r="W2105">
            <v>0</v>
          </cell>
          <cell r="X2105" t="str">
            <v>EST LUMINARIA CATAVENTO (INOX ENV) (MAD B LOURO ESP) - 0,47x0,22x0,34H</v>
          </cell>
          <cell r="Y2105">
            <v>10628.31</v>
          </cell>
          <cell r="Z2105">
            <v>0.5</v>
          </cell>
          <cell r="AA2105">
            <v>5314.1549999999997</v>
          </cell>
          <cell r="AB2105"/>
        </row>
        <row r="2106">
          <cell r="C2106">
            <v>1</v>
          </cell>
          <cell r="D2106">
            <v>1</v>
          </cell>
          <cell r="E2106">
            <v>0</v>
          </cell>
          <cell r="F2106">
            <v>0</v>
          </cell>
          <cell r="H2106">
            <v>0</v>
          </cell>
          <cell r="O2106">
            <v>238227</v>
          </cell>
          <cell r="P2106" t="str">
            <v>2019/191-0054-01</v>
          </cell>
          <cell r="Q2106" t="str">
            <v>EST BUFFET QUADROS (MAD A JQUIT 03) (INOX ENV) CH 07</v>
          </cell>
          <cell r="R2106"/>
          <cell r="S2106"/>
          <cell r="T2106">
            <v>2.6</v>
          </cell>
          <cell r="U2106">
            <v>0.55000000000000004</v>
          </cell>
          <cell r="V2106">
            <v>0.75</v>
          </cell>
          <cell r="W2106">
            <v>0</v>
          </cell>
          <cell r="X2106" t="str">
            <v>EST BUFFET QUADROS (MAD A JQUIT 03) (INOX ENV) CH 07 - 2,6x0,55x0,75H</v>
          </cell>
          <cell r="Y2106">
            <v>66059.88</v>
          </cell>
          <cell r="Z2106">
            <v>0.35</v>
          </cell>
          <cell r="AA2106">
            <v>42938.922000000006</v>
          </cell>
          <cell r="AB2106"/>
        </row>
        <row r="2107">
          <cell r="C2107">
            <v>0</v>
          </cell>
          <cell r="D2107">
            <v>2</v>
          </cell>
          <cell r="E2107">
            <v>0</v>
          </cell>
          <cell r="F2107">
            <v>0</v>
          </cell>
          <cell r="H2107">
            <v>0</v>
          </cell>
          <cell r="O2107">
            <v>377310</v>
          </cell>
          <cell r="P2107" t="str">
            <v>2023/331-0034-01</v>
          </cell>
          <cell r="Q2107" t="str">
            <v>EST POLTRONA SALVADOR (MAD B TECA NATE) TC LUZZI 623</v>
          </cell>
          <cell r="R2107"/>
          <cell r="S2107"/>
          <cell r="T2107">
            <v>0.7</v>
          </cell>
          <cell r="U2107">
            <v>0.66</v>
          </cell>
          <cell r="V2107">
            <v>0.7</v>
          </cell>
          <cell r="W2107">
            <v>0</v>
          </cell>
          <cell r="X2107" t="str">
            <v>EST POLTRONA SALVADOR (MAD B TECA NATE) TC LUZZI 623 - 0,7x0,66x0,7H</v>
          </cell>
          <cell r="Y2107">
            <v>19829.38</v>
          </cell>
          <cell r="Z2107">
            <v>0.35</v>
          </cell>
          <cell r="AA2107">
            <v>12889.097000000002</v>
          </cell>
          <cell r="AB2107"/>
        </row>
        <row r="2108">
          <cell r="C2108">
            <v>0</v>
          </cell>
          <cell r="D2108">
            <v>2</v>
          </cell>
          <cell r="E2108">
            <v>0</v>
          </cell>
          <cell r="F2108">
            <v>0</v>
          </cell>
          <cell r="H2108">
            <v>0</v>
          </cell>
          <cell r="O2108">
            <v>377310</v>
          </cell>
          <cell r="P2108" t="str">
            <v>2023/331-0035-01</v>
          </cell>
          <cell r="Q2108" t="str">
            <v>EST POLTRONA SALVADOR (MAD B TECA NATE) TC LUZZI 623</v>
          </cell>
          <cell r="R2108"/>
          <cell r="S2108"/>
          <cell r="T2108">
            <v>0.7</v>
          </cell>
          <cell r="U2108">
            <v>0.66</v>
          </cell>
          <cell r="V2108">
            <v>0.7</v>
          </cell>
          <cell r="W2108">
            <v>0</v>
          </cell>
          <cell r="X2108" t="str">
            <v>EST POLTRONA SALVADOR (MAD B TECA NATE) TC LUZZI 623 - 0,7x0,66x0,7H</v>
          </cell>
          <cell r="Y2108">
            <v>19829.38</v>
          </cell>
          <cell r="Z2108">
            <v>0.35</v>
          </cell>
          <cell r="AA2108">
            <v>12889.097000000002</v>
          </cell>
          <cell r="AB2108"/>
        </row>
        <row r="2109">
          <cell r="C2109">
            <v>0</v>
          </cell>
          <cell r="D2109">
            <v>2</v>
          </cell>
          <cell r="E2109">
            <v>0</v>
          </cell>
          <cell r="F2109">
            <v>0</v>
          </cell>
          <cell r="H2109">
            <v>0</v>
          </cell>
          <cell r="O2109">
            <v>387779</v>
          </cell>
          <cell r="P2109" t="str">
            <v>2024/197-0113-01</v>
          </cell>
          <cell r="Q2109" t="str">
            <v>EST POLTRONA LUAR (MAD A JEQ 03) TC OGGI COR 157</v>
          </cell>
          <cell r="R2109"/>
          <cell r="S2109"/>
          <cell r="T2109">
            <v>0.94</v>
          </cell>
          <cell r="U2109">
            <v>0.92</v>
          </cell>
          <cell r="V2109">
            <v>0.74</v>
          </cell>
          <cell r="W2109">
            <v>0</v>
          </cell>
          <cell r="X2109" t="str">
            <v>EST POLTRONA LUAR (MAD A JEQ 03) TC OGGI COR 157 - 0,94x0,92x0,74H</v>
          </cell>
          <cell r="Y2109">
            <v>30869.75</v>
          </cell>
          <cell r="Z2109">
            <v>0.35</v>
          </cell>
          <cell r="AA2109">
            <v>20065.337500000001</v>
          </cell>
          <cell r="AB2109"/>
        </row>
        <row r="2110">
          <cell r="C2110">
            <v>0</v>
          </cell>
          <cell r="D2110">
            <v>2</v>
          </cell>
          <cell r="E2110">
            <v>0</v>
          </cell>
          <cell r="F2110">
            <v>0</v>
          </cell>
          <cell r="H2110">
            <v>0</v>
          </cell>
          <cell r="O2110">
            <v>387779</v>
          </cell>
          <cell r="P2110" t="str">
            <v>2024/197-0114-01</v>
          </cell>
          <cell r="Q2110" t="str">
            <v>EST POLTRONA LUAR (MAD A JEQ 03) TC OGGI COR 157</v>
          </cell>
          <cell r="R2110"/>
          <cell r="S2110"/>
          <cell r="T2110">
            <v>0.94</v>
          </cell>
          <cell r="U2110">
            <v>0.92</v>
          </cell>
          <cell r="V2110">
            <v>0.74</v>
          </cell>
          <cell r="W2110">
            <v>0</v>
          </cell>
          <cell r="X2110" t="str">
            <v>EST POLTRONA LUAR (MAD A JEQ 03) TC OGGI COR 157 - 0,94x0,92x0,74H</v>
          </cell>
          <cell r="Y2110">
            <v>30869.75</v>
          </cell>
          <cell r="Z2110">
            <v>0.35</v>
          </cell>
          <cell r="AA2110">
            <v>20065.337500000001</v>
          </cell>
          <cell r="AB2110"/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H2111">
            <v>0</v>
          </cell>
          <cell r="O2111">
            <v>336698</v>
          </cell>
          <cell r="P2111" t="str">
            <v>2022/251-0010-01</v>
          </cell>
          <cell r="Q2111" t="str">
            <v>EST MESA LATERAL LUSA (OBL CER AZUL) (MAD B FREIJO NT)</v>
          </cell>
          <cell r="R2111"/>
          <cell r="S2111"/>
          <cell r="T2111">
            <v>0.51</v>
          </cell>
          <cell r="U2111">
            <v>0.28000000000000003</v>
          </cell>
          <cell r="V2111">
            <v>0.62</v>
          </cell>
          <cell r="W2111">
            <v>0</v>
          </cell>
          <cell r="X2111" t="str">
            <v>EST MESA LATERAL LUSA (OBL CER AZUL) (MAD B FREIJO NT) - 0,51x0,28x0,62H</v>
          </cell>
          <cell r="Y2111">
            <v>15286.811999999998</v>
          </cell>
          <cell r="Z2111">
            <v>0.35</v>
          </cell>
          <cell r="AA2111">
            <v>9936.4277999999995</v>
          </cell>
          <cell r="AB2111"/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H2112">
            <v>0</v>
          </cell>
          <cell r="O2112">
            <v>238168</v>
          </cell>
          <cell r="P2112" t="str">
            <v>2019/205-0022-01</v>
          </cell>
          <cell r="Q2112" t="str">
            <v>EST MESA CENTRO ARGOLA (C) (CORTEN) (MAD A JEQ 03)</v>
          </cell>
          <cell r="R2112"/>
          <cell r="S2112"/>
          <cell r="T2112">
            <v>0.6</v>
          </cell>
          <cell r="U2112">
            <v>0</v>
          </cell>
          <cell r="V2112">
            <v>0.45</v>
          </cell>
          <cell r="W2112">
            <v>0.6</v>
          </cell>
          <cell r="X2112" t="str">
            <v>EST MESA CENTRO ARGOLA (C) (CORTEN) (MAD A JEQ 03) - Ø0,6x0,45H</v>
          </cell>
          <cell r="Y2112">
            <v>12941.33</v>
          </cell>
          <cell r="Z2112">
            <v>0.35</v>
          </cell>
          <cell r="AA2112">
            <v>8411.8644999999997</v>
          </cell>
          <cell r="AB2112"/>
        </row>
        <row r="2113">
          <cell r="C2113">
            <v>1</v>
          </cell>
          <cell r="D2113">
            <v>1</v>
          </cell>
          <cell r="E2113">
            <v>0</v>
          </cell>
          <cell r="F2113">
            <v>0</v>
          </cell>
          <cell r="H2113">
            <v>0</v>
          </cell>
          <cell r="O2113">
            <v>238169</v>
          </cell>
          <cell r="P2113" t="str">
            <v>2019/205-0023-01</v>
          </cell>
          <cell r="Q2113" t="str">
            <v>EST MESA CENTRO ARGOLA (D) (TP EBNZ) (MAD A CINAM EBNZ)</v>
          </cell>
          <cell r="R2113"/>
          <cell r="S2113"/>
          <cell r="T2113">
            <v>0.4</v>
          </cell>
          <cell r="U2113">
            <v>0</v>
          </cell>
          <cell r="V2113">
            <v>0.55000000000000004</v>
          </cell>
          <cell r="W2113">
            <v>0.4</v>
          </cell>
          <cell r="X2113" t="str">
            <v>EST MESA CENTRO ARGOLA (D) (TP EBNZ) (MAD A CINAM EBNZ) - Ø0,4x0,55H</v>
          </cell>
          <cell r="Y2113">
            <v>8940.56</v>
          </cell>
          <cell r="Z2113">
            <v>0.35</v>
          </cell>
          <cell r="AA2113">
            <v>5811.3639999999996</v>
          </cell>
          <cell r="AB2113"/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H2114">
            <v>0</v>
          </cell>
          <cell r="O2114">
            <v>335097</v>
          </cell>
          <cell r="P2114" t="str">
            <v>2022/230-0009-01</v>
          </cell>
          <cell r="Q2114" t="str">
            <v>EST CADEIRA PAX OFFICE MISTA (FREIJO NERO) TC 11202-304</v>
          </cell>
          <cell r="R2114"/>
          <cell r="S2114"/>
          <cell r="T2114">
            <v>0.61</v>
          </cell>
          <cell r="U2114">
            <v>0.57999999999999996</v>
          </cell>
          <cell r="V2114">
            <v>0.89</v>
          </cell>
          <cell r="W2114">
            <v>0</v>
          </cell>
          <cell r="X2114" t="str">
            <v>EST CADEIRA PAX OFFICE MISTA (FREIJO NERO) TC 11202-304 - 0,61x0,58x0,89H</v>
          </cell>
          <cell r="Y2114">
            <v>23694.94</v>
          </cell>
          <cell r="Z2114">
            <v>0.35</v>
          </cell>
          <cell r="AA2114">
            <v>15401.710999999999</v>
          </cell>
          <cell r="AB2114"/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H2115">
            <v>0</v>
          </cell>
          <cell r="O2115">
            <v>336648</v>
          </cell>
          <cell r="P2115" t="str">
            <v>2022/244-0009-01</v>
          </cell>
          <cell r="Q2115" t="str">
            <v>EST FRUTEIRA CHIE (MOD 01) (MAD B TECA NATURALLE)</v>
          </cell>
          <cell r="R2115"/>
          <cell r="S2115"/>
          <cell r="T2115">
            <v>0.19</v>
          </cell>
          <cell r="U2115">
            <v>0</v>
          </cell>
          <cell r="V2115">
            <v>0.35</v>
          </cell>
          <cell r="W2115">
            <v>0.19</v>
          </cell>
          <cell r="X2115" t="str">
            <v>EST FRUTEIRA CHIE (MOD 01) (MAD B TECA NATURALLE) - Ø0,19x0,35H</v>
          </cell>
          <cell r="Y2115">
            <v>3219.15</v>
          </cell>
          <cell r="Z2115">
            <v>0.35</v>
          </cell>
          <cell r="AA2115">
            <v>2092.4475000000002</v>
          </cell>
          <cell r="AB2115"/>
        </row>
        <row r="2116">
          <cell r="C2116">
            <v>1</v>
          </cell>
          <cell r="D2116">
            <v>1</v>
          </cell>
          <cell r="E2116">
            <v>0</v>
          </cell>
          <cell r="F2116">
            <v>0</v>
          </cell>
          <cell r="H2116">
            <v>0</v>
          </cell>
          <cell r="O2116">
            <v>336649</v>
          </cell>
          <cell r="P2116" t="str">
            <v>2022/244-0051-01</v>
          </cell>
          <cell r="Q2116" t="str">
            <v>EST FRUTEIRA CHIE (MOD 02) (MAD B TECA NATURAL PU)</v>
          </cell>
          <cell r="R2116"/>
          <cell r="S2116"/>
          <cell r="T2116">
            <v>0.25</v>
          </cell>
          <cell r="U2116">
            <v>0</v>
          </cell>
          <cell r="V2116">
            <v>0.28999999999999998</v>
          </cell>
          <cell r="W2116">
            <v>0.25</v>
          </cell>
          <cell r="X2116" t="str">
            <v>EST FRUTEIRA CHIE (MOD 02) (MAD B TECA NATURAL PU) - Ø0,25x0,29H</v>
          </cell>
          <cell r="Y2116">
            <v>3788.06</v>
          </cell>
          <cell r="Z2116">
            <v>0.35</v>
          </cell>
          <cell r="AA2116">
            <v>2462.239</v>
          </cell>
          <cell r="AB2116"/>
        </row>
        <row r="2117">
          <cell r="C2117">
            <v>0</v>
          </cell>
          <cell r="D2117">
            <v>1</v>
          </cell>
          <cell r="E2117">
            <v>0</v>
          </cell>
          <cell r="F2117">
            <v>0</v>
          </cell>
          <cell r="H2117">
            <v>0</v>
          </cell>
          <cell r="O2117">
            <v>336737</v>
          </cell>
          <cell r="P2117" t="str">
            <v>2022/230-0040-01</v>
          </cell>
          <cell r="Q2117" t="str">
            <v>EST FRUTEIRA CHIE (MOD 03) (MAD B FREIJO CASTANHO)</v>
          </cell>
          <cell r="R2117"/>
          <cell r="S2117"/>
          <cell r="T2117">
            <v>0.28999999999999998</v>
          </cell>
          <cell r="U2117">
            <v>0</v>
          </cell>
          <cell r="V2117">
            <v>0.28999999999999998</v>
          </cell>
          <cell r="W2117">
            <v>0.39</v>
          </cell>
          <cell r="X2117" t="str">
            <v>EST FRUTEIRA CHIE (MOD 03) (MAD B FREIJO CASTANHO) - Ø0,39x0,29H</v>
          </cell>
          <cell r="Y2117">
            <v>4546.62</v>
          </cell>
          <cell r="Z2117">
            <v>0.35</v>
          </cell>
          <cell r="AA2117">
            <v>2955.3029999999999</v>
          </cell>
          <cell r="AB2117"/>
        </row>
        <row r="2118">
          <cell r="C2118">
            <v>0</v>
          </cell>
          <cell r="D2118">
            <v>1</v>
          </cell>
          <cell r="E2118">
            <v>0</v>
          </cell>
          <cell r="F2118">
            <v>0</v>
          </cell>
          <cell r="H2118">
            <v>0</v>
          </cell>
          <cell r="O2118">
            <v>336739</v>
          </cell>
          <cell r="P2118" t="str">
            <v>2022/223-0056-01</v>
          </cell>
          <cell r="Q2118" t="str">
            <v>EST MESA LATERAL LUSA (OBL CER BEGE) (MAD B TECA NT)</v>
          </cell>
          <cell r="R2118"/>
          <cell r="S2118"/>
          <cell r="T2118">
            <v>0.51</v>
          </cell>
          <cell r="U2118">
            <v>0.28000000000000003</v>
          </cell>
          <cell r="V2118">
            <v>0.62</v>
          </cell>
          <cell r="W2118">
            <v>0</v>
          </cell>
          <cell r="X2118" t="str">
            <v>EST MESA LATERAL LUSA (OBL CER BEGE) (MAD B TECA NT) - 0,51x0,28x0,62H</v>
          </cell>
          <cell r="Y2118">
            <v>13292.88</v>
          </cell>
          <cell r="Z2118">
            <v>0.35</v>
          </cell>
          <cell r="AA2118">
            <v>8640.3719999999994</v>
          </cell>
          <cell r="AB2118"/>
        </row>
        <row r="2119">
          <cell r="C2119">
            <v>1</v>
          </cell>
          <cell r="D2119">
            <v>1</v>
          </cell>
          <cell r="E2119">
            <v>0</v>
          </cell>
          <cell r="F2119">
            <v>0</v>
          </cell>
          <cell r="H2119">
            <v>1</v>
          </cell>
          <cell r="O2119">
            <v>120741</v>
          </cell>
          <cell r="P2119" t="str">
            <v>1012/303-0006-01</v>
          </cell>
          <cell r="Q2119" t="str">
            <v>EST BANQUETA BAR CHICAGO (TELA DUP) (CATUABA AVELA)</v>
          </cell>
          <cell r="R2119"/>
          <cell r="S2119"/>
          <cell r="T2119">
            <v>0.45</v>
          </cell>
          <cell r="U2119">
            <v>0.49</v>
          </cell>
          <cell r="V2119">
            <v>1.03</v>
          </cell>
          <cell r="W2119">
            <v>0</v>
          </cell>
          <cell r="X2119" t="str">
            <v>EST BANQUETA BAR CHICAGO (TELA DUP) (CATUABA AVELA) - 0,45x0,49x1,03H</v>
          </cell>
          <cell r="Y2119">
            <v>3592.7</v>
          </cell>
          <cell r="Z2119">
            <v>0.5</v>
          </cell>
          <cell r="AA2119">
            <v>1796.35</v>
          </cell>
          <cell r="AB2119"/>
        </row>
        <row r="2120">
          <cell r="C2120">
            <v>0</v>
          </cell>
          <cell r="D2120">
            <v>1</v>
          </cell>
          <cell r="E2120">
            <v>0</v>
          </cell>
          <cell r="F2120">
            <v>0</v>
          </cell>
          <cell r="H2120">
            <v>0</v>
          </cell>
          <cell r="O2120">
            <v>223610</v>
          </cell>
          <cell r="P2120" t="str">
            <v>2020/069-0092-01</v>
          </cell>
          <cell r="Q2120" t="str">
            <v>EST HOME ORION (25MM) (MAD B FREIJO NT)</v>
          </cell>
          <cell r="R2120"/>
          <cell r="S2120"/>
          <cell r="T2120">
            <v>2.6</v>
          </cell>
          <cell r="U2120">
            <v>0.5</v>
          </cell>
          <cell r="V2120">
            <v>0.55000000000000004</v>
          </cell>
          <cell r="W2120">
            <v>0</v>
          </cell>
          <cell r="X2120" t="str">
            <v>EST HOME ORION (25MM) (MAD B FREIJO NT) - 2,6x0,5x0,55H</v>
          </cell>
          <cell r="Y2120">
            <v>44600.49</v>
          </cell>
          <cell r="Z2120">
            <v>0.5</v>
          </cell>
          <cell r="AA2120">
            <v>22300.244999999999</v>
          </cell>
          <cell r="AB2120"/>
        </row>
        <row r="2121">
          <cell r="C2121">
            <v>0</v>
          </cell>
          <cell r="D2121">
            <v>1</v>
          </cell>
          <cell r="E2121">
            <v>0</v>
          </cell>
          <cell r="F2121">
            <v>0</v>
          </cell>
          <cell r="H2121">
            <v>0</v>
          </cell>
          <cell r="O2121">
            <v>274418</v>
          </cell>
          <cell r="P2121" t="str">
            <v>2021/032-0084-01</v>
          </cell>
          <cell r="Q2121" t="str">
            <v>EST MESA CENTRO ARGOLA (B) (TP VAQ 151) (CUMARU) INOX ENV</v>
          </cell>
          <cell r="R2121"/>
          <cell r="S2121"/>
          <cell r="T2121">
            <v>1</v>
          </cell>
          <cell r="U2121">
            <v>0</v>
          </cell>
          <cell r="V2121">
            <v>0.35</v>
          </cell>
          <cell r="W2121">
            <v>1</v>
          </cell>
          <cell r="X2121" t="str">
            <v>EST MESA CENTRO ARGOLA (B) (TP VAQ 151) (CUMARU) INOX ENV - Ø1x0,35H</v>
          </cell>
          <cell r="Y2121">
            <v>22176.31</v>
          </cell>
          <cell r="Z2121">
            <v>0.5</v>
          </cell>
          <cell r="AA2121">
            <v>11088.155000000001</v>
          </cell>
          <cell r="AB2121"/>
        </row>
        <row r="2122">
          <cell r="C2122">
            <v>0</v>
          </cell>
          <cell r="D2122">
            <v>1</v>
          </cell>
          <cell r="E2122">
            <v>0</v>
          </cell>
          <cell r="F2122">
            <v>0</v>
          </cell>
          <cell r="H2122">
            <v>0</v>
          </cell>
          <cell r="O2122">
            <v>334177</v>
          </cell>
          <cell r="P2122" t="str">
            <v>2022/203-0041-01</v>
          </cell>
          <cell r="Q2122" t="str">
            <v>EST MESA CENTRO ARGOLA (D) (COURO CAFE) (MAD A CINAM NOG)</v>
          </cell>
          <cell r="R2122"/>
          <cell r="S2122"/>
          <cell r="T2122">
            <v>0.4</v>
          </cell>
          <cell r="U2122">
            <v>0</v>
          </cell>
          <cell r="V2122">
            <v>0.55000000000000004</v>
          </cell>
          <cell r="W2122">
            <v>0.4</v>
          </cell>
          <cell r="X2122" t="str">
            <v>EST MESA CENTRO ARGOLA (D) (COURO CAFE) (MAD A CINAM NOG) - Ø0,4x0,55H</v>
          </cell>
          <cell r="Y2122">
            <v>10397.450000000001</v>
          </cell>
          <cell r="Z2122">
            <v>0.5</v>
          </cell>
          <cell r="AA2122">
            <v>5198.7250000000004</v>
          </cell>
          <cell r="AB2122"/>
        </row>
        <row r="2123">
          <cell r="C2123">
            <v>0</v>
          </cell>
          <cell r="D2123">
            <v>4</v>
          </cell>
          <cell r="E2123">
            <v>0</v>
          </cell>
          <cell r="F2123">
            <v>0</v>
          </cell>
          <cell r="H2123">
            <v>0</v>
          </cell>
          <cell r="O2123">
            <v>336729</v>
          </cell>
          <cell r="P2123" t="str">
            <v>2022/223-0049-01</v>
          </cell>
          <cell r="Q2123" t="str">
            <v>EST BANQUETA BAR PLIE (MAD A TAUARI ENV) COURO 74 CAMEL</v>
          </cell>
          <cell r="R2123"/>
          <cell r="S2123"/>
          <cell r="T2123">
            <v>0.47</v>
          </cell>
          <cell r="U2123">
            <v>0.56999999999999995</v>
          </cell>
          <cell r="V2123">
            <v>1.03</v>
          </cell>
          <cell r="W2123">
            <v>0</v>
          </cell>
          <cell r="X2123" t="str">
            <v>EST BANQUETA BAR PLIE (MAD A TAUARI ENV) COURO 74 CAMEL - 0,47x0,57x1,03H</v>
          </cell>
          <cell r="Y2123">
            <v>15071.35</v>
          </cell>
          <cell r="Z2123">
            <v>0.5</v>
          </cell>
          <cell r="AA2123">
            <v>7535.6750000000002</v>
          </cell>
          <cell r="AB2123"/>
        </row>
        <row r="2124">
          <cell r="C2124">
            <v>0</v>
          </cell>
          <cell r="D2124">
            <v>4</v>
          </cell>
          <cell r="E2124">
            <v>0</v>
          </cell>
          <cell r="F2124">
            <v>0</v>
          </cell>
          <cell r="H2124">
            <v>0</v>
          </cell>
          <cell r="O2124">
            <v>336729</v>
          </cell>
          <cell r="P2124" t="str">
            <v>2022/223-0050-01</v>
          </cell>
          <cell r="Q2124" t="str">
            <v>EST BANQUETA BAR PLIE (MAD A TAUARI ENV) COURO 74 CAMEL</v>
          </cell>
          <cell r="R2124"/>
          <cell r="S2124"/>
          <cell r="T2124">
            <v>0.47</v>
          </cell>
          <cell r="U2124">
            <v>0.56999999999999995</v>
          </cell>
          <cell r="V2124">
            <v>1.03</v>
          </cell>
          <cell r="W2124">
            <v>0</v>
          </cell>
          <cell r="X2124" t="str">
            <v>EST BANQUETA BAR PLIE (MAD A TAUARI ENV) COURO 74 CAMEL - 0,47x0,57x1,03H</v>
          </cell>
          <cell r="Y2124">
            <v>15071.35</v>
          </cell>
          <cell r="Z2124">
            <v>0.5</v>
          </cell>
          <cell r="AA2124">
            <v>7535.6750000000002</v>
          </cell>
          <cell r="AB2124"/>
        </row>
        <row r="2125">
          <cell r="C2125">
            <v>0</v>
          </cell>
          <cell r="D2125">
            <v>4</v>
          </cell>
          <cell r="E2125">
            <v>0</v>
          </cell>
          <cell r="F2125">
            <v>0</v>
          </cell>
          <cell r="H2125">
            <v>0</v>
          </cell>
          <cell r="O2125">
            <v>336729</v>
          </cell>
          <cell r="P2125" t="str">
            <v>2022/223-0051-01</v>
          </cell>
          <cell r="Q2125" t="str">
            <v>EST BANQUETA BAR PLIE (MAD A TAUARI ENV) COURO 74 CAMEL</v>
          </cell>
          <cell r="R2125"/>
          <cell r="S2125"/>
          <cell r="T2125">
            <v>0.47</v>
          </cell>
          <cell r="U2125">
            <v>0.56999999999999995</v>
          </cell>
          <cell r="V2125">
            <v>1.03</v>
          </cell>
          <cell r="W2125">
            <v>0</v>
          </cell>
          <cell r="X2125" t="str">
            <v>EST BANQUETA BAR PLIE (MAD A TAUARI ENV) COURO 74 CAMEL - 0,47x0,57x1,03H</v>
          </cell>
          <cell r="Y2125">
            <v>15071.35</v>
          </cell>
          <cell r="Z2125">
            <v>0.5</v>
          </cell>
          <cell r="AA2125">
            <v>7535.6750000000002</v>
          </cell>
          <cell r="AB2125"/>
        </row>
        <row r="2126">
          <cell r="C2126">
            <v>0</v>
          </cell>
          <cell r="D2126">
            <v>4</v>
          </cell>
          <cell r="E2126">
            <v>0</v>
          </cell>
          <cell r="F2126">
            <v>0</v>
          </cell>
          <cell r="H2126">
            <v>0</v>
          </cell>
          <cell r="O2126">
            <v>336729</v>
          </cell>
          <cell r="P2126" t="str">
            <v>2022/223-0052-01</v>
          </cell>
          <cell r="Q2126" t="str">
            <v>EST BANQUETA BAR PLIE (MAD A TAUARI ENV) COURO 74 CAMEL</v>
          </cell>
          <cell r="R2126"/>
          <cell r="S2126"/>
          <cell r="T2126">
            <v>0.47</v>
          </cell>
          <cell r="U2126">
            <v>0.56999999999999995</v>
          </cell>
          <cell r="V2126">
            <v>1.03</v>
          </cell>
          <cell r="W2126">
            <v>0</v>
          </cell>
          <cell r="X2126" t="str">
            <v>EST BANQUETA BAR PLIE (MAD A TAUARI ENV) COURO 74 CAMEL - 0,47x0,57x1,03H</v>
          </cell>
          <cell r="Y2126">
            <v>15071.35</v>
          </cell>
          <cell r="Z2126">
            <v>0.5</v>
          </cell>
          <cell r="AA2126">
            <v>7535.6750000000002</v>
          </cell>
          <cell r="AB2126"/>
        </row>
        <row r="2127">
          <cell r="C2127">
            <v>0</v>
          </cell>
          <cell r="D2127">
            <v>1</v>
          </cell>
          <cell r="E2127">
            <v>0</v>
          </cell>
          <cell r="F2127">
            <v>1</v>
          </cell>
          <cell r="H2127">
            <v>0</v>
          </cell>
          <cell r="O2127">
            <v>223591</v>
          </cell>
          <cell r="P2127" t="str">
            <v>2020/356-0136-01</v>
          </cell>
          <cell r="Q2127" t="str">
            <v>EST LUMINARIA CATAVENTO (INOX ENV) (MAD B LOURO ESP)</v>
          </cell>
          <cell r="R2127"/>
          <cell r="S2127"/>
          <cell r="T2127">
            <v>0.47</v>
          </cell>
          <cell r="U2127">
            <v>0.22</v>
          </cell>
          <cell r="V2127">
            <v>0.34</v>
          </cell>
          <cell r="W2127">
            <v>0</v>
          </cell>
          <cell r="X2127" t="str">
            <v>EST LUMINARIA CATAVENTO (INOX ENV) (MAD B LOURO ESP) - 0,47x0,22x0,34H</v>
          </cell>
          <cell r="Y2127">
            <v>10628.31</v>
          </cell>
          <cell r="Z2127">
            <v>0.5</v>
          </cell>
          <cell r="AA2127">
            <v>5314.1549999999997</v>
          </cell>
          <cell r="AB2127"/>
        </row>
        <row r="2128">
          <cell r="C2128">
            <v>1</v>
          </cell>
          <cell r="D2128">
            <v>1</v>
          </cell>
          <cell r="E2128">
            <v>0</v>
          </cell>
          <cell r="F2128">
            <v>0</v>
          </cell>
          <cell r="H2128">
            <v>0</v>
          </cell>
          <cell r="O2128">
            <v>238227</v>
          </cell>
          <cell r="P2128" t="str">
            <v>2019/203-0065-01</v>
          </cell>
          <cell r="Q2128" t="str">
            <v>EST BUFFET QUADROS (MAD A JQUIT 03) (INOX ENV) CH 07</v>
          </cell>
          <cell r="R2128"/>
          <cell r="S2128"/>
          <cell r="T2128">
            <v>2.6</v>
          </cell>
          <cell r="U2128">
            <v>0.55000000000000004</v>
          </cell>
          <cell r="V2128">
            <v>0.75</v>
          </cell>
          <cell r="W2128">
            <v>0</v>
          </cell>
          <cell r="X2128" t="str">
            <v>EST BUFFET QUADROS (MAD A JQUIT 03) (INOX ENV) CH 07 - 2,6x0,55x0,75H</v>
          </cell>
          <cell r="Y2128">
            <v>66059.88</v>
          </cell>
          <cell r="Z2128">
            <v>0.5</v>
          </cell>
          <cell r="AA2128">
            <v>33029.94</v>
          </cell>
          <cell r="AB2128"/>
        </row>
        <row r="2129">
          <cell r="C2129">
            <v>1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336703</v>
          </cell>
          <cell r="P2129" t="str">
            <v>2022/292-0035-01</v>
          </cell>
          <cell r="Q2129" t="str">
            <v>EST MESA LATERAL LUSA (RED CER BEGE) (MAD B FREIJO NT)</v>
          </cell>
          <cell r="R2129"/>
          <cell r="S2129"/>
          <cell r="T2129">
            <v>0.4</v>
          </cell>
          <cell r="U2129">
            <v>0.45</v>
          </cell>
          <cell r="V2129">
            <v>0.72</v>
          </cell>
          <cell r="W2129">
            <v>0</v>
          </cell>
          <cell r="X2129" t="str">
            <v>EST MESA LATERAL LUSA (RED CER BEGE) (MAD B FREIJO NT) - 0,4x0,45x0,72H</v>
          </cell>
          <cell r="Y2129">
            <v>16169.759</v>
          </cell>
          <cell r="Z2129">
            <v>0.5</v>
          </cell>
          <cell r="AA2129">
            <v>8084.8795</v>
          </cell>
          <cell r="AB2129"/>
        </row>
        <row r="2130">
          <cell r="C2130">
            <v>1</v>
          </cell>
          <cell r="D2130">
            <v>0</v>
          </cell>
          <cell r="E2130">
            <v>0</v>
          </cell>
          <cell r="F2130">
            <v>0</v>
          </cell>
          <cell r="H2130">
            <v>0</v>
          </cell>
          <cell r="O2130">
            <v>113410</v>
          </cell>
          <cell r="P2130" t="str">
            <v>1012/306-2017-01</v>
          </cell>
          <cell r="Q2130" t="str">
            <v>EST LUMINARIA MESA NET (CATUABA AVELUDADA) (CUPULA BCA 110V)</v>
          </cell>
          <cell r="R2130"/>
          <cell r="S2130"/>
          <cell r="T2130">
            <v>0</v>
          </cell>
          <cell r="U2130">
            <v>0</v>
          </cell>
          <cell r="V2130">
            <v>0</v>
          </cell>
          <cell r="W2130">
            <v>0</v>
          </cell>
          <cell r="X2130" t="str">
            <v>EST LUMINARIA MESA NET (CATUABA AVELUDADA) (CUPULA BCA 110V) - Ø0x0H</v>
          </cell>
          <cell r="Y2130">
            <v>9350.73</v>
          </cell>
          <cell r="Z2130">
            <v>0.5</v>
          </cell>
          <cell r="AA2130">
            <v>4675.3649999999998</v>
          </cell>
          <cell r="AB2130"/>
        </row>
        <row r="2131">
          <cell r="C2131">
            <v>1</v>
          </cell>
          <cell r="D2131">
            <v>1</v>
          </cell>
          <cell r="E2131">
            <v>0</v>
          </cell>
          <cell r="F2131">
            <v>0</v>
          </cell>
          <cell r="H2131">
            <v>1</v>
          </cell>
          <cell r="O2131">
            <v>120741</v>
          </cell>
          <cell r="P2131" t="str">
            <v>1012/305-0003-01</v>
          </cell>
          <cell r="Q2131" t="str">
            <v>EST BANQUETA BAR CHICAGO (TELA DUP) (CATUABA AVELA)</v>
          </cell>
          <cell r="R2131"/>
          <cell r="S2131"/>
          <cell r="T2131">
            <v>0.45</v>
          </cell>
          <cell r="U2131">
            <v>0.49</v>
          </cell>
          <cell r="V2131">
            <v>1.03</v>
          </cell>
          <cell r="W2131">
            <v>0</v>
          </cell>
          <cell r="X2131" t="str">
            <v>EST BANQUETA BAR CHICAGO (TELA DUP) (CATUABA AVELA) - 0,45x0,49x1,03H</v>
          </cell>
          <cell r="Y2131">
            <v>3592.7</v>
          </cell>
          <cell r="Z2131">
            <v>0.5</v>
          </cell>
          <cell r="AA2131">
            <v>1796.35</v>
          </cell>
          <cell r="AB2131"/>
        </row>
        <row r="2132">
          <cell r="C2132">
            <v>1</v>
          </cell>
          <cell r="D2132">
            <v>0</v>
          </cell>
          <cell r="E2132">
            <v>0</v>
          </cell>
          <cell r="F2132">
            <v>0</v>
          </cell>
          <cell r="H2132">
            <v>0</v>
          </cell>
          <cell r="O2132">
            <v>151213</v>
          </cell>
          <cell r="P2132" t="str">
            <v>2014/197-0023-01</v>
          </cell>
          <cell r="Q2132" t="str">
            <v>EST MESA LATERAL PLANTA (LACA BRILHO F100)</v>
          </cell>
          <cell r="R2132"/>
          <cell r="S2132"/>
          <cell r="T2132">
            <v>0.5</v>
          </cell>
          <cell r="U2132">
            <v>0</v>
          </cell>
          <cell r="V2132">
            <v>0.45</v>
          </cell>
          <cell r="W2132">
            <v>0.5</v>
          </cell>
          <cell r="X2132" t="str">
            <v>EST MESA LATERAL PLANTA (LACA BRILHO F100) - Ø0,5x0,45H</v>
          </cell>
          <cell r="Y2132">
            <v>3637.83</v>
          </cell>
          <cell r="Z2132">
            <v>0.5</v>
          </cell>
          <cell r="AA2132">
            <v>1818.915</v>
          </cell>
          <cell r="AB2132"/>
        </row>
        <row r="2133">
          <cell r="C2133">
            <v>1</v>
          </cell>
          <cell r="D2133">
            <v>0</v>
          </cell>
          <cell r="E2133">
            <v>0</v>
          </cell>
          <cell r="F2133">
            <v>0</v>
          </cell>
          <cell r="H2133">
            <v>0</v>
          </cell>
          <cell r="O2133">
            <v>206297</v>
          </cell>
          <cell r="P2133" t="str">
            <v>2017/038-0013-01</v>
          </cell>
          <cell r="Q2133" t="str">
            <v>EST MESA JANTAR EQUUS (OVAL) (MAD B FREIJO CLAREADO)</v>
          </cell>
          <cell r="R2133"/>
          <cell r="S2133"/>
          <cell r="T2133">
            <v>2.6</v>
          </cell>
          <cell r="U2133">
            <v>1.2</v>
          </cell>
          <cell r="V2133">
            <v>0.75</v>
          </cell>
          <cell r="W2133">
            <v>0</v>
          </cell>
          <cell r="X2133" t="str">
            <v>EST MESA JANTAR EQUUS (OVAL) (MAD B FREIJO CLAREADO) - 2,6x1,2x0,75H</v>
          </cell>
          <cell r="Y2133">
            <v>48370.43</v>
          </cell>
          <cell r="Z2133">
            <v>0.35</v>
          </cell>
          <cell r="AA2133">
            <v>31440.779500000001</v>
          </cell>
          <cell r="AB2133"/>
        </row>
        <row r="2134">
          <cell r="C2134">
            <v>1</v>
          </cell>
          <cell r="D2134">
            <v>0</v>
          </cell>
          <cell r="E2134">
            <v>0</v>
          </cell>
          <cell r="F2134">
            <v>0</v>
          </cell>
          <cell r="H2134">
            <v>0</v>
          </cell>
          <cell r="O2134">
            <v>228598</v>
          </cell>
          <cell r="P2134" t="str">
            <v>2019/141-0060-01</v>
          </cell>
          <cell r="Q2134" t="str">
            <v>EST APARADOR COMPOSTA (MAD B LOURO ESP PINTURA ENVELHECIDA)</v>
          </cell>
          <cell r="R2134"/>
          <cell r="S2134"/>
          <cell r="T2134">
            <v>2.2000000000000002</v>
          </cell>
          <cell r="U2134">
            <v>0.5</v>
          </cell>
          <cell r="V2134">
            <v>0.8</v>
          </cell>
          <cell r="W2134">
            <v>0</v>
          </cell>
          <cell r="X2134" t="str">
            <v>EST APARADOR COMPOSTA (MAD B LOURO ESP PINTURA ENVELHECIDA) - 2,2x0,5x0,8H</v>
          </cell>
          <cell r="Y2134">
            <v>23539.49</v>
          </cell>
          <cell r="Z2134">
            <v>0.5</v>
          </cell>
          <cell r="AA2134">
            <v>11769.745000000001</v>
          </cell>
          <cell r="AB2134"/>
        </row>
        <row r="2135">
          <cell r="C2135">
            <v>1</v>
          </cell>
          <cell r="D2135">
            <v>0</v>
          </cell>
          <cell r="E2135">
            <v>0</v>
          </cell>
          <cell r="F2135">
            <v>0</v>
          </cell>
          <cell r="H2135">
            <v>1</v>
          </cell>
          <cell r="O2135">
            <v>232126</v>
          </cell>
          <cell r="P2135" t="str">
            <v>2019/078-0066-01</v>
          </cell>
          <cell r="Q2135" t="str">
            <v>EST CADEIRA CHICAGO C/B (TELA DUP) (FREIJO NT) TC 11203353</v>
          </cell>
          <cell r="R2135"/>
          <cell r="S2135"/>
          <cell r="T2135">
            <v>0.52</v>
          </cell>
          <cell r="U2135">
            <v>0.53</v>
          </cell>
          <cell r="V2135">
            <v>0.84</v>
          </cell>
          <cell r="W2135">
            <v>0</v>
          </cell>
          <cell r="X2135" t="str">
            <v>EST CADEIRA CHICAGO C/B (TELA DUP) (FREIJO NT) TC 11203353 - 0,52x0,53x0,84H</v>
          </cell>
          <cell r="Y2135">
            <v>6255.16</v>
          </cell>
          <cell r="Z2135">
            <v>0.5</v>
          </cell>
          <cell r="AA2135">
            <v>3127.58</v>
          </cell>
          <cell r="AB2135"/>
        </row>
        <row r="2136">
          <cell r="C2136">
            <v>1</v>
          </cell>
          <cell r="D2136">
            <v>0</v>
          </cell>
          <cell r="E2136">
            <v>0</v>
          </cell>
          <cell r="F2136">
            <v>0</v>
          </cell>
          <cell r="H2136">
            <v>0</v>
          </cell>
          <cell r="O2136">
            <v>238165</v>
          </cell>
          <cell r="P2136" t="str">
            <v>2019/205-0020-01</v>
          </cell>
          <cell r="Q2136" t="str">
            <v>EST MESA LATERAL NINHO TE (MAD A JEQ) (CONJUNTO 3 UNI)</v>
          </cell>
          <cell r="R2136"/>
          <cell r="S2136"/>
          <cell r="T2136">
            <v>0</v>
          </cell>
          <cell r="U2136">
            <v>0</v>
          </cell>
          <cell r="V2136">
            <v>0</v>
          </cell>
          <cell r="W2136">
            <v>0</v>
          </cell>
          <cell r="X2136" t="str">
            <v>EST MESA LATERAL NINHO TE (MAD A JEQ) (CONJUNTO 3 UNI) - Ø0x0H</v>
          </cell>
          <cell r="Y2136">
            <v>19281.36</v>
          </cell>
          <cell r="Z2136">
            <v>0.5</v>
          </cell>
          <cell r="AA2136">
            <v>9640.68</v>
          </cell>
          <cell r="AB2136"/>
        </row>
        <row r="2137">
          <cell r="C2137">
            <v>1</v>
          </cell>
          <cell r="D2137">
            <v>0</v>
          </cell>
          <cell r="E2137">
            <v>0</v>
          </cell>
          <cell r="F2137">
            <v>0</v>
          </cell>
          <cell r="H2137">
            <v>0</v>
          </cell>
          <cell r="O2137">
            <v>238171</v>
          </cell>
          <cell r="P2137" t="str">
            <v>2019/196-0034-01</v>
          </cell>
          <cell r="Q2137" t="str">
            <v>EST BUFFET DUPLICADO (MAD A FREIJO NT) DET ESQ LC CHOC FSC</v>
          </cell>
          <cell r="R2137"/>
          <cell r="S2137"/>
          <cell r="T2137">
            <v>2.6</v>
          </cell>
          <cell r="U2137">
            <v>0.55000000000000004</v>
          </cell>
          <cell r="V2137">
            <v>0.81</v>
          </cell>
          <cell r="W2137">
            <v>0</v>
          </cell>
          <cell r="X2137" t="str">
            <v>EST BUFFET DUPLICADO (MAD A FREIJO NT) DET ESQ LC CHOC FSC - 2,6x0,55x0,81H</v>
          </cell>
          <cell r="Y2137">
            <v>59103.74</v>
          </cell>
          <cell r="Z2137">
            <v>0.5</v>
          </cell>
          <cell r="AA2137">
            <v>29551.87</v>
          </cell>
          <cell r="AB2137"/>
        </row>
        <row r="2138">
          <cell r="C2138">
            <v>1</v>
          </cell>
          <cell r="D2138">
            <v>0</v>
          </cell>
          <cell r="E2138">
            <v>0</v>
          </cell>
          <cell r="F2138">
            <v>0</v>
          </cell>
          <cell r="H2138">
            <v>0</v>
          </cell>
          <cell r="O2138">
            <v>334225</v>
          </cell>
          <cell r="P2138" t="str">
            <v>2022/203-0046-01</v>
          </cell>
          <cell r="Q2138" t="str">
            <v>EST MESA LATERAL GESTO (DET COBRE) H50 (MAD A CINAM 07)</v>
          </cell>
          <cell r="R2138"/>
          <cell r="S2138"/>
          <cell r="T2138">
            <v>0.45</v>
          </cell>
          <cell r="U2138">
            <v>0</v>
          </cell>
          <cell r="V2138">
            <v>0.5</v>
          </cell>
          <cell r="W2138">
            <v>0.45</v>
          </cell>
          <cell r="X2138" t="str">
            <v>EST MESA LATERAL GESTO (DET COBRE) H50 (MAD A CINAM 07) - Ø0,45x0,5H</v>
          </cell>
          <cell r="Y2138">
            <v>8809.92</v>
          </cell>
          <cell r="Z2138">
            <v>0.5</v>
          </cell>
          <cell r="AA2138">
            <v>4404.96</v>
          </cell>
          <cell r="AB2138"/>
        </row>
        <row r="2139">
          <cell r="C2139">
            <v>8</v>
          </cell>
          <cell r="D2139">
            <v>0</v>
          </cell>
          <cell r="E2139">
            <v>0</v>
          </cell>
          <cell r="F2139">
            <v>0</v>
          </cell>
          <cell r="H2139">
            <v>0</v>
          </cell>
          <cell r="O2139">
            <v>335335</v>
          </cell>
          <cell r="P2139" t="str">
            <v>2022/230-0010-01</v>
          </cell>
          <cell r="Q2139" t="str">
            <v>EST CADEIRA NINA (MAD A TAUARI ENV) 74 CAMEL/SEXT NAT</v>
          </cell>
          <cell r="R2139"/>
          <cell r="S2139"/>
          <cell r="T2139">
            <v>0.5</v>
          </cell>
          <cell r="U2139">
            <v>0.61</v>
          </cell>
          <cell r="V2139">
            <v>0.88</v>
          </cell>
          <cell r="W2139">
            <v>0</v>
          </cell>
          <cell r="X2139" t="str">
            <v>EST CADEIRA NINA (MAD A TAUARI ENV) 74 CAMEL/SEXT NAT - 0,5x0,61x0,88H</v>
          </cell>
          <cell r="Y2139">
            <v>9481.4500000000007</v>
          </cell>
          <cell r="Z2139">
            <v>0.5</v>
          </cell>
          <cell r="AA2139">
            <v>4740.7250000000004</v>
          </cell>
          <cell r="AB2139"/>
        </row>
        <row r="2140">
          <cell r="C2140">
            <v>8</v>
          </cell>
          <cell r="D2140">
            <v>0</v>
          </cell>
          <cell r="E2140">
            <v>0</v>
          </cell>
          <cell r="F2140">
            <v>0</v>
          </cell>
          <cell r="H2140">
            <v>0</v>
          </cell>
          <cell r="O2140">
            <v>335335</v>
          </cell>
          <cell r="P2140" t="str">
            <v>2022/230-0011-01</v>
          </cell>
          <cell r="Q2140" t="str">
            <v>EST CADEIRA NINA (MAD A TAUARI ENV) 74 CAMEL/SEXT NAT</v>
          </cell>
          <cell r="R2140"/>
          <cell r="S2140"/>
          <cell r="T2140">
            <v>0.5</v>
          </cell>
          <cell r="U2140">
            <v>0.61</v>
          </cell>
          <cell r="V2140">
            <v>0.88</v>
          </cell>
          <cell r="W2140">
            <v>0</v>
          </cell>
          <cell r="X2140" t="str">
            <v>EST CADEIRA NINA (MAD A TAUARI ENV) 74 CAMEL/SEXT NAT - 0,5x0,61x0,88H</v>
          </cell>
          <cell r="Y2140">
            <v>9481.4500000000007</v>
          </cell>
          <cell r="Z2140">
            <v>0.5</v>
          </cell>
          <cell r="AA2140">
            <v>4740.7250000000004</v>
          </cell>
          <cell r="AB2140"/>
        </row>
        <row r="2141">
          <cell r="C2141">
            <v>8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335335</v>
          </cell>
          <cell r="P2141" t="str">
            <v>2022/230-0012-01</v>
          </cell>
          <cell r="Q2141" t="str">
            <v>EST CADEIRA NINA (MAD A TAUARI ENV) 74 CAMEL/SEXT NAT</v>
          </cell>
          <cell r="R2141"/>
          <cell r="S2141"/>
          <cell r="T2141">
            <v>0.5</v>
          </cell>
          <cell r="U2141">
            <v>0.61</v>
          </cell>
          <cell r="V2141">
            <v>0.88</v>
          </cell>
          <cell r="W2141">
            <v>0</v>
          </cell>
          <cell r="X2141" t="str">
            <v>EST CADEIRA NINA (MAD A TAUARI ENV) 74 CAMEL/SEXT NAT - 0,5x0,61x0,88H</v>
          </cell>
          <cell r="Y2141">
            <v>9481.4500000000007</v>
          </cell>
          <cell r="Z2141">
            <v>0.5</v>
          </cell>
          <cell r="AA2141">
            <v>4740.7250000000004</v>
          </cell>
          <cell r="AB2141"/>
        </row>
        <row r="2142">
          <cell r="C2142">
            <v>8</v>
          </cell>
          <cell r="D2142">
            <v>0</v>
          </cell>
          <cell r="E2142">
            <v>0</v>
          </cell>
          <cell r="F2142">
            <v>0</v>
          </cell>
          <cell r="H2142">
            <v>0</v>
          </cell>
          <cell r="O2142">
            <v>335335</v>
          </cell>
          <cell r="P2142" t="str">
            <v>2022/230-0013-01</v>
          </cell>
          <cell r="Q2142" t="str">
            <v>EST CADEIRA NINA (MAD A TAUARI ENV) 74 CAMEL/SEXT NAT</v>
          </cell>
          <cell r="R2142"/>
          <cell r="S2142"/>
          <cell r="T2142">
            <v>0.5</v>
          </cell>
          <cell r="U2142">
            <v>0.61</v>
          </cell>
          <cell r="V2142">
            <v>0.88</v>
          </cell>
          <cell r="W2142">
            <v>0</v>
          </cell>
          <cell r="X2142" t="str">
            <v>EST CADEIRA NINA (MAD A TAUARI ENV) 74 CAMEL/SEXT NAT - 0,5x0,61x0,88H</v>
          </cell>
          <cell r="Y2142">
            <v>9481.4500000000007</v>
          </cell>
          <cell r="Z2142">
            <v>0.5</v>
          </cell>
          <cell r="AA2142">
            <v>4740.7250000000004</v>
          </cell>
          <cell r="AB2142"/>
        </row>
        <row r="2143">
          <cell r="C2143">
            <v>8</v>
          </cell>
          <cell r="D2143">
            <v>0</v>
          </cell>
          <cell r="E2143">
            <v>0</v>
          </cell>
          <cell r="F2143">
            <v>0</v>
          </cell>
          <cell r="H2143">
            <v>0</v>
          </cell>
          <cell r="O2143">
            <v>335335</v>
          </cell>
          <cell r="P2143" t="str">
            <v>2022/230-0014-01</v>
          </cell>
          <cell r="Q2143" t="str">
            <v>EST CADEIRA NINA (MAD A TAUARI ENV) 74 CAMEL/SEXT NAT</v>
          </cell>
          <cell r="R2143"/>
          <cell r="S2143"/>
          <cell r="T2143">
            <v>0.5</v>
          </cell>
          <cell r="U2143">
            <v>0.61</v>
          </cell>
          <cell r="V2143">
            <v>0.88</v>
          </cell>
          <cell r="W2143">
            <v>0</v>
          </cell>
          <cell r="X2143" t="str">
            <v>EST CADEIRA NINA (MAD A TAUARI ENV) 74 CAMEL/SEXT NAT - 0,5x0,61x0,88H</v>
          </cell>
          <cell r="Y2143">
            <v>9481.4500000000007</v>
          </cell>
          <cell r="Z2143">
            <v>0.5</v>
          </cell>
          <cell r="AA2143">
            <v>4740.7250000000004</v>
          </cell>
          <cell r="AB2143"/>
        </row>
        <row r="2144">
          <cell r="C2144">
            <v>8</v>
          </cell>
          <cell r="D2144">
            <v>0</v>
          </cell>
          <cell r="E2144">
            <v>0</v>
          </cell>
          <cell r="F2144">
            <v>0</v>
          </cell>
          <cell r="H2144">
            <v>0</v>
          </cell>
          <cell r="O2144">
            <v>335335</v>
          </cell>
          <cell r="P2144" t="str">
            <v>2022/230-0015-01</v>
          </cell>
          <cell r="Q2144" t="str">
            <v>EST CADEIRA NINA (MAD A TAUARI ENV) 74 CAMEL/SEXT NAT</v>
          </cell>
          <cell r="R2144"/>
          <cell r="S2144"/>
          <cell r="T2144">
            <v>0.5</v>
          </cell>
          <cell r="U2144">
            <v>0.61</v>
          </cell>
          <cell r="V2144">
            <v>0.88</v>
          </cell>
          <cell r="W2144">
            <v>0</v>
          </cell>
          <cell r="X2144" t="str">
            <v>EST CADEIRA NINA (MAD A TAUARI ENV) 74 CAMEL/SEXT NAT - 0,5x0,61x0,88H</v>
          </cell>
          <cell r="Y2144">
            <v>9481.4500000000007</v>
          </cell>
          <cell r="Z2144">
            <v>0.5</v>
          </cell>
          <cell r="AA2144">
            <v>4740.7250000000004</v>
          </cell>
          <cell r="AB2144"/>
        </row>
        <row r="2145">
          <cell r="C2145">
            <v>8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335335</v>
          </cell>
          <cell r="P2145" t="str">
            <v>2022/230-0016-01</v>
          </cell>
          <cell r="Q2145" t="str">
            <v>EST CADEIRA NINA (MAD A TAUARI ENV) 74 CAMEL/SEXT NAT</v>
          </cell>
          <cell r="R2145"/>
          <cell r="S2145"/>
          <cell r="T2145">
            <v>0.5</v>
          </cell>
          <cell r="U2145">
            <v>0.61</v>
          </cell>
          <cell r="V2145">
            <v>0.88</v>
          </cell>
          <cell r="W2145">
            <v>0</v>
          </cell>
          <cell r="X2145" t="str">
            <v>EST CADEIRA NINA (MAD A TAUARI ENV) 74 CAMEL/SEXT NAT - 0,5x0,61x0,88H</v>
          </cell>
          <cell r="Y2145">
            <v>9481.4500000000007</v>
          </cell>
          <cell r="Z2145">
            <v>0.5</v>
          </cell>
          <cell r="AA2145">
            <v>4740.7250000000004</v>
          </cell>
          <cell r="AB2145"/>
        </row>
        <row r="2146">
          <cell r="C2146">
            <v>8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335335</v>
          </cell>
          <cell r="P2146" t="str">
            <v>2022/230-0017-01</v>
          </cell>
          <cell r="Q2146" t="str">
            <v>EST CADEIRA NINA (MAD A TAUARI ENV) 74 CAMEL/SEXT NAT</v>
          </cell>
          <cell r="R2146"/>
          <cell r="S2146"/>
          <cell r="T2146">
            <v>0.5</v>
          </cell>
          <cell r="U2146">
            <v>0.61</v>
          </cell>
          <cell r="V2146">
            <v>0.88</v>
          </cell>
          <cell r="W2146">
            <v>0</v>
          </cell>
          <cell r="X2146" t="str">
            <v>EST CADEIRA NINA (MAD A TAUARI ENV) 74 CAMEL/SEXT NAT - 0,5x0,61x0,88H</v>
          </cell>
          <cell r="Y2146">
            <v>9481.4500000000007</v>
          </cell>
          <cell r="Z2146">
            <v>0.5</v>
          </cell>
          <cell r="AA2146">
            <v>4740.7250000000004</v>
          </cell>
          <cell r="AB2146"/>
        </row>
        <row r="2147">
          <cell r="C2147">
            <v>1</v>
          </cell>
          <cell r="D2147">
            <v>0</v>
          </cell>
          <cell r="E2147">
            <v>0</v>
          </cell>
          <cell r="F2147">
            <v>0</v>
          </cell>
          <cell r="H2147">
            <v>0</v>
          </cell>
          <cell r="O2147">
            <v>336723</v>
          </cell>
          <cell r="P2147" t="str">
            <v>2022/223-0034-01</v>
          </cell>
          <cell r="Q2147" t="str">
            <v>EST MESA JANTAR LISBOA (MAD B TECA NT PU) INOX ENVELHECIDO</v>
          </cell>
          <cell r="R2147"/>
          <cell r="S2147"/>
          <cell r="T2147">
            <v>2.8</v>
          </cell>
          <cell r="U2147">
            <v>1.2</v>
          </cell>
          <cell r="V2147">
            <v>0.75</v>
          </cell>
          <cell r="W2147">
            <v>0</v>
          </cell>
          <cell r="X2147" t="str">
            <v>EST MESA JANTAR LISBOA (MAD B TECA NT PU) INOX ENVELHECIDO - 2,8x1,2x0,75H</v>
          </cell>
          <cell r="Y2147">
            <v>60246.9</v>
          </cell>
          <cell r="Z2147">
            <v>0.5</v>
          </cell>
          <cell r="AA2147">
            <v>30123.45</v>
          </cell>
          <cell r="AB2147"/>
        </row>
        <row r="2148">
          <cell r="C2148">
            <v>2</v>
          </cell>
          <cell r="D2148">
            <v>0</v>
          </cell>
          <cell r="E2148">
            <v>0</v>
          </cell>
          <cell r="F2148">
            <v>0</v>
          </cell>
          <cell r="H2148">
            <v>0</v>
          </cell>
          <cell r="O2148">
            <v>336730</v>
          </cell>
          <cell r="P2148" t="str">
            <v>2022/223-0053-01</v>
          </cell>
          <cell r="Q2148" t="str">
            <v>EST POLTRONA SALVADOR (MAD B FREIJO NT) TC ALATAMURA 902</v>
          </cell>
          <cell r="R2148"/>
          <cell r="S2148"/>
          <cell r="T2148">
            <v>0.7</v>
          </cell>
          <cell r="U2148">
            <v>0.66</v>
          </cell>
          <cell r="V2148">
            <v>0.7</v>
          </cell>
          <cell r="W2148">
            <v>0</v>
          </cell>
          <cell r="X2148" t="str">
            <v>EST POLTRONA SALVADOR (MAD B FREIJO NT) TC ALATAMURA 902 - 0,7x0,66x0,7H</v>
          </cell>
          <cell r="Y2148">
            <v>22622.062999999998</v>
          </cell>
          <cell r="Z2148">
            <v>0.35</v>
          </cell>
          <cell r="AA2148">
            <v>14704.34095</v>
          </cell>
          <cell r="AB2148"/>
        </row>
        <row r="2149">
          <cell r="C2149">
            <v>2</v>
          </cell>
          <cell r="D2149">
            <v>0</v>
          </cell>
          <cell r="E2149">
            <v>0</v>
          </cell>
          <cell r="F2149">
            <v>0</v>
          </cell>
          <cell r="H2149">
            <v>0</v>
          </cell>
          <cell r="O2149">
            <v>336730</v>
          </cell>
          <cell r="P2149" t="str">
            <v>2022/223-0054-01</v>
          </cell>
          <cell r="Q2149" t="str">
            <v>EST POLTRONA SALVADOR (MAD B FREIJO NT) TC ALATAMURA 902</v>
          </cell>
          <cell r="R2149"/>
          <cell r="S2149"/>
          <cell r="T2149">
            <v>0.7</v>
          </cell>
          <cell r="U2149">
            <v>0.66</v>
          </cell>
          <cell r="V2149">
            <v>0.7</v>
          </cell>
          <cell r="W2149">
            <v>0</v>
          </cell>
          <cell r="X2149" t="str">
            <v>EST POLTRONA SALVADOR (MAD B FREIJO NT) TC ALATAMURA 902 - 0,7x0,66x0,7H</v>
          </cell>
          <cell r="Y2149">
            <v>22622.062999999998</v>
          </cell>
          <cell r="Z2149">
            <v>0.35</v>
          </cell>
          <cell r="AA2149">
            <v>14704.34095</v>
          </cell>
          <cell r="AB2149"/>
        </row>
        <row r="2150">
          <cell r="C2150">
            <v>1</v>
          </cell>
          <cell r="D2150">
            <v>0</v>
          </cell>
          <cell r="E2150">
            <v>0</v>
          </cell>
          <cell r="F2150">
            <v>0</v>
          </cell>
          <cell r="H2150">
            <v>0</v>
          </cell>
          <cell r="O2150">
            <v>388716</v>
          </cell>
          <cell r="P2150" t="str">
            <v>2024/239-0111-01</v>
          </cell>
          <cell r="Q2150" t="str">
            <v>EST POLTRONA REMO (MAD B LOURO ESP) TC TIME EGRET</v>
          </cell>
          <cell r="R2150"/>
          <cell r="S2150"/>
          <cell r="T2150">
            <v>0.85</v>
          </cell>
          <cell r="U2150">
            <v>0.8</v>
          </cell>
          <cell r="V2150">
            <v>0.92</v>
          </cell>
          <cell r="W2150">
            <v>0</v>
          </cell>
          <cell r="X2150" t="str">
            <v>EST POLTRONA REMO (MAD B LOURO ESP) TC TIME EGRET - 0,85x0,8x0,92H</v>
          </cell>
          <cell r="Y2150">
            <v>38443.113599999997</v>
          </cell>
          <cell r="Z2150">
            <v>0.35</v>
          </cell>
          <cell r="AA2150">
            <v>24988.023839999998</v>
          </cell>
          <cell r="AB2150"/>
        </row>
        <row r="2151">
          <cell r="C2151">
            <v>1</v>
          </cell>
          <cell r="D2151">
            <v>0</v>
          </cell>
          <cell r="E2151">
            <v>0</v>
          </cell>
          <cell r="F2151">
            <v>0</v>
          </cell>
          <cell r="H2151">
            <v>0</v>
          </cell>
          <cell r="O2151">
            <v>388719</v>
          </cell>
          <cell r="P2151" t="str">
            <v>2024/239-0114-01</v>
          </cell>
          <cell r="Q2151" t="str">
            <v>EST BANQUETA REMO (MAD B LOURO ESP) TC TIME EGRET</v>
          </cell>
          <cell r="R2151"/>
          <cell r="S2151"/>
          <cell r="T2151">
            <v>0.62</v>
          </cell>
          <cell r="U2151">
            <v>0.5</v>
          </cell>
          <cell r="V2151">
            <v>0.41</v>
          </cell>
          <cell r="W2151">
            <v>0</v>
          </cell>
          <cell r="X2151" t="str">
            <v>EST BANQUETA REMO (MAD B LOURO ESP) TC TIME EGRET - 0,62x0,5x0,41H</v>
          </cell>
          <cell r="Y2151">
            <v>10415.867560000001</v>
          </cell>
          <cell r="Z2151">
            <v>0.35</v>
          </cell>
          <cell r="AA2151">
            <v>6770.3139140000003</v>
          </cell>
          <cell r="AB2151"/>
        </row>
        <row r="2152">
          <cell r="C2152">
            <v>2</v>
          </cell>
          <cell r="D2152">
            <v>0</v>
          </cell>
          <cell r="E2152">
            <v>0</v>
          </cell>
          <cell r="F2152">
            <v>0</v>
          </cell>
          <cell r="H2152">
            <v>0</v>
          </cell>
          <cell r="O2152">
            <v>388728</v>
          </cell>
          <cell r="P2152" t="str">
            <v>2024/239-0119-01</v>
          </cell>
          <cell r="Q2152" t="str">
            <v>EST POLTRONA MUXA (MAD B TECA NT PU) TC TAURUS BRIGHT WHITE</v>
          </cell>
          <cell r="R2152"/>
          <cell r="S2152"/>
          <cell r="T2152">
            <v>0.97</v>
          </cell>
          <cell r="U2152">
            <v>0.93</v>
          </cell>
          <cell r="V2152">
            <v>0.69</v>
          </cell>
          <cell r="W2152">
            <v>0</v>
          </cell>
          <cell r="X2152" t="str">
            <v>EST POLTRONA MUXA (MAD B TECA NT PU) TC TAURUS BRIGHT WHITE - 0,97x0,93x0,69H</v>
          </cell>
          <cell r="Y2152">
            <v>43751.718999999997</v>
          </cell>
          <cell r="Z2152">
            <v>0.35</v>
          </cell>
          <cell r="AA2152">
            <v>28438.61735</v>
          </cell>
          <cell r="AB2152"/>
        </row>
        <row r="2153">
          <cell r="C2153">
            <v>2</v>
          </cell>
          <cell r="D2153">
            <v>0</v>
          </cell>
          <cell r="E2153">
            <v>0</v>
          </cell>
          <cell r="F2153">
            <v>0</v>
          </cell>
          <cell r="H2153">
            <v>0</v>
          </cell>
          <cell r="O2153">
            <v>388728</v>
          </cell>
          <cell r="P2153" t="str">
            <v>2024/239-0120-01</v>
          </cell>
          <cell r="Q2153" t="str">
            <v>EST POLTRONA MUXA (MAD B TECA NT PU) TC TAURUS BRIGHT WHITE</v>
          </cell>
          <cell r="R2153"/>
          <cell r="S2153"/>
          <cell r="T2153">
            <v>0.97</v>
          </cell>
          <cell r="U2153">
            <v>0.93</v>
          </cell>
          <cell r="V2153">
            <v>0.69</v>
          </cell>
          <cell r="W2153">
            <v>0</v>
          </cell>
          <cell r="X2153" t="str">
            <v>EST POLTRONA MUXA (MAD B TECA NT PU) TC TAURUS BRIGHT WHITE - 0,97x0,93x0,69H</v>
          </cell>
          <cell r="Y2153">
            <v>43751.718999999997</v>
          </cell>
          <cell r="Z2153">
            <v>0.35</v>
          </cell>
          <cell r="AA2153">
            <v>28438.61735</v>
          </cell>
          <cell r="AB2153"/>
        </row>
        <row r="2154">
          <cell r="C2154">
            <v>2</v>
          </cell>
          <cell r="D2154">
            <v>0</v>
          </cell>
          <cell r="E2154">
            <v>0</v>
          </cell>
          <cell r="F2154">
            <v>0</v>
          </cell>
          <cell r="H2154">
            <v>0</v>
          </cell>
          <cell r="O2154">
            <v>388969</v>
          </cell>
          <cell r="P2154" t="str">
            <v>2024/239-0127-01</v>
          </cell>
          <cell r="Q2154" t="str">
            <v>EST POLTRONA IPANEMA (MAD A CINAM ENV) COURO HAVANA/OLD NUT</v>
          </cell>
          <cell r="R2154"/>
          <cell r="S2154"/>
          <cell r="T2154">
            <v>0.73</v>
          </cell>
          <cell r="U2154">
            <v>0.77</v>
          </cell>
          <cell r="V2154">
            <v>0.76</v>
          </cell>
          <cell r="W2154">
            <v>0</v>
          </cell>
          <cell r="X2154" t="str">
            <v>EST POLTRONA IPANEMA (MAD A CINAM ENV) COURO HAVANA/OLD NUT - 0,73x0,77x0,76H</v>
          </cell>
          <cell r="Y2154">
            <v>31723.51</v>
          </cell>
          <cell r="Z2154">
            <v>0.35</v>
          </cell>
          <cell r="AA2154">
            <v>20620.281499999997</v>
          </cell>
          <cell r="AB2154"/>
        </row>
        <row r="2155">
          <cell r="C2155">
            <v>2</v>
          </cell>
          <cell r="D2155">
            <v>0</v>
          </cell>
          <cell r="E2155">
            <v>0</v>
          </cell>
          <cell r="F2155">
            <v>0</v>
          </cell>
          <cell r="H2155">
            <v>0</v>
          </cell>
          <cell r="O2155">
            <v>388969</v>
          </cell>
          <cell r="P2155" t="str">
            <v>2024/239-0128-01</v>
          </cell>
          <cell r="Q2155" t="str">
            <v>EST POLTRONA IPANEMA (MAD A CINAM ENV) COURO HAVANA/OLD NUT</v>
          </cell>
          <cell r="R2155"/>
          <cell r="S2155"/>
          <cell r="T2155">
            <v>0.73</v>
          </cell>
          <cell r="U2155">
            <v>0.77</v>
          </cell>
          <cell r="V2155">
            <v>0.76</v>
          </cell>
          <cell r="W2155">
            <v>0</v>
          </cell>
          <cell r="X2155" t="str">
            <v>EST POLTRONA IPANEMA (MAD A CINAM ENV) COURO HAVANA/OLD NUT - 0,73x0,77x0,76H</v>
          </cell>
          <cell r="Y2155">
            <v>31723.51</v>
          </cell>
          <cell r="Z2155">
            <v>0.35</v>
          </cell>
          <cell r="AA2155">
            <v>20620.281499999997</v>
          </cell>
          <cell r="AB2155"/>
        </row>
        <row r="2156">
          <cell r="C2156">
            <v>2</v>
          </cell>
          <cell r="D2156">
            <v>0</v>
          </cell>
          <cell r="E2156">
            <v>0</v>
          </cell>
          <cell r="F2156">
            <v>0</v>
          </cell>
          <cell r="H2156">
            <v>0</v>
          </cell>
          <cell r="O2156">
            <v>400338</v>
          </cell>
          <cell r="P2156" t="str">
            <v>2025/085-0038-01</v>
          </cell>
          <cell r="Q2156" t="str">
            <v>EST POLTRONA LUAR (MAD A TAUARI ENV) COURO CH 05</v>
          </cell>
          <cell r="R2156"/>
          <cell r="S2156"/>
          <cell r="T2156">
            <v>0.94</v>
          </cell>
          <cell r="U2156">
            <v>0.92</v>
          </cell>
          <cell r="V2156">
            <v>0.74</v>
          </cell>
          <cell r="W2156">
            <v>0</v>
          </cell>
          <cell r="X2156" t="str">
            <v>EST POLTRONA LUAR (MAD A TAUARI ENV) COURO CH 05 - 0,94x0,92x0,74H</v>
          </cell>
          <cell r="Y2156">
            <v>35789.06</v>
          </cell>
          <cell r="Z2156">
            <v>0.35</v>
          </cell>
          <cell r="AA2156">
            <v>23262.888999999999</v>
          </cell>
          <cell r="AB2156"/>
        </row>
        <row r="2157">
          <cell r="C2157">
            <v>2</v>
          </cell>
          <cell r="D2157">
            <v>0</v>
          </cell>
          <cell r="E2157">
            <v>0</v>
          </cell>
          <cell r="F2157">
            <v>0</v>
          </cell>
          <cell r="H2157">
            <v>0</v>
          </cell>
          <cell r="O2157">
            <v>400338</v>
          </cell>
          <cell r="P2157" t="str">
            <v>2025/085-0039-01</v>
          </cell>
          <cell r="Q2157" t="str">
            <v>EST POLTRONA LUAR (MAD A TAUARI ENV) COURO CH 05</v>
          </cell>
          <cell r="R2157"/>
          <cell r="S2157"/>
          <cell r="T2157">
            <v>0.94</v>
          </cell>
          <cell r="U2157">
            <v>0.92</v>
          </cell>
          <cell r="V2157">
            <v>0.74</v>
          </cell>
          <cell r="W2157">
            <v>0</v>
          </cell>
          <cell r="X2157" t="str">
            <v>EST POLTRONA LUAR (MAD A TAUARI ENV) COURO CH 05 - 0,94x0,92x0,74H</v>
          </cell>
          <cell r="Y2157">
            <v>35789.06</v>
          </cell>
          <cell r="Z2157">
            <v>0.35</v>
          </cell>
          <cell r="AA2157">
            <v>23262.888999999999</v>
          </cell>
          <cell r="AB2157"/>
        </row>
        <row r="2158">
          <cell r="C2158">
            <v>1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230249</v>
          </cell>
          <cell r="P2158" t="str">
            <v>2018/344-0069-01</v>
          </cell>
          <cell r="Q2158" t="str">
            <v>EST BANCO RODEO (MAD B LOURO ESPECIAL) (SOLETA HAVANA)</v>
          </cell>
          <cell r="R2158"/>
          <cell r="S2158"/>
          <cell r="T2158">
            <v>0.49</v>
          </cell>
          <cell r="U2158">
            <v>0.46</v>
          </cell>
          <cell r="V2158">
            <v>0.4</v>
          </cell>
          <cell r="W2158">
            <v>0</v>
          </cell>
          <cell r="X2158" t="str">
            <v>EST BANCO RODEO (MAD B LOURO ESPECIAL) (SOLETA HAVANA) - 0,49x0,46x0,4H</v>
          </cell>
          <cell r="Y2158">
            <v>7849</v>
          </cell>
          <cell r="Z2158">
            <v>0.35</v>
          </cell>
          <cell r="AA2158">
            <v>5101.8500000000004</v>
          </cell>
          <cell r="AB2158"/>
        </row>
        <row r="2159">
          <cell r="C2159">
            <v>1</v>
          </cell>
          <cell r="D2159">
            <v>1</v>
          </cell>
          <cell r="E2159">
            <v>0</v>
          </cell>
          <cell r="F2159">
            <v>0</v>
          </cell>
          <cell r="H2159">
            <v>0</v>
          </cell>
          <cell r="O2159">
            <v>238169</v>
          </cell>
          <cell r="P2159" t="str">
            <v>2019/211-0043-01</v>
          </cell>
          <cell r="Q2159" t="str">
            <v>EST MESA CENTRO ARGOLA (D) (TP EBNZ) (MAD A CINAM EBNZ)</v>
          </cell>
          <cell r="R2159"/>
          <cell r="S2159"/>
          <cell r="T2159">
            <v>0.4</v>
          </cell>
          <cell r="U2159">
            <v>0</v>
          </cell>
          <cell r="V2159">
            <v>0.55000000000000004</v>
          </cell>
          <cell r="W2159">
            <v>0.4</v>
          </cell>
          <cell r="X2159" t="str">
            <v>EST MESA CENTRO ARGOLA (D) (TP EBNZ) (MAD A CINAM EBNZ) - Ø0,4x0,55H</v>
          </cell>
          <cell r="Y2159">
            <v>8940.56</v>
          </cell>
          <cell r="Z2159">
            <v>0.35</v>
          </cell>
          <cell r="AA2159">
            <v>5811.3639999999996</v>
          </cell>
          <cell r="AB2159"/>
        </row>
        <row r="2160">
          <cell r="C2160">
            <v>1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328718</v>
          </cell>
          <cell r="P2160" t="str">
            <v>2022/187-0024-01</v>
          </cell>
          <cell r="Q2160" t="str">
            <v>EST MESA CENTRO ARGOLA (C) (CORTEN) (MAD A TAUARI POA)</v>
          </cell>
          <cell r="R2160"/>
          <cell r="S2160"/>
          <cell r="T2160">
            <v>0.6</v>
          </cell>
          <cell r="U2160">
            <v>0</v>
          </cell>
          <cell r="V2160">
            <v>0.45</v>
          </cell>
          <cell r="W2160">
            <v>0.6</v>
          </cell>
          <cell r="X2160" t="str">
            <v>EST MESA CENTRO ARGOLA (C) (CORTEN) (MAD A TAUARI POA) - Ø0,6x0,45H</v>
          </cell>
          <cell r="Y2160">
            <v>12941.33</v>
          </cell>
          <cell r="Z2160">
            <v>0.35</v>
          </cell>
          <cell r="AA2160">
            <v>8411.8644999999997</v>
          </cell>
          <cell r="AB2160"/>
        </row>
        <row r="2161">
          <cell r="C2161">
            <v>1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334179</v>
          </cell>
          <cell r="P2161" t="str">
            <v>2022/203-0043-01</v>
          </cell>
          <cell r="Q2161" t="str">
            <v>EST MESA CENTRO ARGOLA (B) (CORTEN) (MAD A CINAM NOG)</v>
          </cell>
          <cell r="R2161"/>
          <cell r="S2161"/>
          <cell r="T2161">
            <v>1</v>
          </cell>
          <cell r="U2161">
            <v>0</v>
          </cell>
          <cell r="V2161">
            <v>0.35</v>
          </cell>
          <cell r="W2161">
            <v>1</v>
          </cell>
          <cell r="X2161" t="str">
            <v>EST MESA CENTRO ARGOLA (B) (CORTEN) (MAD A CINAM NOG) - Ø1x0,35H</v>
          </cell>
          <cell r="Y2161">
            <v>18584.07</v>
          </cell>
          <cell r="Z2161">
            <v>0.35</v>
          </cell>
          <cell r="AA2161">
            <v>12079.645500000001</v>
          </cell>
          <cell r="AB2161"/>
        </row>
        <row r="2162">
          <cell r="C2162">
            <v>1</v>
          </cell>
          <cell r="D2162">
            <v>0</v>
          </cell>
          <cell r="E2162">
            <v>0</v>
          </cell>
          <cell r="F2162">
            <v>0</v>
          </cell>
          <cell r="H2162">
            <v>0</v>
          </cell>
          <cell r="O2162">
            <v>334180</v>
          </cell>
          <cell r="P2162" t="str">
            <v>2022/203-0044-01</v>
          </cell>
          <cell r="Q2162" t="str">
            <v>EST MESA CENTRO ARGOLA (A) (VIDRO INC) (MAD A CINAM NOG)</v>
          </cell>
          <cell r="R2162"/>
          <cell r="S2162"/>
          <cell r="T2162">
            <v>1.2</v>
          </cell>
          <cell r="U2162">
            <v>0</v>
          </cell>
          <cell r="V2162">
            <v>0.25</v>
          </cell>
          <cell r="W2162">
            <v>1.2</v>
          </cell>
          <cell r="X2162" t="str">
            <v>EST MESA CENTRO ARGOLA (A) (VIDRO INC) (MAD A CINAM NOG) - Ø1,2x0,25H</v>
          </cell>
          <cell r="Y2162">
            <v>28893.72</v>
          </cell>
          <cell r="Z2162">
            <v>0.35</v>
          </cell>
          <cell r="AA2162">
            <v>18780.918000000001</v>
          </cell>
          <cell r="AB2162"/>
        </row>
        <row r="2163">
          <cell r="C2163">
            <v>1</v>
          </cell>
          <cell r="D2163">
            <v>1</v>
          </cell>
          <cell r="E2163">
            <v>0</v>
          </cell>
          <cell r="F2163">
            <v>0</v>
          </cell>
          <cell r="H2163">
            <v>0</v>
          </cell>
          <cell r="O2163">
            <v>336649</v>
          </cell>
          <cell r="P2163" t="str">
            <v>2022/230-0018-01</v>
          </cell>
          <cell r="Q2163" t="str">
            <v>EST FRUTEIRA CHIE (MOD 02) (MAD B TECA NATURAL PU)</v>
          </cell>
          <cell r="R2163"/>
          <cell r="S2163"/>
          <cell r="T2163">
            <v>0.25</v>
          </cell>
          <cell r="U2163">
            <v>0</v>
          </cell>
          <cell r="V2163">
            <v>0.28999999999999998</v>
          </cell>
          <cell r="W2163">
            <v>0.25</v>
          </cell>
          <cell r="X2163" t="str">
            <v>EST FRUTEIRA CHIE (MOD 02) (MAD B TECA NATURAL PU) - Ø0,25x0,29H</v>
          </cell>
          <cell r="Y2163">
            <v>3788.06</v>
          </cell>
          <cell r="Z2163">
            <v>0.35</v>
          </cell>
          <cell r="AA2163">
            <v>2462.239</v>
          </cell>
          <cell r="AB2163"/>
        </row>
        <row r="2164">
          <cell r="C2164">
            <v>1</v>
          </cell>
          <cell r="D2164">
            <v>0</v>
          </cell>
          <cell r="E2164">
            <v>0</v>
          </cell>
          <cell r="F2164">
            <v>0</v>
          </cell>
          <cell r="H2164">
            <v>0</v>
          </cell>
          <cell r="O2164">
            <v>336651</v>
          </cell>
          <cell r="P2164" t="str">
            <v>2022/230-0019-01</v>
          </cell>
          <cell r="Q2164" t="str">
            <v>EST FRUTEIRA CHIE (MOD 03) (MAD B TECA 02)</v>
          </cell>
          <cell r="R2164"/>
          <cell r="S2164"/>
          <cell r="T2164">
            <v>0.28999999999999998</v>
          </cell>
          <cell r="U2164">
            <v>0</v>
          </cell>
          <cell r="V2164">
            <v>0.28999999999999998</v>
          </cell>
          <cell r="W2164">
            <v>0.39</v>
          </cell>
          <cell r="X2164" t="str">
            <v>EST FRUTEIRA CHIE (MOD 03) (MAD B TECA 02) - Ø0,39x0,29H</v>
          </cell>
          <cell r="Y2164">
            <v>4546.62</v>
          </cell>
          <cell r="Z2164">
            <v>0.35</v>
          </cell>
          <cell r="AA2164">
            <v>2955.3029999999999</v>
          </cell>
          <cell r="AB2164"/>
        </row>
        <row r="2165">
          <cell r="C2165">
            <v>1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336721</v>
          </cell>
          <cell r="P2165" t="str">
            <v>2022/230-0036-01</v>
          </cell>
          <cell r="Q2165" t="str">
            <v>EST FRUTEIRA CHIE (MOD 01) (MAD B TECA NATURAL PU)</v>
          </cell>
          <cell r="R2165"/>
          <cell r="S2165"/>
          <cell r="T2165">
            <v>0.19</v>
          </cell>
          <cell r="U2165">
            <v>0</v>
          </cell>
          <cell r="V2165">
            <v>0.35</v>
          </cell>
          <cell r="W2165">
            <v>0.19</v>
          </cell>
          <cell r="X2165" t="str">
            <v>EST FRUTEIRA CHIE (MOD 01) (MAD B TECA NATURAL PU) - Ø0,19x0,35H</v>
          </cell>
          <cell r="Y2165">
            <v>3219.15</v>
          </cell>
          <cell r="Z2165">
            <v>0.35</v>
          </cell>
          <cell r="AA2165">
            <v>2092.4475000000002</v>
          </cell>
          <cell r="AB2165"/>
        </row>
        <row r="2166">
          <cell r="C2166">
            <v>1</v>
          </cell>
          <cell r="D2166">
            <v>0</v>
          </cell>
          <cell r="E2166">
            <v>0</v>
          </cell>
          <cell r="F2166">
            <v>0</v>
          </cell>
          <cell r="H2166">
            <v>0</v>
          </cell>
          <cell r="O2166">
            <v>336722</v>
          </cell>
          <cell r="P2166" t="str">
            <v>2022/307-0051-01</v>
          </cell>
          <cell r="Q2166" t="str">
            <v>EST FRUTEIRA CHIE (MOD 01) (MAD A TAUARI ENV)</v>
          </cell>
          <cell r="R2166"/>
          <cell r="S2166"/>
          <cell r="T2166">
            <v>0.19</v>
          </cell>
          <cell r="U2166">
            <v>0</v>
          </cell>
          <cell r="V2166">
            <v>0.35</v>
          </cell>
          <cell r="W2166">
            <v>0.19</v>
          </cell>
          <cell r="X2166" t="str">
            <v>EST FRUTEIRA CHIE (MOD 01) (MAD A TAUARI ENV) - Ø0,19x0,35H</v>
          </cell>
          <cell r="Y2166">
            <v>2789.02</v>
          </cell>
          <cell r="Z2166">
            <v>0.35</v>
          </cell>
          <cell r="AA2166">
            <v>1812.8630000000001</v>
          </cell>
          <cell r="AB2166"/>
        </row>
        <row r="2167">
          <cell r="C2167">
            <v>1</v>
          </cell>
          <cell r="D2167">
            <v>0</v>
          </cell>
          <cell r="E2167">
            <v>0</v>
          </cell>
          <cell r="F2167">
            <v>0</v>
          </cell>
          <cell r="H2167">
            <v>0</v>
          </cell>
          <cell r="O2167">
            <v>336734</v>
          </cell>
          <cell r="P2167" t="str">
            <v>2022/230-0037-01</v>
          </cell>
          <cell r="Q2167" t="str">
            <v>EST PENTEADEIRA SOTTILE (MAD B TECA NT PU) COURO CAMEL</v>
          </cell>
          <cell r="R2167"/>
          <cell r="S2167"/>
          <cell r="T2167">
            <v>1.6</v>
          </cell>
          <cell r="U2167">
            <v>0.6</v>
          </cell>
          <cell r="V2167">
            <v>0.74</v>
          </cell>
          <cell r="W2167">
            <v>0</v>
          </cell>
          <cell r="X2167" t="str">
            <v>EST PENTEADEIRA SOTTILE (MAD B TECA NT PU) COURO CAMEL - 1,6x0,6x0,74H</v>
          </cell>
          <cell r="Y2167">
            <v>44623.98</v>
          </cell>
          <cell r="Z2167">
            <v>0.35</v>
          </cell>
          <cell r="AA2167">
            <v>29005.587000000003</v>
          </cell>
          <cell r="AB2167"/>
        </row>
        <row r="2168">
          <cell r="C2168">
            <v>1</v>
          </cell>
          <cell r="D2168">
            <v>0</v>
          </cell>
          <cell r="E2168">
            <v>0</v>
          </cell>
          <cell r="F2168">
            <v>0</v>
          </cell>
          <cell r="H2168">
            <v>0</v>
          </cell>
          <cell r="O2168">
            <v>336738</v>
          </cell>
          <cell r="P2168" t="str">
            <v>2022/223-0055-01</v>
          </cell>
          <cell r="Q2168" t="str">
            <v>EST MESA LATERAL LUSA (OBL CER BEGE) (MAD B TECA NT)</v>
          </cell>
          <cell r="R2168"/>
          <cell r="S2168"/>
          <cell r="T2168">
            <v>0.51</v>
          </cell>
          <cell r="U2168">
            <v>0.28000000000000003</v>
          </cell>
          <cell r="V2168">
            <v>0.56999999999999995</v>
          </cell>
          <cell r="W2168">
            <v>0</v>
          </cell>
          <cell r="X2168" t="str">
            <v>EST MESA LATERAL LUSA (OBL CER BEGE) (MAD B TECA NT) - 0,51x0,28x0,57H</v>
          </cell>
          <cell r="Y2168">
            <v>12756.35</v>
          </cell>
          <cell r="Z2168">
            <v>0.35</v>
          </cell>
          <cell r="AA2168">
            <v>8291.6275000000005</v>
          </cell>
          <cell r="AB2168"/>
        </row>
        <row r="2169">
          <cell r="C2169">
            <v>1</v>
          </cell>
          <cell r="D2169">
            <v>0</v>
          </cell>
          <cell r="E2169">
            <v>0</v>
          </cell>
          <cell r="F2169">
            <v>0</v>
          </cell>
          <cell r="H2169">
            <v>0</v>
          </cell>
          <cell r="O2169">
            <v>336741</v>
          </cell>
          <cell r="P2169" t="str">
            <v>2022/223-0058-01</v>
          </cell>
          <cell r="Q2169" t="str">
            <v>EST MESA LATERAL LUSA (RED CER BEGE) (MAD B TECA NT)</v>
          </cell>
          <cell r="R2169"/>
          <cell r="S2169"/>
          <cell r="T2169">
            <v>0.4</v>
          </cell>
          <cell r="U2169">
            <v>0.45</v>
          </cell>
          <cell r="V2169">
            <v>0.67</v>
          </cell>
          <cell r="W2169">
            <v>0</v>
          </cell>
          <cell r="X2169" t="str">
            <v>EST MESA LATERAL LUSA (RED CER BEGE) (MAD B TECA NT) - 0,4x0,45x0,67H</v>
          </cell>
          <cell r="Y2169">
            <v>13487.13</v>
          </cell>
          <cell r="Z2169">
            <v>0.35</v>
          </cell>
          <cell r="AA2169">
            <v>8766.6345000000001</v>
          </cell>
          <cell r="AB2169"/>
        </row>
        <row r="2170">
          <cell r="C2170">
            <v>1</v>
          </cell>
          <cell r="D2170">
            <v>0</v>
          </cell>
          <cell r="E2170">
            <v>0</v>
          </cell>
          <cell r="F2170">
            <v>0</v>
          </cell>
          <cell r="H2170">
            <v>0</v>
          </cell>
          <cell r="O2170">
            <v>336742</v>
          </cell>
          <cell r="P2170" t="str">
            <v>2022/223-0059-01</v>
          </cell>
          <cell r="Q2170" t="str">
            <v>EST MESA LATERAL LUSA (RED CER BEGE) (MAD B TECA NT)</v>
          </cell>
          <cell r="R2170"/>
          <cell r="S2170"/>
          <cell r="T2170">
            <v>0.4</v>
          </cell>
          <cell r="U2170">
            <v>0.45</v>
          </cell>
          <cell r="V2170">
            <v>0.72</v>
          </cell>
          <cell r="W2170">
            <v>0</v>
          </cell>
          <cell r="X2170" t="str">
            <v>EST MESA LATERAL LUSA (RED CER BEGE) (MAD B TECA NT) - 0,4x0,45x0,72H</v>
          </cell>
          <cell r="Y2170">
            <v>14060.66</v>
          </cell>
          <cell r="Z2170">
            <v>0.35</v>
          </cell>
          <cell r="AA2170">
            <v>9139.4290000000001</v>
          </cell>
          <cell r="AB2170"/>
        </row>
        <row r="2171">
          <cell r="C2171">
            <v>1</v>
          </cell>
          <cell r="D2171">
            <v>0</v>
          </cell>
          <cell r="E2171">
            <v>0</v>
          </cell>
          <cell r="F2171">
            <v>0</v>
          </cell>
          <cell r="H2171">
            <v>0</v>
          </cell>
          <cell r="O2171">
            <v>388737</v>
          </cell>
          <cell r="P2171" t="str">
            <v>2024/239-0123-01</v>
          </cell>
          <cell r="Q2171" t="str">
            <v>EST MESA JANTAR TWINS (DET G1 TRAVERTINO) (MAD A TAUARI ENV)</v>
          </cell>
          <cell r="R2171"/>
          <cell r="S2171"/>
          <cell r="T2171">
            <v>3</v>
          </cell>
          <cell r="U2171">
            <v>1.1499999999999999</v>
          </cell>
          <cell r="V2171">
            <v>0.75</v>
          </cell>
          <cell r="W2171">
            <v>0</v>
          </cell>
          <cell r="X2171" t="str">
            <v>EST MESA JANTAR TWINS (DET G1 TRAVERTINO) (MAD A TAUARI ENV) - 3x1,15x0,75H</v>
          </cell>
          <cell r="Y2171">
            <v>109344.57</v>
          </cell>
          <cell r="Z2171">
            <v>0.35</v>
          </cell>
          <cell r="AA2171">
            <v>71073.97050000001</v>
          </cell>
          <cell r="AB2171"/>
        </row>
        <row r="2172">
          <cell r="C2172">
            <v>1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400336</v>
          </cell>
          <cell r="P2172" t="str">
            <v>2025/085-0037-01</v>
          </cell>
          <cell r="Q2172" t="str">
            <v>EST MESA JANTAR MUXA (MAD B TECA NATURAL PU)</v>
          </cell>
          <cell r="R2172"/>
          <cell r="S2172"/>
          <cell r="T2172">
            <v>3</v>
          </cell>
          <cell r="U2172">
            <v>1.3</v>
          </cell>
          <cell r="V2172">
            <v>0.75</v>
          </cell>
          <cell r="W2172">
            <v>0</v>
          </cell>
          <cell r="X2172" t="str">
            <v>EST MESA JANTAR MUXA (MAD B TECA NATURAL PU) - 3x1,3x0,75H</v>
          </cell>
          <cell r="Y2172">
            <v>70182.92</v>
          </cell>
          <cell r="Z2172">
            <v>0.35</v>
          </cell>
          <cell r="AA2172">
            <v>45618.898000000001</v>
          </cell>
          <cell r="AB2172"/>
        </row>
        <row r="2173">
          <cell r="C2173">
            <v>1</v>
          </cell>
          <cell r="D2173">
            <v>0</v>
          </cell>
          <cell r="E2173">
            <v>0</v>
          </cell>
          <cell r="F2173">
            <v>0</v>
          </cell>
          <cell r="H2173">
            <v>0</v>
          </cell>
          <cell r="O2173">
            <v>407113</v>
          </cell>
          <cell r="P2173" t="str">
            <v>2025/195-0097-01</v>
          </cell>
          <cell r="Q2173" t="str">
            <v>EST MESA CENTRO ARGOLA (B) (COURO CAMEL) (MAD A TAUARI ENV)</v>
          </cell>
          <cell r="R2173"/>
          <cell r="S2173"/>
          <cell r="T2173">
            <v>1</v>
          </cell>
          <cell r="U2173">
            <v>0</v>
          </cell>
          <cell r="V2173">
            <v>0.35</v>
          </cell>
          <cell r="W2173">
            <v>1</v>
          </cell>
          <cell r="X2173" t="str">
            <v>EST MESA CENTRO ARGOLA (B) (COURO CAMEL) (MAD A TAUARI ENV) - Ø1x0,35H</v>
          </cell>
          <cell r="Y2173">
            <v>19388.900000000001</v>
          </cell>
          <cell r="Z2173">
            <v>0.35</v>
          </cell>
          <cell r="AA2173">
            <v>12602.785000000002</v>
          </cell>
          <cell r="AB2173"/>
        </row>
        <row r="2174">
          <cell r="C2174">
            <v>2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409778</v>
          </cell>
          <cell r="P2174" t="str">
            <v>2025/258-0084-01</v>
          </cell>
          <cell r="Q2174" t="str">
            <v>EST BANCO TOTI (MAD B TECA NATURAL PU)TELA SEXTAVADA NATURAL</v>
          </cell>
          <cell r="R2174"/>
          <cell r="S2174"/>
          <cell r="T2174">
            <v>0.44</v>
          </cell>
          <cell r="U2174">
            <v>0.44</v>
          </cell>
          <cell r="V2174">
            <v>0.44</v>
          </cell>
          <cell r="W2174">
            <v>0</v>
          </cell>
          <cell r="X2174" t="str">
            <v>EST BANCO TOTI (MAD B TECA NATURAL PU)TELA SEXTAVADA NATURAL - 0,44x0,44x0,44H</v>
          </cell>
          <cell r="Y2174">
            <v>5240.3900000000003</v>
          </cell>
          <cell r="Z2174">
            <v>0.35</v>
          </cell>
          <cell r="AA2174">
            <v>3406.2535000000003</v>
          </cell>
          <cell r="AB2174"/>
        </row>
        <row r="2175">
          <cell r="C2175">
            <v>2</v>
          </cell>
          <cell r="D2175">
            <v>0</v>
          </cell>
          <cell r="E2175">
            <v>0</v>
          </cell>
          <cell r="F2175">
            <v>0</v>
          </cell>
          <cell r="H2175">
            <v>0</v>
          </cell>
          <cell r="O2175">
            <v>409778</v>
          </cell>
          <cell r="P2175" t="str">
            <v>2025/258-0085-01</v>
          </cell>
          <cell r="Q2175" t="str">
            <v>EST BANCO TOTI (MAD B TECA NATURAL PU)TELA SEXTAVADA NATURAL</v>
          </cell>
          <cell r="R2175"/>
          <cell r="S2175"/>
          <cell r="T2175">
            <v>0.44</v>
          </cell>
          <cell r="U2175">
            <v>0.44</v>
          </cell>
          <cell r="V2175">
            <v>0.44</v>
          </cell>
          <cell r="W2175">
            <v>0</v>
          </cell>
          <cell r="X2175" t="str">
            <v>EST BANCO TOTI (MAD B TECA NATURAL PU)TELA SEXTAVADA NATURAL - 0,44x0,44x0,44H</v>
          </cell>
          <cell r="Y2175">
            <v>5240.3900000000003</v>
          </cell>
          <cell r="Z2175">
            <v>0.35</v>
          </cell>
          <cell r="AA2175">
            <v>3406.2535000000003</v>
          </cell>
          <cell r="AB2175"/>
        </row>
        <row r="2176">
          <cell r="C2176">
            <v>1</v>
          </cell>
          <cell r="D2176">
            <v>0</v>
          </cell>
          <cell r="E2176">
            <v>0</v>
          </cell>
          <cell r="F2176">
            <v>6</v>
          </cell>
          <cell r="H2176">
            <v>0</v>
          </cell>
          <cell r="O2176">
            <v>312385</v>
          </cell>
          <cell r="P2176" t="str">
            <v>2022/038-0022-01</v>
          </cell>
          <cell r="Q2176" t="str">
            <v>EST CADEIRA VIKY (LOURO ESPECIAL) COURO NOBUCK VERDE</v>
          </cell>
          <cell r="R2176"/>
          <cell r="S2176"/>
          <cell r="T2176">
            <v>0.53</v>
          </cell>
          <cell r="U2176">
            <v>0.59</v>
          </cell>
          <cell r="V2176">
            <v>0.83</v>
          </cell>
          <cell r="W2176">
            <v>0</v>
          </cell>
          <cell r="X2176" t="str">
            <v>EST CADEIRA VIKY (LOURO ESPECIAL) COURO NOBUCK VERDE - 0,53x0,59x0,83H</v>
          </cell>
          <cell r="Y2176">
            <v>9717.57</v>
          </cell>
          <cell r="Z2176">
            <v>0.35</v>
          </cell>
          <cell r="AA2176">
            <v>6316.4205000000002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62170</v>
          </cell>
          <cell r="P2177"/>
          <cell r="Q2177" t="str">
            <v>EST BANCO KAYAPO (EUCALIPTO) C/QUADRADO CENTRAL</v>
          </cell>
          <cell r="R2177"/>
          <cell r="S2177"/>
          <cell r="T2177">
            <v>0.38</v>
          </cell>
          <cell r="U2177">
            <v>0</v>
          </cell>
          <cell r="V2177">
            <v>0.45</v>
          </cell>
          <cell r="W2177">
            <v>0</v>
          </cell>
          <cell r="X2177" t="str">
            <v>EST BANCO KAYAPO (EUCALIPTO) C/QUADRADO CENTRAL - Ø0x0,45H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62532</v>
          </cell>
          <cell r="P2178"/>
          <cell r="Q2178" t="str">
            <v>EST MESA JANTAR TOTAL (RESINA PRETA BRILHO) (PES ACO)</v>
          </cell>
          <cell r="R2178"/>
          <cell r="S2178"/>
          <cell r="T2178">
            <v>2</v>
          </cell>
          <cell r="U2178">
            <v>1</v>
          </cell>
          <cell r="V2178">
            <v>0.75</v>
          </cell>
          <cell r="W2178">
            <v>0</v>
          </cell>
          <cell r="X2178" t="str">
            <v>EST MESA JANTAR TOTAL (RESINA PRETA BRILHO) (PES ACO) - 2x1x0,75H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1</v>
          </cell>
          <cell r="O2179">
            <v>62549</v>
          </cell>
          <cell r="P2179"/>
          <cell r="Q2179" t="str">
            <v>EST POLTRONA LEME BAIXA (PERCINTA COURO CRU) (FREIJO N)</v>
          </cell>
          <cell r="R2179"/>
          <cell r="S2179"/>
          <cell r="T2179">
            <v>0.75</v>
          </cell>
          <cell r="U2179">
            <v>0.8</v>
          </cell>
          <cell r="V2179">
            <v>0.85</v>
          </cell>
          <cell r="W2179">
            <v>0</v>
          </cell>
          <cell r="X2179" t="str">
            <v>EST POLTRONA LEME BAIXA (PERCINTA COURO CRU) (FREIJO N) - 0,75x0,8x0,85H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1</v>
          </cell>
          <cell r="O2180">
            <v>62558</v>
          </cell>
          <cell r="P2180"/>
          <cell r="Q2180" t="str">
            <v>EST POLTRONA SUITE (COURO) (ALMOFADA LINHO)</v>
          </cell>
          <cell r="R2180"/>
          <cell r="S2180"/>
          <cell r="T2180">
            <v>1.1000000000000001</v>
          </cell>
          <cell r="U2180">
            <v>0.9</v>
          </cell>
          <cell r="V2180">
            <v>0.7</v>
          </cell>
          <cell r="W2180">
            <v>0</v>
          </cell>
          <cell r="X2180" t="str">
            <v>EST POLTRONA SUITE (COURO) (ALMOFADA LINHO) - 1,1x0,9x0,7H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62636</v>
          </cell>
          <cell r="P2181"/>
          <cell r="Q2181" t="str">
            <v>EST CADEIRA GB01 TELA (QUADRIC TNZ) (JEQ 01)</v>
          </cell>
          <cell r="R2181"/>
          <cell r="S2181"/>
          <cell r="T2181">
            <v>0.45</v>
          </cell>
          <cell r="U2181">
            <v>0.48</v>
          </cell>
          <cell r="V2181">
            <v>0.85</v>
          </cell>
          <cell r="W2181">
            <v>0</v>
          </cell>
          <cell r="X2181" t="str">
            <v>EST CADEIRA GB01 TELA (QUADRIC TNZ) (JEQ 01) - 0,45x0,48x0,85H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62670</v>
          </cell>
          <cell r="P2182"/>
          <cell r="Q2182" t="str">
            <v>EST REVISTEIRO BO (LAMINA IMBUIA)</v>
          </cell>
          <cell r="R2182"/>
          <cell r="S2182"/>
          <cell r="T2182">
            <v>0.27</v>
          </cell>
          <cell r="U2182">
            <v>0.36</v>
          </cell>
          <cell r="V2182">
            <v>1.83</v>
          </cell>
          <cell r="W2182">
            <v>0</v>
          </cell>
          <cell r="X2182" t="str">
            <v>EST REVISTEIRO BO (LAMINA IMBUIA) - 0,27x0,36x1,83H</v>
          </cell>
          <cell r="Y2182">
            <v>0</v>
          </cell>
          <cell r="Z2182">
            <v>0.5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15</v>
          </cell>
          <cell r="O2183">
            <v>63118</v>
          </cell>
          <cell r="P2183"/>
          <cell r="Q2183" t="str">
            <v>EST BANCO MOCHO (MAD IMBUIA STAIN)</v>
          </cell>
          <cell r="R2183"/>
          <cell r="S2183"/>
          <cell r="T2183">
            <v>0.4</v>
          </cell>
          <cell r="U2183">
            <v>0.4</v>
          </cell>
          <cell r="V2183">
            <v>0.36</v>
          </cell>
          <cell r="W2183">
            <v>0</v>
          </cell>
          <cell r="X2183" t="str">
            <v>EST BANCO MOCHO (MAD IMBUIA STAIN) - 0,4x0,4x0,36H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63120</v>
          </cell>
          <cell r="P2184"/>
          <cell r="Q2184" t="str">
            <v>EST BANCO NICI (FREIJO NATURAL) GRAVACAO LASER</v>
          </cell>
          <cell r="R2184"/>
          <cell r="S2184"/>
          <cell r="T2184">
            <v>1.8</v>
          </cell>
          <cell r="U2184">
            <v>0.45</v>
          </cell>
          <cell r="V2184">
            <v>0.45</v>
          </cell>
          <cell r="W2184">
            <v>0</v>
          </cell>
          <cell r="X2184" t="str">
            <v>EST BANCO NICI (FREIJO NATURAL) GRAVACAO LASER - 1,8x0,45x0,45H</v>
          </cell>
          <cell r="Y2184">
            <v>0</v>
          </cell>
          <cell r="Z2184">
            <v>0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8</v>
          </cell>
          <cell r="O2185">
            <v>63146</v>
          </cell>
          <cell r="P2185"/>
          <cell r="Q2185" t="str">
            <v>EST BIOMBO ESPECIAL (RATTAN COR 3)</v>
          </cell>
          <cell r="R2185"/>
          <cell r="S2185"/>
          <cell r="T2185">
            <v>0.5</v>
          </cell>
          <cell r="U2185">
            <v>0.05</v>
          </cell>
          <cell r="V2185">
            <v>1.3</v>
          </cell>
          <cell r="W2185">
            <v>0</v>
          </cell>
          <cell r="X2185" t="str">
            <v>EST BIOMBO ESPECIAL (RATTAN COR 3) - 0,5x0,05x1,3H</v>
          </cell>
          <cell r="Y2185">
            <v>0</v>
          </cell>
          <cell r="Z2185">
            <v>0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3</v>
          </cell>
          <cell r="O2186">
            <v>63157</v>
          </cell>
          <cell r="P2186"/>
          <cell r="Q2186" t="str">
            <v>EST CADEIRA 20R (CROMADO) (IPE TONALIZADO)</v>
          </cell>
          <cell r="R2186"/>
          <cell r="S2186"/>
          <cell r="T2186">
            <v>0.44</v>
          </cell>
          <cell r="U2186">
            <v>0.5</v>
          </cell>
          <cell r="V2186">
            <v>0.8</v>
          </cell>
          <cell r="W2186">
            <v>0</v>
          </cell>
          <cell r="X2186" t="str">
            <v>EST CADEIRA 20R (CROMADO) (IPE TONALIZADO) - 0,44x0,5x0,8H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1</v>
          </cell>
          <cell r="O2187">
            <v>63166</v>
          </cell>
          <cell r="P2187"/>
          <cell r="Q2187" t="str">
            <v>EST CADEIRA ANITA ESTOFADA (JEQUITIBA)</v>
          </cell>
          <cell r="R2187"/>
          <cell r="S2187"/>
          <cell r="T2187">
            <v>0.45</v>
          </cell>
          <cell r="U2187">
            <v>0.5</v>
          </cell>
          <cell r="V2187">
            <v>0.89</v>
          </cell>
          <cell r="W2187">
            <v>0</v>
          </cell>
          <cell r="X2187" t="str">
            <v>EST CADEIRA ANITA ESTOFADA (JEQUITIBA) - 0,45x0,5x0,89H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63169</v>
          </cell>
          <cell r="P2188"/>
          <cell r="Q2188" t="str">
            <v>EST CADEIRA CANTU BAIXA (MAD B COR 03) TC N 5558</v>
          </cell>
          <cell r="R2188"/>
          <cell r="S2188"/>
          <cell r="T2188">
            <v>0.5</v>
          </cell>
          <cell r="U2188">
            <v>0.55000000000000004</v>
          </cell>
          <cell r="V2188">
            <v>0.81</v>
          </cell>
          <cell r="W2188">
            <v>0</v>
          </cell>
          <cell r="X2188" t="str">
            <v>EST CADEIRA CANTU BAIXA (MAD B COR 03) TC N 5558 - 0,5x0,55x0,81H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0</v>
          </cell>
          <cell r="O2189">
            <v>63171</v>
          </cell>
          <cell r="P2189"/>
          <cell r="Q2189" t="str">
            <v>EST CADEIRA CANTU ALTA (MAD B COR 03) TC CAMELO</v>
          </cell>
          <cell r="R2189"/>
          <cell r="S2189"/>
          <cell r="T2189">
            <v>0.5</v>
          </cell>
          <cell r="U2189">
            <v>0.55000000000000004</v>
          </cell>
          <cell r="V2189">
            <v>1.01</v>
          </cell>
          <cell r="W2189">
            <v>0</v>
          </cell>
          <cell r="X2189" t="str">
            <v>EST CADEIRA CANTU ALTA (MAD B COR 03) TC CAMELO - 0,5x0,55x1,01H</v>
          </cell>
          <cell r="Y2189">
            <v>0</v>
          </cell>
          <cell r="Z2189">
            <v>0.5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63203</v>
          </cell>
          <cell r="P2190"/>
          <cell r="Q2190" t="str">
            <v>EST CADEIRA LUIZA ESTOFADA (IMBUIA NATURAL)</v>
          </cell>
          <cell r="R2190"/>
          <cell r="S2190"/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 t="str">
            <v>EST CADEIRA LUIZA ESTOFADA (IMBUIA NATURAL) - Ø0x0H</v>
          </cell>
          <cell r="Y2190">
            <v>0</v>
          </cell>
          <cell r="Z2190">
            <v>0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1</v>
          </cell>
          <cell r="O2191">
            <v>63204</v>
          </cell>
          <cell r="P2191"/>
          <cell r="Q2191" t="str">
            <v>EST CADEIRA LUIZA CORDA CRU (JEQUITIBA NATURAL)</v>
          </cell>
          <cell r="R2191"/>
          <cell r="S2191"/>
          <cell r="T2191">
            <v>0</v>
          </cell>
          <cell r="U2191">
            <v>0</v>
          </cell>
          <cell r="V2191">
            <v>0</v>
          </cell>
          <cell r="W2191">
            <v>0</v>
          </cell>
          <cell r="X2191" t="str">
            <v>EST CADEIRA LUIZA CORDA CRU (JEQUITIBA NATURAL) - Ø0x0H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63224</v>
          </cell>
          <cell r="P2192"/>
          <cell r="Q2192" t="str">
            <v>EST CADEIRA RIO (PEROBA DO CAMPO)</v>
          </cell>
          <cell r="R2192"/>
          <cell r="S2192"/>
          <cell r="T2192">
            <v>0.47</v>
          </cell>
          <cell r="U2192">
            <v>0.53</v>
          </cell>
          <cell r="V2192">
            <v>0.83</v>
          </cell>
          <cell r="W2192">
            <v>0</v>
          </cell>
          <cell r="X2192" t="str">
            <v>EST CADEIRA RIO (PEROBA DO CAMPO) - 0,47x0,53x0,83H</v>
          </cell>
          <cell r="Y2192">
            <v>0</v>
          </cell>
          <cell r="Z2192">
            <v>0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1</v>
          </cell>
          <cell r="O2193">
            <v>63234</v>
          </cell>
          <cell r="P2193"/>
          <cell r="Q2193" t="str">
            <v>EST CADEIRA TAJA (MAD A COR 01) VERNIZ POLISTEN</v>
          </cell>
          <cell r="R2193"/>
          <cell r="S2193"/>
          <cell r="T2193">
            <v>0.43</v>
          </cell>
          <cell r="U2193">
            <v>0.46</v>
          </cell>
          <cell r="V2193">
            <v>0.73</v>
          </cell>
          <cell r="W2193">
            <v>0</v>
          </cell>
          <cell r="X2193" t="str">
            <v>EST CADEIRA TAJA (MAD A COR 01) VERNIZ POLISTEN - 0,43x0,46x0,73H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0</v>
          </cell>
          <cell r="O2194">
            <v>63267</v>
          </cell>
          <cell r="P2194"/>
          <cell r="Q2194" t="str">
            <v>EST REVISTEIRO VECCI (G) (MADEIRA IMBUIA)</v>
          </cell>
          <cell r="R2194"/>
          <cell r="S2194"/>
          <cell r="T2194">
            <v>0.38</v>
          </cell>
          <cell r="U2194">
            <v>0.34</v>
          </cell>
          <cell r="V2194">
            <v>1.8</v>
          </cell>
          <cell r="W2194">
            <v>0</v>
          </cell>
          <cell r="X2194" t="str">
            <v>EST REVISTEIRO VECCI (G) (MADEIRA IMBUIA) - 0,38x0,34x1,8H</v>
          </cell>
          <cell r="Y2194">
            <v>0</v>
          </cell>
          <cell r="Z2194">
            <v>0.5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63282</v>
          </cell>
          <cell r="P2195"/>
          <cell r="Q2195" t="str">
            <v>EST MESA CENTRO JONE (CHANFRO X148)</v>
          </cell>
          <cell r="R2195"/>
          <cell r="S2195"/>
          <cell r="T2195">
            <v>1.3</v>
          </cell>
          <cell r="U2195">
            <v>0</v>
          </cell>
          <cell r="V2195">
            <v>0.25</v>
          </cell>
          <cell r="W2195">
            <v>1.3</v>
          </cell>
          <cell r="X2195" t="str">
            <v>EST MESA CENTRO JONE (CHANFRO X148) - Ø1,3x0,25H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63331</v>
          </cell>
          <cell r="P2196" t="str">
            <v>2015/061-0004-01</v>
          </cell>
          <cell r="Q2196" t="str">
            <v>EST MESA LATERAL PARIS (ARCO DO TRIUNFO)</v>
          </cell>
          <cell r="R2196"/>
          <cell r="S2196"/>
          <cell r="T2196">
            <v>0.6</v>
          </cell>
          <cell r="U2196">
            <v>0</v>
          </cell>
          <cell r="V2196">
            <v>0.6</v>
          </cell>
          <cell r="W2196">
            <v>0.6</v>
          </cell>
          <cell r="X2196" t="str">
            <v>EST MESA LATERAL PARIS (ARCO DO TRIUNFO) - Ø0,6x0,6H</v>
          </cell>
          <cell r="Y2196">
            <v>6375</v>
          </cell>
          <cell r="Z2196">
            <v>0</v>
          </cell>
          <cell r="AA2196">
            <v>6375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1</v>
          </cell>
          <cell r="O2197">
            <v>63383</v>
          </cell>
          <cell r="P2197"/>
          <cell r="Q2197" t="str">
            <v>EST POLTRONA OSCAR JANTAR (TELA TING) (MAD B COR 4)</v>
          </cell>
          <cell r="R2197"/>
          <cell r="S2197"/>
          <cell r="T2197">
            <v>0.7</v>
          </cell>
          <cell r="U2197">
            <v>0.61</v>
          </cell>
          <cell r="V2197">
            <v>0.85</v>
          </cell>
          <cell r="W2197">
            <v>0</v>
          </cell>
          <cell r="X2197" t="str">
            <v>EST POLTRONA OSCAR JANTAR (TELA TING) (MAD B COR 4) - 0,7x0,61x0,85H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0</v>
          </cell>
          <cell r="O2198">
            <v>63387</v>
          </cell>
          <cell r="P2198"/>
          <cell r="Q2198" t="str">
            <v>EST POLTRONA OSCAR ESTAR (TELA ENVELHECIDA) (MAD B COR 3)</v>
          </cell>
          <cell r="R2198"/>
          <cell r="S2198"/>
          <cell r="T2198">
            <v>0.7</v>
          </cell>
          <cell r="U2198">
            <v>0.65</v>
          </cell>
          <cell r="V2198">
            <v>0.81</v>
          </cell>
          <cell r="W2198">
            <v>0</v>
          </cell>
          <cell r="X2198" t="str">
            <v>EST POLTRONA OSCAR ESTAR (TELA ENVELHECIDA) (MAD B COR 3) - 0,7x0,65x0,81H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1</v>
          </cell>
          <cell r="O2199">
            <v>63416</v>
          </cell>
          <cell r="P2199"/>
          <cell r="Q2199" t="str">
            <v>EST SOFA LINA TC VELUDO CINZA PRATA</v>
          </cell>
          <cell r="R2199"/>
          <cell r="S2199"/>
          <cell r="T2199">
            <v>2.6</v>
          </cell>
          <cell r="U2199">
            <v>1</v>
          </cell>
          <cell r="V2199">
            <v>0</v>
          </cell>
          <cell r="W2199">
            <v>0</v>
          </cell>
          <cell r="X2199" t="str">
            <v>EST SOFA LINA TC VELUDO CINZA PRATA - 2,6x1x0H</v>
          </cell>
          <cell r="Y2199">
            <v>0</v>
          </cell>
          <cell r="Z2199">
            <v>0.35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1</v>
          </cell>
          <cell r="O2200">
            <v>63420</v>
          </cell>
          <cell r="P2200"/>
          <cell r="Q2200" t="str">
            <v>EST MODULO PUFF LONA</v>
          </cell>
          <cell r="R2200"/>
          <cell r="S2200"/>
          <cell r="T2200">
            <v>0.86</v>
          </cell>
          <cell r="U2200">
            <v>0.86</v>
          </cell>
          <cell r="V2200">
            <v>0.38</v>
          </cell>
          <cell r="W2200">
            <v>0</v>
          </cell>
          <cell r="X2200" t="str">
            <v>EST MODULO PUFF LONA - 0,86x0,86x0,38H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63753</v>
          </cell>
          <cell r="P2201"/>
          <cell r="Q2201" t="str">
            <v>EST SOFA LINA TC BEGE</v>
          </cell>
          <cell r="R2201"/>
          <cell r="S2201"/>
          <cell r="T2201">
            <v>2</v>
          </cell>
          <cell r="U2201">
            <v>0.95</v>
          </cell>
          <cell r="V2201">
            <v>0</v>
          </cell>
          <cell r="W2201">
            <v>0</v>
          </cell>
          <cell r="X2201" t="str">
            <v>EST SOFA LINA TC BEGE - 2x0,95x0H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2</v>
          </cell>
          <cell r="O2202">
            <v>64511</v>
          </cell>
          <cell r="P2202"/>
          <cell r="Q2202" t="str">
            <v>EST CADEIRA 4X4 TECIDO FORNECIDO (AG.002/5) PRETO</v>
          </cell>
          <cell r="R2202"/>
          <cell r="S2202"/>
          <cell r="T2202">
            <v>0</v>
          </cell>
          <cell r="U2202">
            <v>0</v>
          </cell>
          <cell r="V2202">
            <v>0</v>
          </cell>
          <cell r="W2202">
            <v>0</v>
          </cell>
          <cell r="X2202" t="str">
            <v>EST CADEIRA 4X4 TECIDO FORNECIDO (AG.002/5) PRETO - Ø0x0H</v>
          </cell>
          <cell r="Y2202" t="str">
            <v>EST</v>
          </cell>
          <cell r="Z2202">
            <v>0</v>
          </cell>
          <cell r="AA2202" t="e">
            <v>#VALUE!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64543</v>
          </cell>
          <cell r="P2203"/>
          <cell r="Q2203" t="str">
            <v>EST CADEIRA CONFORME PROJETO (PROTOTIPO)</v>
          </cell>
          <cell r="R2203"/>
          <cell r="S2203"/>
          <cell r="T2203">
            <v>0</v>
          </cell>
          <cell r="U2203">
            <v>0</v>
          </cell>
          <cell r="V2203">
            <v>0</v>
          </cell>
          <cell r="W2203">
            <v>0</v>
          </cell>
          <cell r="X2203" t="str">
            <v>EST CADEIRA CONFORME PROJETO (PROTOTIPO) - Ø0x0H</v>
          </cell>
          <cell r="Y2203">
            <v>0</v>
          </cell>
          <cell r="Z2203">
            <v>0.35</v>
          </cell>
          <cell r="AA2203">
            <v>0</v>
          </cell>
          <cell r="AB2203"/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H2204">
            <v>1</v>
          </cell>
          <cell r="O2204">
            <v>64714</v>
          </cell>
          <cell r="P2204"/>
          <cell r="Q2204" t="str">
            <v>EST POLTRONA OSCAR ESTAR (TELA NATURAL) (MAD A COR 2)</v>
          </cell>
          <cell r="R2204"/>
          <cell r="S2204"/>
          <cell r="T2204">
            <v>0.7</v>
          </cell>
          <cell r="U2204">
            <v>0.65</v>
          </cell>
          <cell r="V2204">
            <v>0.8</v>
          </cell>
          <cell r="W2204">
            <v>0</v>
          </cell>
          <cell r="X2204" t="str">
            <v>EST POLTRONA OSCAR ESTAR (TELA NATURAL) (MAD A COR 2) - 0,7x0,65x0,8H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0</v>
          </cell>
          <cell r="O2205">
            <v>64985</v>
          </cell>
          <cell r="P2205"/>
          <cell r="Q2205" t="str">
            <v>EST POLTRONA OSCAR ESTAR (TELA) (LACA PRATA SAYERLACK)</v>
          </cell>
          <cell r="R2205"/>
          <cell r="S2205"/>
          <cell r="T2205">
            <v>0.7</v>
          </cell>
          <cell r="U2205">
            <v>0.65</v>
          </cell>
          <cell r="V2205">
            <v>0.8</v>
          </cell>
          <cell r="W2205">
            <v>0</v>
          </cell>
          <cell r="X2205" t="str">
            <v>EST POLTRONA OSCAR ESTAR (TELA) (LACA PRATA SAYERLACK) - 0,7x0,65x0,8H</v>
          </cell>
          <cell r="Y2205">
            <v>0</v>
          </cell>
          <cell r="Z2205">
            <v>0.5</v>
          </cell>
          <cell r="AA2205">
            <v>0</v>
          </cell>
          <cell r="AB2205"/>
        </row>
        <row r="2206">
          <cell r="C2206" t="e">
            <v>#N/A</v>
          </cell>
          <cell r="D2206" t="e">
            <v>#N/A</v>
          </cell>
          <cell r="E2206" t="e">
            <v>#N/A</v>
          </cell>
          <cell r="F2206" t="e">
            <v>#N/A</v>
          </cell>
          <cell r="H2206" t="e">
            <v>#N/A</v>
          </cell>
          <cell r="O2206">
            <v>65513</v>
          </cell>
          <cell r="P2206"/>
          <cell r="Q2206" t="e">
            <v>#N/A</v>
          </cell>
          <cell r="R2206"/>
          <cell r="S2206"/>
          <cell r="T2206" t="e">
            <v>#N/A</v>
          </cell>
          <cell r="U2206" t="e">
            <v>#N/A</v>
          </cell>
          <cell r="V2206" t="e">
            <v>#N/A</v>
          </cell>
          <cell r="W2206" t="e">
            <v>#N/A</v>
          </cell>
          <cell r="X2206" t="e">
            <v>#N/A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65961</v>
          </cell>
          <cell r="P2207"/>
          <cell r="Q2207" t="str">
            <v>EST LUMINARIA TCHEKO (LATAO CROMADO)</v>
          </cell>
          <cell r="R2207"/>
          <cell r="S2207"/>
          <cell r="T2207">
            <v>0.4</v>
          </cell>
          <cell r="U2207">
            <v>0.4</v>
          </cell>
          <cell r="V2207">
            <v>0.9</v>
          </cell>
          <cell r="W2207">
            <v>0</v>
          </cell>
          <cell r="X2207" t="str">
            <v>EST LUMINARIA TCHEKO (LATAO CROMADO) - 0,4x0,4x0,9H</v>
          </cell>
          <cell r="Y2207">
            <v>0</v>
          </cell>
          <cell r="Z2207">
            <v>0</v>
          </cell>
          <cell r="AA2207">
            <v>0</v>
          </cell>
          <cell r="AB2207"/>
        </row>
        <row r="2208">
          <cell r="C2208" t="e">
            <v>#N/A</v>
          </cell>
          <cell r="D2208" t="e">
            <v>#N/A</v>
          </cell>
          <cell r="E2208" t="e">
            <v>#N/A</v>
          </cell>
          <cell r="F2208" t="e">
            <v>#N/A</v>
          </cell>
          <cell r="H2208" t="e">
            <v>#N/A</v>
          </cell>
          <cell r="O2208">
            <v>65962</v>
          </cell>
          <cell r="P2208"/>
          <cell r="Q2208" t="e">
            <v>#N/A</v>
          </cell>
          <cell r="R2208"/>
          <cell r="S2208"/>
          <cell r="T2208" t="e">
            <v>#N/A</v>
          </cell>
          <cell r="U2208" t="e">
            <v>#N/A</v>
          </cell>
          <cell r="V2208" t="e">
            <v>#N/A</v>
          </cell>
          <cell r="W2208" t="e">
            <v>#N/A</v>
          </cell>
          <cell r="X2208" t="e">
            <v>#N/A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0</v>
          </cell>
          <cell r="O2209">
            <v>66014</v>
          </cell>
          <cell r="P2209"/>
          <cell r="Q2209" t="str">
            <v>EST POLTRONA OSCAR JANTAR (TELA NATURAL) (MAD A COR 2)</v>
          </cell>
          <cell r="R2209"/>
          <cell r="S2209"/>
          <cell r="T2209">
            <v>0.7</v>
          </cell>
          <cell r="U2209">
            <v>0.61</v>
          </cell>
          <cell r="V2209">
            <v>0.85</v>
          </cell>
          <cell r="W2209">
            <v>0</v>
          </cell>
          <cell r="X2209" t="str">
            <v>EST POLTRONA OSCAR JANTAR (TELA NATURAL) (MAD A COR 2) - 0,7x0,61x0,85H</v>
          </cell>
          <cell r="Y2209">
            <v>0</v>
          </cell>
          <cell r="Z2209">
            <v>0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67996</v>
          </cell>
          <cell r="P2210"/>
          <cell r="Q2210" t="str">
            <v>EST POLTRONA VOLTAIRE (MAD A COR 01) TC COLOR TAUPE FLORAL</v>
          </cell>
          <cell r="R2210"/>
          <cell r="S2210"/>
          <cell r="T2210">
            <v>0.83</v>
          </cell>
          <cell r="U2210">
            <v>0.88</v>
          </cell>
          <cell r="V2210">
            <v>0.98</v>
          </cell>
          <cell r="W2210">
            <v>0</v>
          </cell>
          <cell r="X2210" t="str">
            <v>EST POLTRONA VOLTAIRE (MAD A COR 01) TC COLOR TAUPE FLORAL - 0,83x0,88x0,98H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1</v>
          </cell>
          <cell r="O2211">
            <v>67998</v>
          </cell>
          <cell r="P2211"/>
          <cell r="Q2211" t="str">
            <v>EST BANQUETA VOLTAIRE (MAD A COR 01) TC COLOR TAUPE FLORAL</v>
          </cell>
          <cell r="R2211"/>
          <cell r="S2211"/>
          <cell r="T2211">
            <v>0.67</v>
          </cell>
          <cell r="U2211">
            <v>0.46</v>
          </cell>
          <cell r="V2211">
            <v>0.43</v>
          </cell>
          <cell r="W2211">
            <v>0</v>
          </cell>
          <cell r="X2211" t="str">
            <v>EST BANQUETA VOLTAIRE (MAD A COR 01) TC COLOR TAUPE FLORAL - 0,67x0,46x0,43H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0</v>
          </cell>
          <cell r="O2212">
            <v>77672</v>
          </cell>
          <cell r="P2212"/>
          <cell r="Q2212" t="str">
            <v>EST CADEIRA PAJAROS AMAZONICOS (LACA PRETA COLOR)</v>
          </cell>
          <cell r="R2212"/>
          <cell r="S2212"/>
          <cell r="T2212">
            <v>0.45</v>
          </cell>
          <cell r="U2212">
            <v>0.54</v>
          </cell>
          <cell r="V2212">
            <v>0.82</v>
          </cell>
          <cell r="W2212">
            <v>0</v>
          </cell>
          <cell r="X2212" t="str">
            <v>EST CADEIRA PAJAROS AMAZONICOS (LACA PRETA COLOR) - 0,45x0,54x0,82H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77836</v>
          </cell>
          <cell r="P2213"/>
          <cell r="Q2213" t="str">
            <v>EST POLTRONA BOSSA NOVA (ALFIO LISI) COURO ATANADO CRU</v>
          </cell>
          <cell r="R2213"/>
          <cell r="S2213"/>
          <cell r="T2213">
            <v>0.72</v>
          </cell>
          <cell r="U2213">
            <v>0.57999999999999996</v>
          </cell>
          <cell r="V2213">
            <v>0.8</v>
          </cell>
          <cell r="W2213">
            <v>0</v>
          </cell>
          <cell r="X2213" t="str">
            <v>EST POLTRONA BOSSA NOVA (ALFIO LISI) COURO ATANADO CRU - 0,72x0,58x0,8H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77842</v>
          </cell>
          <cell r="P2214"/>
          <cell r="Q2214" t="str">
            <v>EST BANQUETA BOSSA NOVA (ALFIO LISI) COURO ATANADO CRU</v>
          </cell>
          <cell r="R2214"/>
          <cell r="S2214"/>
          <cell r="T2214">
            <v>0.62</v>
          </cell>
          <cell r="U2214">
            <v>0.44</v>
          </cell>
          <cell r="V2214">
            <v>0.44</v>
          </cell>
          <cell r="W2214">
            <v>0</v>
          </cell>
          <cell r="X2214" t="str">
            <v>EST BANQUETA BOSSA NOVA (ALFIO LISI) COURO ATANADO CRU - 0,62x0,44x0,44H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1</v>
          </cell>
          <cell r="O2215">
            <v>78080</v>
          </cell>
          <cell r="P2215"/>
          <cell r="Q2215" t="str">
            <v>EST BIOMBO MEMORIAS 190X62X180H FREIJO/TECIDO 3 FOLHAS</v>
          </cell>
          <cell r="R2215"/>
          <cell r="S2215"/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 t="str">
            <v>EST BIOMBO MEMORIAS 190X62X180H FREIJO/TECIDO 3 FOLHAS - Ø0x0H</v>
          </cell>
          <cell r="Y2215">
            <v>0</v>
          </cell>
          <cell r="Z2215">
            <v>0.35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1</v>
          </cell>
          <cell r="O2216">
            <v>78185</v>
          </cell>
          <cell r="P2216"/>
          <cell r="Q2216" t="str">
            <v>EST POLTRONA ZANINE N (FREIJO EBANIZADO) TC ALGODAO 152/1</v>
          </cell>
          <cell r="R2216"/>
          <cell r="S2216"/>
          <cell r="T2216">
            <v>0.71</v>
          </cell>
          <cell r="U2216">
            <v>0.67</v>
          </cell>
          <cell r="V2216">
            <v>0.7</v>
          </cell>
          <cell r="W2216">
            <v>0</v>
          </cell>
          <cell r="X2216" t="str">
            <v>EST POLTRONA ZANINE N (FREIJO EBANIZADO) TC ALGODAO 152/1 - 0,71x0,67x0,7H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0</v>
          </cell>
          <cell r="O2217">
            <v>78247</v>
          </cell>
          <cell r="P2217"/>
          <cell r="Q2217" t="str">
            <v>EST CADEIRA ORQUIDEA (MAD A CATUABA NT) COURO CAMURCA-AVESSO</v>
          </cell>
          <cell r="R2217"/>
          <cell r="S2217"/>
          <cell r="T2217">
            <v>0.47</v>
          </cell>
          <cell r="U2217">
            <v>0.55000000000000004</v>
          </cell>
          <cell r="V2217">
            <v>0.79</v>
          </cell>
          <cell r="W2217">
            <v>0</v>
          </cell>
          <cell r="X2217" t="str">
            <v>EST CADEIRA ORQUIDEA (MAD A CATUABA NT) COURO CAMURCA-AVESSO - 0,47x0,55x0,79H</v>
          </cell>
          <cell r="Y2217">
            <v>0</v>
          </cell>
          <cell r="Z2217">
            <v>0.5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0</v>
          </cell>
          <cell r="O2218">
            <v>78252</v>
          </cell>
          <cell r="P2218"/>
          <cell r="Q2218" t="str">
            <v>EST POLTRONA SAND (MAD A JEQ TABACO) COURO CAMURCA AREIA</v>
          </cell>
          <cell r="R2218"/>
          <cell r="S2218"/>
          <cell r="T2218">
            <v>0.8</v>
          </cell>
          <cell r="U2218">
            <v>0.86</v>
          </cell>
          <cell r="V2218">
            <v>0.76</v>
          </cell>
          <cell r="W2218">
            <v>0</v>
          </cell>
          <cell r="X2218" t="str">
            <v>EST POLTRONA SAND (MAD A JEQ TABACO) COURO CAMURCA AREIA - 0,8x0,86x0,76H</v>
          </cell>
          <cell r="Y2218">
            <v>0</v>
          </cell>
          <cell r="Z2218">
            <v>0.5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1</v>
          </cell>
          <cell r="O2219">
            <v>78387</v>
          </cell>
          <cell r="P2219"/>
          <cell r="Q2219" t="str">
            <v>EST POLTRONA JIMI (MAD A COR 01) TC 9115 COR 7</v>
          </cell>
          <cell r="R2219"/>
          <cell r="S2219"/>
          <cell r="T2219">
            <v>0.71</v>
          </cell>
          <cell r="U2219">
            <v>0.8</v>
          </cell>
          <cell r="V2219">
            <v>0.75</v>
          </cell>
          <cell r="W2219">
            <v>0</v>
          </cell>
          <cell r="X2219" t="str">
            <v>EST POLTRONA JIMI (MAD A COR 01) TC 9115 COR 7 - 0,71x0,8x0,75H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80071</v>
          </cell>
          <cell r="P2220"/>
          <cell r="Q2220" t="str">
            <v>EST BANCO KRAFT NATURAL (01 LUG)</v>
          </cell>
          <cell r="R2220"/>
          <cell r="S2220"/>
          <cell r="T2220">
            <v>0.5</v>
          </cell>
          <cell r="U2220">
            <v>0.5</v>
          </cell>
          <cell r="V2220">
            <v>0.45</v>
          </cell>
          <cell r="W2220">
            <v>0</v>
          </cell>
          <cell r="X2220" t="str">
            <v>EST BANCO KRAFT NATURAL (01 LUG) - 0,5x0,5x0,45H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0</v>
          </cell>
          <cell r="O2221">
            <v>80217</v>
          </cell>
          <cell r="P2221"/>
          <cell r="Q2221" t="str">
            <v>EST CADEIRA CONCRETA I (CUMARU E CARVALHO)</v>
          </cell>
          <cell r="R2221"/>
          <cell r="S2221"/>
          <cell r="T2221">
            <v>0.61</v>
          </cell>
          <cell r="U2221">
            <v>0.56999999999999995</v>
          </cell>
          <cell r="V2221">
            <v>0.86</v>
          </cell>
          <cell r="W2221">
            <v>0</v>
          </cell>
          <cell r="X2221" t="str">
            <v>EST CADEIRA CONCRETA I (CUMARU E CARVALHO) - 0,61x0,57x0,86H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0</v>
          </cell>
          <cell r="O2222">
            <v>80219</v>
          </cell>
          <cell r="P2222"/>
          <cell r="Q2222" t="str">
            <v>EST CADEIRA CONCRETA II (IPE E SUCUPIRA)</v>
          </cell>
          <cell r="R2222"/>
          <cell r="S2222"/>
          <cell r="T2222">
            <v>0.66</v>
          </cell>
          <cell r="U2222">
            <v>0.66</v>
          </cell>
          <cell r="V2222">
            <v>0.85</v>
          </cell>
          <cell r="W2222">
            <v>0</v>
          </cell>
          <cell r="X2222" t="str">
            <v>EST CADEIRA CONCRETA II (IPE E SUCUPIRA) - 0,66x0,66x0,85H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0</v>
          </cell>
          <cell r="O2223">
            <v>80929</v>
          </cell>
          <cell r="P2223"/>
          <cell r="Q2223" t="str">
            <v>EST CHAISE DEPOIS DA FEIRA (PEROBA E FELTRO)</v>
          </cell>
          <cell r="R2223"/>
          <cell r="S2223"/>
          <cell r="T2223">
            <v>1.8</v>
          </cell>
          <cell r="U2223">
            <v>0.5</v>
          </cell>
          <cell r="V2223">
            <v>0.72</v>
          </cell>
          <cell r="W2223">
            <v>0</v>
          </cell>
          <cell r="X2223" t="str">
            <v>EST CHAISE DEPOIS DA FEIRA (PEROBA E FELTRO) - 1,8x0,5x0,72H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81213</v>
          </cell>
          <cell r="P2224"/>
          <cell r="Q2224" t="str">
            <v>EST POLTRONA GAIVOTA (LYPTUS MEL)</v>
          </cell>
          <cell r="R2224"/>
          <cell r="S2224"/>
          <cell r="T2224">
            <v>0.56999999999999995</v>
          </cell>
          <cell r="U2224">
            <v>1.0900000000000001</v>
          </cell>
          <cell r="V2224">
            <v>0.93</v>
          </cell>
          <cell r="W2224">
            <v>0</v>
          </cell>
          <cell r="X2224" t="str">
            <v>EST POLTRONA GAIVOTA (LYPTUS MEL) - 0,57x1,09x0,93H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81215</v>
          </cell>
          <cell r="P2225"/>
          <cell r="Q2225" t="str">
            <v>EST POLTRONA ARCO IRIS (LYPTUS MEL)</v>
          </cell>
          <cell r="R2225"/>
          <cell r="S2225"/>
          <cell r="T2225">
            <v>0.47</v>
          </cell>
          <cell r="U2225">
            <v>0.81</v>
          </cell>
          <cell r="V2225">
            <v>0.96</v>
          </cell>
          <cell r="W2225">
            <v>0</v>
          </cell>
          <cell r="X2225" t="str">
            <v>EST POLTRONA ARCO IRIS (LYPTUS MEL) - 0,47x0,81x0,96H</v>
          </cell>
          <cell r="Y2225">
            <v>0</v>
          </cell>
          <cell r="Z2225">
            <v>0.5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0</v>
          </cell>
          <cell r="O2226">
            <v>81715</v>
          </cell>
          <cell r="P2226"/>
          <cell r="Q2226" t="str">
            <v>EST COMPONENTE ALMOFADA (CHAISE TIMBO) TC LONA VERDE MILITAR</v>
          </cell>
          <cell r="R2226"/>
          <cell r="S2226"/>
          <cell r="T2226">
            <v>1.92</v>
          </cell>
          <cell r="U2226">
            <v>0.67</v>
          </cell>
          <cell r="V2226">
            <v>0.14000000000000001</v>
          </cell>
          <cell r="W2226">
            <v>0</v>
          </cell>
          <cell r="X2226" t="str">
            <v>EST COMPONENTE ALMOFADA (CHAISE TIMBO) TC LONA VERDE MILITAR - 1,92x0,67x0,14H</v>
          </cell>
          <cell r="Y2226">
            <v>0</v>
          </cell>
          <cell r="Z2226">
            <v>0.5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82246</v>
          </cell>
          <cell r="P2227"/>
          <cell r="Q2227" t="str">
            <v>EST BANCO FLORESTA P (MADEIRA TAXI)</v>
          </cell>
          <cell r="R2227"/>
          <cell r="S2227"/>
          <cell r="T2227">
            <v>0.39</v>
          </cell>
          <cell r="U2227">
            <v>0.39</v>
          </cell>
          <cell r="V2227">
            <v>0.45</v>
          </cell>
          <cell r="W2227">
            <v>0</v>
          </cell>
          <cell r="X2227" t="str">
            <v>EST BANCO FLORESTA P (MADEIRA TAXI) - 0,39x0,39x0,45H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2</v>
          </cell>
          <cell r="O2228">
            <v>82385</v>
          </cell>
          <cell r="P2228"/>
          <cell r="Q2228" t="str">
            <v>EST CADEIRA ZANINE I (TAUARI NATURAL) TC CRU/MARROM/ROSA</v>
          </cell>
          <cell r="R2228"/>
          <cell r="S2228"/>
          <cell r="T2228">
            <v>0.47</v>
          </cell>
          <cell r="U2228">
            <v>0.56999999999999995</v>
          </cell>
          <cell r="V2228">
            <v>0.81</v>
          </cell>
          <cell r="W2228">
            <v>0</v>
          </cell>
          <cell r="X2228" t="str">
            <v>EST CADEIRA ZANINE I (TAUARI NATURAL) TC CRU/MARROM/ROSA - 0,47x0,57x0,81H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82536</v>
          </cell>
          <cell r="P2229"/>
          <cell r="Q2229" t="str">
            <v>EST POLTRONA BETO INOX POLIDO (MAD B 05) TC CHENILLE BEGE</v>
          </cell>
          <cell r="R2229"/>
          <cell r="S2229"/>
          <cell r="T2229">
            <v>0.84</v>
          </cell>
          <cell r="U2229">
            <v>0.75</v>
          </cell>
          <cell r="V2229">
            <v>0.71</v>
          </cell>
          <cell r="W2229">
            <v>0</v>
          </cell>
          <cell r="X2229" t="str">
            <v>EST POLTRONA BETO INOX POLIDO (MAD B 05) TC CHENILLE BEGE - 0,84x0,75x0,71H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84655</v>
          </cell>
          <cell r="P2230"/>
          <cell r="Q2230" t="str">
            <v>EST PUFF CONDADO TC 002</v>
          </cell>
          <cell r="R2230"/>
          <cell r="S2230"/>
          <cell r="T2230">
            <v>1.2</v>
          </cell>
          <cell r="U2230">
            <v>0.7</v>
          </cell>
          <cell r="V2230">
            <v>0</v>
          </cell>
          <cell r="W2230">
            <v>0</v>
          </cell>
          <cell r="X2230" t="str">
            <v>EST PUFF CONDADO TC 002 - 1,2x0,7x0H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0</v>
          </cell>
          <cell r="O2231">
            <v>84683</v>
          </cell>
          <cell r="P2231"/>
          <cell r="Q2231" t="str">
            <v>EST CADEIRA GB01 MISTA (JEQ 01) (QUADRIC NT) TC LINHO FORN</v>
          </cell>
          <cell r="R2231"/>
          <cell r="S2231"/>
          <cell r="T2231">
            <v>0.45</v>
          </cell>
          <cell r="U2231">
            <v>0.48</v>
          </cell>
          <cell r="V2231">
            <v>0.85</v>
          </cell>
          <cell r="W2231">
            <v>0</v>
          </cell>
          <cell r="X2231" t="str">
            <v>EST CADEIRA GB01 MISTA (JEQ 01) (QUADRIC NT) TC LINHO FORN - 0,45x0,48x0,85H</v>
          </cell>
          <cell r="Y2231">
            <v>0</v>
          </cell>
          <cell r="Z2231">
            <v>0.5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1</v>
          </cell>
          <cell r="O2232">
            <v>86329</v>
          </cell>
          <cell r="P2232"/>
          <cell r="Q2232" t="str">
            <v>EST CADEIRA BRERA (FREIJO ENV) ASS/ENC TELA</v>
          </cell>
          <cell r="R2232"/>
          <cell r="S2232"/>
          <cell r="T2232">
            <v>0.44</v>
          </cell>
          <cell r="U2232">
            <v>0.51</v>
          </cell>
          <cell r="V2232">
            <v>0.81</v>
          </cell>
          <cell r="W2232">
            <v>0</v>
          </cell>
          <cell r="X2232" t="str">
            <v>EST CADEIRA BRERA (FREIJO ENV) ASS/ENC TELA - 0,44x0,51x0,81H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87146</v>
          </cell>
          <cell r="P2233"/>
          <cell r="Q2233" t="str">
            <v>EST POLTRONA OSCAR ESTAR (TELA NATURAL) (LACA LARANJA)</v>
          </cell>
          <cell r="R2233"/>
          <cell r="S2233"/>
          <cell r="T2233">
            <v>0.7</v>
          </cell>
          <cell r="U2233">
            <v>0.65</v>
          </cell>
          <cell r="V2233">
            <v>0.8</v>
          </cell>
          <cell r="W2233">
            <v>0</v>
          </cell>
          <cell r="X2233" t="str">
            <v>EST POLTRONA OSCAR ESTAR (TELA NATURAL) (LACA LARANJA) - 0,7x0,65x0,8H</v>
          </cell>
          <cell r="Y2233">
            <v>0</v>
          </cell>
          <cell r="Z2233">
            <v>0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2</v>
          </cell>
          <cell r="O2234">
            <v>87978</v>
          </cell>
          <cell r="P2234"/>
          <cell r="Q2234" t="str">
            <v>EST POLTRONA VOLTAIRE (MAD B COR 03) TC ALGODAO 334/004</v>
          </cell>
          <cell r="R2234"/>
          <cell r="S2234"/>
          <cell r="T2234">
            <v>0.83</v>
          </cell>
          <cell r="U2234">
            <v>0.88</v>
          </cell>
          <cell r="V2234">
            <v>0.98</v>
          </cell>
          <cell r="W2234">
            <v>0</v>
          </cell>
          <cell r="X2234" t="str">
            <v>EST POLTRONA VOLTAIRE (MAD B COR 03) TC ALGODAO 334/004 - 0,83x0,88x0,98H</v>
          </cell>
          <cell r="Y2234">
            <v>0</v>
          </cell>
          <cell r="Z2234">
            <v>0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2</v>
          </cell>
          <cell r="O2235">
            <v>88019</v>
          </cell>
          <cell r="P2235"/>
          <cell r="Q2235" t="str">
            <v>EST POLTRONA FDC1 (ESTRUTURA PRETA) (CAPA COURO CRAVO)</v>
          </cell>
          <cell r="R2235"/>
          <cell r="S2235"/>
          <cell r="T2235">
            <v>0.8</v>
          </cell>
          <cell r="U2235">
            <v>0.71</v>
          </cell>
          <cell r="V2235">
            <v>0.81</v>
          </cell>
          <cell r="W2235">
            <v>0</v>
          </cell>
          <cell r="X2235" t="str">
            <v>EST POLTRONA FDC1 (ESTRUTURA PRETA) (CAPA COURO CRAVO) - 0,8x0,71x0,81H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H2236">
            <v>1</v>
          </cell>
          <cell r="O2236">
            <v>88280</v>
          </cell>
          <cell r="P2236"/>
          <cell r="Q2236" t="str">
            <v>EST BANCO KRAFT NATURAL (01 LUG)</v>
          </cell>
          <cell r="R2236"/>
          <cell r="S2236"/>
          <cell r="T2236">
            <v>0.5</v>
          </cell>
          <cell r="U2236">
            <v>0.5</v>
          </cell>
          <cell r="V2236">
            <v>0.45</v>
          </cell>
          <cell r="W2236">
            <v>0</v>
          </cell>
          <cell r="X2236" t="str">
            <v>EST BANCO KRAFT NATURAL (01 LUG) - 0,5x0,5x0,45H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0</v>
          </cell>
          <cell r="O2237">
            <v>88426</v>
          </cell>
          <cell r="P2237"/>
          <cell r="Q2237" t="str">
            <v>EST POLTRONA SAND (MAD A TAUARI AVELA) TC ALGODAO 334/004</v>
          </cell>
          <cell r="R2237"/>
          <cell r="S2237"/>
          <cell r="T2237">
            <v>0.8</v>
          </cell>
          <cell r="U2237">
            <v>0.86</v>
          </cell>
          <cell r="V2237">
            <v>0.76</v>
          </cell>
          <cell r="W2237">
            <v>0</v>
          </cell>
          <cell r="X2237" t="str">
            <v>EST POLTRONA SAND (MAD A TAUARI AVELA) TC ALGODAO 334/004 - 0,8x0,86x0,76H</v>
          </cell>
          <cell r="Y2237">
            <v>0</v>
          </cell>
          <cell r="Z2237">
            <v>0.5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88430</v>
          </cell>
          <cell r="P2238"/>
          <cell r="Q2238" t="str">
            <v>EST CADEIRA GB01 RIPADA (LYPITUS MEL) TC AL334/004</v>
          </cell>
          <cell r="R2238"/>
          <cell r="S2238"/>
          <cell r="T2238">
            <v>0.45</v>
          </cell>
          <cell r="U2238">
            <v>0.48</v>
          </cell>
          <cell r="V2238">
            <v>0.85</v>
          </cell>
          <cell r="W2238">
            <v>0</v>
          </cell>
          <cell r="X2238" t="str">
            <v>EST CADEIRA GB01 RIPADA (LYPITUS MEL) TC AL334/004 - 0,45x0,48x0,85H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1</v>
          </cell>
          <cell r="O2239">
            <v>88828</v>
          </cell>
          <cell r="P2239"/>
          <cell r="Q2239" t="str">
            <v>EST POLTRONA OSCAR ESTAR (TELA TING) (MAD A COR 2)</v>
          </cell>
          <cell r="R2239"/>
          <cell r="S2239"/>
          <cell r="T2239">
            <v>0.7</v>
          </cell>
          <cell r="U2239">
            <v>0.65</v>
          </cell>
          <cell r="V2239">
            <v>0.8</v>
          </cell>
          <cell r="W2239">
            <v>0</v>
          </cell>
          <cell r="X2239" t="str">
            <v>EST POLTRONA OSCAR ESTAR (TELA TING) (MAD A COR 2) - 0,7x0,65x0,8H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1</v>
          </cell>
          <cell r="O2240">
            <v>89424</v>
          </cell>
          <cell r="P2240"/>
          <cell r="Q2240" t="str">
            <v>EST POLTRONA BEATRIZ (FREIJO NATURAL) COURO FIRENZE 04 BEGE</v>
          </cell>
          <cell r="R2240"/>
          <cell r="S2240"/>
          <cell r="T2240">
            <v>0.75</v>
          </cell>
          <cell r="U2240">
            <v>0.77</v>
          </cell>
          <cell r="V2240">
            <v>0.8</v>
          </cell>
          <cell r="W2240">
            <v>0</v>
          </cell>
          <cell r="X2240" t="str">
            <v>EST POLTRONA BEATRIZ (FREIJO NATURAL) COURO FIRENZE 04 BEGE - 0,75x0,77x0,8H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0</v>
          </cell>
          <cell r="O2241">
            <v>90194</v>
          </cell>
          <cell r="P2241"/>
          <cell r="Q2241" t="str">
            <v>EST APARADOR 14 BIS (15MM) (ESPELHO)</v>
          </cell>
          <cell r="R2241"/>
          <cell r="S2241"/>
          <cell r="T2241">
            <v>2.8</v>
          </cell>
          <cell r="U2241">
            <v>0.4</v>
          </cell>
          <cell r="V2241">
            <v>0.84</v>
          </cell>
          <cell r="W2241">
            <v>0</v>
          </cell>
          <cell r="X2241" t="str">
            <v>EST APARADOR 14 BIS (15MM) (ESPELHO) - 2,8x0,4x0,84H</v>
          </cell>
          <cell r="Y2241">
            <v>0</v>
          </cell>
          <cell r="Z2241">
            <v>0.5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2</v>
          </cell>
          <cell r="O2242">
            <v>90198</v>
          </cell>
          <cell r="P2242"/>
          <cell r="Q2242" t="str">
            <v>EST MESA LATERAL BESAME MUCHO (CORIAN GLACIER WHITE)</v>
          </cell>
          <cell r="R2242"/>
          <cell r="S2242"/>
          <cell r="T2242">
            <v>0.78</v>
          </cell>
          <cell r="U2242">
            <v>0.36</v>
          </cell>
          <cell r="V2242">
            <v>0.65</v>
          </cell>
          <cell r="W2242">
            <v>0</v>
          </cell>
          <cell r="X2242" t="str">
            <v>EST MESA LATERAL BESAME MUCHO (CORIAN GLACIER WHITE) - 0,78x0,36x0,65H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0</v>
          </cell>
          <cell r="O2243">
            <v>90493</v>
          </cell>
          <cell r="P2243"/>
          <cell r="Q2243" t="str">
            <v>EST POLTRONA ZANINE H (TAUARI MEL) ALGODAO ACAMURCADO NAT</v>
          </cell>
          <cell r="R2243"/>
          <cell r="S2243"/>
          <cell r="T2243">
            <v>0.6</v>
          </cell>
          <cell r="U2243">
            <v>0.75</v>
          </cell>
          <cell r="V2243">
            <v>0.75</v>
          </cell>
          <cell r="W2243">
            <v>0</v>
          </cell>
          <cell r="X2243" t="str">
            <v>EST POLTRONA ZANINE H (TAUARI MEL) ALGODAO ACAMURCADO NAT - 0,6x0,75x0,75H</v>
          </cell>
          <cell r="Y2243">
            <v>0</v>
          </cell>
          <cell r="Z2243">
            <v>0.5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1</v>
          </cell>
          <cell r="O2244">
            <v>91142</v>
          </cell>
          <cell r="P2244"/>
          <cell r="Q2244" t="str">
            <v>EST POLTRONA OSCAR ESTAR (ESTOF) (MAD A COR 1) SEDA M7900</v>
          </cell>
          <cell r="R2244"/>
          <cell r="S2244"/>
          <cell r="T2244">
            <v>0.7</v>
          </cell>
          <cell r="U2244">
            <v>0.65</v>
          </cell>
          <cell r="V2244">
            <v>0.81</v>
          </cell>
          <cell r="W2244">
            <v>0</v>
          </cell>
          <cell r="X2244" t="str">
            <v>EST POLTRONA OSCAR ESTAR (ESTOF) (MAD A COR 1) SEDA M7900 - 0,7x0,65x0,81H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2</v>
          </cell>
          <cell r="O2245">
            <v>91145</v>
          </cell>
          <cell r="P2245"/>
          <cell r="Q2245" t="str">
            <v>EST BANCO FLOR DE CHITA D50X43H REBOARD FLOR VERMELHA</v>
          </cell>
          <cell r="R2245"/>
          <cell r="S2245"/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 t="str">
            <v>EST BANCO FLOR DE CHITA D50X43H REBOARD FLOR VERMELHA - Ø0x0H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2</v>
          </cell>
          <cell r="O2246">
            <v>91146</v>
          </cell>
          <cell r="P2246"/>
          <cell r="Q2246" t="str">
            <v>EST BANCO FLOR DE CHITA D50X43H REBOARD FLOR VERDE</v>
          </cell>
          <cell r="R2246"/>
          <cell r="S2246"/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 t="str">
            <v>EST BANCO FLOR DE CHITA D50X43H REBOARD FLOR VERDE - Ø0x0H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91147</v>
          </cell>
          <cell r="P2247"/>
          <cell r="Q2247" t="str">
            <v>EST BANCO FLOR DE CHITA D50X43H REBOARD FLOR AZUL</v>
          </cell>
          <cell r="R2247"/>
          <cell r="S2247"/>
          <cell r="T2247">
            <v>0</v>
          </cell>
          <cell r="U2247">
            <v>0</v>
          </cell>
          <cell r="V2247">
            <v>0</v>
          </cell>
          <cell r="W2247">
            <v>0</v>
          </cell>
          <cell r="X2247" t="str">
            <v>EST BANCO FLOR DE CHITA D50X43H REBOARD FLOR AZUL - Ø0x0H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2</v>
          </cell>
          <cell r="O2248">
            <v>92624</v>
          </cell>
          <cell r="P2248"/>
          <cell r="Q2248" t="str">
            <v>EST BANCO DOMINO (8 LUG) (PINHO RIGA) (INOX)</v>
          </cell>
          <cell r="R2248"/>
          <cell r="S2248"/>
          <cell r="T2248">
            <v>1.9</v>
          </cell>
          <cell r="U2248">
            <v>0.9</v>
          </cell>
          <cell r="V2248">
            <v>0.48</v>
          </cell>
          <cell r="W2248">
            <v>0</v>
          </cell>
          <cell r="X2248" t="str">
            <v>EST BANCO DOMINO (8 LUG) (PINHO RIGA) (INOX) - 1,9x0,9x0,48H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94332</v>
          </cell>
          <cell r="P2249"/>
          <cell r="Q2249" t="str">
            <v>EST CADEIRA RAIO 23 (MADEIRA ROXINHO) SUCUPIRA EBANIZADA</v>
          </cell>
          <cell r="R2249"/>
          <cell r="S2249"/>
          <cell r="T2249">
            <v>0.5</v>
          </cell>
          <cell r="U2249">
            <v>0.54</v>
          </cell>
          <cell r="V2249">
            <v>0.82</v>
          </cell>
          <cell r="W2249">
            <v>0</v>
          </cell>
          <cell r="X2249" t="str">
            <v>EST CADEIRA RAIO 23 (MADEIRA ROXINHO) SUCUPIRA EBANIZADA - 0,5x0,54x0,82H</v>
          </cell>
          <cell r="Y2249">
            <v>0</v>
          </cell>
          <cell r="Z2249">
            <v>0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1</v>
          </cell>
          <cell r="O2250">
            <v>95208</v>
          </cell>
          <cell r="P2250"/>
          <cell r="Q2250" t="str">
            <v>EST REVISTEIRO BO (MADEIRA DE DEMOLICAO BASE DAGUA)</v>
          </cell>
          <cell r="R2250"/>
          <cell r="S2250"/>
          <cell r="T2250">
            <v>0.27</v>
          </cell>
          <cell r="U2250">
            <v>0.36</v>
          </cell>
          <cell r="V2250">
            <v>1.83</v>
          </cell>
          <cell r="W2250">
            <v>0</v>
          </cell>
          <cell r="X2250" t="str">
            <v>EST REVISTEIRO BO (MADEIRA DE DEMOLICAO BASE DAGUA) - 0,27x0,36x1,83H</v>
          </cell>
          <cell r="Y2250">
            <v>0</v>
          </cell>
          <cell r="Z2250">
            <v>0.5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2</v>
          </cell>
          <cell r="O2251">
            <v>95961</v>
          </cell>
          <cell r="P2251"/>
          <cell r="Q2251" t="str">
            <v>EST MANCEBO BO (IMBUIA/FREIJO)</v>
          </cell>
          <cell r="R2251"/>
          <cell r="S2251"/>
          <cell r="T2251">
            <v>0.43</v>
          </cell>
          <cell r="U2251">
            <v>0.45</v>
          </cell>
          <cell r="V2251">
            <v>1.05</v>
          </cell>
          <cell r="W2251">
            <v>0</v>
          </cell>
          <cell r="X2251" t="str">
            <v>EST MANCEBO BO (IMBUIA/FREIJO) - 0,43x0,45x1,05H</v>
          </cell>
          <cell r="Y2251">
            <v>0</v>
          </cell>
          <cell r="Z2251">
            <v>0.35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95984</v>
          </cell>
          <cell r="P2252"/>
          <cell r="Q2252" t="str">
            <v>EST POLTRONA ZANINE Z (PINHO DE RIGA) COURO BRANCO</v>
          </cell>
          <cell r="R2252"/>
          <cell r="S2252"/>
          <cell r="T2252">
            <v>0.59</v>
          </cell>
          <cell r="U2252">
            <v>1.03</v>
          </cell>
          <cell r="V2252">
            <v>0.82</v>
          </cell>
          <cell r="W2252">
            <v>0</v>
          </cell>
          <cell r="X2252" t="str">
            <v>EST POLTRONA ZANINE Z (PINHO DE RIGA) COURO BRANCO - 0,59x1,03x0,82H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96425</v>
          </cell>
          <cell r="P2253"/>
          <cell r="Q2253" t="str">
            <v>EST CADEIRA PAJAROS AMAZONICOS (LYPTUS NATURAL) TC CL</v>
          </cell>
          <cell r="R2253"/>
          <cell r="S2253"/>
          <cell r="T2253">
            <v>0.45</v>
          </cell>
          <cell r="U2253">
            <v>0.54</v>
          </cell>
          <cell r="V2253">
            <v>0.82</v>
          </cell>
          <cell r="W2253">
            <v>0</v>
          </cell>
          <cell r="X2253" t="str">
            <v>EST CADEIRA PAJAROS AMAZONICOS (LYPTUS NATURAL) TC CL - 0,45x0,54x0,82H</v>
          </cell>
          <cell r="Y2253">
            <v>0</v>
          </cell>
          <cell r="Z2253">
            <v>0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96936</v>
          </cell>
          <cell r="P2254"/>
          <cell r="Q2254" t="str">
            <v>EST MESA JANTAR OTTO (LAMINA FRASSINO OLIVATO)</v>
          </cell>
          <cell r="R2254"/>
          <cell r="S2254"/>
          <cell r="T2254">
            <v>1.5</v>
          </cell>
          <cell r="U2254">
            <v>1.5</v>
          </cell>
          <cell r="V2254">
            <v>0.74</v>
          </cell>
          <cell r="W2254">
            <v>0</v>
          </cell>
          <cell r="X2254" t="str">
            <v>EST MESA JANTAR OTTO (LAMINA FRASSINO OLIVATO) - 1,5x1,5x0,74H</v>
          </cell>
          <cell r="Y2254">
            <v>0</v>
          </cell>
          <cell r="Z2254">
            <v>0.35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98341</v>
          </cell>
          <cell r="P2255"/>
          <cell r="Q2255" t="str">
            <v>EST POLTRONA KILIN (SOLETA BRACA) (MAD B ALBANIZADA)</v>
          </cell>
          <cell r="R2255"/>
          <cell r="S2255"/>
          <cell r="T2255">
            <v>0.68</v>
          </cell>
          <cell r="U2255">
            <v>0.63</v>
          </cell>
          <cell r="V2255">
            <v>0.69</v>
          </cell>
          <cell r="W2255">
            <v>0</v>
          </cell>
          <cell r="X2255" t="str">
            <v>EST POLTRONA KILIN (SOLETA BRACA) (MAD B ALBANIZADA) - 0,68x0,63x0,69H</v>
          </cell>
          <cell r="Y2255">
            <v>0</v>
          </cell>
          <cell r="Z2255">
            <v>0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5</v>
          </cell>
          <cell r="O2256">
            <v>99197</v>
          </cell>
          <cell r="P2256"/>
          <cell r="Q2256" t="str">
            <v>EST CADEIRA FRONTEIRA 559A (PRETO FSC) (TRAMA SINT PRETA)</v>
          </cell>
          <cell r="R2256"/>
          <cell r="S2256"/>
          <cell r="T2256">
            <v>0.48</v>
          </cell>
          <cell r="U2256">
            <v>0.5</v>
          </cell>
          <cell r="V2256">
            <v>0.78</v>
          </cell>
          <cell r="W2256">
            <v>0</v>
          </cell>
          <cell r="X2256" t="str">
            <v>EST CADEIRA FRONTEIRA 559A (PRETO FSC) (TRAMA SINT PRETA) - 0,48x0,5x0,78H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1</v>
          </cell>
          <cell r="O2257">
            <v>100996</v>
          </cell>
          <cell r="P2257"/>
          <cell r="Q2257" t="str">
            <v>EST BANQUETA BAR GUSMAO S/B H72 (PINT CAFE/ATAN CAFE FREIJO)</v>
          </cell>
          <cell r="R2257"/>
          <cell r="S2257"/>
          <cell r="T2257">
            <v>0.56000000000000005</v>
          </cell>
          <cell r="U2257">
            <v>0.5</v>
          </cell>
          <cell r="V2257">
            <v>1.04</v>
          </cell>
          <cell r="W2257">
            <v>0</v>
          </cell>
          <cell r="X2257" t="str">
            <v>EST BANQUETA BAR GUSMAO S/B H72 (PINT CAFE/ATAN CAFE FREIJO) - 0,56x0,5x1,04H</v>
          </cell>
          <cell r="Y2257">
            <v>0</v>
          </cell>
          <cell r="Z2257">
            <v>0.5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0</v>
          </cell>
          <cell r="O2258">
            <v>101526</v>
          </cell>
          <cell r="P2258"/>
          <cell r="Q2258" t="str">
            <v>EST CADEIRA SAO PAULO (EBANIZADO FORMICA PRETA)</v>
          </cell>
          <cell r="R2258"/>
          <cell r="S2258"/>
          <cell r="T2258">
            <v>0.43</v>
          </cell>
          <cell r="U2258">
            <v>0.5</v>
          </cell>
          <cell r="V2258">
            <v>0.86</v>
          </cell>
          <cell r="W2258">
            <v>0</v>
          </cell>
          <cell r="X2258" t="str">
            <v>EST CADEIRA SAO PAULO (EBANIZADO FORMICA PRETA) - 0,43x0,5x0,86H</v>
          </cell>
          <cell r="Y2258">
            <v>0</v>
          </cell>
          <cell r="Z2258">
            <v>0.5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101836</v>
          </cell>
          <cell r="P2259"/>
          <cell r="Q2259" t="str">
            <v>EST COMPONENTE ALMOFADAO POLTRONA MOLECA COURO PIG VERDE</v>
          </cell>
          <cell r="R2259"/>
          <cell r="S2259"/>
          <cell r="T2259">
            <v>0</v>
          </cell>
          <cell r="U2259">
            <v>0</v>
          </cell>
          <cell r="V2259">
            <v>0</v>
          </cell>
          <cell r="W2259">
            <v>0</v>
          </cell>
          <cell r="X2259" t="str">
            <v>EST COMPONENTE ALMOFADAO POLTRONA MOLECA COURO PIG VERDE - Ø0x0H</v>
          </cell>
          <cell r="Y2259">
            <v>0</v>
          </cell>
          <cell r="Z2259">
            <v>0.5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1</v>
          </cell>
          <cell r="O2260">
            <v>101837</v>
          </cell>
          <cell r="P2260"/>
          <cell r="Q2260" t="str">
            <v>EST COMPONENTE ALMOFADAO BANQUETA MOLECA COURO PIG VERDE</v>
          </cell>
          <cell r="R2260"/>
          <cell r="S2260"/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 t="str">
            <v>EST COMPONENTE ALMOFADAO BANQUETA MOLECA COURO PIG VERDE - Ø0x0H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101984</v>
          </cell>
          <cell r="P2261"/>
          <cell r="Q2261" t="str">
            <v>EST POLTRONA CONVERSADEIRA (MAD A CAT PU) (TELA NT) TC FORN</v>
          </cell>
          <cell r="R2261"/>
          <cell r="S2261"/>
          <cell r="T2261">
            <v>1.21</v>
          </cell>
          <cell r="U2261">
            <v>0.79</v>
          </cell>
          <cell r="V2261">
            <v>0.74</v>
          </cell>
          <cell r="W2261">
            <v>0</v>
          </cell>
          <cell r="X2261" t="str">
            <v>EST POLTRONA CONVERSADEIRA (MAD A CAT PU) (TELA NT) TC FORN - 1,21x0,79x0,74H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106111</v>
          </cell>
          <cell r="P2262"/>
          <cell r="Q2262" t="str">
            <v>EST CADEIRA IC01 (POLIETILENO) (BAUNILHA)</v>
          </cell>
          <cell r="R2262"/>
          <cell r="S2262"/>
          <cell r="T2262">
            <v>0.56000000000000005</v>
          </cell>
          <cell r="U2262">
            <v>0.46</v>
          </cell>
          <cell r="V2262">
            <v>0.78</v>
          </cell>
          <cell r="W2262">
            <v>0</v>
          </cell>
          <cell r="X2262" t="str">
            <v>EST CADEIRA IC01 (POLIETILENO) (BAUNILHA) - 0,56x0,46x0,78H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0</v>
          </cell>
          <cell r="O2263">
            <v>106115</v>
          </cell>
          <cell r="P2263"/>
          <cell r="Q2263" t="str">
            <v>EST CADEIRA IC01 (POLIETILENO) (BANANA)</v>
          </cell>
          <cell r="R2263"/>
          <cell r="S2263"/>
          <cell r="T2263">
            <v>0.56000000000000005</v>
          </cell>
          <cell r="U2263">
            <v>0.46</v>
          </cell>
          <cell r="V2263">
            <v>0.78</v>
          </cell>
          <cell r="W2263">
            <v>0</v>
          </cell>
          <cell r="X2263" t="str">
            <v>EST CADEIRA IC01 (POLIETILENO) (BANANA) - 0,56x0,46x0,78H</v>
          </cell>
          <cell r="Y2263">
            <v>0</v>
          </cell>
          <cell r="Z2263">
            <v>0.5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1</v>
          </cell>
          <cell r="H2264">
            <v>0</v>
          </cell>
          <cell r="O2264">
            <v>106118</v>
          </cell>
          <cell r="P2264"/>
          <cell r="Q2264" t="str">
            <v>EST CADEIRA IC01 (POLIETILENO) (PRETA)</v>
          </cell>
          <cell r="R2264"/>
          <cell r="S2264"/>
          <cell r="T2264">
            <v>0.56000000000000005</v>
          </cell>
          <cell r="U2264">
            <v>0.46</v>
          </cell>
          <cell r="V2264">
            <v>0.78</v>
          </cell>
          <cell r="W2264">
            <v>0</v>
          </cell>
          <cell r="X2264" t="str">
            <v>EST CADEIRA IC01 (POLIETILENO) (PRETA) - 0,56x0,46x0,78H</v>
          </cell>
          <cell r="Y2264">
            <v>0</v>
          </cell>
          <cell r="Z2264">
            <v>0.5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107944</v>
          </cell>
          <cell r="P2265"/>
          <cell r="Q2265" t="str">
            <v>EST CHAISE TIMBO (EUCALP STAIN NOG) (C/ALMOF) TC SUN T BLACK</v>
          </cell>
          <cell r="R2265"/>
          <cell r="S2265"/>
          <cell r="T2265">
            <v>2.02</v>
          </cell>
          <cell r="U2265">
            <v>0.9</v>
          </cell>
          <cell r="V2265">
            <v>0.25</v>
          </cell>
          <cell r="W2265">
            <v>0</v>
          </cell>
          <cell r="X2265" t="str">
            <v>EST CHAISE TIMBO (EUCALP STAIN NOG) (C/ALMOF) TC SUN T BLACK - 2,02x0,9x0,25H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109925</v>
          </cell>
          <cell r="P2266"/>
          <cell r="Q2266" t="str">
            <v>EST CADEIRA TAJA (MAD A COR 02) (AREA INTERNA)</v>
          </cell>
          <cell r="R2266"/>
          <cell r="S2266"/>
          <cell r="T2266">
            <v>0.43</v>
          </cell>
          <cell r="U2266">
            <v>0.46</v>
          </cell>
          <cell r="V2266">
            <v>0.73</v>
          </cell>
          <cell r="W2266">
            <v>0</v>
          </cell>
          <cell r="X2266" t="str">
            <v>EST CADEIRA TAJA (MAD A COR 02) (AREA INTERNA) - 0,43x0,46x0,73H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0</v>
          </cell>
          <cell r="O2267">
            <v>109926</v>
          </cell>
          <cell r="P2267"/>
          <cell r="Q2267" t="str">
            <v>EST POLTRONA TAJA (MAD A VERNIZ 20% COR 02) (AREA INTERNA)</v>
          </cell>
          <cell r="R2267"/>
          <cell r="S2267"/>
          <cell r="T2267">
            <v>0.64</v>
          </cell>
          <cell r="U2267">
            <v>0.66</v>
          </cell>
          <cell r="V2267">
            <v>0.75</v>
          </cell>
          <cell r="W2267">
            <v>0</v>
          </cell>
          <cell r="X2267" t="str">
            <v>EST POLTRONA TAJA (MAD A VERNIZ 20% COR 02) (AREA INTERNA) - 0,64x0,66x0,75H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2</v>
          </cell>
          <cell r="O2268">
            <v>110435</v>
          </cell>
          <cell r="P2268"/>
          <cell r="Q2268" t="str">
            <v>EST MESA LATERAL ML (LACA PRETA BRILHO)</v>
          </cell>
          <cell r="R2268"/>
          <cell r="S2268"/>
          <cell r="T2268">
            <v>0.4</v>
          </cell>
          <cell r="U2268">
            <v>0.4</v>
          </cell>
          <cell r="V2268">
            <v>0.4</v>
          </cell>
          <cell r="W2268">
            <v>0</v>
          </cell>
          <cell r="X2268" t="str">
            <v>EST MESA LATERAL ML (LACA PRETA BRILHO) - 0,4x0,4x0,4H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1</v>
          </cell>
          <cell r="O2269">
            <v>110436</v>
          </cell>
          <cell r="P2269"/>
          <cell r="Q2269" t="str">
            <v>EST MESA LATERAL ML (LACA PRETA BRILHO)</v>
          </cell>
          <cell r="R2269"/>
          <cell r="S2269"/>
          <cell r="T2269">
            <v>0.5</v>
          </cell>
          <cell r="U2269">
            <v>0.5</v>
          </cell>
          <cell r="V2269">
            <v>0.4</v>
          </cell>
          <cell r="W2269">
            <v>0</v>
          </cell>
          <cell r="X2269" t="str">
            <v>EST MESA LATERAL ML (LACA PRETA BRILHO) - 0,5x0,5x0,4H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110493</v>
          </cell>
          <cell r="P2270"/>
          <cell r="Q2270" t="str">
            <v>EST POLTRONA SUITE (BASE INOX) TC M-10242</v>
          </cell>
          <cell r="R2270"/>
          <cell r="S2270"/>
          <cell r="T2270">
            <v>1.1000000000000001</v>
          </cell>
          <cell r="U2270">
            <v>0.9</v>
          </cell>
          <cell r="V2270">
            <v>0.7</v>
          </cell>
          <cell r="W2270">
            <v>0</v>
          </cell>
          <cell r="X2270" t="str">
            <v>EST POLTRONA SUITE (BASE INOX) TC M-10242 - 1,1x0,9x0,7H</v>
          </cell>
          <cell r="Y2270">
            <v>0</v>
          </cell>
          <cell r="Z2270">
            <v>0.35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1</v>
          </cell>
          <cell r="O2271">
            <v>112752</v>
          </cell>
          <cell r="P2271"/>
          <cell r="Q2271" t="str">
            <v>EST BANCO ABAPORU (AZULEJO COIMBRA) FREIJO NATURAL</v>
          </cell>
          <cell r="R2271"/>
          <cell r="S2271"/>
          <cell r="T2271">
            <v>0.38</v>
          </cell>
          <cell r="U2271">
            <v>0</v>
          </cell>
          <cell r="V2271">
            <v>0.44</v>
          </cell>
          <cell r="W2271">
            <v>0</v>
          </cell>
          <cell r="X2271" t="str">
            <v>EST BANCO ABAPORU (AZULEJO COIMBRA) FREIJO NATURAL - Ø0x0,44H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1</v>
          </cell>
          <cell r="O2272">
            <v>118564</v>
          </cell>
          <cell r="P2272"/>
          <cell r="Q2272" t="str">
            <v>EST MESA LATERAL CORINGA (FREIJO TONALIZADO 01)</v>
          </cell>
          <cell r="R2272"/>
          <cell r="S2272"/>
          <cell r="T2272">
            <v>0.6</v>
          </cell>
          <cell r="U2272">
            <v>0</v>
          </cell>
          <cell r="V2272">
            <v>0.65</v>
          </cell>
          <cell r="W2272">
            <v>0.6</v>
          </cell>
          <cell r="X2272" t="str">
            <v>EST MESA LATERAL CORINGA (FREIJO TONALIZADO 01) - Ø0,6x0,65H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0</v>
          </cell>
          <cell r="O2273">
            <v>120945</v>
          </cell>
          <cell r="P2273"/>
          <cell r="Q2273" t="str">
            <v>EST BANQUETA BAR ZANINE X H63 (ALTO) (JEQ NATURAL) (COURO)</v>
          </cell>
          <cell r="R2273"/>
          <cell r="S2273"/>
          <cell r="T2273">
            <v>0.5</v>
          </cell>
          <cell r="U2273">
            <v>0</v>
          </cell>
          <cell r="V2273">
            <v>0.63</v>
          </cell>
          <cell r="W2273">
            <v>0.5</v>
          </cell>
          <cell r="X2273" t="str">
            <v>EST BANQUETA BAR ZANINE X H63 (ALTO) (JEQ NATURAL) (COURO) - Ø0,5x0,63H</v>
          </cell>
          <cell r="Y2273">
            <v>0</v>
          </cell>
          <cell r="Z2273">
            <v>0.5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1</v>
          </cell>
          <cell r="O2274">
            <v>121629</v>
          </cell>
          <cell r="P2274"/>
          <cell r="Q2274" t="str">
            <v>EST POLTRONA LEME ALTA (PERCINTA COURO PRETO) (FREIJO NT)</v>
          </cell>
          <cell r="R2274"/>
          <cell r="S2274"/>
          <cell r="T2274">
            <v>0.75</v>
          </cell>
          <cell r="U2274">
            <v>0.8</v>
          </cell>
          <cell r="V2274">
            <v>1.1000000000000001</v>
          </cell>
          <cell r="W2274">
            <v>0</v>
          </cell>
          <cell r="X2274" t="str">
            <v>EST POLTRONA LEME ALTA (PERCINTA COURO PRETO) (FREIJO NT) - 0,75x0,8x1,1H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1</v>
          </cell>
          <cell r="O2275">
            <v>121630</v>
          </cell>
          <cell r="P2275"/>
          <cell r="Q2275" t="str">
            <v>EST BANQUETA LEME (PERCINTA COURO PRETO) (FREIJO NT)</v>
          </cell>
          <cell r="R2275"/>
          <cell r="S2275"/>
          <cell r="T2275">
            <v>0.75</v>
          </cell>
          <cell r="U2275">
            <v>0.45</v>
          </cell>
          <cell r="V2275">
            <v>0.4</v>
          </cell>
          <cell r="W2275">
            <v>0</v>
          </cell>
          <cell r="X2275" t="str">
            <v>EST BANQUETA LEME (PERCINTA COURO PRETO) (FREIJO NT) - 0,75x0,45x0,4H</v>
          </cell>
          <cell r="Y2275">
            <v>0</v>
          </cell>
          <cell r="Z2275">
            <v>0.5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0</v>
          </cell>
          <cell r="O2276">
            <v>121664</v>
          </cell>
          <cell r="P2276"/>
          <cell r="Q2276" t="str">
            <v>EST CADEIRA PAULISTANO (ACO INOX POLIDO) CAPA COURO PRETO</v>
          </cell>
          <cell r="R2276"/>
          <cell r="S2276"/>
          <cell r="T2276">
            <v>0.72</v>
          </cell>
          <cell r="U2276">
            <v>0.74</v>
          </cell>
          <cell r="V2276">
            <v>0.82</v>
          </cell>
          <cell r="W2276">
            <v>0</v>
          </cell>
          <cell r="X2276" t="str">
            <v>EST CADEIRA PAULISTANO (ACO INOX POLIDO) CAPA COURO PRETO - 0,72x0,74x0,82H</v>
          </cell>
          <cell r="Y2276">
            <v>0</v>
          </cell>
          <cell r="Z2276">
            <v>0.5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122397</v>
          </cell>
          <cell r="P2277"/>
          <cell r="Q2277" t="str">
            <v>EST CADEIRA GB01 MISTA (JEQ 01) (QUADRIC NT) TC LINHO CINZA</v>
          </cell>
          <cell r="R2277"/>
          <cell r="S2277"/>
          <cell r="T2277">
            <v>0.45</v>
          </cell>
          <cell r="U2277">
            <v>0.48</v>
          </cell>
          <cell r="V2277">
            <v>0.85</v>
          </cell>
          <cell r="W2277">
            <v>0</v>
          </cell>
          <cell r="X2277" t="str">
            <v>EST CADEIRA GB01 MISTA (JEQ 01) (QUADRIC NT) TC LINHO CINZA - 0,45x0,48x0,85H</v>
          </cell>
          <cell r="Y2277">
            <v>0</v>
          </cell>
          <cell r="Z2277">
            <v>0.5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0</v>
          </cell>
          <cell r="O2278">
            <v>123245</v>
          </cell>
          <cell r="P2278"/>
          <cell r="Q2278" t="str">
            <v>EST CADEIRA TAJA (LACA AMARELA) (AREA COBERTA)</v>
          </cell>
          <cell r="R2278"/>
          <cell r="S2278"/>
          <cell r="T2278">
            <v>0.43</v>
          </cell>
          <cell r="U2278">
            <v>0.46</v>
          </cell>
          <cell r="V2278">
            <v>0.73</v>
          </cell>
          <cell r="W2278">
            <v>0</v>
          </cell>
          <cell r="X2278" t="str">
            <v>EST CADEIRA TAJA (LACA AMARELA) (AREA COBERTA) - 0,43x0,46x0,73H</v>
          </cell>
          <cell r="Y2278">
            <v>0</v>
          </cell>
          <cell r="Z2278">
            <v>0.35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124429</v>
          </cell>
          <cell r="P2279"/>
          <cell r="Q2279" t="str">
            <v>EST MESA JANTAR 14 BIS (15MM) (FENDI)</v>
          </cell>
          <cell r="R2279"/>
          <cell r="S2279"/>
          <cell r="T2279">
            <v>2.8</v>
          </cell>
          <cell r="U2279">
            <v>1.2</v>
          </cell>
          <cell r="V2279">
            <v>0.74</v>
          </cell>
          <cell r="W2279">
            <v>0</v>
          </cell>
          <cell r="X2279" t="str">
            <v>EST MESA JANTAR 14 BIS (15MM) (FENDI) - 2,8x1,2x0,74H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124744</v>
          </cell>
          <cell r="P2280"/>
          <cell r="Q2280" t="str">
            <v>EST MESA CENTRO CORTEN (RESINA Y-099 BEGE) ACO CORTEN</v>
          </cell>
          <cell r="R2280"/>
          <cell r="S2280"/>
          <cell r="T2280">
            <v>1.5</v>
          </cell>
          <cell r="U2280">
            <v>1.08</v>
          </cell>
          <cell r="V2280">
            <v>0.28999999999999998</v>
          </cell>
          <cell r="W2280">
            <v>0</v>
          </cell>
          <cell r="X2280" t="str">
            <v>EST MESA CENTRO CORTEN (RESINA Y-099 BEGE) ACO CORTEN - 1,5x1,08x0,29H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124745</v>
          </cell>
          <cell r="P2281"/>
          <cell r="Q2281" t="str">
            <v>EST MESA JANTAR CORTEN (RESINA BRANCA)</v>
          </cell>
          <cell r="R2281"/>
          <cell r="S2281"/>
          <cell r="T2281">
            <v>2.7</v>
          </cell>
          <cell r="U2281">
            <v>1.2</v>
          </cell>
          <cell r="V2281">
            <v>0.74</v>
          </cell>
          <cell r="W2281">
            <v>0</v>
          </cell>
          <cell r="X2281" t="str">
            <v>EST MESA JANTAR CORTEN (RESINA BRANCA) - 2,7x1,2x0,74H</v>
          </cell>
          <cell r="Y2281">
            <v>0</v>
          </cell>
          <cell r="Z2281">
            <v>0.5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127872</v>
          </cell>
          <cell r="P2282"/>
          <cell r="Q2282" t="str">
            <v>EST MESA LATERAL JANETE (FREIJO NATURAL)</v>
          </cell>
          <cell r="R2282"/>
          <cell r="S2282"/>
          <cell r="T2282">
            <v>0.8</v>
          </cell>
          <cell r="U2282">
            <v>0</v>
          </cell>
          <cell r="V2282">
            <v>0.6</v>
          </cell>
          <cell r="W2282">
            <v>0.8</v>
          </cell>
          <cell r="X2282" t="str">
            <v>EST MESA LATERAL JANETE (FREIJO NATURAL) - Ø0,8x0,6H</v>
          </cell>
          <cell r="Y2282">
            <v>0</v>
          </cell>
          <cell r="Z2282">
            <v>0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127925</v>
          </cell>
          <cell r="P2283"/>
          <cell r="Q2283" t="str">
            <v>EST BANQUETA PARATY (MAD A COR 02) TC SEDA RUSTICO NATURAL</v>
          </cell>
          <cell r="R2283"/>
          <cell r="S2283"/>
          <cell r="T2283">
            <v>0.78</v>
          </cell>
          <cell r="U2283">
            <v>0.49</v>
          </cell>
          <cell r="V2283">
            <v>0.39</v>
          </cell>
          <cell r="W2283">
            <v>0</v>
          </cell>
          <cell r="X2283" t="str">
            <v>EST BANQUETA PARATY (MAD A COR 02) TC SEDA RUSTICO NATURAL - 0,78x0,49x0,39H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128668</v>
          </cell>
          <cell r="P2284"/>
          <cell r="Q2284" t="str">
            <v>EST BUFFET BICK (CORPO SAYER X087 FOSCA/PES X087 BRILHO)</v>
          </cell>
          <cell r="R2284"/>
          <cell r="S2284"/>
          <cell r="T2284">
            <v>2.8</v>
          </cell>
          <cell r="U2284">
            <v>0.5</v>
          </cell>
          <cell r="V2284">
            <v>0.85</v>
          </cell>
          <cell r="W2284">
            <v>0</v>
          </cell>
          <cell r="X2284" t="str">
            <v>EST BUFFET BICK (CORPO SAYER X087 FOSCA/PES X087 BRILHO) - 2,8x0,5x0,85H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128716</v>
          </cell>
          <cell r="P2285"/>
          <cell r="Q2285" t="str">
            <v>EST SOFA TAJA (2 LUG) EUCALIPTO NOGUEIRA VERNIZ EPS</v>
          </cell>
          <cell r="R2285"/>
          <cell r="S2285"/>
          <cell r="T2285">
            <v>1.1299999999999999</v>
          </cell>
          <cell r="U2285">
            <v>0.66</v>
          </cell>
          <cell r="V2285">
            <v>0.75</v>
          </cell>
          <cell r="W2285">
            <v>0</v>
          </cell>
          <cell r="X2285" t="str">
            <v>EST SOFA TAJA (2 LUG) EUCALIPTO NOGUEIRA VERNIZ EPS - 1,13x0,66x0,75H</v>
          </cell>
          <cell r="Y2285">
            <v>0</v>
          </cell>
          <cell r="Z2285">
            <v>0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2</v>
          </cell>
          <cell r="O2286">
            <v>128970</v>
          </cell>
          <cell r="P2286"/>
          <cell r="Q2286" t="str">
            <v>EST TAMPO CRISTAL LAPIDADO (15MM) INCOLOR (CIRCULAR)</v>
          </cell>
          <cell r="R2286"/>
          <cell r="S2286"/>
          <cell r="T2286">
            <v>1.6</v>
          </cell>
          <cell r="U2286">
            <v>0</v>
          </cell>
          <cell r="V2286">
            <v>0.01</v>
          </cell>
          <cell r="W2286">
            <v>1.6</v>
          </cell>
          <cell r="X2286" t="str">
            <v>EST TAMPO CRISTAL LAPIDADO (15MM) INCOLOR (CIRCULAR) - Ø1,6x0,01H</v>
          </cell>
          <cell r="Y2286">
            <v>0</v>
          </cell>
          <cell r="Z2286">
            <v>0.5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1</v>
          </cell>
          <cell r="O2287">
            <v>129253</v>
          </cell>
          <cell r="P2287"/>
          <cell r="Q2287" t="str">
            <v>EST MESA JANTAR CORTEN (MADEIRA CABREUVA)</v>
          </cell>
          <cell r="R2287"/>
          <cell r="S2287"/>
          <cell r="T2287">
            <v>3</v>
          </cell>
          <cell r="U2287">
            <v>1.2</v>
          </cell>
          <cell r="V2287">
            <v>0.74</v>
          </cell>
          <cell r="W2287">
            <v>0</v>
          </cell>
          <cell r="X2287" t="str">
            <v>EST MESA JANTAR CORTEN (MADEIRA CABREUVA) - 3x1,2x0,74H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1</v>
          </cell>
          <cell r="O2288">
            <v>129292</v>
          </cell>
          <cell r="P2288"/>
          <cell r="Q2288" t="str">
            <v>EST SOFA HAUNER (MAD A COR 02) TC LA -018 72078-C3 DUBLADA</v>
          </cell>
          <cell r="R2288"/>
          <cell r="S2288"/>
          <cell r="T2288">
            <v>1.8</v>
          </cell>
          <cell r="U2288">
            <v>1.03</v>
          </cell>
          <cell r="V2288">
            <v>0.72</v>
          </cell>
          <cell r="W2288">
            <v>0</v>
          </cell>
          <cell r="X2288" t="str">
            <v>EST SOFA HAUNER (MAD A COR 02) TC LA -018 72078-C3 DUBLADA - 1,8x1,03x0,72H</v>
          </cell>
          <cell r="Y2288">
            <v>0</v>
          </cell>
          <cell r="Z2288">
            <v>0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5</v>
          </cell>
          <cell r="O2289">
            <v>129379</v>
          </cell>
          <cell r="P2289"/>
          <cell r="Q2289" t="str">
            <v>EST BANCO ANTONIO (FREIJO NATURAL)</v>
          </cell>
          <cell r="R2289"/>
          <cell r="S2289"/>
          <cell r="T2289">
            <v>0.35</v>
          </cell>
          <cell r="U2289">
            <v>0</v>
          </cell>
          <cell r="V2289">
            <v>0.43</v>
          </cell>
          <cell r="W2289">
            <v>0</v>
          </cell>
          <cell r="X2289" t="str">
            <v>EST BANCO ANTONIO (FREIJO NATURAL) - Ø0x0,43H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0</v>
          </cell>
          <cell r="O2290">
            <v>130094</v>
          </cell>
          <cell r="P2290"/>
          <cell r="Q2290" t="str">
            <v>EST MESA JANTAR CORTEN (RESINA BRANCA BRILHO)</v>
          </cell>
          <cell r="R2290"/>
          <cell r="S2290"/>
          <cell r="T2290">
            <v>1.4</v>
          </cell>
          <cell r="U2290">
            <v>0</v>
          </cell>
          <cell r="V2290">
            <v>0.74</v>
          </cell>
          <cell r="W2290">
            <v>0</v>
          </cell>
          <cell r="X2290" t="str">
            <v>EST MESA JANTAR CORTEN (RESINA BRANCA BRILHO) - Ø0x0,74H</v>
          </cell>
          <cell r="Y2290">
            <v>0</v>
          </cell>
          <cell r="Z2290">
            <v>0.5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1</v>
          </cell>
          <cell r="O2291">
            <v>130924</v>
          </cell>
          <cell r="P2291"/>
          <cell r="Q2291" t="str">
            <v>EST BANCO OSSO (EXTERNO LACA BRANCA/INTERNO MADEIRA CEDRO)</v>
          </cell>
          <cell r="R2291"/>
          <cell r="S2291"/>
          <cell r="T2291">
            <v>2</v>
          </cell>
          <cell r="U2291">
            <v>0.5</v>
          </cell>
          <cell r="V2291">
            <v>0.4</v>
          </cell>
          <cell r="W2291">
            <v>0</v>
          </cell>
          <cell r="X2291" t="str">
            <v>EST BANCO OSSO (EXTERNO LACA BRANCA/INTERNO MADEIRA CEDRO) - 2x0,5x0,4H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 t="e">
            <v>#N/A</v>
          </cell>
          <cell r="D2292" t="e">
            <v>#N/A</v>
          </cell>
          <cell r="E2292" t="e">
            <v>#N/A</v>
          </cell>
          <cell r="F2292" t="e">
            <v>#N/A</v>
          </cell>
          <cell r="H2292" t="e">
            <v>#N/A</v>
          </cell>
          <cell r="O2292">
            <v>131379</v>
          </cell>
          <cell r="P2292"/>
          <cell r="Q2292" t="e">
            <v>#N/A</v>
          </cell>
          <cell r="R2292"/>
          <cell r="S2292"/>
          <cell r="T2292" t="e">
            <v>#N/A</v>
          </cell>
          <cell r="U2292" t="e">
            <v>#N/A</v>
          </cell>
          <cell r="V2292" t="e">
            <v>#N/A</v>
          </cell>
          <cell r="W2292" t="e">
            <v>#N/A</v>
          </cell>
          <cell r="X2292" t="e">
            <v>#N/A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1</v>
          </cell>
          <cell r="O2293">
            <v>131970</v>
          </cell>
          <cell r="P2293"/>
          <cell r="Q2293" t="str">
            <v>EST BANQUETA BAR PANTOSH (MULTILAMINADO FREIJO NATURAL)</v>
          </cell>
          <cell r="R2293"/>
          <cell r="S2293"/>
          <cell r="T2293">
            <v>0.45</v>
          </cell>
          <cell r="U2293">
            <v>0.45</v>
          </cell>
          <cell r="V2293">
            <v>0.85</v>
          </cell>
          <cell r="W2293">
            <v>0</v>
          </cell>
          <cell r="X2293" t="str">
            <v>EST BANQUETA BAR PANTOSH (MULTILAMINADO FREIJO NATURAL) - 0,45x0,45x0,85H</v>
          </cell>
          <cell r="Y2293">
            <v>0</v>
          </cell>
          <cell r="Z2293">
            <v>0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0</v>
          </cell>
          <cell r="O2294">
            <v>133908</v>
          </cell>
          <cell r="P2294"/>
          <cell r="Q2294" t="str">
            <v>EST CADEIRA AUGUSTO ESTAR (FREIJO NATURAL) COURO MARROM 259</v>
          </cell>
          <cell r="R2294"/>
          <cell r="S2294"/>
          <cell r="T2294">
            <v>0.53</v>
          </cell>
          <cell r="U2294">
            <v>0.63</v>
          </cell>
          <cell r="V2294">
            <v>0.85</v>
          </cell>
          <cell r="W2294">
            <v>0</v>
          </cell>
          <cell r="X2294" t="str">
            <v>EST CADEIRA AUGUSTO ESTAR (FREIJO NATURAL) COURO MARROM 259 - 0,53x0,63x0,85H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0</v>
          </cell>
          <cell r="O2295">
            <v>134010</v>
          </cell>
          <cell r="P2295"/>
          <cell r="Q2295" t="str">
            <v>EST POLTRONA LIA (MAD B COR 03) COURO CH CASTOR</v>
          </cell>
          <cell r="R2295"/>
          <cell r="S2295"/>
          <cell r="T2295">
            <v>0.74</v>
          </cell>
          <cell r="U2295">
            <v>0.73</v>
          </cell>
          <cell r="V2295">
            <v>0.71</v>
          </cell>
          <cell r="W2295">
            <v>0</v>
          </cell>
          <cell r="X2295" t="str">
            <v>EST POLTRONA LIA (MAD B COR 03) COURO CH CASTOR - 0,74x0,73x0,71H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135358</v>
          </cell>
          <cell r="P2296"/>
          <cell r="Q2296" t="str">
            <v>EST CADEIRA GB01 TELA (SEXTAV NT) (JEQ NT)</v>
          </cell>
          <cell r="R2296"/>
          <cell r="S2296"/>
          <cell r="T2296">
            <v>0.45</v>
          </cell>
          <cell r="U2296">
            <v>0.48</v>
          </cell>
          <cell r="V2296">
            <v>0.83</v>
          </cell>
          <cell r="W2296">
            <v>0</v>
          </cell>
          <cell r="X2296" t="str">
            <v>EST CADEIRA GB01 TELA (SEXTAV NT) (JEQ NT) - 0,45x0,48x0,83H</v>
          </cell>
          <cell r="Y2296">
            <v>0</v>
          </cell>
          <cell r="Z2296">
            <v>0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135633</v>
          </cell>
          <cell r="P2297"/>
          <cell r="Q2297" t="str">
            <v>EST BANQUETA ZANINE YZ (PINHO DE RIGA) COURO PRETO</v>
          </cell>
          <cell r="R2297"/>
          <cell r="S2297"/>
          <cell r="T2297">
            <v>0.45</v>
          </cell>
          <cell r="U2297">
            <v>0.55000000000000004</v>
          </cell>
          <cell r="V2297">
            <v>0.4</v>
          </cell>
          <cell r="W2297">
            <v>0</v>
          </cell>
          <cell r="X2297" t="str">
            <v>EST BANQUETA ZANINE YZ (PINHO DE RIGA) COURO PRETO - 0,45x0,55x0,4H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1</v>
          </cell>
          <cell r="O2298">
            <v>136420</v>
          </cell>
          <cell r="P2298"/>
          <cell r="Q2298" t="str">
            <v>EST POLTRONA CASCA (ACO CARBONO) (KRAFT NATURAL)</v>
          </cell>
          <cell r="R2298"/>
          <cell r="S2298"/>
          <cell r="T2298">
            <v>0.95</v>
          </cell>
          <cell r="U2298">
            <v>1</v>
          </cell>
          <cell r="V2298">
            <v>0.83</v>
          </cell>
          <cell r="W2298">
            <v>0</v>
          </cell>
          <cell r="X2298" t="str">
            <v>EST POLTRONA CASCA (ACO CARBONO) (KRAFT NATURAL) - 0,95x1x0,83H</v>
          </cell>
          <cell r="Y2298">
            <v>0</v>
          </cell>
          <cell r="Z2298">
            <v>0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1</v>
          </cell>
          <cell r="O2299">
            <v>137051</v>
          </cell>
          <cell r="P2299"/>
          <cell r="Q2299" t="str">
            <v>EST POLTRONA SOPRO (FREIJO NT) (COURO ATANADO CRU/CAFE)</v>
          </cell>
          <cell r="R2299"/>
          <cell r="S2299"/>
          <cell r="T2299">
            <v>0.72</v>
          </cell>
          <cell r="U2299">
            <v>0.83</v>
          </cell>
          <cell r="V2299">
            <v>0.96</v>
          </cell>
          <cell r="W2299">
            <v>0</v>
          </cell>
          <cell r="X2299" t="str">
            <v>EST POLTRONA SOPRO (FREIJO NT) (COURO ATANADO CRU/CAFE) - 0,72x0,83x0,96H</v>
          </cell>
          <cell r="Y2299">
            <v>0</v>
          </cell>
          <cell r="Z2299">
            <v>0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2</v>
          </cell>
          <cell r="O2300">
            <v>137074</v>
          </cell>
          <cell r="P2300"/>
          <cell r="Q2300" t="str">
            <v>EST BANCO DOMINO (8 LUG) (CONC NT) (INOX)</v>
          </cell>
          <cell r="R2300"/>
          <cell r="S2300"/>
          <cell r="T2300">
            <v>1.9</v>
          </cell>
          <cell r="U2300">
            <v>0.9</v>
          </cell>
          <cell r="V2300">
            <v>0.48</v>
          </cell>
          <cell r="W2300">
            <v>0</v>
          </cell>
          <cell r="X2300" t="str">
            <v>EST BANCO DOMINO (8 LUG) (CONC NT) (INOX) - 1,9x0,9x0,48H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2</v>
          </cell>
          <cell r="O2301">
            <v>137844</v>
          </cell>
          <cell r="P2301"/>
          <cell r="Q2301" t="str">
            <v>EST CADEIRA ANEL 60 S - 1970 (PRETO) (COURO CH PRETO)</v>
          </cell>
          <cell r="R2301"/>
          <cell r="S2301"/>
          <cell r="T2301">
            <v>0.68</v>
          </cell>
          <cell r="U2301">
            <v>0</v>
          </cell>
          <cell r="V2301">
            <v>0.82</v>
          </cell>
          <cell r="W2301">
            <v>0.68</v>
          </cell>
          <cell r="X2301" t="str">
            <v>EST CADEIRA ANEL 60 S - 1970 (PRETO) (COURO CH PRETO) - Ø0,68x0,82H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2</v>
          </cell>
          <cell r="O2302">
            <v>138719</v>
          </cell>
          <cell r="P2302"/>
          <cell r="Q2302" t="str">
            <v>EST POLTRONA ZANINE ALFA (TAUARI MEL) TC PELOURINHO AREIA</v>
          </cell>
          <cell r="R2302"/>
          <cell r="S2302"/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 t="str">
            <v>EST POLTRONA ZANINE ALFA (TAUARI MEL) TC PELOURINHO AREIA - Ø0x0H</v>
          </cell>
          <cell r="Y2302">
            <v>0</v>
          </cell>
          <cell r="Z2302">
            <v>0.35</v>
          </cell>
          <cell r="AA2302">
            <v>0</v>
          </cell>
          <cell r="AB2302"/>
        </row>
        <row r="2303"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H2303">
            <v>4</v>
          </cell>
          <cell r="O2303">
            <v>138776</v>
          </cell>
          <cell r="P2303"/>
          <cell r="Q2303" t="str">
            <v>EST BANCO ANGELA (FREIJO NATURAL)</v>
          </cell>
          <cell r="R2303"/>
          <cell r="S2303"/>
          <cell r="T2303">
            <v>0.4</v>
          </cell>
          <cell r="U2303">
            <v>0</v>
          </cell>
          <cell r="V2303">
            <v>0.45</v>
          </cell>
          <cell r="W2303">
            <v>0</v>
          </cell>
          <cell r="X2303" t="str">
            <v>EST BANCO ANGELA (FREIJO NATURAL) - Ø0x0,45H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2</v>
          </cell>
          <cell r="O2304">
            <v>138787</v>
          </cell>
          <cell r="P2304"/>
          <cell r="Q2304" t="str">
            <v>EST BANQUETA BAR CORINGA H73 (COURO ATANADO) (FREIJO NT)</v>
          </cell>
          <cell r="R2304"/>
          <cell r="S2304"/>
          <cell r="T2304">
            <v>0.43</v>
          </cell>
          <cell r="U2304">
            <v>0.43</v>
          </cell>
          <cell r="V2304">
            <v>0.73</v>
          </cell>
          <cell r="W2304">
            <v>0</v>
          </cell>
          <cell r="X2304" t="str">
            <v>EST BANQUETA BAR CORINGA H73 (COURO ATANADO) (FREIJO NT) - 0,43x0,43x0,73H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1</v>
          </cell>
          <cell r="O2305">
            <v>140100</v>
          </cell>
          <cell r="P2305"/>
          <cell r="Q2305" t="str">
            <v>EST HOME JANETE (FREIJO NATURAL)</v>
          </cell>
          <cell r="R2305"/>
          <cell r="S2305"/>
          <cell r="T2305">
            <v>2.7</v>
          </cell>
          <cell r="U2305">
            <v>0.55000000000000004</v>
          </cell>
          <cell r="V2305">
            <v>0.55000000000000004</v>
          </cell>
          <cell r="W2305">
            <v>0</v>
          </cell>
          <cell r="X2305" t="str">
            <v>EST HOME JANETE (FREIJO NATURAL) - 2,7x0,55x0,55H</v>
          </cell>
          <cell r="Y2305">
            <v>0</v>
          </cell>
          <cell r="Z2305">
            <v>0.5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6</v>
          </cell>
          <cell r="O2306">
            <v>142280</v>
          </cell>
          <cell r="P2306"/>
          <cell r="Q2306" t="str">
            <v>EST CADEIRA TAJA (MAD NOGUEIRA VERNIZ EPS)</v>
          </cell>
          <cell r="R2306"/>
          <cell r="S2306"/>
          <cell r="T2306">
            <v>0.43</v>
          </cell>
          <cell r="U2306">
            <v>0.46</v>
          </cell>
          <cell r="V2306">
            <v>0.73</v>
          </cell>
          <cell r="W2306">
            <v>0</v>
          </cell>
          <cell r="X2306" t="str">
            <v>EST CADEIRA TAJA (MAD NOGUEIRA VERNIZ EPS) - 0,43x0,46x0,73H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0</v>
          </cell>
          <cell r="O2307">
            <v>142397</v>
          </cell>
          <cell r="P2307"/>
          <cell r="Q2307" t="str">
            <v>EST CARRINHO ECOBOX (MADEIRA TECA)</v>
          </cell>
          <cell r="R2307"/>
          <cell r="S2307"/>
          <cell r="T2307">
            <v>0.48</v>
          </cell>
          <cell r="U2307">
            <v>0.48</v>
          </cell>
          <cell r="V2307">
            <v>0.57999999999999996</v>
          </cell>
          <cell r="W2307">
            <v>0</v>
          </cell>
          <cell r="X2307" t="str">
            <v>EST CARRINHO ECOBOX (MADEIRA TECA) - 0,48x0,48x0,58H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3</v>
          </cell>
          <cell r="O2308">
            <v>142842</v>
          </cell>
          <cell r="P2308"/>
          <cell r="Q2308" t="str">
            <v>EST LUMINARIA PAU DE LUZ (INOX) (FREIJO NATURAL) BIVOLT</v>
          </cell>
          <cell r="R2308"/>
          <cell r="S2308"/>
          <cell r="T2308">
            <v>0.04</v>
          </cell>
          <cell r="U2308">
            <v>0.06</v>
          </cell>
          <cell r="V2308">
            <v>2.15</v>
          </cell>
          <cell r="W2308">
            <v>0</v>
          </cell>
          <cell r="X2308" t="str">
            <v>EST LUMINARIA PAU DE LUZ (INOX) (FREIJO NATURAL) BIVOLT - 0,04x0,06x2,15H</v>
          </cell>
          <cell r="Y2308">
            <v>0</v>
          </cell>
          <cell r="Z2308">
            <v>0.5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0</v>
          </cell>
          <cell r="O2309">
            <v>143502</v>
          </cell>
          <cell r="P2309"/>
          <cell r="Q2309" t="str">
            <v>EST COMPONENTE ENCOSTO TIMBO (BIS) TC 10388/002</v>
          </cell>
          <cell r="R2309"/>
          <cell r="S2309"/>
          <cell r="T2309">
            <v>0.5</v>
          </cell>
          <cell r="U2309">
            <v>0.5</v>
          </cell>
          <cell r="V2309">
            <v>0.14000000000000001</v>
          </cell>
          <cell r="W2309">
            <v>0</v>
          </cell>
          <cell r="X2309" t="str">
            <v>EST COMPONENTE ENCOSTO TIMBO (BIS) TC 10388/002 - 0,5x0,5x0,14H</v>
          </cell>
          <cell r="Y2309">
            <v>0</v>
          </cell>
          <cell r="Z2309">
            <v>0.5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143504</v>
          </cell>
          <cell r="P2310"/>
          <cell r="Q2310" t="str">
            <v>EST COMPONENTE ASSENTO POLTRONA TIMBO (BIS) TC 10388/002</v>
          </cell>
          <cell r="R2310"/>
          <cell r="S2310"/>
          <cell r="T2310">
            <v>0.62</v>
          </cell>
          <cell r="U2310">
            <v>0.6</v>
          </cell>
          <cell r="V2310">
            <v>0.13</v>
          </cell>
          <cell r="W2310">
            <v>0</v>
          </cell>
          <cell r="X2310" t="str">
            <v>EST COMPONENTE ASSENTO POLTRONA TIMBO (BIS) TC 10388/002 - 0,62x0,6x0,13H</v>
          </cell>
          <cell r="Y2310">
            <v>0</v>
          </cell>
          <cell r="Z2310">
            <v>0.5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1</v>
          </cell>
          <cell r="O2311">
            <v>145027</v>
          </cell>
          <cell r="P2311"/>
          <cell r="Q2311" t="str">
            <v>EST MESA CENTRO JOHN GRAZ (BS SUCUPIRA) (LC BRANCA BRLILHO)</v>
          </cell>
          <cell r="R2311"/>
          <cell r="S2311"/>
          <cell r="T2311">
            <v>1.7</v>
          </cell>
          <cell r="U2311">
            <v>0.77</v>
          </cell>
          <cell r="V2311">
            <v>0.31</v>
          </cell>
          <cell r="W2311">
            <v>0</v>
          </cell>
          <cell r="X2311" t="str">
            <v>EST MESA CENTRO JOHN GRAZ (BS SUCUPIRA) (LC BRANCA BRLILHO) - 1,7x0,77x0,31H</v>
          </cell>
          <cell r="Y2311">
            <v>0</v>
          </cell>
          <cell r="Z2311">
            <v>0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1</v>
          </cell>
          <cell r="O2312">
            <v>145041</v>
          </cell>
          <cell r="P2312"/>
          <cell r="Q2312" t="str">
            <v>EST CADEIRA ANEL (ACO CARBONO) (COURO CH PRETO)</v>
          </cell>
          <cell r="R2312"/>
          <cell r="S2312"/>
          <cell r="T2312">
            <v>0.68</v>
          </cell>
          <cell r="U2312">
            <v>0</v>
          </cell>
          <cell r="V2312">
            <v>0.73</v>
          </cell>
          <cell r="W2312">
            <v>0.68</v>
          </cell>
          <cell r="X2312" t="str">
            <v>EST CADEIRA ANEL (ACO CARBONO) (COURO CH PRETO) - Ø0,68x0,73H</v>
          </cell>
          <cell r="Y2312">
            <v>0</v>
          </cell>
          <cell r="Z2312">
            <v>0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145550</v>
          </cell>
          <cell r="P2313"/>
          <cell r="Q2313" t="str">
            <v>EST POLTRONA SOPRO (FREIJO NT) (COURO ATANADO CRU/PRETO)</v>
          </cell>
          <cell r="R2313"/>
          <cell r="S2313"/>
          <cell r="T2313">
            <v>0.72</v>
          </cell>
          <cell r="U2313">
            <v>0.83</v>
          </cell>
          <cell r="V2313">
            <v>0.96</v>
          </cell>
          <cell r="W2313">
            <v>0</v>
          </cell>
          <cell r="X2313" t="str">
            <v>EST POLTRONA SOPRO (FREIJO NT) (COURO ATANADO CRU/PRETO) - 0,72x0,83x0,96H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0</v>
          </cell>
          <cell r="O2314">
            <v>145904</v>
          </cell>
          <cell r="P2314"/>
          <cell r="Q2314" t="str">
            <v>EST BANCO ABAPORU (J.BORGES BORBOLETA) (FREIJO NATURAL)</v>
          </cell>
          <cell r="R2314"/>
          <cell r="S2314"/>
          <cell r="T2314">
            <v>0.38</v>
          </cell>
          <cell r="U2314">
            <v>0</v>
          </cell>
          <cell r="V2314">
            <v>0.44</v>
          </cell>
          <cell r="W2314">
            <v>0</v>
          </cell>
          <cell r="X2314" t="str">
            <v>EST BANCO ABAPORU (J.BORGES BORBOLETA) (FREIJO NATURAL) - Ø0x0,44H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2</v>
          </cell>
          <cell r="O2315">
            <v>146509</v>
          </cell>
          <cell r="P2315"/>
          <cell r="Q2315" t="str">
            <v>EST BANCO LEIF (FREIJO NATURAL)</v>
          </cell>
          <cell r="R2315"/>
          <cell r="S2315"/>
          <cell r="T2315">
            <v>2.6</v>
          </cell>
          <cell r="U2315">
            <v>0.6</v>
          </cell>
          <cell r="V2315">
            <v>0.4</v>
          </cell>
          <cell r="W2315">
            <v>0</v>
          </cell>
          <cell r="X2315" t="str">
            <v>EST BANCO LEIF (FREIJO NATURAL) - 2,6x0,6x0,4H</v>
          </cell>
          <cell r="Y2315">
            <v>0</v>
          </cell>
          <cell r="Z2315">
            <v>0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146642</v>
          </cell>
          <cell r="P2316"/>
          <cell r="Q2316" t="str">
            <v>EST POLTRONA DIZ (LAMINADA S/FURO) (MAD LYPTUS) CANELA 05</v>
          </cell>
          <cell r="R2316"/>
          <cell r="S2316"/>
          <cell r="T2316">
            <v>0.78</v>
          </cell>
          <cell r="U2316">
            <v>0.89</v>
          </cell>
          <cell r="V2316">
            <v>0.71</v>
          </cell>
          <cell r="W2316">
            <v>0</v>
          </cell>
          <cell r="X2316" t="str">
            <v>EST POLTRONA DIZ (LAMINADA S/FURO) (MAD LYPTUS) CANELA 05 - 0,78x0,89x0,71H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1</v>
          </cell>
          <cell r="O2317">
            <v>146877</v>
          </cell>
          <cell r="P2317"/>
          <cell r="Q2317" t="str">
            <v>EST BANCO OSSO (EXTERNO LACA BRANCA/INTERNO FIBRA CARBONO)</v>
          </cell>
          <cell r="R2317"/>
          <cell r="S2317"/>
          <cell r="T2317">
            <v>2</v>
          </cell>
          <cell r="U2317">
            <v>0.5</v>
          </cell>
          <cell r="V2317">
            <v>0.4</v>
          </cell>
          <cell r="W2317">
            <v>0</v>
          </cell>
          <cell r="X2317" t="str">
            <v>EST BANCO OSSO (EXTERNO LACA BRANCA/INTERNO FIBRA CARBONO) - 2x0,5x0,4H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146894</v>
          </cell>
          <cell r="P2318"/>
          <cell r="Q2318" t="str">
            <v>EST MESA JANTAR ABAPORU (FREIJO EBANIZADO POROS ABERTOS)</v>
          </cell>
          <cell r="R2318"/>
          <cell r="S2318"/>
          <cell r="T2318">
            <v>1.5</v>
          </cell>
          <cell r="U2318">
            <v>0</v>
          </cell>
          <cell r="V2318">
            <v>0.76</v>
          </cell>
          <cell r="W2318">
            <v>0</v>
          </cell>
          <cell r="X2318" t="str">
            <v>EST MESA JANTAR ABAPORU (FREIJO EBANIZADO POROS ABERTOS) - Ø0x0,76H</v>
          </cell>
          <cell r="Y2318">
            <v>0</v>
          </cell>
          <cell r="Z2318">
            <v>0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2</v>
          </cell>
          <cell r="O2319">
            <v>146926</v>
          </cell>
          <cell r="P2319"/>
          <cell r="Q2319" t="str">
            <v>EST POLTRONA BEG (S/ROD) (MAD A COR 02) TC LINHO 603</v>
          </cell>
          <cell r="R2319"/>
          <cell r="S2319"/>
          <cell r="T2319">
            <v>0.65</v>
          </cell>
          <cell r="U2319">
            <v>0.63</v>
          </cell>
          <cell r="V2319">
            <v>0.77</v>
          </cell>
          <cell r="W2319">
            <v>0</v>
          </cell>
          <cell r="X2319" t="str">
            <v>EST POLTRONA BEG (S/ROD) (MAD A COR 02) TC LINHO 603 - 0,65x0,63x0,77H</v>
          </cell>
          <cell r="Y2319">
            <v>0</v>
          </cell>
          <cell r="Z2319">
            <v>0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1</v>
          </cell>
          <cell r="O2320">
            <v>146989</v>
          </cell>
          <cell r="P2320"/>
          <cell r="Q2320" t="str">
            <v>EST MESA JANTAR CONE (TPO FREIJO NATURAL) CONCRETO NATURAL</v>
          </cell>
          <cell r="R2320"/>
          <cell r="S2320"/>
          <cell r="T2320">
            <v>1.2</v>
          </cell>
          <cell r="U2320">
            <v>0</v>
          </cell>
          <cell r="V2320">
            <v>0.75</v>
          </cell>
          <cell r="W2320">
            <v>1.2</v>
          </cell>
          <cell r="X2320" t="str">
            <v>EST MESA JANTAR CONE (TPO FREIJO NATURAL) CONCRETO NATURAL - Ø1,2x0,75H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0</v>
          </cell>
          <cell r="O2321">
            <v>147127</v>
          </cell>
          <cell r="P2321"/>
          <cell r="Q2321" t="str">
            <v>EST MESA JANTAR CONE (TPO TECA) CONCRETO BRANCO</v>
          </cell>
          <cell r="R2321"/>
          <cell r="S2321"/>
          <cell r="T2321">
            <v>1.2</v>
          </cell>
          <cell r="U2321">
            <v>0</v>
          </cell>
          <cell r="V2321">
            <v>0.75</v>
          </cell>
          <cell r="W2321">
            <v>0</v>
          </cell>
          <cell r="X2321" t="str">
            <v>EST MESA JANTAR CONE (TPO TECA) CONCRETO BRANCO - Ø0x0,75H</v>
          </cell>
          <cell r="Y2321">
            <v>0</v>
          </cell>
          <cell r="Z2321">
            <v>0.5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5</v>
          </cell>
          <cell r="O2322">
            <v>147347</v>
          </cell>
          <cell r="P2322"/>
          <cell r="Q2322" t="str">
            <v>EST MESA LATERAL DUNN (CUMARU VERNIZ B.DAGUA) (PES ACO INOX)</v>
          </cell>
          <cell r="R2322"/>
          <cell r="S2322"/>
          <cell r="T2322">
            <v>0.42</v>
          </cell>
          <cell r="U2322">
            <v>0</v>
          </cell>
          <cell r="V2322">
            <v>0.49</v>
          </cell>
          <cell r="W2322">
            <v>0.42</v>
          </cell>
          <cell r="X2322" t="str">
            <v>EST MESA LATERAL DUNN (CUMARU VERNIZ B.DAGUA) (PES ACO INOX) - Ø0,42x0,49H</v>
          </cell>
          <cell r="Y2322">
            <v>0</v>
          </cell>
          <cell r="Z2322">
            <v>0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0</v>
          </cell>
          <cell r="O2323">
            <v>147774</v>
          </cell>
          <cell r="P2323"/>
          <cell r="Q2323" t="str">
            <v>EST CADEIRA BRISA (SELADOR)</v>
          </cell>
          <cell r="R2323"/>
          <cell r="S2323"/>
          <cell r="T2323">
            <v>0.49</v>
          </cell>
          <cell r="U2323">
            <v>0.56000000000000005</v>
          </cell>
          <cell r="V2323">
            <v>0.86</v>
          </cell>
          <cell r="W2323">
            <v>0</v>
          </cell>
          <cell r="X2323" t="str">
            <v>EST CADEIRA BRISA (SELADOR) - 0,49x0,56x0,86H</v>
          </cell>
          <cell r="Y2323">
            <v>0</v>
          </cell>
          <cell r="Z2323">
            <v>0.5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1</v>
          </cell>
          <cell r="O2324">
            <v>147898</v>
          </cell>
          <cell r="P2324"/>
          <cell r="Q2324" t="str">
            <v>EST BANCO SONIA (MAD A COR 02) (BOTOES COR 02/PES COR 03)</v>
          </cell>
          <cell r="R2324"/>
          <cell r="S2324"/>
          <cell r="T2324">
            <v>0.4</v>
          </cell>
          <cell r="U2324">
            <v>0.42</v>
          </cell>
          <cell r="V2324">
            <v>0.39</v>
          </cell>
          <cell r="W2324">
            <v>0</v>
          </cell>
          <cell r="X2324" t="str">
            <v>EST BANCO SONIA (MAD A COR 02) (BOTOES COR 02/PES COR 03) - 0,4x0,42x0,39H</v>
          </cell>
          <cell r="Y2324">
            <v>0</v>
          </cell>
          <cell r="Z2324">
            <v>0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0</v>
          </cell>
          <cell r="O2325">
            <v>148276</v>
          </cell>
          <cell r="P2325"/>
          <cell r="Q2325" t="str">
            <v>EST ESTANTE GB 02 (DUPLA) (FORMICA BRANCA E VERMELHA)</v>
          </cell>
          <cell r="R2325"/>
          <cell r="S2325"/>
          <cell r="T2325">
            <v>2.5</v>
          </cell>
          <cell r="U2325">
            <v>0.45</v>
          </cell>
          <cell r="V2325">
            <v>2.15</v>
          </cell>
          <cell r="W2325">
            <v>0</v>
          </cell>
          <cell r="X2325" t="str">
            <v>EST ESTANTE GB 02 (DUPLA) (FORMICA BRANCA E VERMELHA) - 2,5x0,45x2,15H</v>
          </cell>
          <cell r="Y2325">
            <v>0</v>
          </cell>
          <cell r="Z2325">
            <v>0.5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2</v>
          </cell>
          <cell r="O2326">
            <v>148807</v>
          </cell>
          <cell r="P2326"/>
          <cell r="Q2326" t="str">
            <v>EST CADEIRA TIAO (MAD IMBUIA) VELUDO AZUL</v>
          </cell>
          <cell r="R2326"/>
          <cell r="S2326"/>
          <cell r="T2326">
            <v>0.47</v>
          </cell>
          <cell r="U2326">
            <v>0.54</v>
          </cell>
          <cell r="V2326">
            <v>0.75</v>
          </cell>
          <cell r="W2326">
            <v>0</v>
          </cell>
          <cell r="X2326" t="str">
            <v>EST CADEIRA TIAO (MAD IMBUIA) VELUDO AZUL - 0,47x0,54x0,75H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1</v>
          </cell>
          <cell r="O2327">
            <v>149744</v>
          </cell>
          <cell r="P2327"/>
          <cell r="Q2327" t="str">
            <v>EST POLTRONA TRICOT MAD EUCALIPTO NATURAL TEC AZUL MARINHO</v>
          </cell>
          <cell r="R2327"/>
          <cell r="S2327"/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 t="str">
            <v>EST POLTRONA TRICOT MAD EUCALIPTO NATURAL TEC AZUL MARINHO - Ø0x0H</v>
          </cell>
          <cell r="Y2327">
            <v>0</v>
          </cell>
          <cell r="Z2327">
            <v>0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2</v>
          </cell>
          <cell r="O2328">
            <v>150043</v>
          </cell>
          <cell r="P2328"/>
          <cell r="Q2328" t="str">
            <v>EST MESA LATERAL KROPF (FREIJO NATURAL)</v>
          </cell>
          <cell r="R2328"/>
          <cell r="S2328"/>
          <cell r="T2328">
            <v>0.5</v>
          </cell>
          <cell r="U2328">
            <v>0</v>
          </cell>
          <cell r="V2328">
            <v>0.55000000000000004</v>
          </cell>
          <cell r="W2328">
            <v>0.5</v>
          </cell>
          <cell r="X2328" t="str">
            <v>EST MESA LATERAL KROPF (FREIJO NATURAL) - Ø0,5x0,55H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2</v>
          </cell>
          <cell r="O2329">
            <v>150045</v>
          </cell>
          <cell r="P2329"/>
          <cell r="Q2329" t="str">
            <v>EST MESA LATERAL KROPF (FREIJO NATURAL)</v>
          </cell>
          <cell r="R2329"/>
          <cell r="S2329"/>
          <cell r="T2329">
            <v>0.6</v>
          </cell>
          <cell r="U2329">
            <v>0</v>
          </cell>
          <cell r="V2329">
            <v>0.6</v>
          </cell>
          <cell r="W2329">
            <v>0.6</v>
          </cell>
          <cell r="X2329" t="str">
            <v>EST MESA LATERAL KROPF (FREIJO NATURAL) - Ø0,6x0,6H</v>
          </cell>
          <cell r="Y2329">
            <v>0</v>
          </cell>
          <cell r="Z2329">
            <v>0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150908</v>
          </cell>
          <cell r="P2330"/>
          <cell r="Q2330" t="str">
            <v>EST TAMPO CRISTAL LAPIDADO (15MM) INCOLOR CTO MOEDA</v>
          </cell>
          <cell r="R2330"/>
          <cell r="S2330"/>
          <cell r="T2330">
            <v>2.2999999999999998</v>
          </cell>
          <cell r="U2330">
            <v>1.1000000000000001</v>
          </cell>
          <cell r="V2330">
            <v>0.01</v>
          </cell>
          <cell r="W2330">
            <v>0</v>
          </cell>
          <cell r="X2330" t="str">
            <v>EST TAMPO CRISTAL LAPIDADO (15MM) INCOLOR CTO MOEDA - 2,3x1,1x0,01H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151021</v>
          </cell>
          <cell r="P2331"/>
          <cell r="Q2331" t="str">
            <v>EST POLTRONA DORA (ALTA) COURO FIRENZE 600</v>
          </cell>
          <cell r="R2331"/>
          <cell r="S2331"/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 t="str">
            <v>EST POLTRONA DORA (ALTA) COURO FIRENZE 600 - Ø0x0H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2</v>
          </cell>
          <cell r="O2332">
            <v>154138</v>
          </cell>
          <cell r="P2332"/>
          <cell r="Q2332" t="str">
            <v>EST POLTRONA KIKO ALTA (FREIJO NT) COURO CH OLIVA</v>
          </cell>
          <cell r="R2332"/>
          <cell r="S2332"/>
          <cell r="T2332">
            <v>0.56000000000000005</v>
          </cell>
          <cell r="U2332">
            <v>0.61</v>
          </cell>
          <cell r="V2332">
            <v>0.92</v>
          </cell>
          <cell r="W2332">
            <v>0</v>
          </cell>
          <cell r="X2332" t="str">
            <v>EST POLTRONA KIKO ALTA (FREIJO NT) COURO CH OLIVA - 0,56x0,61x0,92H</v>
          </cell>
          <cell r="Y2332">
            <v>0</v>
          </cell>
          <cell r="Z2332">
            <v>0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154139</v>
          </cell>
          <cell r="P2333"/>
          <cell r="Q2333" t="str">
            <v>EST POLTRONA KIKO BAIXA (FREIJO NT) COURO CH OLIVA</v>
          </cell>
          <cell r="R2333"/>
          <cell r="S2333"/>
          <cell r="T2333">
            <v>0.56000000000000005</v>
          </cell>
          <cell r="U2333">
            <v>0.61</v>
          </cell>
          <cell r="V2333">
            <v>0.78</v>
          </cell>
          <cell r="W2333">
            <v>0</v>
          </cell>
          <cell r="X2333" t="str">
            <v>EST POLTRONA KIKO BAIXA (FREIJO NT) COURO CH OLIVA - 0,56x0,61x0,78H</v>
          </cell>
          <cell r="Y2333">
            <v>0</v>
          </cell>
          <cell r="Z2333">
            <v>0.5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154914</v>
          </cell>
          <cell r="P2334"/>
          <cell r="Q2334" t="str">
            <v>EST CADEIRA CANTU BAIXA (MAD B COR 03) COURO FIRENZE 600 BEG</v>
          </cell>
          <cell r="R2334"/>
          <cell r="S2334"/>
          <cell r="T2334">
            <v>0.5</v>
          </cell>
          <cell r="U2334">
            <v>0.55000000000000004</v>
          </cell>
          <cell r="V2334">
            <v>0.81</v>
          </cell>
          <cell r="W2334">
            <v>0</v>
          </cell>
          <cell r="X2334" t="str">
            <v>EST CADEIRA CANTU BAIXA (MAD B COR 03) COURO FIRENZE 600 BEG - 0,5x0,55x0,81H</v>
          </cell>
          <cell r="Y2334">
            <v>0</v>
          </cell>
          <cell r="Z2334">
            <v>0.5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1</v>
          </cell>
          <cell r="O2335">
            <v>155039</v>
          </cell>
          <cell r="P2335"/>
          <cell r="Q2335" t="str">
            <v>EST POLTRONA TETE (FREIJO NT) COURO PIG PRETO/ALM CH PRETO</v>
          </cell>
          <cell r="R2335"/>
          <cell r="S2335"/>
          <cell r="T2335">
            <v>0.86</v>
          </cell>
          <cell r="U2335">
            <v>0.84</v>
          </cell>
          <cell r="V2335">
            <v>0.75</v>
          </cell>
          <cell r="W2335">
            <v>0</v>
          </cell>
          <cell r="X2335" t="str">
            <v>EST POLTRONA TETE (FREIJO NT) COURO PIG PRETO/ALM CH PRETO - 0,86x0,84x0,75H</v>
          </cell>
          <cell r="Y2335">
            <v>0</v>
          </cell>
          <cell r="Z2335">
            <v>0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0</v>
          </cell>
          <cell r="O2336">
            <v>155141</v>
          </cell>
          <cell r="P2336"/>
          <cell r="Q2336" t="str">
            <v>EST POLTRONA FDC1 (ESTRUTURA PRETA) (CAPA COURO CARAMELO)</v>
          </cell>
          <cell r="R2336"/>
          <cell r="S2336"/>
          <cell r="T2336">
            <v>0.8</v>
          </cell>
          <cell r="U2336">
            <v>0.71</v>
          </cell>
          <cell r="V2336">
            <v>0.81</v>
          </cell>
          <cell r="W2336">
            <v>0</v>
          </cell>
          <cell r="X2336" t="str">
            <v>EST POLTRONA FDC1 (ESTRUTURA PRETA) (CAPA COURO CARAMELO) - 0,8x0,71x0,81H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1</v>
          </cell>
          <cell r="O2337">
            <v>155537</v>
          </cell>
          <cell r="P2337"/>
          <cell r="Q2337" t="str">
            <v>EST BANCO DOMINO (4 LUG) (CONC NT) (INOX)</v>
          </cell>
          <cell r="R2337"/>
          <cell r="S2337"/>
          <cell r="T2337">
            <v>1.9</v>
          </cell>
          <cell r="U2337">
            <v>0.45</v>
          </cell>
          <cell r="V2337">
            <v>0.48</v>
          </cell>
          <cell r="W2337">
            <v>0</v>
          </cell>
          <cell r="X2337" t="str">
            <v>EST BANCO DOMINO (4 LUG) (CONC NT) (INOX) - 1,9x0,45x0,48H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4</v>
          </cell>
          <cell r="O2338">
            <v>160808</v>
          </cell>
          <cell r="P2338"/>
          <cell r="Q2338" t="str">
            <v>EST BANQUETA BAR GUSMAO S/B H72 (PINT PTO/ATANA CRU FREIJO)</v>
          </cell>
          <cell r="R2338"/>
          <cell r="S2338"/>
          <cell r="T2338">
            <v>0.56000000000000005</v>
          </cell>
          <cell r="U2338">
            <v>0.5</v>
          </cell>
          <cell r="V2338">
            <v>1.04</v>
          </cell>
          <cell r="W2338">
            <v>0</v>
          </cell>
          <cell r="X2338" t="str">
            <v>EST BANQUETA BAR GUSMAO S/B H72 (PINT PTO/ATANA CRU FREIJO) - 0,56x0,5x1,04H</v>
          </cell>
          <cell r="Y2338">
            <v>0</v>
          </cell>
          <cell r="Z2338">
            <v>0</v>
          </cell>
          <cell r="AA2338">
            <v>0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1</v>
          </cell>
          <cell r="O2339">
            <v>162843</v>
          </cell>
          <cell r="P2339"/>
          <cell r="Q2339" t="str">
            <v>EST ESTANTE FARMACINHA (ACO INOX) (ACRILICO) (MADEIRA)</v>
          </cell>
          <cell r="R2339"/>
          <cell r="S2339"/>
          <cell r="T2339">
            <v>0.83</v>
          </cell>
          <cell r="U2339">
            <v>0.17</v>
          </cell>
          <cell r="V2339">
            <v>0.56999999999999995</v>
          </cell>
          <cell r="W2339">
            <v>0</v>
          </cell>
          <cell r="X2339" t="str">
            <v>EST ESTANTE FARMACINHA (ACO INOX) (ACRILICO) (MADEIRA) - 0,83x0,17x0,57H</v>
          </cell>
          <cell r="Y2339">
            <v>0</v>
          </cell>
          <cell r="Z2339">
            <v>0.5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2</v>
          </cell>
          <cell r="O2340">
            <v>162916</v>
          </cell>
          <cell r="P2340"/>
          <cell r="Q2340" t="str">
            <v>EST BANCO LUCIO (FREIJO NATURAL)</v>
          </cell>
          <cell r="R2340"/>
          <cell r="S2340"/>
          <cell r="T2340">
            <v>2</v>
          </cell>
          <cell r="U2340">
            <v>0.4</v>
          </cell>
          <cell r="V2340">
            <v>0.45</v>
          </cell>
          <cell r="W2340">
            <v>0</v>
          </cell>
          <cell r="X2340" t="str">
            <v>EST BANCO LUCIO (FREIJO NATURAL) - 2x0,4x0,45H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0</v>
          </cell>
          <cell r="O2341">
            <v>163742</v>
          </cell>
          <cell r="P2341"/>
          <cell r="Q2341" t="str">
            <v>EST COMPONENTE CAPA PAULISTANO (SUNBRELLA 3 5404 OFF WHITE)</v>
          </cell>
          <cell r="R2341"/>
          <cell r="S2341"/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 t="str">
            <v>EST COMPONENTE CAPA PAULISTANO (SUNBRELLA 3 5404 OFF WHITE) - Ø0x0H</v>
          </cell>
          <cell r="Y2341">
            <v>0</v>
          </cell>
          <cell r="Z2341">
            <v>0.5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2</v>
          </cell>
          <cell r="O2342">
            <v>164685</v>
          </cell>
          <cell r="P2342"/>
          <cell r="Q2342" t="str">
            <v>EST MESA BISTRO CLEAN (LACA SAYER V-155)</v>
          </cell>
          <cell r="R2342"/>
          <cell r="S2342"/>
          <cell r="T2342">
            <v>0.6</v>
          </cell>
          <cell r="U2342">
            <v>0.6</v>
          </cell>
          <cell r="V2342">
            <v>1.02</v>
          </cell>
          <cell r="W2342">
            <v>0</v>
          </cell>
          <cell r="X2342" t="str">
            <v>EST MESA BISTRO CLEAN (LACA SAYER V-155) - 0,6x0,6x1,02H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1</v>
          </cell>
          <cell r="O2343">
            <v>171454</v>
          </cell>
          <cell r="P2343"/>
          <cell r="Q2343" t="str">
            <v>EST BUFFET CORTEN (4P/2G) (RESINA SAY F100) (ACO CORTEN)</v>
          </cell>
          <cell r="R2343"/>
          <cell r="S2343"/>
          <cell r="T2343">
            <v>2.7</v>
          </cell>
          <cell r="U2343">
            <v>0.5</v>
          </cell>
          <cell r="V2343">
            <v>0.73</v>
          </cell>
          <cell r="W2343">
            <v>0</v>
          </cell>
          <cell r="X2343" t="str">
            <v>EST BUFFET CORTEN (4P/2G) (RESINA SAY F100) (ACO CORTEN) - 2,7x0,5x0,73H</v>
          </cell>
          <cell r="Y2343">
            <v>0</v>
          </cell>
          <cell r="Z2343">
            <v>0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172777</v>
          </cell>
          <cell r="P2344"/>
          <cell r="Q2344" t="str">
            <v>EST MESA LATERAL MAC (LAM ESPECIAL) (MAD IMBUIA STAIN)</v>
          </cell>
          <cell r="R2344"/>
          <cell r="S2344"/>
          <cell r="T2344">
            <v>0.6</v>
          </cell>
          <cell r="U2344">
            <v>0.6</v>
          </cell>
          <cell r="V2344">
            <v>0.5</v>
          </cell>
          <cell r="W2344">
            <v>0.6</v>
          </cell>
          <cell r="X2344" t="str">
            <v>EST MESA LATERAL MAC (LAM ESPECIAL) (MAD IMBUIA STAIN) - 0,6x0,6x0,5H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1</v>
          </cell>
          <cell r="O2345">
            <v>172914</v>
          </cell>
          <cell r="P2345"/>
          <cell r="Q2345" t="str">
            <v>EST BUFFET CORTEN (4P/2G) (RESINA SAY L138) (ACO CORTEN)</v>
          </cell>
          <cell r="R2345"/>
          <cell r="S2345"/>
          <cell r="T2345">
            <v>2.7</v>
          </cell>
          <cell r="U2345">
            <v>0.5</v>
          </cell>
          <cell r="V2345">
            <v>0.73</v>
          </cell>
          <cell r="W2345">
            <v>0</v>
          </cell>
          <cell r="X2345" t="str">
            <v>EST BUFFET CORTEN (4P/2G) (RESINA SAY L138) (ACO CORTEN) - 2,7x0,5x0,73H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2</v>
          </cell>
          <cell r="O2346">
            <v>173729</v>
          </cell>
          <cell r="P2346"/>
          <cell r="Q2346" t="str">
            <v>EST CADEIRA GB01 TELA (QUADRIC NT) (JEQ 02)</v>
          </cell>
          <cell r="R2346"/>
          <cell r="S2346"/>
          <cell r="T2346">
            <v>0.45</v>
          </cell>
          <cell r="U2346">
            <v>0.48</v>
          </cell>
          <cell r="V2346">
            <v>0.85</v>
          </cell>
          <cell r="W2346">
            <v>0</v>
          </cell>
          <cell r="X2346" t="str">
            <v>EST CADEIRA GB01 TELA (QUADRIC NT) (JEQ 02) - 0,45x0,48x0,85H</v>
          </cell>
          <cell r="Y2346">
            <v>0</v>
          </cell>
          <cell r="Z2346">
            <v>0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2</v>
          </cell>
          <cell r="O2347">
            <v>174028</v>
          </cell>
          <cell r="P2347"/>
          <cell r="Q2347" t="str">
            <v>EST CABIDEIRO GIRO (PAREDE) (ACO CARBONO LACA BRANCA)</v>
          </cell>
          <cell r="R2347"/>
          <cell r="S2347"/>
          <cell r="T2347">
            <v>0.36</v>
          </cell>
          <cell r="U2347">
            <v>0</v>
          </cell>
          <cell r="V2347">
            <v>2.15</v>
          </cell>
          <cell r="W2347">
            <v>0</v>
          </cell>
          <cell r="X2347" t="str">
            <v>EST CABIDEIRO GIRO (PAREDE) (ACO CARBONO LACA BRANCA) - Ø0x2,15H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2</v>
          </cell>
          <cell r="O2348">
            <v>174630</v>
          </cell>
          <cell r="P2348"/>
          <cell r="Q2348" t="str">
            <v>EST CADEIRA GB01 TELA (QUADRIC NT) (JEQ 01)</v>
          </cell>
          <cell r="R2348"/>
          <cell r="S2348"/>
          <cell r="T2348">
            <v>0.45</v>
          </cell>
          <cell r="U2348">
            <v>0.48</v>
          </cell>
          <cell r="V2348">
            <v>0.85</v>
          </cell>
          <cell r="W2348">
            <v>0</v>
          </cell>
          <cell r="X2348" t="str">
            <v>EST CADEIRA GB01 TELA (QUADRIC NT) (JEQ 01) - 0,45x0,48x0,85H</v>
          </cell>
          <cell r="Y2348">
            <v>0</v>
          </cell>
          <cell r="Z2348">
            <v>0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0</v>
          </cell>
          <cell r="O2349">
            <v>175266</v>
          </cell>
          <cell r="P2349"/>
          <cell r="Q2349" t="str">
            <v>EST MESA LATERAL CONINHA (BASE CRINOLINA) (TPO METAL OURO)</v>
          </cell>
          <cell r="R2349"/>
          <cell r="S2349"/>
          <cell r="T2349">
            <v>0.35</v>
          </cell>
          <cell r="U2349">
            <v>0</v>
          </cell>
          <cell r="V2349">
            <v>0.5</v>
          </cell>
          <cell r="W2349">
            <v>0.35</v>
          </cell>
          <cell r="X2349" t="str">
            <v>EST MESA LATERAL CONINHA (BASE CRINOLINA) (TPO METAL OURO) - Ø0,35x0,5H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1</v>
          </cell>
          <cell r="O2350">
            <v>175269</v>
          </cell>
          <cell r="P2350"/>
          <cell r="Q2350" t="str">
            <v>EST BASE CAVALETE MARISA (MAD A COR 02)</v>
          </cell>
          <cell r="R2350"/>
          <cell r="S2350"/>
          <cell r="T2350">
            <v>1.3</v>
          </cell>
          <cell r="U2350">
            <v>0.65</v>
          </cell>
          <cell r="V2350">
            <v>0.72</v>
          </cell>
          <cell r="W2350">
            <v>0</v>
          </cell>
          <cell r="X2350" t="str">
            <v>EST BASE CAVALETE MARISA (MAD A COR 02) - 1,3x0,65x0,72H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175271</v>
          </cell>
          <cell r="P2351"/>
          <cell r="Q2351" t="str">
            <v>EST POLTRONA RAMPA (FREIJO NT) (LONA WASHED 1672) CRU ESCURO</v>
          </cell>
          <cell r="R2351"/>
          <cell r="S2351"/>
          <cell r="T2351">
            <v>0.89</v>
          </cell>
          <cell r="U2351">
            <v>1.2</v>
          </cell>
          <cell r="V2351">
            <v>0.96</v>
          </cell>
          <cell r="W2351">
            <v>0</v>
          </cell>
          <cell r="X2351" t="str">
            <v>EST POLTRONA RAMPA (FREIJO NT) (LONA WASHED 1672) CRU ESCURO - 0,89x1,2x0,96H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1</v>
          </cell>
          <cell r="O2352">
            <v>175603</v>
          </cell>
          <cell r="P2352"/>
          <cell r="Q2352" t="str">
            <v>EST TAMPO GELSOMINA (CIRCULAR) (TRAVERT BRUTO) (BORDA SIMP)</v>
          </cell>
          <cell r="R2352"/>
          <cell r="S2352"/>
          <cell r="T2352">
            <v>1.4</v>
          </cell>
          <cell r="U2352">
            <v>0</v>
          </cell>
          <cell r="V2352">
            <v>0.02</v>
          </cell>
          <cell r="W2352">
            <v>1.4</v>
          </cell>
          <cell r="X2352" t="str">
            <v>EST TAMPO GELSOMINA (CIRCULAR) (TRAVERT BRUTO) (BORDA SIMP) - Ø1,4x0,02H</v>
          </cell>
          <cell r="Y2352">
            <v>0</v>
          </cell>
          <cell r="Z2352">
            <v>0</v>
          </cell>
          <cell r="AA2352">
            <v>0</v>
          </cell>
          <cell r="AB2352"/>
        </row>
        <row r="2353">
          <cell r="C2353" t="e">
            <v>#N/A</v>
          </cell>
          <cell r="D2353" t="e">
            <v>#N/A</v>
          </cell>
          <cell r="E2353" t="e">
            <v>#N/A</v>
          </cell>
          <cell r="F2353" t="e">
            <v>#N/A</v>
          </cell>
          <cell r="H2353" t="e">
            <v>#N/A</v>
          </cell>
          <cell r="O2353">
            <v>175799</v>
          </cell>
          <cell r="P2353"/>
          <cell r="Q2353" t="e">
            <v>#N/A</v>
          </cell>
          <cell r="R2353"/>
          <cell r="S2353"/>
          <cell r="T2353" t="e">
            <v>#N/A</v>
          </cell>
          <cell r="U2353" t="e">
            <v>#N/A</v>
          </cell>
          <cell r="V2353" t="e">
            <v>#N/A</v>
          </cell>
          <cell r="W2353" t="e">
            <v>#N/A</v>
          </cell>
          <cell r="X2353" t="e">
            <v>#N/A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3</v>
          </cell>
          <cell r="O2354">
            <v>175816</v>
          </cell>
          <cell r="P2354"/>
          <cell r="Q2354" t="str">
            <v>EST CADEIRA GB M110 (TELA NAT) (SUCUPIRA) (ACO PTO)</v>
          </cell>
          <cell r="R2354"/>
          <cell r="S2354"/>
          <cell r="T2354">
            <v>0.45</v>
          </cell>
          <cell r="U2354">
            <v>0.5</v>
          </cell>
          <cell r="V2354">
            <v>0.84</v>
          </cell>
          <cell r="W2354">
            <v>0</v>
          </cell>
          <cell r="X2354" t="str">
            <v>EST CADEIRA GB M110 (TELA NAT) (SUCUPIRA) (ACO PTO) - 0,45x0,5x0,84H</v>
          </cell>
          <cell r="Y2354">
            <v>0</v>
          </cell>
          <cell r="Z2354">
            <v>0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3</v>
          </cell>
          <cell r="O2355">
            <v>175817</v>
          </cell>
          <cell r="P2355"/>
          <cell r="Q2355" t="str">
            <v>EST CADEIRA GB M110 (TELA NAT) (TAUARI) (ACO PTO)</v>
          </cell>
          <cell r="R2355"/>
          <cell r="S2355"/>
          <cell r="T2355">
            <v>0.45</v>
          </cell>
          <cell r="U2355">
            <v>0.5</v>
          </cell>
          <cell r="V2355">
            <v>0.84</v>
          </cell>
          <cell r="W2355">
            <v>0</v>
          </cell>
          <cell r="X2355" t="str">
            <v>EST CADEIRA GB M110 (TELA NAT) (TAUARI) (ACO PTO) - 0,45x0,5x0,84H</v>
          </cell>
          <cell r="Y2355">
            <v>0</v>
          </cell>
          <cell r="Z2355">
            <v>0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0</v>
          </cell>
          <cell r="O2356">
            <v>176434</v>
          </cell>
          <cell r="P2356"/>
          <cell r="Q2356" t="str">
            <v>EST MESA JANTAR CONE (TPO TECA) (ESP 3,4) CONCRETO PRETO</v>
          </cell>
          <cell r="R2356"/>
          <cell r="S2356"/>
          <cell r="T2356">
            <v>1.4</v>
          </cell>
          <cell r="U2356">
            <v>0</v>
          </cell>
          <cell r="V2356">
            <v>0</v>
          </cell>
          <cell r="W2356">
            <v>0</v>
          </cell>
          <cell r="X2356" t="str">
            <v>EST MESA JANTAR CONE (TPO TECA) (ESP 3,4) CONCRETO PRETO - Ø0x0H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176439</v>
          </cell>
          <cell r="P2357"/>
          <cell r="Q2357" t="str">
            <v>EST BANCO MUCKI (6 PES) (MAD B COR 03)</v>
          </cell>
          <cell r="R2357"/>
          <cell r="S2357"/>
          <cell r="T2357">
            <v>3</v>
          </cell>
          <cell r="U2357">
            <v>0.62</v>
          </cell>
          <cell r="V2357">
            <v>0.4</v>
          </cell>
          <cell r="W2357">
            <v>0</v>
          </cell>
          <cell r="X2357" t="str">
            <v>EST BANCO MUCKI (6 PES) (MAD B COR 03) - 3x0,62x0,4H</v>
          </cell>
          <cell r="Y2357">
            <v>0</v>
          </cell>
          <cell r="Z2357">
            <v>0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1</v>
          </cell>
          <cell r="O2358">
            <v>176504</v>
          </cell>
          <cell r="P2358"/>
          <cell r="Q2358" t="str">
            <v>EST BANCO TERRAO (KRAFT TERRA)</v>
          </cell>
          <cell r="R2358"/>
          <cell r="S2358"/>
          <cell r="T2358">
            <v>2.5</v>
          </cell>
          <cell r="U2358">
            <v>0.42</v>
          </cell>
          <cell r="V2358">
            <v>0.44</v>
          </cell>
          <cell r="W2358">
            <v>0</v>
          </cell>
          <cell r="X2358" t="str">
            <v>EST BANCO TERRAO (KRAFT TERRA) - 2,5x0,42x0,44H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1</v>
          </cell>
          <cell r="O2359">
            <v>176539</v>
          </cell>
          <cell r="P2359"/>
          <cell r="Q2359" t="str">
            <v>EST COMPONENTE CAPA PAULISTANO (LONA 45 CRU)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COMPONENTE CAPA PAULISTANO (LONA 45 CRU) - Ø0x0H</v>
          </cell>
          <cell r="Y2359">
            <v>0</v>
          </cell>
          <cell r="Z2359">
            <v>0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2</v>
          </cell>
          <cell r="O2360">
            <v>176544</v>
          </cell>
          <cell r="P2360"/>
          <cell r="Q2360" t="str">
            <v>EST MESA LATERAL JANETE (FREIJO NATURAL)</v>
          </cell>
          <cell r="R2360"/>
          <cell r="S2360"/>
          <cell r="T2360">
            <v>0.6</v>
          </cell>
          <cell r="U2360">
            <v>0</v>
          </cell>
          <cell r="V2360">
            <v>0.6</v>
          </cell>
          <cell r="W2360">
            <v>0.6</v>
          </cell>
          <cell r="X2360" t="str">
            <v>EST MESA LATERAL JANETE (FREIJO NATURAL) - Ø0,6x0,6H</v>
          </cell>
          <cell r="Y2360">
            <v>0</v>
          </cell>
          <cell r="Z2360">
            <v>0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1</v>
          </cell>
          <cell r="O2361">
            <v>176547</v>
          </cell>
          <cell r="P2361"/>
          <cell r="Q2361" t="str">
            <v>EST BANCO ELP (PEROBA DO CAMPO) BORBOLETA PRATA AB</v>
          </cell>
          <cell r="R2361"/>
          <cell r="S2361"/>
          <cell r="T2361">
            <v>2.8</v>
          </cell>
          <cell r="U2361">
            <v>0.65</v>
          </cell>
          <cell r="V2361">
            <v>0.4</v>
          </cell>
          <cell r="W2361">
            <v>0</v>
          </cell>
          <cell r="X2361" t="str">
            <v>EST BANCO ELP (PEROBA DO CAMPO) BORBOLETA PRATA AB - 2,8x0,65x0,4H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176548</v>
          </cell>
          <cell r="P2362"/>
          <cell r="Q2362" t="str">
            <v>EST MESA LATERAL KROPF (FREIJO TONALIZADO 02)</v>
          </cell>
          <cell r="R2362"/>
          <cell r="S2362"/>
          <cell r="T2362">
            <v>0.6</v>
          </cell>
          <cell r="U2362">
            <v>0</v>
          </cell>
          <cell r="V2362">
            <v>0.6</v>
          </cell>
          <cell r="W2362">
            <v>0.6</v>
          </cell>
          <cell r="X2362" t="str">
            <v>EST MESA LATERAL KROPF (FREIJO TONALIZADO 02) - Ø0,6x0,6H</v>
          </cell>
          <cell r="Y2362">
            <v>0</v>
          </cell>
          <cell r="Z2362">
            <v>0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176549</v>
          </cell>
          <cell r="P2363"/>
          <cell r="Q2363" t="str">
            <v>EST MESA LATERAL KROPF (FREIJO TONALIZADO 02)</v>
          </cell>
          <cell r="R2363"/>
          <cell r="S2363"/>
          <cell r="T2363">
            <v>0.5</v>
          </cell>
          <cell r="U2363">
            <v>0</v>
          </cell>
          <cell r="V2363">
            <v>0.55000000000000004</v>
          </cell>
          <cell r="W2363">
            <v>0.5</v>
          </cell>
          <cell r="X2363" t="str">
            <v>EST MESA LATERAL KROPF (FREIJO TONALIZADO 02) - Ø0,5x0,55H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176584</v>
          </cell>
          <cell r="P2364"/>
          <cell r="Q2364" t="str">
            <v>EST MESA CENTRO CORTEN (MADEIRA PINNUS RIP 01) ACO CORTEN</v>
          </cell>
          <cell r="R2364"/>
          <cell r="S2364"/>
          <cell r="T2364">
            <v>1.48</v>
          </cell>
          <cell r="U2364">
            <v>1.48</v>
          </cell>
          <cell r="V2364">
            <v>0.28999999999999998</v>
          </cell>
          <cell r="W2364">
            <v>0</v>
          </cell>
          <cell r="X2364" t="str">
            <v>EST MESA CENTRO CORTEN (MADEIRA PINNUS RIP 01) ACO CORTEN - 1,48x1,48x0,29H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3</v>
          </cell>
          <cell r="O2365">
            <v>176678</v>
          </cell>
          <cell r="P2365"/>
          <cell r="Q2365" t="str">
            <v>EST CADEIRA CANTU ALTA (MAD B COR 03) TC HALLINGDAL 65/968</v>
          </cell>
          <cell r="R2365"/>
          <cell r="S2365"/>
          <cell r="T2365">
            <v>0.5</v>
          </cell>
          <cell r="U2365">
            <v>0.55000000000000004</v>
          </cell>
          <cell r="V2365">
            <v>1.01</v>
          </cell>
          <cell r="W2365">
            <v>0</v>
          </cell>
          <cell r="X2365" t="str">
            <v>EST CADEIRA CANTU ALTA (MAD B COR 03) TC HALLINGDAL 65/968 - 0,5x0,55x1,01H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1</v>
          </cell>
          <cell r="O2366">
            <v>176682</v>
          </cell>
          <cell r="P2366"/>
          <cell r="Q2366" t="str">
            <v>EST CADEIRA TIAO (MAD B COR 03) TC KAVDRAT SAVANNA 442</v>
          </cell>
          <cell r="R2366"/>
          <cell r="S2366"/>
          <cell r="T2366">
            <v>0.61</v>
          </cell>
          <cell r="U2366">
            <v>0.6</v>
          </cell>
          <cell r="V2366">
            <v>0.75</v>
          </cell>
          <cell r="W2366">
            <v>0</v>
          </cell>
          <cell r="X2366" t="str">
            <v>EST CADEIRA TIAO (MAD B COR 03) TC KAVDRAT SAVANNA 442 - 0,61x0,6x0,75H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176688</v>
          </cell>
          <cell r="P2367"/>
          <cell r="Q2367" t="str">
            <v>EST SOFA COZY (C/CP) (IMB) (BIP) TC LINHO 409 NAT/ALM FLOR B</v>
          </cell>
          <cell r="R2367"/>
          <cell r="S2367"/>
          <cell r="T2367">
            <v>3</v>
          </cell>
          <cell r="U2367">
            <v>1.03</v>
          </cell>
          <cell r="V2367">
            <v>0.89</v>
          </cell>
          <cell r="W2367">
            <v>0</v>
          </cell>
          <cell r="X2367" t="str">
            <v>EST SOFA COZY (C/CP) (IMB) (BIP) TC LINHO 409 NAT/ALM FLOR B - 3x1,03x0,89H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3</v>
          </cell>
          <cell r="O2368">
            <v>176693</v>
          </cell>
          <cell r="P2368"/>
          <cell r="Q2368" t="str">
            <v>EST CADEIRA ORQUIDEA (MAD B FREIJO ENV) COURO PIG 340</v>
          </cell>
          <cell r="R2368"/>
          <cell r="S2368"/>
          <cell r="T2368">
            <v>0.47</v>
          </cell>
          <cell r="U2368">
            <v>0.55000000000000004</v>
          </cell>
          <cell r="V2368">
            <v>0.79</v>
          </cell>
          <cell r="W2368">
            <v>0</v>
          </cell>
          <cell r="X2368" t="str">
            <v>EST CADEIRA ORQUIDEA (MAD B FREIJO ENV) COURO PIG 340 - 0,47x0,55x0,79H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H2369">
            <v>1</v>
          </cell>
          <cell r="O2369">
            <v>176698</v>
          </cell>
          <cell r="P2369"/>
          <cell r="Q2369" t="str">
            <v>EST POLTRONA SAND (MAD A TAUARI ENV) TC KVADRAT MEDINA 211</v>
          </cell>
          <cell r="R2369"/>
          <cell r="S2369"/>
          <cell r="T2369">
            <v>0.8</v>
          </cell>
          <cell r="U2369">
            <v>0.86</v>
          </cell>
          <cell r="V2369">
            <v>0.7</v>
          </cell>
          <cell r="W2369">
            <v>0</v>
          </cell>
          <cell r="X2369" t="str">
            <v>EST POLTRONA SAND (MAD A TAUARI ENV) TC KVADRAT MEDINA 211 - 0,8x0,86x0,7H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176813</v>
          </cell>
          <cell r="P2370"/>
          <cell r="Q2370" t="str">
            <v>EST POLTRONA KIKO ALTA (FREIJO TNZ 01) TC TRAMADO NAVY</v>
          </cell>
          <cell r="R2370"/>
          <cell r="S2370"/>
          <cell r="T2370">
            <v>0.56000000000000005</v>
          </cell>
          <cell r="U2370">
            <v>0.61</v>
          </cell>
          <cell r="V2370">
            <v>0.92</v>
          </cell>
          <cell r="W2370">
            <v>0</v>
          </cell>
          <cell r="X2370" t="str">
            <v>EST POLTRONA KIKO ALTA (FREIJO TNZ 01) TC TRAMADO NAVY - 0,56x0,61x0,92H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176818</v>
          </cell>
          <cell r="P2371"/>
          <cell r="Q2371" t="str">
            <v>EST POLTRONA TONICO (FREIJO NAT) COURO PIG 370/COURO PIG 258</v>
          </cell>
          <cell r="R2371"/>
          <cell r="S2371"/>
          <cell r="T2371">
            <v>1.05</v>
          </cell>
          <cell r="U2371">
            <v>0.86</v>
          </cell>
          <cell r="V2371">
            <v>1.08</v>
          </cell>
          <cell r="W2371">
            <v>0</v>
          </cell>
          <cell r="X2371" t="str">
            <v>EST POLTRONA TONICO (FREIJO NAT) COURO PIG 370/COURO PIG 258 - 1,05x0,86x1,08H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176819</v>
          </cell>
          <cell r="P2372"/>
          <cell r="Q2372" t="str">
            <v>EST BANQUETA TONICO (FREIJO NAT) COURO PIG 410</v>
          </cell>
          <cell r="R2372"/>
          <cell r="S2372"/>
          <cell r="T2372">
            <v>0.86</v>
          </cell>
          <cell r="U2372">
            <v>0.5</v>
          </cell>
          <cell r="V2372">
            <v>0.42</v>
          </cell>
          <cell r="W2372">
            <v>0</v>
          </cell>
          <cell r="X2372" t="str">
            <v>EST BANQUETA TONICO (FREIJO NAT) COURO PIG 410 - 0,86x0,5x0,42H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2</v>
          </cell>
          <cell r="O2373">
            <v>176820</v>
          </cell>
          <cell r="P2373"/>
          <cell r="Q2373" t="str">
            <v>EST CADEIRA GB01 MISTA (JEQ 03) (QUADRIC NT) TC 244-00686</v>
          </cell>
          <cell r="R2373"/>
          <cell r="S2373"/>
          <cell r="T2373">
            <v>0.45</v>
          </cell>
          <cell r="U2373">
            <v>0.48</v>
          </cell>
          <cell r="V2373">
            <v>0.85</v>
          </cell>
          <cell r="W2373">
            <v>0</v>
          </cell>
          <cell r="X2373" t="str">
            <v>EST CADEIRA GB01 MISTA (JEQ 03) (QUADRIC NT) TC 244-00686 - 0,45x0,48x0,85H</v>
          </cell>
          <cell r="Y2373">
            <v>0</v>
          </cell>
          <cell r="Z2373">
            <v>0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176840</v>
          </cell>
          <cell r="P2374"/>
          <cell r="Q2374" t="str">
            <v>EST BANQUETA VOLTAIRE (MAD B COR 03) TC SAF RUBELL VIOLETA</v>
          </cell>
          <cell r="R2374"/>
          <cell r="S2374"/>
          <cell r="T2374">
            <v>0.67</v>
          </cell>
          <cell r="U2374">
            <v>0.46</v>
          </cell>
          <cell r="V2374">
            <v>0.43</v>
          </cell>
          <cell r="W2374">
            <v>0</v>
          </cell>
          <cell r="X2374" t="str">
            <v>EST BANQUETA VOLTAIRE (MAD B COR 03) TC SAF RUBELL VIOLETA - 0,67x0,46x0,43H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176870</v>
          </cell>
          <cell r="P2375"/>
          <cell r="Q2375" t="str">
            <v>EST BANQUETA BAR CORINGA H73 (SUCUPIRA) TC FLOR VELVET</v>
          </cell>
          <cell r="R2375"/>
          <cell r="S2375"/>
          <cell r="T2375">
            <v>0.43</v>
          </cell>
          <cell r="U2375">
            <v>0</v>
          </cell>
          <cell r="V2375">
            <v>0.73</v>
          </cell>
          <cell r="W2375">
            <v>0</v>
          </cell>
          <cell r="X2375" t="str">
            <v>EST BANQUETA BAR CORINGA H73 (SUCUPIRA) TC FLOR VELVET - Ø0x0,73H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176872</v>
          </cell>
          <cell r="P2376"/>
          <cell r="Q2376" t="str">
            <v>EST CADEIRA DAAV (INOX POL) (MAD B COR 03) TC FLOR VELVET</v>
          </cell>
          <cell r="R2376"/>
          <cell r="S2376"/>
          <cell r="T2376">
            <v>0.6</v>
          </cell>
          <cell r="U2376">
            <v>0.65</v>
          </cell>
          <cell r="V2376">
            <v>0.8</v>
          </cell>
          <cell r="W2376">
            <v>0</v>
          </cell>
          <cell r="X2376" t="str">
            <v>EST CADEIRA DAAV (INOX POL) (MAD B COR 03) TC FLOR VELVET - 0,6x0,65x0,8H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1</v>
          </cell>
          <cell r="O2377">
            <v>176873</v>
          </cell>
          <cell r="P2377"/>
          <cell r="Q2377" t="str">
            <v>EST POLTRONA OSCAR JANTAR (MISTA) (MAD B COR 3) TC FLOR VELV</v>
          </cell>
          <cell r="R2377"/>
          <cell r="S2377"/>
          <cell r="T2377">
            <v>0.7</v>
          </cell>
          <cell r="U2377">
            <v>0.61</v>
          </cell>
          <cell r="V2377">
            <v>0.85</v>
          </cell>
          <cell r="W2377">
            <v>0</v>
          </cell>
          <cell r="X2377" t="str">
            <v>EST POLTRONA OSCAR JANTAR (MISTA) (MAD B COR 3) TC FLOR VELV - 0,7x0,61x0,85H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176874</v>
          </cell>
          <cell r="P2378"/>
          <cell r="Q2378" t="str">
            <v>EST CADEIRA TIAO C/BRACO (MAD B COR 03) TC FLOR VELVET</v>
          </cell>
          <cell r="R2378"/>
          <cell r="S2378"/>
          <cell r="T2378">
            <v>0.61</v>
          </cell>
          <cell r="U2378">
            <v>0.62</v>
          </cell>
          <cell r="V2378">
            <v>0.78</v>
          </cell>
          <cell r="W2378">
            <v>0</v>
          </cell>
          <cell r="X2378" t="str">
            <v>EST CADEIRA TIAO C/BRACO (MAD B COR 03) TC FLOR VELVET - 0,61x0,62x0,78H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176875</v>
          </cell>
          <cell r="P2379"/>
          <cell r="Q2379" t="str">
            <v>EST CADEIRA TIAO (MAD B COR 03) TC FLOR VELVET</v>
          </cell>
          <cell r="R2379"/>
          <cell r="S2379"/>
          <cell r="T2379">
            <v>0.61</v>
          </cell>
          <cell r="U2379">
            <v>0.6</v>
          </cell>
          <cell r="V2379">
            <v>0.75</v>
          </cell>
          <cell r="W2379">
            <v>0</v>
          </cell>
          <cell r="X2379" t="str">
            <v>EST CADEIRA TIAO (MAD B COR 03) TC FLOR VELVET - 0,61x0,6x0,75H</v>
          </cell>
          <cell r="Y2379">
            <v>0</v>
          </cell>
          <cell r="Z2379">
            <v>0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2</v>
          </cell>
          <cell r="O2380">
            <v>176876</v>
          </cell>
          <cell r="P2380"/>
          <cell r="Q2380" t="str">
            <v>EST POLTRONA STELLA (BAIXA) (MAD B COR 03) TC FLOR VELVET</v>
          </cell>
          <cell r="R2380"/>
          <cell r="S2380"/>
          <cell r="T2380">
            <v>0.74</v>
          </cell>
          <cell r="U2380">
            <v>0.92</v>
          </cell>
          <cell r="V2380">
            <v>0.69</v>
          </cell>
          <cell r="W2380">
            <v>0</v>
          </cell>
          <cell r="X2380" t="str">
            <v>EST POLTRONA STELLA (BAIXA) (MAD B COR 03) TC FLOR VELVET - 0,74x0,92x0,69H</v>
          </cell>
          <cell r="Y2380">
            <v>0</v>
          </cell>
          <cell r="Z2380">
            <v>0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0</v>
          </cell>
          <cell r="O2381">
            <v>176886</v>
          </cell>
          <cell r="P2381"/>
          <cell r="Q2381" t="str">
            <v>EST CADEIRA CA-03 C/BRACO (TELA) (MAD A JEQ TABACO)</v>
          </cell>
          <cell r="R2381"/>
          <cell r="S2381"/>
          <cell r="T2381">
            <v>0.6</v>
          </cell>
          <cell r="U2381">
            <v>0.57999999999999996</v>
          </cell>
          <cell r="V2381">
            <v>0.8</v>
          </cell>
          <cell r="W2381">
            <v>0</v>
          </cell>
          <cell r="X2381" t="str">
            <v>EST CADEIRA CA-03 C/BRACO (TELA) (MAD A JEQ TABACO) - 0,6x0,58x0,8H</v>
          </cell>
          <cell r="Y2381">
            <v>0</v>
          </cell>
          <cell r="Z2381">
            <v>0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1</v>
          </cell>
          <cell r="O2382">
            <v>176901</v>
          </cell>
          <cell r="P2382"/>
          <cell r="Q2382" t="str">
            <v>EST BANQUETA BAR ZANINE X H68 (JEQUITIBA TABACO) FLOR VELVET</v>
          </cell>
          <cell r="R2382"/>
          <cell r="S2382"/>
          <cell r="T2382">
            <v>0.5</v>
          </cell>
          <cell r="U2382">
            <v>0</v>
          </cell>
          <cell r="V2382">
            <v>0.68</v>
          </cell>
          <cell r="W2382">
            <v>0</v>
          </cell>
          <cell r="X2382" t="str">
            <v>EST BANQUETA BAR ZANINE X H68 (JEQUITIBA TABACO) FLOR VELVET - Ø0x0,68H</v>
          </cell>
          <cell r="Y2382">
            <v>0</v>
          </cell>
          <cell r="Z2382">
            <v>0.5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1</v>
          </cell>
          <cell r="O2383">
            <v>176904</v>
          </cell>
          <cell r="P2383"/>
          <cell r="Q2383" t="str">
            <v>EST BANCO ZANINE X (JEQUITIBA TABACO) TC 244 01722 FLORAL</v>
          </cell>
          <cell r="R2383"/>
          <cell r="S2383"/>
          <cell r="T2383">
            <v>0.46</v>
          </cell>
          <cell r="U2383">
            <v>0.46</v>
          </cell>
          <cell r="V2383">
            <v>0.45</v>
          </cell>
          <cell r="W2383">
            <v>0</v>
          </cell>
          <cell r="X2383" t="str">
            <v>EST BANCO ZANINE X (JEQUITIBA TABACO) TC 244 01722 FLORAL - 0,46x0,46x0,45H</v>
          </cell>
          <cell r="Y2383">
            <v>0</v>
          </cell>
          <cell r="Z2383">
            <v>0.35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176914</v>
          </cell>
          <cell r="P2384"/>
          <cell r="Q2384" t="str">
            <v>EST CADEIRA GB01 TELA (QUADRIC NT) (JEQ 01)</v>
          </cell>
          <cell r="R2384"/>
          <cell r="S2384"/>
          <cell r="T2384">
            <v>0.45</v>
          </cell>
          <cell r="U2384">
            <v>0.48</v>
          </cell>
          <cell r="V2384">
            <v>0.85</v>
          </cell>
          <cell r="W2384">
            <v>0</v>
          </cell>
          <cell r="X2384" t="str">
            <v>EST CADEIRA GB01 TELA (QUADRIC NT) (JEQ 01) - 0,45x0,48x0,85H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 t="e">
            <v>#N/A</v>
          </cell>
          <cell r="D2385" t="e">
            <v>#N/A</v>
          </cell>
          <cell r="E2385" t="e">
            <v>#N/A</v>
          </cell>
          <cell r="F2385" t="e">
            <v>#N/A</v>
          </cell>
          <cell r="H2385" t="e">
            <v>#N/A</v>
          </cell>
          <cell r="O2385">
            <v>177604</v>
          </cell>
          <cell r="P2385"/>
          <cell r="Q2385" t="e">
            <v>#N/A</v>
          </cell>
          <cell r="R2385"/>
          <cell r="S2385"/>
          <cell r="T2385" t="e">
            <v>#N/A</v>
          </cell>
          <cell r="U2385" t="e">
            <v>#N/A</v>
          </cell>
          <cell r="V2385" t="e">
            <v>#N/A</v>
          </cell>
          <cell r="W2385" t="e">
            <v>#N/A</v>
          </cell>
          <cell r="X2385" t="e">
            <v>#N/A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178686</v>
          </cell>
          <cell r="P2386"/>
          <cell r="Q2386" t="str">
            <v>EST BANQUETA GIO (FREIJO NT) COURO CH VINHO</v>
          </cell>
          <cell r="R2386"/>
          <cell r="S2386"/>
          <cell r="T2386">
            <v>0.65</v>
          </cell>
          <cell r="U2386">
            <v>0.5</v>
          </cell>
          <cell r="V2386">
            <v>0.4</v>
          </cell>
          <cell r="W2386">
            <v>0</v>
          </cell>
          <cell r="X2386" t="str">
            <v>EST BANQUETA GIO (FREIJO NT) COURO CH VINHO - 0,65x0,5x0,4H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178699</v>
          </cell>
          <cell r="P2387"/>
          <cell r="Q2387" t="str">
            <v>EST BANQUETA BAR TZ H60 (FREIJO NATURAL)</v>
          </cell>
          <cell r="R2387"/>
          <cell r="S2387"/>
          <cell r="T2387">
            <v>0.35</v>
          </cell>
          <cell r="U2387">
            <v>0</v>
          </cell>
          <cell r="V2387">
            <v>0.6</v>
          </cell>
          <cell r="W2387">
            <v>0</v>
          </cell>
          <cell r="X2387" t="str">
            <v>EST BANQUETA BAR TZ H60 (FREIJO NATURAL) - Ø0x0,6H</v>
          </cell>
          <cell r="Y2387">
            <v>0</v>
          </cell>
          <cell r="Z2387">
            <v>0.5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0</v>
          </cell>
          <cell r="O2388">
            <v>178700</v>
          </cell>
          <cell r="P2388"/>
          <cell r="Q2388" t="str">
            <v>EST BANQUETA BAR TZ H72 (FREIJO NATURAL)</v>
          </cell>
          <cell r="R2388"/>
          <cell r="S2388"/>
          <cell r="T2388">
            <v>0.35</v>
          </cell>
          <cell r="U2388">
            <v>0</v>
          </cell>
          <cell r="V2388">
            <v>0.72</v>
          </cell>
          <cell r="W2388">
            <v>0.35</v>
          </cell>
          <cell r="X2388" t="str">
            <v>EST BANQUETA BAR TZ H72 (FREIJO NATURAL) - Ø0,35x0,72H</v>
          </cell>
          <cell r="Y2388">
            <v>0</v>
          </cell>
          <cell r="Z2388">
            <v>0.5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0</v>
          </cell>
          <cell r="O2389">
            <v>178780</v>
          </cell>
          <cell r="P2389"/>
          <cell r="Q2389" t="str">
            <v>EST ESCRIVANINHA CATETE (GAV COURO CAMEL) (MAD A CATUABA PU)</v>
          </cell>
          <cell r="R2389"/>
          <cell r="S2389"/>
          <cell r="T2389">
            <v>2.6</v>
          </cell>
          <cell r="U2389">
            <v>0.8</v>
          </cell>
          <cell r="V2389">
            <v>0.74</v>
          </cell>
          <cell r="W2389">
            <v>0</v>
          </cell>
          <cell r="X2389" t="str">
            <v>EST ESCRIVANINHA CATETE (GAV COURO CAMEL) (MAD A CATUABA PU) - 2,6x0,8x0,74H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4</v>
          </cell>
          <cell r="O2390">
            <v>179091</v>
          </cell>
          <cell r="P2390"/>
          <cell r="Q2390" t="str">
            <v>EST BASE CENTRO K2 (P/TP D1,50 - D1,60) (INTEIRA CEDRO)</v>
          </cell>
          <cell r="R2390"/>
          <cell r="S2390"/>
          <cell r="T2390">
            <v>1.4</v>
          </cell>
          <cell r="U2390">
            <v>0</v>
          </cell>
          <cell r="V2390">
            <v>0.33</v>
          </cell>
          <cell r="W2390">
            <v>1.4</v>
          </cell>
          <cell r="X2390" t="str">
            <v>EST BASE CENTRO K2 (P/TP D1,50 - D1,60) (INTEIRA CEDRO) - Ø1,4x0,33H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180623</v>
          </cell>
          <cell r="P2391"/>
          <cell r="Q2391" t="str">
            <v>EST CARRINHO BAR CARRIM (IMPRESSAO LAPIS/SACO/PEIXE) LT7</v>
          </cell>
          <cell r="R2391"/>
          <cell r="S2391"/>
          <cell r="T2391">
            <v>0.8</v>
          </cell>
          <cell r="U2391">
            <v>0.45</v>
          </cell>
          <cell r="V2391">
            <v>0.77</v>
          </cell>
          <cell r="W2391">
            <v>0</v>
          </cell>
          <cell r="X2391" t="str">
            <v>EST CARRINHO BAR CARRIM (IMPRESSAO LAPIS/SACO/PEIXE) LT7 - 0,8x0,45x0,77H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180624</v>
          </cell>
          <cell r="P2392"/>
          <cell r="Q2392" t="str">
            <v>EST CARRINHO BAR CARRIM (IMPRESSAO SACO/PEIXE/LAPIS) LT7</v>
          </cell>
          <cell r="R2392"/>
          <cell r="S2392"/>
          <cell r="T2392">
            <v>0.8</v>
          </cell>
          <cell r="U2392">
            <v>0.45</v>
          </cell>
          <cell r="V2392">
            <v>0.77</v>
          </cell>
          <cell r="W2392">
            <v>0</v>
          </cell>
          <cell r="X2392" t="str">
            <v>EST CARRINHO BAR CARRIM (IMPRESSAO SACO/PEIXE/LAPIS) LT7 - 0,8x0,45x0,77H</v>
          </cell>
          <cell r="Y2392">
            <v>0</v>
          </cell>
          <cell r="Z2392">
            <v>0.35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4</v>
          </cell>
          <cell r="O2393">
            <v>180858</v>
          </cell>
          <cell r="P2393"/>
          <cell r="Q2393" t="str">
            <v>EST CADEIRA TIAO C/BRACO (MAD B COR 03) TC LINHO 601</v>
          </cell>
          <cell r="R2393"/>
          <cell r="S2393"/>
          <cell r="T2393">
            <v>0.61</v>
          </cell>
          <cell r="U2393">
            <v>0.6</v>
          </cell>
          <cell r="V2393">
            <v>0.75</v>
          </cell>
          <cell r="W2393">
            <v>0</v>
          </cell>
          <cell r="X2393" t="str">
            <v>EST CADEIRA TIAO C/BRACO (MAD B COR 03) TC LINHO 601 - 0,61x0,6x0,75H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3</v>
          </cell>
          <cell r="O2394">
            <v>180860</v>
          </cell>
          <cell r="P2394"/>
          <cell r="Q2394" t="str">
            <v>EST CADEIRA TIAO C/BRACO (MAD A COR 01) TC LINHO 501</v>
          </cell>
          <cell r="R2394"/>
          <cell r="S2394"/>
          <cell r="T2394">
            <v>0.61</v>
          </cell>
          <cell r="U2394">
            <v>0.6</v>
          </cell>
          <cell r="V2394">
            <v>0.75</v>
          </cell>
          <cell r="W2394">
            <v>0</v>
          </cell>
          <cell r="X2394" t="str">
            <v>EST CADEIRA TIAO C/BRACO (MAD A COR 01) TC LINHO 501 - 0,61x0,6x0,75H</v>
          </cell>
          <cell r="Y2394">
            <v>0</v>
          </cell>
          <cell r="Z2394">
            <v>0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181282</v>
          </cell>
          <cell r="P2395"/>
          <cell r="Q2395" t="str">
            <v>EST BASE CAVALETE MARISA (MAD A COR 01)</v>
          </cell>
          <cell r="R2395"/>
          <cell r="S2395"/>
          <cell r="T2395">
            <v>2</v>
          </cell>
          <cell r="U2395">
            <v>0.65</v>
          </cell>
          <cell r="V2395">
            <v>0.72</v>
          </cell>
          <cell r="W2395">
            <v>0</v>
          </cell>
          <cell r="X2395" t="str">
            <v>EST BASE CAVALETE MARISA (MAD A COR 01) - 2x0,65x0,72H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2</v>
          </cell>
          <cell r="O2396">
            <v>182431</v>
          </cell>
          <cell r="P2396"/>
          <cell r="Q2396" t="str">
            <v>EST BANQUETA SOFT TC LINHO 409 (ESTONADO) LI-161 MARFIM</v>
          </cell>
          <cell r="R2396"/>
          <cell r="S2396"/>
          <cell r="T2396">
            <v>1</v>
          </cell>
          <cell r="U2396">
            <v>0.75</v>
          </cell>
          <cell r="V2396">
            <v>0.52</v>
          </cell>
          <cell r="W2396">
            <v>0</v>
          </cell>
          <cell r="X2396" t="str">
            <v>EST BANQUETA SOFT TC LINHO 409 (ESTONADO) LI-161 MARFIM - 1x0,75x0,52H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182449</v>
          </cell>
          <cell r="P2397"/>
          <cell r="Q2397" t="str">
            <v>EST POLTRONA MANDACARU (LONA VERDE/VERDE CLARO)</v>
          </cell>
          <cell r="R2397"/>
          <cell r="S2397"/>
          <cell r="T2397">
            <v>1.6</v>
          </cell>
          <cell r="U2397">
            <v>0.7</v>
          </cell>
          <cell r="V2397">
            <v>0.84</v>
          </cell>
          <cell r="W2397">
            <v>0</v>
          </cell>
          <cell r="X2397" t="str">
            <v>EST POLTRONA MANDACARU (LONA VERDE/VERDE CLARO) - 1,6x0,7x0,84H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1</v>
          </cell>
          <cell r="O2398">
            <v>182539</v>
          </cell>
          <cell r="P2398"/>
          <cell r="Q2398" t="str">
            <v>EST MESA CENTRO MC (LACA BRILHO SAYER F-101)</v>
          </cell>
          <cell r="R2398"/>
          <cell r="S2398"/>
          <cell r="T2398">
            <v>1.2</v>
          </cell>
          <cell r="U2398">
            <v>1.2</v>
          </cell>
          <cell r="V2398">
            <v>0.3</v>
          </cell>
          <cell r="W2398">
            <v>0</v>
          </cell>
          <cell r="X2398" t="str">
            <v>EST MESA CENTRO MC (LACA BRILHO SAYER F-101) - 1,2x1,2x0,3H</v>
          </cell>
          <cell r="Y2398">
            <v>0</v>
          </cell>
          <cell r="Z2398">
            <v>0.5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0</v>
          </cell>
          <cell r="O2399">
            <v>183823</v>
          </cell>
          <cell r="P2399"/>
          <cell r="Q2399" t="str">
            <v>EST POLTRONA GERALDO DE BARROS COURO CH 16 VERDE MUSGO</v>
          </cell>
          <cell r="R2399"/>
          <cell r="S2399"/>
          <cell r="T2399">
            <v>0.95</v>
          </cell>
          <cell r="U2399">
            <v>0.76</v>
          </cell>
          <cell r="V2399">
            <v>0.65</v>
          </cell>
          <cell r="W2399">
            <v>0</v>
          </cell>
          <cell r="X2399" t="str">
            <v>EST POLTRONA GERALDO DE BARROS COURO CH 16 VERDE MUSGO - 0,95x0,76x0,65H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1</v>
          </cell>
          <cell r="O2400">
            <v>184515</v>
          </cell>
          <cell r="P2400"/>
          <cell r="Q2400" t="str">
            <v>EST CADEIRA GB01 MISTA (IMBUIA) (QUADRIC NT) TC LINHO 501</v>
          </cell>
          <cell r="R2400"/>
          <cell r="S2400"/>
          <cell r="T2400">
            <v>0.45</v>
          </cell>
          <cell r="U2400">
            <v>0.48</v>
          </cell>
          <cell r="V2400">
            <v>0.85</v>
          </cell>
          <cell r="W2400">
            <v>0</v>
          </cell>
          <cell r="X2400" t="str">
            <v>EST CADEIRA GB01 MISTA (IMBUIA) (QUADRIC NT) TC LINHO 501 - 0,45x0,48x0,85H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1</v>
          </cell>
          <cell r="O2401">
            <v>184534</v>
          </cell>
          <cell r="P2401"/>
          <cell r="Q2401" t="str">
            <v>EST MESA JANTAR CONE (TPO MARMORE BRANCO EXTRA) CONCRETO</v>
          </cell>
          <cell r="R2401"/>
          <cell r="S2401"/>
          <cell r="T2401">
            <v>1.1499999999999999</v>
          </cell>
          <cell r="U2401">
            <v>0</v>
          </cell>
          <cell r="V2401">
            <v>0.75</v>
          </cell>
          <cell r="W2401">
            <v>1.1499999999999999</v>
          </cell>
          <cell r="X2401" t="str">
            <v>EST MESA JANTAR CONE (TPO MARMORE BRANCO EXTRA) CONCRETO - Ø1,15x0,75H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0</v>
          </cell>
          <cell r="O2402">
            <v>185265</v>
          </cell>
          <cell r="P2402"/>
          <cell r="Q2402" t="str">
            <v>EST SOFA SOFT II (BIPARTIDO) TC LINHO STONADO NATURAL LI-159</v>
          </cell>
          <cell r="R2402"/>
          <cell r="S2402"/>
          <cell r="T2402">
            <v>3</v>
          </cell>
          <cell r="U2402">
            <v>1.02</v>
          </cell>
          <cell r="V2402">
            <v>0.85</v>
          </cell>
          <cell r="W2402">
            <v>0</v>
          </cell>
          <cell r="X2402" t="str">
            <v>EST SOFA SOFT II (BIPARTIDO) TC LINHO STONADO NATURAL LI-159 - 3x1,02x0,85H</v>
          </cell>
          <cell r="Y2402">
            <v>0</v>
          </cell>
          <cell r="Z2402">
            <v>0.5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186651</v>
          </cell>
          <cell r="P2403"/>
          <cell r="Q2403" t="str">
            <v>EST MESA LATERAL CONINHA (CONCRETO PTO) (TPO METAL PTO FSC)</v>
          </cell>
          <cell r="R2403"/>
          <cell r="S2403"/>
          <cell r="T2403">
            <v>0.35</v>
          </cell>
          <cell r="U2403">
            <v>0</v>
          </cell>
          <cell r="V2403">
            <v>0.48</v>
          </cell>
          <cell r="W2403">
            <v>0.35</v>
          </cell>
          <cell r="X2403" t="str">
            <v>EST MESA LATERAL CONINHA (CONCRETO PTO) (TPO METAL PTO FSC) - Ø0,35x0,48H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1</v>
          </cell>
          <cell r="O2404">
            <v>186701</v>
          </cell>
          <cell r="P2404"/>
          <cell r="Q2404" t="str">
            <v>EST CARRINHO BAR CARRIM (IMPRESSAO LIVRO/SACO/PEIXE) LT8</v>
          </cell>
          <cell r="R2404"/>
          <cell r="S2404"/>
          <cell r="T2404">
            <v>0.8</v>
          </cell>
          <cell r="U2404">
            <v>0.45</v>
          </cell>
          <cell r="V2404">
            <v>0.77</v>
          </cell>
          <cell r="W2404">
            <v>0</v>
          </cell>
          <cell r="X2404" t="str">
            <v>EST CARRINHO BAR CARRIM (IMPRESSAO LIVRO/SACO/PEIXE) LT8 - 0,8x0,45x0,77H</v>
          </cell>
          <cell r="Y2404">
            <v>0</v>
          </cell>
          <cell r="Z2404">
            <v>0.35</v>
          </cell>
          <cell r="AA2404">
            <v>0</v>
          </cell>
          <cell r="AB2404"/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H2405">
            <v>1</v>
          </cell>
          <cell r="O2405">
            <v>186866</v>
          </cell>
          <cell r="P2405"/>
          <cell r="Q2405" t="str">
            <v>EST MESA LATERAL LEVE (INOX ACET) PORCELANATO MATCH WINE</v>
          </cell>
          <cell r="R2405"/>
          <cell r="S2405"/>
          <cell r="T2405">
            <v>0.6</v>
          </cell>
          <cell r="U2405">
            <v>0.6</v>
          </cell>
          <cell r="V2405">
            <v>0.6</v>
          </cell>
          <cell r="W2405">
            <v>0</v>
          </cell>
          <cell r="X2405" t="str">
            <v>EST MESA LATERAL LEVE (INOX ACET) PORCELANATO MATCH WINE - 0,6x0,6x0,6H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2</v>
          </cell>
          <cell r="O2406">
            <v>186876</v>
          </cell>
          <cell r="P2406"/>
          <cell r="Q2406" t="str">
            <v>EST POLTRONA SAND (MAD A TAUARI CAT PU) TC 244/01219 INDIGO</v>
          </cell>
          <cell r="R2406"/>
          <cell r="S2406"/>
          <cell r="T2406">
            <v>0.8</v>
          </cell>
          <cell r="U2406">
            <v>0.86</v>
          </cell>
          <cell r="V2406">
            <v>0.76</v>
          </cell>
          <cell r="W2406">
            <v>0</v>
          </cell>
          <cell r="X2406" t="str">
            <v>EST POLTRONA SAND (MAD A TAUARI CAT PU) TC 244/01219 INDIGO - 0,8x0,86x0,76H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187326</v>
          </cell>
          <cell r="P2407"/>
          <cell r="Q2407" t="str">
            <v>EST CARRINHO BAR CARRIM (IMPRESSAO SACO/PEIXE/LIVRO) LT8</v>
          </cell>
          <cell r="R2407"/>
          <cell r="S2407"/>
          <cell r="T2407">
            <v>0.8</v>
          </cell>
          <cell r="U2407">
            <v>0.45</v>
          </cell>
          <cell r="V2407">
            <v>0.77</v>
          </cell>
          <cell r="W2407">
            <v>0</v>
          </cell>
          <cell r="X2407" t="str">
            <v>EST CARRINHO BAR CARRIM (IMPRESSAO SACO/PEIXE/LIVRO) LT8 - 0,8x0,45x0,77H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188022</v>
          </cell>
          <cell r="P2408"/>
          <cell r="Q2408" t="str">
            <v>EST BIOMBO RIPAS (PADRAO CLARO)</v>
          </cell>
          <cell r="R2408"/>
          <cell r="S2408"/>
          <cell r="T2408">
            <v>1.49</v>
          </cell>
          <cell r="U2408">
            <v>0.37</v>
          </cell>
          <cell r="V2408">
            <v>1.2</v>
          </cell>
          <cell r="W2408">
            <v>0</v>
          </cell>
          <cell r="X2408" t="str">
            <v>EST BIOMBO RIPAS (PADRAO CLARO) - 1,49x0,37x1,2H</v>
          </cell>
          <cell r="Y2408">
            <v>0</v>
          </cell>
          <cell r="Z2408">
            <v>0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0</v>
          </cell>
          <cell r="O2409">
            <v>188053</v>
          </cell>
          <cell r="P2409"/>
          <cell r="Q2409" t="str">
            <v>EST LUMINARIA SOL (MESA) (CATUABA ENV) (INOX ENV)</v>
          </cell>
          <cell r="R2409"/>
          <cell r="S2409"/>
          <cell r="T2409">
            <v>0.4</v>
          </cell>
          <cell r="U2409">
            <v>0.3</v>
          </cell>
          <cell r="V2409">
            <v>0.73</v>
          </cell>
          <cell r="W2409">
            <v>0</v>
          </cell>
          <cell r="X2409" t="str">
            <v>EST LUMINARIA SOL (MESA) (CATUABA ENV) (INOX ENV) - 0,4x0,3x0,73H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2</v>
          </cell>
          <cell r="O2410">
            <v>188094</v>
          </cell>
          <cell r="P2410"/>
          <cell r="Q2410" t="str">
            <v>EST POLTRONA BOWL ST00325 BO000F2 BO000F2 AVELA/MANDACARU</v>
          </cell>
          <cell r="R2410"/>
          <cell r="S2410"/>
          <cell r="T2410">
            <v>0.87</v>
          </cell>
          <cell r="U2410">
            <v>0.87</v>
          </cell>
          <cell r="V2410">
            <v>0.76</v>
          </cell>
          <cell r="W2410">
            <v>0</v>
          </cell>
          <cell r="X2410" t="str">
            <v>EST POLTRONA BOWL ST00325 BO000F2 BO000F2 AVELA/MANDACARU - 0,87x0,87x0,76H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188096</v>
          </cell>
          <cell r="P2411"/>
          <cell r="Q2411" t="str">
            <v>EST POLTRONA BOWL ST00953 BO000F6 BO000F6 VERDE/CIRCULOS</v>
          </cell>
          <cell r="R2411"/>
          <cell r="S2411"/>
          <cell r="T2411">
            <v>0.87</v>
          </cell>
          <cell r="U2411">
            <v>0.87</v>
          </cell>
          <cell r="V2411">
            <v>0.76</v>
          </cell>
          <cell r="W2411">
            <v>0</v>
          </cell>
          <cell r="X2411" t="str">
            <v>EST POLTRONA BOWL ST00953 BO000F6 BO000F6 VERDE/CIRCULOS - 0,87x0,87x0,76H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2</v>
          </cell>
          <cell r="O2412">
            <v>188097</v>
          </cell>
          <cell r="P2412"/>
          <cell r="Q2412" t="str">
            <v>EST POLTRONA BOWL ST00395 SE00545 ST00325 MROM/MROM CLR/VERM</v>
          </cell>
          <cell r="R2412"/>
          <cell r="S2412"/>
          <cell r="T2412">
            <v>0.87</v>
          </cell>
          <cell r="U2412">
            <v>0.87</v>
          </cell>
          <cell r="V2412">
            <v>0.76</v>
          </cell>
          <cell r="W2412">
            <v>0</v>
          </cell>
          <cell r="X2412" t="str">
            <v>EST POLTRONA BOWL ST00395 SE00545 ST00325 MROM/MROM CLR/VERM - 0,87x0,87x0,76H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2</v>
          </cell>
          <cell r="O2413">
            <v>188106</v>
          </cell>
          <cell r="P2413"/>
          <cell r="Q2413" t="str">
            <v>EST POLTRONA BOWL ST00395 ST00395 ST00395 INTEIRA MARROM</v>
          </cell>
          <cell r="R2413"/>
          <cell r="S2413"/>
          <cell r="T2413">
            <v>0.87</v>
          </cell>
          <cell r="U2413">
            <v>0.87</v>
          </cell>
          <cell r="V2413">
            <v>0.76</v>
          </cell>
          <cell r="W2413">
            <v>0</v>
          </cell>
          <cell r="X2413" t="str">
            <v>EST POLTRONA BOWL ST00395 ST00395 ST00395 INTEIRA MARROM - 0,87x0,87x0,76H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188107</v>
          </cell>
          <cell r="P2414"/>
          <cell r="Q2414" t="str">
            <v>EST POLTRONA BOWL ST00325 ST00325 ST00325 INTEIRA AVELA</v>
          </cell>
          <cell r="R2414"/>
          <cell r="S2414"/>
          <cell r="T2414">
            <v>0.87</v>
          </cell>
          <cell r="U2414">
            <v>0.87</v>
          </cell>
          <cell r="V2414">
            <v>0.76</v>
          </cell>
          <cell r="W2414">
            <v>0</v>
          </cell>
          <cell r="X2414" t="str">
            <v>EST POLTRONA BOWL ST00325 ST00325 ST00325 INTEIRA AVELA - 0,87x0,87x0,76H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1</v>
          </cell>
          <cell r="O2415">
            <v>192818</v>
          </cell>
          <cell r="P2415"/>
          <cell r="Q2415" t="str">
            <v>EST POLTRONA OSCAR ESTAR (ESTOF) (MAD B COR 4) COURO CH 08</v>
          </cell>
          <cell r="R2415"/>
          <cell r="S2415"/>
          <cell r="T2415">
            <v>0.7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POLTRONA OSCAR ESTAR (ESTOF) (MAD B COR 4) COURO CH 08 - 0,7x0,65x0,8H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2</v>
          </cell>
          <cell r="O2416">
            <v>194011</v>
          </cell>
          <cell r="P2416"/>
          <cell r="Q2416" t="str">
            <v>EST POLTRONA OSCAR JANTAR (ESTOF) (MAD A COR 2) CH CASTOR</v>
          </cell>
          <cell r="R2416"/>
          <cell r="S2416"/>
          <cell r="T2416">
            <v>0.7</v>
          </cell>
          <cell r="U2416">
            <v>0.61</v>
          </cell>
          <cell r="V2416">
            <v>0.85</v>
          </cell>
          <cell r="W2416">
            <v>0</v>
          </cell>
          <cell r="X2416" t="str">
            <v>EST POLTRONA OSCAR JANTAR (ESTOF) (MAD A COR 2) CH CASTOR - 0,7x0,61x0,85H</v>
          </cell>
          <cell r="Y2416">
            <v>0</v>
          </cell>
          <cell r="Z2416">
            <v>0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1</v>
          </cell>
          <cell r="O2417">
            <v>194031</v>
          </cell>
          <cell r="P2417"/>
          <cell r="Q2417" t="str">
            <v>EST MESA LATERAL CHEGA AQUI (LEQUE) (FREIJO) BS PRETA FSC</v>
          </cell>
          <cell r="R2417"/>
          <cell r="S2417"/>
          <cell r="T2417">
            <v>0.41</v>
          </cell>
          <cell r="U2417">
            <v>0</v>
          </cell>
          <cell r="V2417">
            <v>0.7</v>
          </cell>
          <cell r="W2417">
            <v>0.41</v>
          </cell>
          <cell r="X2417" t="str">
            <v>EST MESA LATERAL CHEGA AQUI (LEQUE) (FREIJO) BS PRETA FSC - Ø0,41x0,7H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194032</v>
          </cell>
          <cell r="P2418"/>
          <cell r="Q2418" t="str">
            <v>EST MESA LATERAL CHEGA AQUI (LEQUE) (FREIJO) BS PRETA FSC</v>
          </cell>
          <cell r="R2418"/>
          <cell r="S2418"/>
          <cell r="T2418">
            <v>0.41</v>
          </cell>
          <cell r="U2418">
            <v>0</v>
          </cell>
          <cell r="V2418">
            <v>0.64</v>
          </cell>
          <cell r="W2418">
            <v>0.41</v>
          </cell>
          <cell r="X2418" t="str">
            <v>EST MESA LATERAL CHEGA AQUI (LEQUE) (FREIJO) BS PRETA FSC - Ø0,41x0,64H</v>
          </cell>
          <cell r="Y2418">
            <v>0</v>
          </cell>
          <cell r="Z2418">
            <v>0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195616</v>
          </cell>
          <cell r="P2419"/>
          <cell r="Q2419" t="str">
            <v>EST CADEIRA MARESIAS S/BRACO (NAUTICA PRETA) (CUMARU POLIDO)</v>
          </cell>
          <cell r="R2419"/>
          <cell r="S2419"/>
          <cell r="T2419">
            <v>0.52</v>
          </cell>
          <cell r="U2419">
            <v>0.55000000000000004</v>
          </cell>
          <cell r="V2419">
            <v>0.83</v>
          </cell>
          <cell r="W2419">
            <v>0</v>
          </cell>
          <cell r="X2419" t="str">
            <v>EST CADEIRA MARESIAS S/BRACO (NAUTICA PRETA) (CUMARU POLIDO) - 0,52x0,55x0,83H</v>
          </cell>
          <cell r="Y2419">
            <v>0</v>
          </cell>
          <cell r="Z2419">
            <v>0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2</v>
          </cell>
          <cell r="O2420">
            <v>195617</v>
          </cell>
          <cell r="P2420"/>
          <cell r="Q2420" t="str">
            <v>EST CADEIRA MARESIAS C/B (NAUTICA PRETA) (CUMARU POLIDO)</v>
          </cell>
          <cell r="R2420"/>
          <cell r="S2420"/>
          <cell r="T2420">
            <v>0.59</v>
          </cell>
          <cell r="U2420">
            <v>0.55000000000000004</v>
          </cell>
          <cell r="V2420">
            <v>0.82</v>
          </cell>
          <cell r="W2420">
            <v>0</v>
          </cell>
          <cell r="X2420" t="str">
            <v>EST CADEIRA MARESIAS C/B (NAUTICA PRETA) (CUMARU POLIDO) - 0,59x0,55x0,82H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2</v>
          </cell>
          <cell r="O2421">
            <v>195618</v>
          </cell>
          <cell r="P2421"/>
          <cell r="Q2421" t="str">
            <v>EST POLTRONA MARESIAS (COURO MARROM) (CUMARU POLIDO)</v>
          </cell>
          <cell r="R2421"/>
          <cell r="S2421"/>
          <cell r="T2421">
            <v>0.63</v>
          </cell>
          <cell r="U2421">
            <v>0.72</v>
          </cell>
          <cell r="V2421">
            <v>0.82</v>
          </cell>
          <cell r="W2421">
            <v>0</v>
          </cell>
          <cell r="X2421" t="str">
            <v>EST POLTRONA MARESIAS (COURO MARROM) (CUMARU POLIDO) - 0,63x0,72x0,82H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195988</v>
          </cell>
          <cell r="P2422"/>
          <cell r="Q2422" t="str">
            <v>EST MODULO PUFF LONA (FREIJO) TC LONA WASHED VERDE</v>
          </cell>
          <cell r="R2422"/>
          <cell r="S2422"/>
          <cell r="T2422">
            <v>0.86</v>
          </cell>
          <cell r="U2422">
            <v>0.86</v>
          </cell>
          <cell r="V2422">
            <v>0.38</v>
          </cell>
          <cell r="W2422">
            <v>0</v>
          </cell>
          <cell r="X2422" t="str">
            <v>EST MODULO PUFF LONA (FREIJO) TC LONA WASHED VERDE - 0,86x0,86x0,38H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7</v>
          </cell>
          <cell r="O2423">
            <v>199817</v>
          </cell>
          <cell r="P2423"/>
          <cell r="Q2423" t="str">
            <v>EST MANCEBO STAND BY (BASE CONCRETO NATURAL) (PINHO RIGA)</v>
          </cell>
          <cell r="R2423"/>
          <cell r="S2423"/>
          <cell r="T2423">
            <v>0.2</v>
          </cell>
          <cell r="U2423">
            <v>0.33</v>
          </cell>
          <cell r="V2423">
            <v>1.75</v>
          </cell>
          <cell r="W2423">
            <v>0</v>
          </cell>
          <cell r="X2423" t="str">
            <v>EST MANCEBO STAND BY (BASE CONCRETO NATURAL) (PINHO RIGA) - 0,2x0,33x1,75H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8</v>
          </cell>
          <cell r="O2424">
            <v>199818</v>
          </cell>
          <cell r="P2424"/>
          <cell r="Q2424" t="str">
            <v>EST MANCEBO STAND BY (BASE CONCRETO NATURAL) (IPE)</v>
          </cell>
          <cell r="R2424"/>
          <cell r="S2424"/>
          <cell r="T2424">
            <v>0.22</v>
          </cell>
          <cell r="U2424">
            <v>0.33</v>
          </cell>
          <cell r="V2424">
            <v>1.75</v>
          </cell>
          <cell r="W2424">
            <v>0</v>
          </cell>
          <cell r="X2424" t="str">
            <v>EST MANCEBO STAND BY (BASE CONCRETO NATURAL) (IPE) - 0,22x0,33x1,75H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3</v>
          </cell>
          <cell r="O2425">
            <v>199819</v>
          </cell>
          <cell r="P2425"/>
          <cell r="Q2425" t="str">
            <v>EST MANCEBO STAND BY (BASE CONCRETO NATURAL) (FREIJO)</v>
          </cell>
          <cell r="R2425"/>
          <cell r="S2425"/>
          <cell r="T2425">
            <v>0.2</v>
          </cell>
          <cell r="U2425">
            <v>0.33</v>
          </cell>
          <cell r="V2425">
            <v>1.75</v>
          </cell>
          <cell r="W2425">
            <v>0</v>
          </cell>
          <cell r="X2425" t="str">
            <v>EST MANCEBO STAND BY (BASE CONCRETO NATURAL) (FREIJO) - 0,2x0,33x1,75H</v>
          </cell>
          <cell r="Y2425">
            <v>0</v>
          </cell>
          <cell r="Z2425">
            <v>0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0</v>
          </cell>
          <cell r="O2426">
            <v>200296</v>
          </cell>
          <cell r="P2426"/>
          <cell r="Q2426" t="str">
            <v>EST POLTRONA TOBOGA</v>
          </cell>
          <cell r="R2426"/>
          <cell r="S2426"/>
          <cell r="T2426">
            <v>0</v>
          </cell>
          <cell r="U2426">
            <v>0</v>
          </cell>
          <cell r="V2426">
            <v>0</v>
          </cell>
          <cell r="W2426">
            <v>0</v>
          </cell>
          <cell r="X2426" t="str">
            <v>EST POLTRONA TOBOGA - Ø0x0H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200603</v>
          </cell>
          <cell r="P2427"/>
          <cell r="Q2427" t="str">
            <v>EST BANCO GUI (01 ASS) (COURO ROSA/PELO BEGE) (INOX) JEQ</v>
          </cell>
          <cell r="R2427"/>
          <cell r="S2427"/>
          <cell r="T2427">
            <v>0.42</v>
          </cell>
          <cell r="U2427">
            <v>0.42</v>
          </cell>
          <cell r="V2427">
            <v>0.42</v>
          </cell>
          <cell r="W2427">
            <v>0</v>
          </cell>
          <cell r="X2427" t="str">
            <v>EST BANCO GUI (01 ASS) (COURO ROSA/PELO BEGE) (INOX) JEQ - 0,42x0,42x0,42H</v>
          </cell>
          <cell r="Y2427">
            <v>0</v>
          </cell>
          <cell r="Z2427">
            <v>0.5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1</v>
          </cell>
          <cell r="O2428">
            <v>200607</v>
          </cell>
          <cell r="P2428"/>
          <cell r="Q2428" t="str">
            <v>EST BANCO GUI (01 ASS) (COURO AMARELO/PELO BEGE) (INOX) JEQ</v>
          </cell>
          <cell r="R2428"/>
          <cell r="S2428"/>
          <cell r="T2428">
            <v>0.42</v>
          </cell>
          <cell r="U2428">
            <v>0.42</v>
          </cell>
          <cell r="V2428">
            <v>0.42</v>
          </cell>
          <cell r="W2428">
            <v>0</v>
          </cell>
          <cell r="X2428" t="str">
            <v>EST BANCO GUI (01 ASS) (COURO AMARELO/PELO BEGE) (INOX) JEQ - 0,42x0,42x0,42H</v>
          </cell>
          <cell r="Y2428">
            <v>0</v>
          </cell>
          <cell r="Z2428">
            <v>0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200608</v>
          </cell>
          <cell r="P2429"/>
          <cell r="Q2429" t="str">
            <v>EST BANCO GUI (01 ASS) (PELO PRETO/PELO PRETO) (INOX) JEQ</v>
          </cell>
          <cell r="R2429"/>
          <cell r="S2429"/>
          <cell r="T2429">
            <v>0.42</v>
          </cell>
          <cell r="U2429">
            <v>0.42</v>
          </cell>
          <cell r="V2429">
            <v>0.42</v>
          </cell>
          <cell r="W2429">
            <v>0</v>
          </cell>
          <cell r="X2429" t="str">
            <v>EST BANCO GUI (01 ASS) (PELO PRETO/PELO PRETO) (INOX) JEQ - 0,42x0,42x0,42H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200733</v>
          </cell>
          <cell r="P2430"/>
          <cell r="Q2430" t="str">
            <v>EST CABIDEIRO ABAPORU (PADRAO) (LACA ACETINADA BRANCA)</v>
          </cell>
          <cell r="R2430"/>
          <cell r="S2430"/>
          <cell r="T2430">
            <v>0.65</v>
          </cell>
          <cell r="U2430">
            <v>0</v>
          </cell>
          <cell r="V2430">
            <v>1.6</v>
          </cell>
          <cell r="W2430">
            <v>0</v>
          </cell>
          <cell r="X2430" t="str">
            <v>EST CABIDEIRO ABAPORU (PADRAO) (LACA ACETINADA BRANCA) - Ø0x1,6H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1</v>
          </cell>
          <cell r="O2431">
            <v>201024</v>
          </cell>
          <cell r="P2431"/>
          <cell r="Q2431" t="str">
            <v>EST LUMINARIA CONINHA (HASTE INOX) (CONCRETO BRANCO) CRU</v>
          </cell>
          <cell r="R2431"/>
          <cell r="S2431"/>
          <cell r="T2431">
            <v>0.36</v>
          </cell>
          <cell r="U2431">
            <v>0</v>
          </cell>
          <cell r="V2431">
            <v>0.65</v>
          </cell>
          <cell r="W2431">
            <v>0.36</v>
          </cell>
          <cell r="X2431" t="str">
            <v>EST LUMINARIA CONINHA (HASTE INOX) (CONCRETO BRANCO) CRU - Ø0,36x0,65H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1</v>
          </cell>
          <cell r="O2432">
            <v>201025</v>
          </cell>
          <cell r="P2432"/>
          <cell r="Q2432" t="str">
            <v>EST LUMINARIA CONINHA (HASTE PRETA) (CONCRETO PRETO) CRU</v>
          </cell>
          <cell r="R2432"/>
          <cell r="S2432"/>
          <cell r="T2432">
            <v>0.36</v>
          </cell>
          <cell r="U2432">
            <v>0</v>
          </cell>
          <cell r="V2432">
            <v>0.65</v>
          </cell>
          <cell r="W2432">
            <v>0.36</v>
          </cell>
          <cell r="X2432" t="str">
            <v>EST LUMINARIA CONINHA (HASTE PRETA) (CONCRETO PRETO) CRU - Ø0,36x0,65H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0</v>
          </cell>
          <cell r="O2433">
            <v>201026</v>
          </cell>
          <cell r="P2433"/>
          <cell r="Q2433" t="str">
            <v>EST LUMINARIA CONINHA (HASTE INOX) (CONCRETO NATURAL) CRU</v>
          </cell>
          <cell r="R2433"/>
          <cell r="S2433"/>
          <cell r="T2433">
            <v>0.36</v>
          </cell>
          <cell r="U2433">
            <v>0</v>
          </cell>
          <cell r="V2433">
            <v>0.65</v>
          </cell>
          <cell r="W2433">
            <v>0.36</v>
          </cell>
          <cell r="X2433" t="str">
            <v>EST LUMINARIA CONINHA (HASTE INOX) (CONCRETO NATURAL) CRU - Ø0,36x0,65H</v>
          </cell>
          <cell r="Y2433">
            <v>0</v>
          </cell>
          <cell r="Z2433">
            <v>0.5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201264</v>
          </cell>
          <cell r="P2434"/>
          <cell r="Q2434" t="str">
            <v>EST MESA JANTAR AERO (NOGUEIRA) (PRETO MTZ)</v>
          </cell>
          <cell r="R2434"/>
          <cell r="S2434"/>
          <cell r="T2434">
            <v>3</v>
          </cell>
          <cell r="U2434">
            <v>1.2</v>
          </cell>
          <cell r="V2434">
            <v>0.74</v>
          </cell>
          <cell r="W2434">
            <v>0</v>
          </cell>
          <cell r="X2434" t="str">
            <v>EST MESA JANTAR AERO (NOGUEIRA) (PRETO MTZ) - 3x1,2x0,74H</v>
          </cell>
          <cell r="Y2434">
            <v>0</v>
          </cell>
          <cell r="Z2434">
            <v>0.5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201271</v>
          </cell>
          <cell r="P2435"/>
          <cell r="Q2435" t="str">
            <v>EST BANCO PREGUICA (MADEIRA FREIJO NATURAL)</v>
          </cell>
          <cell r="R2435"/>
          <cell r="S2435"/>
          <cell r="T2435">
            <v>1.4</v>
          </cell>
          <cell r="U2435">
            <v>0.35</v>
          </cell>
          <cell r="V2435">
            <v>0.4</v>
          </cell>
          <cell r="W2435">
            <v>0</v>
          </cell>
          <cell r="X2435" t="str">
            <v>EST BANCO PREGUICA (MADEIRA FREIJO NATURAL) - 1,4x0,35x0,4H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2</v>
          </cell>
          <cell r="O2436">
            <v>203244</v>
          </cell>
          <cell r="P2436"/>
          <cell r="Q2436" t="str">
            <v>EST BANCO OSSO (EXTERNO LACA F100/INTERNO MADEIRA CEDRO)</v>
          </cell>
          <cell r="R2436"/>
          <cell r="S2436"/>
          <cell r="T2436">
            <v>2</v>
          </cell>
          <cell r="U2436">
            <v>0.5</v>
          </cell>
          <cell r="V2436">
            <v>0.4</v>
          </cell>
          <cell r="W2436">
            <v>0</v>
          </cell>
          <cell r="X2436" t="str">
            <v>EST BANCO OSSO (EXTERNO LACA F100/INTERNO MADEIRA CEDRO) - 2x0,5x0,4H</v>
          </cell>
          <cell r="Y2436">
            <v>0</v>
          </cell>
          <cell r="Z2436">
            <v>0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0</v>
          </cell>
          <cell r="O2437">
            <v>203300</v>
          </cell>
          <cell r="P2437"/>
          <cell r="Q2437" t="str">
            <v>EST BASE JANTAR CONE (TAMPO FORN) (CONCRETO)</v>
          </cell>
          <cell r="R2437"/>
          <cell r="S2437"/>
          <cell r="T2437">
            <v>0.55000000000000004</v>
          </cell>
          <cell r="U2437">
            <v>0</v>
          </cell>
          <cell r="V2437">
            <v>0</v>
          </cell>
          <cell r="W2437">
            <v>0</v>
          </cell>
          <cell r="X2437" t="str">
            <v>EST BASE JANTAR CONE (TAMPO FORN) (CONCRETO) - Ø0x0H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1</v>
          </cell>
          <cell r="O2438">
            <v>203385</v>
          </cell>
          <cell r="P2438"/>
          <cell r="Q2438" t="str">
            <v>EST MESA LATERAL LEVE (INOX ACET) PORCELANATO STEEL CORTEN</v>
          </cell>
          <cell r="R2438"/>
          <cell r="S2438"/>
          <cell r="T2438">
            <v>0.6</v>
          </cell>
          <cell r="U2438">
            <v>0.6</v>
          </cell>
          <cell r="V2438">
            <v>0.6</v>
          </cell>
          <cell r="W2438">
            <v>0</v>
          </cell>
          <cell r="X2438" t="str">
            <v>EST MESA LATERAL LEVE (INOX ACET) PORCELANATO STEEL CORTEN - 0,6x0,6x0,6H</v>
          </cell>
          <cell r="Y2438">
            <v>0</v>
          </cell>
          <cell r="Z2438">
            <v>0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6</v>
          </cell>
          <cell r="O2439">
            <v>203634</v>
          </cell>
          <cell r="P2439"/>
          <cell r="Q2439" t="str">
            <v>EST MANCEBO STAND BY (BASE CONCRET GRAFITE) (PINHO RIGA)</v>
          </cell>
          <cell r="R2439"/>
          <cell r="S2439"/>
          <cell r="T2439">
            <v>0.2</v>
          </cell>
          <cell r="U2439">
            <v>0.33</v>
          </cell>
          <cell r="V2439">
            <v>1.75</v>
          </cell>
          <cell r="W2439">
            <v>0</v>
          </cell>
          <cell r="X2439" t="str">
            <v>EST MANCEBO STAND BY (BASE CONCRET GRAFITE) (PINHO RIGA) - 0,2x0,33x1,75H</v>
          </cell>
          <cell r="Y2439">
            <v>0</v>
          </cell>
          <cell r="Z2439">
            <v>0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6</v>
          </cell>
          <cell r="O2440">
            <v>203635</v>
          </cell>
          <cell r="P2440"/>
          <cell r="Q2440" t="str">
            <v>EST MANCEBO STAND BY (BASE CONCRETO GRAFITE) (IPE)</v>
          </cell>
          <cell r="R2440"/>
          <cell r="S2440"/>
          <cell r="T2440">
            <v>0.2</v>
          </cell>
          <cell r="U2440">
            <v>0.33</v>
          </cell>
          <cell r="V2440">
            <v>1.75</v>
          </cell>
          <cell r="W2440">
            <v>0</v>
          </cell>
          <cell r="X2440" t="str">
            <v>EST MANCEBO STAND BY (BASE CONCRETO GRAFITE) (IPE) - 0,2x0,33x1,75H</v>
          </cell>
          <cell r="Y2440">
            <v>0</v>
          </cell>
          <cell r="Z2440">
            <v>0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8</v>
          </cell>
          <cell r="O2441">
            <v>203636</v>
          </cell>
          <cell r="P2441"/>
          <cell r="Q2441" t="str">
            <v>EST MANCEBO STAND BY (BASE CONCRETO GRAFITE) (FREIJO)</v>
          </cell>
          <cell r="R2441"/>
          <cell r="S2441"/>
          <cell r="T2441">
            <v>0.2</v>
          </cell>
          <cell r="U2441">
            <v>0.33</v>
          </cell>
          <cell r="V2441">
            <v>1.75</v>
          </cell>
          <cell r="W2441">
            <v>0</v>
          </cell>
          <cell r="X2441" t="str">
            <v>EST MANCEBO STAND BY (BASE CONCRETO GRAFITE) (FREIJO) - 0,2x0,33x1,75H</v>
          </cell>
          <cell r="Y2441">
            <v>0</v>
          </cell>
          <cell r="Z2441">
            <v>0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204059</v>
          </cell>
          <cell r="P2442"/>
          <cell r="Q2442" t="str">
            <v>EST MESA LATERAL CONINHA (CONCRETO) (TPO METAL AMARELO OURO)</v>
          </cell>
          <cell r="R2442"/>
          <cell r="S2442"/>
          <cell r="T2442">
            <v>0.35</v>
          </cell>
          <cell r="U2442">
            <v>0</v>
          </cell>
          <cell r="V2442">
            <v>0.48</v>
          </cell>
          <cell r="W2442">
            <v>0.35</v>
          </cell>
          <cell r="X2442" t="str">
            <v>EST MESA LATERAL CONINHA (CONCRETO) (TPO METAL AMARELO OURO) - Ø0,35x0,48H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2</v>
          </cell>
          <cell r="O2443">
            <v>204380</v>
          </cell>
          <cell r="P2443"/>
          <cell r="Q2443" t="str">
            <v>EST POLTRONA BENJAMIN S/SELO (FREIJO NATURAL) CAMURCA TABACO</v>
          </cell>
          <cell r="R2443"/>
          <cell r="S2443"/>
          <cell r="T2443">
            <v>0.92</v>
          </cell>
          <cell r="U2443">
            <v>0.9</v>
          </cell>
          <cell r="V2443">
            <v>0.92</v>
          </cell>
          <cell r="W2443">
            <v>0</v>
          </cell>
          <cell r="X2443" t="str">
            <v>EST POLTRONA BENJAMIN S/SELO (FREIJO NATURAL) CAMURCA TABACO - 0,92x0,9x0,92H</v>
          </cell>
          <cell r="Y2443">
            <v>0</v>
          </cell>
          <cell r="Z2443">
            <v>0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204387</v>
          </cell>
          <cell r="P2444"/>
          <cell r="Q2444" t="str">
            <v>EST MESA LATERAL CAE (FREIJO NATURAL)</v>
          </cell>
          <cell r="R2444"/>
          <cell r="S2444"/>
          <cell r="T2444">
            <v>0.8</v>
          </cell>
          <cell r="U2444">
            <v>0.54</v>
          </cell>
          <cell r="V2444">
            <v>0.52</v>
          </cell>
          <cell r="W2444">
            <v>0</v>
          </cell>
          <cell r="X2444" t="str">
            <v>EST MESA LATERAL CAE (FREIJO NATURAL) - 0,8x0,54x0,52H</v>
          </cell>
          <cell r="Y2444">
            <v>0</v>
          </cell>
          <cell r="Z2444">
            <v>0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1</v>
          </cell>
          <cell r="O2445">
            <v>204784</v>
          </cell>
          <cell r="P2445"/>
          <cell r="Q2445" t="str">
            <v>EST POLTRONA SAND (MAD A TAUARI ENV) TC LONA LISTRA CRU/AZUL</v>
          </cell>
          <cell r="R2445"/>
          <cell r="S2445"/>
          <cell r="T2445">
            <v>0.8</v>
          </cell>
          <cell r="U2445">
            <v>0.86</v>
          </cell>
          <cell r="V2445">
            <v>0.76</v>
          </cell>
          <cell r="W2445">
            <v>0</v>
          </cell>
          <cell r="X2445" t="str">
            <v>EST POLTRONA SAND (MAD A TAUARI ENV) TC LONA LISTRA CRU/AZUL - 0,8x0,86x0,76H</v>
          </cell>
          <cell r="Y2445">
            <v>0</v>
          </cell>
          <cell r="Z2445">
            <v>0.5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1</v>
          </cell>
          <cell r="O2446">
            <v>204884</v>
          </cell>
          <cell r="P2446"/>
          <cell r="Q2446" t="str">
            <v>EST POLTRONA SAND (MAD A TAUARI ENV) TC BOUCLE NATURAL</v>
          </cell>
          <cell r="R2446"/>
          <cell r="S2446"/>
          <cell r="T2446">
            <v>0.8</v>
          </cell>
          <cell r="U2446">
            <v>0.86</v>
          </cell>
          <cell r="V2446">
            <v>0.76</v>
          </cell>
          <cell r="W2446">
            <v>0</v>
          </cell>
          <cell r="X2446" t="str">
            <v>EST POLTRONA SAND (MAD A TAUARI ENV) TC BOUCLE NATURAL - 0,8x0,86x0,76H</v>
          </cell>
          <cell r="Y2446">
            <v>0</v>
          </cell>
          <cell r="Z2446">
            <v>0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2</v>
          </cell>
          <cell r="O2447">
            <v>204970</v>
          </cell>
          <cell r="P2447"/>
          <cell r="Q2447" t="str">
            <v>EST MESA CENTRO PICK (CATUABA)  (CONCRETO NATURAL)</v>
          </cell>
          <cell r="R2447"/>
          <cell r="S2447"/>
          <cell r="T2447">
            <v>1.94</v>
          </cell>
          <cell r="U2447">
            <v>1.04</v>
          </cell>
          <cell r="V2447">
            <v>0.35</v>
          </cell>
          <cell r="W2447">
            <v>0</v>
          </cell>
          <cell r="X2447" t="str">
            <v>EST MESA CENTRO PICK (CATUABA)  (CONCRETO NATURAL) - 1,94x1,04x0,35H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0</v>
          </cell>
          <cell r="O2448">
            <v>205139</v>
          </cell>
          <cell r="P2448"/>
          <cell r="Q2448" t="str">
            <v>EST CABIDEIRO ABAPORU (PADRAO) (FREIJO NATURAL)</v>
          </cell>
          <cell r="R2448"/>
          <cell r="S2448"/>
          <cell r="T2448">
            <v>0.65</v>
          </cell>
          <cell r="U2448">
            <v>0</v>
          </cell>
          <cell r="V2448">
            <v>1.6</v>
          </cell>
          <cell r="W2448">
            <v>0.65</v>
          </cell>
          <cell r="X2448" t="str">
            <v>EST CABIDEIRO ABAPORU (PADRAO) (FREIJO NATURAL) - Ø0,65x1,6H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1</v>
          </cell>
          <cell r="O2449">
            <v>206194</v>
          </cell>
          <cell r="P2449"/>
          <cell r="Q2449" t="str">
            <v>EST BANCO TAIPA</v>
          </cell>
          <cell r="R2449"/>
          <cell r="S2449"/>
          <cell r="T2449">
            <v>2.4</v>
          </cell>
          <cell r="U2449">
            <v>0.5</v>
          </cell>
          <cell r="V2449">
            <v>0.45</v>
          </cell>
          <cell r="W2449">
            <v>0</v>
          </cell>
          <cell r="X2449" t="str">
            <v>EST BANCO TAIPA - 2,4x0,5x0,45H</v>
          </cell>
          <cell r="Y2449">
            <v>0</v>
          </cell>
          <cell r="Z2449">
            <v>0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1</v>
          </cell>
          <cell r="O2450">
            <v>206557</v>
          </cell>
          <cell r="P2450"/>
          <cell r="Q2450" t="str">
            <v>EST BANCO CAIPIRA (IPE)</v>
          </cell>
          <cell r="R2450"/>
          <cell r="S2450"/>
          <cell r="T2450">
            <v>0.42</v>
          </cell>
          <cell r="U2450">
            <v>0.36</v>
          </cell>
          <cell r="V2450">
            <v>0.47</v>
          </cell>
          <cell r="W2450">
            <v>0</v>
          </cell>
          <cell r="X2450" t="str">
            <v>EST BANCO CAIPIRA (IPE) - 0,42x0,36x0,47H</v>
          </cell>
          <cell r="Y2450">
            <v>0</v>
          </cell>
          <cell r="Z2450">
            <v>0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1</v>
          </cell>
          <cell r="O2451">
            <v>206558</v>
          </cell>
          <cell r="P2451"/>
          <cell r="Q2451" t="str">
            <v>EST BANCO CAIPIRA CACHORRO (IPE)</v>
          </cell>
          <cell r="R2451"/>
          <cell r="S2451"/>
          <cell r="T2451">
            <v>2</v>
          </cell>
          <cell r="U2451">
            <v>0.36</v>
          </cell>
          <cell r="V2451">
            <v>0.45</v>
          </cell>
          <cell r="W2451">
            <v>0</v>
          </cell>
          <cell r="X2451" t="str">
            <v>EST BANCO CAIPIRA CACHORRO (IPE) - 2x0,36x0,45H</v>
          </cell>
          <cell r="Y2451">
            <v>0</v>
          </cell>
          <cell r="Z2451">
            <v>0</v>
          </cell>
          <cell r="AA2451">
            <v>0</v>
          </cell>
          <cell r="AB2451"/>
        </row>
        <row r="2452">
          <cell r="C2452" t="e">
            <v>#N/A</v>
          </cell>
          <cell r="D2452" t="e">
            <v>#N/A</v>
          </cell>
          <cell r="E2452" t="e">
            <v>#N/A</v>
          </cell>
          <cell r="F2452" t="e">
            <v>#N/A</v>
          </cell>
          <cell r="H2452" t="e">
            <v>#N/A</v>
          </cell>
          <cell r="O2452">
            <v>206645</v>
          </cell>
          <cell r="P2452"/>
          <cell r="Q2452" t="e">
            <v>#N/A</v>
          </cell>
          <cell r="R2452"/>
          <cell r="S2452"/>
          <cell r="T2452" t="e">
            <v>#N/A</v>
          </cell>
          <cell r="U2452" t="e">
            <v>#N/A</v>
          </cell>
          <cell r="V2452" t="e">
            <v>#N/A</v>
          </cell>
          <cell r="W2452" t="e">
            <v>#N/A</v>
          </cell>
          <cell r="X2452" t="e">
            <v>#N/A</v>
          </cell>
          <cell r="Y2452">
            <v>0</v>
          </cell>
          <cell r="Z2452">
            <v>0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0</v>
          </cell>
          <cell r="O2453">
            <v>206688</v>
          </cell>
          <cell r="P2453"/>
          <cell r="Q2453" t="str">
            <v>EST MESA BISTRO CONINHA (BASE CONCRETO PTO) (TPO METAL PTO)</v>
          </cell>
          <cell r="R2453"/>
          <cell r="S2453"/>
          <cell r="T2453">
            <v>0.5</v>
          </cell>
          <cell r="U2453">
            <v>0</v>
          </cell>
          <cell r="V2453">
            <v>1.04</v>
          </cell>
          <cell r="W2453">
            <v>0</v>
          </cell>
          <cell r="X2453" t="str">
            <v>EST MESA BISTRO CONINHA (BASE CONCRETO PTO) (TPO METAL PTO) - Ø0x1,04H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3</v>
          </cell>
          <cell r="O2454">
            <v>206699</v>
          </cell>
          <cell r="P2454"/>
          <cell r="Q2454" t="str">
            <v>EST MESA LATERAL CONINHA (BASE ARGILA) (TPO METAL PTO FSC)</v>
          </cell>
          <cell r="R2454"/>
          <cell r="S2454"/>
          <cell r="T2454">
            <v>0.35</v>
          </cell>
          <cell r="U2454">
            <v>0</v>
          </cell>
          <cell r="V2454">
            <v>0.48</v>
          </cell>
          <cell r="W2454">
            <v>0.35</v>
          </cell>
          <cell r="X2454" t="str">
            <v>EST MESA LATERAL CONINHA (BASE ARGILA) (TPO METAL PTO FSC) - Ø0,35x0,48H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206700</v>
          </cell>
          <cell r="P2455"/>
          <cell r="Q2455" t="str">
            <v>EST MESA LATERAL CONINHA (BASE ARGILA) (TPO METAL PTO FSC)</v>
          </cell>
          <cell r="R2455"/>
          <cell r="S2455"/>
          <cell r="T2455">
            <v>0.35</v>
          </cell>
          <cell r="U2455">
            <v>0</v>
          </cell>
          <cell r="V2455">
            <v>0.56000000000000005</v>
          </cell>
          <cell r="W2455">
            <v>0.35</v>
          </cell>
          <cell r="X2455" t="str">
            <v>EST MESA LATERAL CONINHA (BASE ARGILA) (TPO METAL PTO FSC) - Ø0,35x0,56H</v>
          </cell>
          <cell r="Y2455">
            <v>0</v>
          </cell>
          <cell r="Z2455">
            <v>0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206703</v>
          </cell>
          <cell r="P2456"/>
          <cell r="Q2456" t="str">
            <v>EST POLTRONA MARESIAS (NAUTICA PRETA) (CUMARU POLIDO)</v>
          </cell>
          <cell r="R2456"/>
          <cell r="S2456"/>
          <cell r="T2456">
            <v>0.63</v>
          </cell>
          <cell r="U2456">
            <v>0.72</v>
          </cell>
          <cell r="V2456">
            <v>0.82</v>
          </cell>
          <cell r="W2456">
            <v>0</v>
          </cell>
          <cell r="X2456" t="str">
            <v>EST POLTRONA MARESIAS (NAUTICA PRETA) (CUMARU POLIDO) - 0,63x0,72x0,82H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206710</v>
          </cell>
          <cell r="P2457"/>
          <cell r="Q2457" t="str">
            <v>EST MESA CENTRO BUMERANGUE (CABREUVA) (BASE PRETO FOSCO)</v>
          </cell>
          <cell r="R2457"/>
          <cell r="S2457"/>
          <cell r="T2457">
            <v>0.7</v>
          </cell>
          <cell r="U2457">
            <v>0.7</v>
          </cell>
          <cell r="V2457">
            <v>0.3</v>
          </cell>
          <cell r="W2457">
            <v>0</v>
          </cell>
          <cell r="X2457" t="str">
            <v>EST MESA CENTRO BUMERANGUE (CABREUVA) (BASE PRETO FOSCO) - 0,7x0,7x0,3H</v>
          </cell>
          <cell r="Y2457">
            <v>0</v>
          </cell>
          <cell r="Z2457">
            <v>0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1</v>
          </cell>
          <cell r="O2458">
            <v>206803</v>
          </cell>
          <cell r="P2458"/>
          <cell r="Q2458" t="str">
            <v>EST MESA JANTAR GIRAFA (TAUARI)</v>
          </cell>
          <cell r="R2458"/>
          <cell r="S2458"/>
          <cell r="T2458">
            <v>0.7</v>
          </cell>
          <cell r="U2458">
            <v>0</v>
          </cell>
          <cell r="V2458">
            <v>0.76</v>
          </cell>
          <cell r="W2458">
            <v>0.7</v>
          </cell>
          <cell r="X2458" t="str">
            <v>EST MESA JANTAR GIRAFA (TAUARI) - Ø0,7x0,76H</v>
          </cell>
          <cell r="Y2458">
            <v>0</v>
          </cell>
          <cell r="Z2458">
            <v>0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206809</v>
          </cell>
          <cell r="P2459"/>
          <cell r="Q2459" t="str">
            <v>EST ESCRIVANINHA LACERDA (S/VIDRO FREIJO NATURAL)</v>
          </cell>
          <cell r="R2459"/>
          <cell r="S2459"/>
          <cell r="T2459">
            <v>1.68</v>
          </cell>
          <cell r="U2459">
            <v>0.7</v>
          </cell>
          <cell r="V2459">
            <v>0.74</v>
          </cell>
          <cell r="W2459">
            <v>0</v>
          </cell>
          <cell r="X2459" t="str">
            <v>EST ESCRIVANINHA LACERDA (S/VIDRO FREIJO NATURAL) - 1,68x0,7x0,74H</v>
          </cell>
          <cell r="Y2459">
            <v>0</v>
          </cell>
          <cell r="Z2459">
            <v>0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0</v>
          </cell>
          <cell r="O2460">
            <v>206810</v>
          </cell>
          <cell r="P2460"/>
          <cell r="Q2460" t="str">
            <v>EST MESA LATERAL CORINGA (FREIJO NATURAL)</v>
          </cell>
          <cell r="R2460"/>
          <cell r="S2460"/>
          <cell r="T2460">
            <v>0.6</v>
          </cell>
          <cell r="U2460">
            <v>0</v>
          </cell>
          <cell r="V2460">
            <v>0.55000000000000004</v>
          </cell>
          <cell r="W2460">
            <v>0.6</v>
          </cell>
          <cell r="X2460" t="str">
            <v>EST MESA LATERAL CORINGA (FREIJO NATURAL) - Ø0,6x0,55H</v>
          </cell>
          <cell r="Y2460">
            <v>0</v>
          </cell>
          <cell r="Z2460">
            <v>0.5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0</v>
          </cell>
          <cell r="O2461">
            <v>206858</v>
          </cell>
          <cell r="P2461"/>
          <cell r="Q2461" t="str">
            <v>EST APARADOR TESOURA (FREIJO NATURAL)</v>
          </cell>
          <cell r="R2461"/>
          <cell r="S2461"/>
          <cell r="T2461">
            <v>1.8</v>
          </cell>
          <cell r="U2461">
            <v>0.7</v>
          </cell>
          <cell r="V2461">
            <v>0.75</v>
          </cell>
          <cell r="W2461">
            <v>0</v>
          </cell>
          <cell r="X2461" t="str">
            <v>EST APARADOR TESOURA (FREIJO NATURAL) - 1,8x0,7x0,75H</v>
          </cell>
          <cell r="Y2461">
            <v>0</v>
          </cell>
          <cell r="Z2461">
            <v>0.5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206883</v>
          </cell>
          <cell r="P2462"/>
          <cell r="Q2462" t="str">
            <v>EST BANQUETA PARATY (MAD B COR 03) TC LINHO 409 AZUL PETROLE</v>
          </cell>
          <cell r="R2462"/>
          <cell r="S2462"/>
          <cell r="T2462">
            <v>0.78</v>
          </cell>
          <cell r="U2462">
            <v>0.49</v>
          </cell>
          <cell r="V2462">
            <v>0.39</v>
          </cell>
          <cell r="W2462">
            <v>0</v>
          </cell>
          <cell r="X2462" t="str">
            <v>EST BANQUETA PARATY (MAD B COR 03) TC LINHO 409 AZUL PETROLE - 0,78x0,49x0,39H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206884</v>
          </cell>
          <cell r="P2463"/>
          <cell r="Q2463" t="str">
            <v>EST POLTRONA PARATY (MAD B COR 03) TC LINHO 409 AZUL PETROLE</v>
          </cell>
          <cell r="R2463"/>
          <cell r="S2463"/>
          <cell r="T2463">
            <v>0.77</v>
          </cell>
          <cell r="U2463">
            <v>0.81</v>
          </cell>
          <cell r="V2463">
            <v>0.75</v>
          </cell>
          <cell r="W2463">
            <v>0</v>
          </cell>
          <cell r="X2463" t="str">
            <v>EST POLTRONA PARATY (MAD B COR 03) TC LINHO 409 AZUL PETROLE - 0,77x0,81x0,75H</v>
          </cell>
          <cell r="Y2463">
            <v>0</v>
          </cell>
          <cell r="Z2463">
            <v>0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1</v>
          </cell>
          <cell r="O2464">
            <v>206887</v>
          </cell>
          <cell r="P2464"/>
          <cell r="Q2464" t="str">
            <v>EST POLTRONA STELLA (BAIXA) (MAD B COR 03) TC 244-01489 GREY</v>
          </cell>
          <cell r="R2464"/>
          <cell r="S2464"/>
          <cell r="T2464">
            <v>0.74</v>
          </cell>
          <cell r="U2464">
            <v>0.92</v>
          </cell>
          <cell r="V2464">
            <v>0.69</v>
          </cell>
          <cell r="W2464">
            <v>0</v>
          </cell>
          <cell r="X2464" t="str">
            <v>EST POLTRONA STELLA (BAIXA) (MAD B COR 03) TC 244-01489 GREY - 0,74x0,92x0,69H</v>
          </cell>
          <cell r="Y2464">
            <v>0</v>
          </cell>
          <cell r="Z2464">
            <v>0.5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206894</v>
          </cell>
          <cell r="P2465"/>
          <cell r="Q2465" t="str">
            <v>EST CADEIRA TIAO (MAD A COR 02) TC LINHO 409 AZUL PETROLEO</v>
          </cell>
          <cell r="R2465"/>
          <cell r="S2465"/>
          <cell r="T2465">
            <v>0.61</v>
          </cell>
          <cell r="U2465">
            <v>0.6</v>
          </cell>
          <cell r="V2465">
            <v>0.75</v>
          </cell>
          <cell r="W2465">
            <v>0</v>
          </cell>
          <cell r="X2465" t="str">
            <v>EST CADEIRA TIAO (MAD A COR 02) TC LINHO 409 AZUL PETROLEO - 0,61x0,6x0,75H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0</v>
          </cell>
          <cell r="O2466">
            <v>206898</v>
          </cell>
          <cell r="P2466"/>
          <cell r="Q2466" t="str">
            <v>EST POLTRONA LIA (MAD A COR 02) TC LINO 409 WASH LI-050 AZUL</v>
          </cell>
          <cell r="R2466"/>
          <cell r="S2466"/>
          <cell r="T2466">
            <v>0.74</v>
          </cell>
          <cell r="U2466">
            <v>0.73</v>
          </cell>
          <cell r="V2466">
            <v>0.71</v>
          </cell>
          <cell r="W2466">
            <v>0</v>
          </cell>
          <cell r="X2466" t="str">
            <v>EST POLTRONA LIA (MAD A COR 02) TC LINO 409 WASH LI-050 AZUL - 0,74x0,73x0,71H</v>
          </cell>
          <cell r="Y2466">
            <v>0</v>
          </cell>
          <cell r="Z2466">
            <v>0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206955</v>
          </cell>
          <cell r="P2467"/>
          <cell r="Q2467" t="str">
            <v>EST POLTRONA DORA (BAIXA) CAMURCA VANILLA LADO LISO</v>
          </cell>
          <cell r="R2467"/>
          <cell r="S2467"/>
          <cell r="T2467">
            <v>0.76</v>
          </cell>
          <cell r="U2467">
            <v>0.83</v>
          </cell>
          <cell r="V2467">
            <v>0.7</v>
          </cell>
          <cell r="W2467">
            <v>0</v>
          </cell>
          <cell r="X2467" t="str">
            <v>EST POLTRONA DORA (BAIXA) CAMURCA VANILLA LADO LISO - 0,76x0,83x0,7H</v>
          </cell>
          <cell r="Y2467">
            <v>0</v>
          </cell>
          <cell r="Z2467">
            <v>0.35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0</v>
          </cell>
          <cell r="O2468">
            <v>206962</v>
          </cell>
          <cell r="P2468"/>
          <cell r="Q2468" t="str">
            <v>EST CADEIRA GB01 RIPADA (JEQ 03) TC LINHO 409 AZUL PETROLEO</v>
          </cell>
          <cell r="R2468"/>
          <cell r="S2468"/>
          <cell r="T2468">
            <v>0.45</v>
          </cell>
          <cell r="U2468">
            <v>0.48</v>
          </cell>
          <cell r="V2468">
            <v>0.85</v>
          </cell>
          <cell r="W2468">
            <v>0</v>
          </cell>
          <cell r="X2468" t="str">
            <v>EST CADEIRA GB01 RIPADA (JEQ 03) TC LINHO 409 AZUL PETROLEO - 0,45x0,48x0,85H</v>
          </cell>
          <cell r="Y2468">
            <v>0</v>
          </cell>
          <cell r="Z2468">
            <v>0.5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0</v>
          </cell>
          <cell r="O2469">
            <v>206964</v>
          </cell>
          <cell r="P2469"/>
          <cell r="Q2469" t="str">
            <v>EST POLTRONA ZANINE H (FREIJO NATURAL) WASHED LI-050 AZUL</v>
          </cell>
          <cell r="R2469"/>
          <cell r="S2469"/>
          <cell r="T2469">
            <v>0.6</v>
          </cell>
          <cell r="U2469">
            <v>0.75</v>
          </cell>
          <cell r="V2469">
            <v>0.75</v>
          </cell>
          <cell r="W2469">
            <v>0</v>
          </cell>
          <cell r="X2469" t="str">
            <v>EST POLTRONA ZANINE H (FREIJO NATURAL) WASHED LI-050 AZUL - 0,6x0,75x0,75H</v>
          </cell>
          <cell r="Y2469">
            <v>0</v>
          </cell>
          <cell r="Z2469">
            <v>0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1</v>
          </cell>
          <cell r="O2470">
            <v>206965</v>
          </cell>
          <cell r="P2470"/>
          <cell r="Q2470" t="str">
            <v>EST CADEIRA ZANINE I (FREIJO NT) TC LINHO 409 AZUL PETROLEO</v>
          </cell>
          <cell r="R2470"/>
          <cell r="S2470"/>
          <cell r="T2470">
            <v>0.46</v>
          </cell>
          <cell r="U2470">
            <v>0.56999999999999995</v>
          </cell>
          <cell r="V2470">
            <v>0.81</v>
          </cell>
          <cell r="W2470">
            <v>0</v>
          </cell>
          <cell r="X2470" t="str">
            <v>EST CADEIRA ZANINE I (FREIJO NT) TC LINHO 409 AZUL PETROLEO - 0,46x0,57x0,81H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0</v>
          </cell>
          <cell r="O2471">
            <v>207108</v>
          </cell>
          <cell r="P2471"/>
          <cell r="Q2471" t="str">
            <v>EST SOFA LONA (CUMARU) TC LONA ARTESANA LO-027/BRACO TM-018</v>
          </cell>
          <cell r="R2471"/>
          <cell r="S2471"/>
          <cell r="T2471">
            <v>3.2</v>
          </cell>
          <cell r="U2471">
            <v>0.9</v>
          </cell>
          <cell r="V2471">
            <v>0.8</v>
          </cell>
          <cell r="W2471">
            <v>0</v>
          </cell>
          <cell r="X2471" t="str">
            <v>EST SOFA LONA (CUMARU) TC LONA ARTESANA LO-027/BRACO TM-018 - 3,2x0,9x0,8H</v>
          </cell>
          <cell r="Y2471">
            <v>0</v>
          </cell>
          <cell r="Z2471">
            <v>0.5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5</v>
          </cell>
          <cell r="O2472">
            <v>207643</v>
          </cell>
          <cell r="P2472"/>
          <cell r="Q2472" t="str">
            <v>EST CADEIRA GB01 MISTA (JEQ 01) (QUADRIC NT) TC NATURAL 601</v>
          </cell>
          <cell r="R2472"/>
          <cell r="S2472"/>
          <cell r="T2472">
            <v>0.45</v>
          </cell>
          <cell r="U2472">
            <v>0.48</v>
          </cell>
          <cell r="V2472">
            <v>0.85</v>
          </cell>
          <cell r="W2472">
            <v>0</v>
          </cell>
          <cell r="X2472" t="str">
            <v>EST CADEIRA GB01 MISTA (JEQ 01) (QUADRIC NT) TC NATURAL 601 - 0,45x0,48x0,85H</v>
          </cell>
          <cell r="Y2472">
            <v>0</v>
          </cell>
          <cell r="Z2472">
            <v>0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0</v>
          </cell>
          <cell r="O2473">
            <v>207940</v>
          </cell>
          <cell r="P2473"/>
          <cell r="Q2473" t="str">
            <v>EST POLTRONA SAND (MAD A JEQ TABACO) TC BOUCLE NATURAL</v>
          </cell>
          <cell r="R2473"/>
          <cell r="S2473"/>
          <cell r="T2473">
            <v>0.8</v>
          </cell>
          <cell r="U2473">
            <v>0.86</v>
          </cell>
          <cell r="V2473">
            <v>0.76</v>
          </cell>
          <cell r="W2473">
            <v>0</v>
          </cell>
          <cell r="X2473" t="str">
            <v>EST POLTRONA SAND (MAD A JEQ TABACO) TC BOUCLE NATURAL - 0,8x0,86x0,76H</v>
          </cell>
          <cell r="Y2473">
            <v>0</v>
          </cell>
          <cell r="Z2473">
            <v>0.5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6</v>
          </cell>
          <cell r="O2474">
            <v>207942</v>
          </cell>
          <cell r="P2474"/>
          <cell r="Q2474" t="str">
            <v>EST CADEIRA ORQUIDEA (MAD A JEQ TABACO) TC 244-01529 LINHO</v>
          </cell>
          <cell r="R2474"/>
          <cell r="S2474"/>
          <cell r="T2474">
            <v>0.47</v>
          </cell>
          <cell r="U2474">
            <v>0.55000000000000004</v>
          </cell>
          <cell r="V2474">
            <v>0.79</v>
          </cell>
          <cell r="W2474">
            <v>0</v>
          </cell>
          <cell r="X2474" t="str">
            <v>EST CADEIRA ORQUIDEA (MAD A JEQ TABACO) TC 244-01529 LINHO - 0,47x0,55x0,79H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0</v>
          </cell>
          <cell r="O2475">
            <v>207945</v>
          </cell>
          <cell r="P2475"/>
          <cell r="Q2475" t="str">
            <v>EST APARADOR SUTRA (MADEIRA PEROBA MEDIA)</v>
          </cell>
          <cell r="R2475"/>
          <cell r="S2475"/>
          <cell r="T2475">
            <v>2.2000000000000002</v>
          </cell>
          <cell r="U2475">
            <v>0.5</v>
          </cell>
          <cell r="V2475">
            <v>0.84</v>
          </cell>
          <cell r="W2475">
            <v>0</v>
          </cell>
          <cell r="X2475" t="str">
            <v>EST APARADOR SUTRA (MADEIRA PEROBA MEDIA) - 2,2x0,5x0,84H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0</v>
          </cell>
          <cell r="O2476">
            <v>208979</v>
          </cell>
          <cell r="P2476"/>
          <cell r="Q2476" t="str">
            <v>EST SOFA GERALDO DE BARROS (BIPARTIDO) COURO NOBUK COR 98</v>
          </cell>
          <cell r="R2476"/>
          <cell r="S2476"/>
          <cell r="T2476">
            <v>2.74</v>
          </cell>
          <cell r="U2476">
            <v>0.8</v>
          </cell>
          <cell r="V2476">
            <v>0.68</v>
          </cell>
          <cell r="W2476">
            <v>0</v>
          </cell>
          <cell r="X2476" t="str">
            <v>EST SOFA GERALDO DE BARROS (BIPARTIDO) COURO NOBUK COR 98 - 2,74x0,8x0,68H</v>
          </cell>
          <cell r="Y2476">
            <v>0</v>
          </cell>
          <cell r="Z2476">
            <v>0.35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3</v>
          </cell>
          <cell r="O2477">
            <v>209959</v>
          </cell>
          <cell r="P2477"/>
          <cell r="Q2477" t="str">
            <v>EST APARADOR MULTI (PINHEIRO MACICO) (ACO PRETO FOSCO)</v>
          </cell>
          <cell r="R2477"/>
          <cell r="S2477"/>
          <cell r="T2477">
            <v>1.75</v>
          </cell>
          <cell r="U2477">
            <v>0.4</v>
          </cell>
          <cell r="V2477">
            <v>0.57999999999999996</v>
          </cell>
          <cell r="W2477">
            <v>0</v>
          </cell>
          <cell r="X2477" t="str">
            <v>EST APARADOR MULTI (PINHEIRO MACICO) (ACO PRETO FOSCO) - 1,75x0,4x0,58H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1</v>
          </cell>
          <cell r="O2478">
            <v>210137</v>
          </cell>
          <cell r="P2478"/>
          <cell r="Q2478" t="str">
            <v>EST BANCO BELMONTE (FREIJO EBANIZADO)</v>
          </cell>
          <cell r="R2478"/>
          <cell r="S2478"/>
          <cell r="T2478">
            <v>0.42</v>
          </cell>
          <cell r="U2478">
            <v>0.42</v>
          </cell>
          <cell r="V2478">
            <v>0.42</v>
          </cell>
          <cell r="W2478">
            <v>0</v>
          </cell>
          <cell r="X2478" t="str">
            <v>EST BANCO BELMONTE (FREIJO EBANIZADO) - 0,42x0,42x0,42H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210169</v>
          </cell>
          <cell r="P2479"/>
          <cell r="Q2479" t="str">
            <v>EST MESA JANTAR CORTEN (RESINA SAYER K-167 CINZA) ACO CORTEN</v>
          </cell>
          <cell r="R2479"/>
          <cell r="S2479"/>
          <cell r="T2479">
            <v>1.2</v>
          </cell>
          <cell r="U2479">
            <v>0</v>
          </cell>
          <cell r="V2479">
            <v>0.74</v>
          </cell>
          <cell r="W2479">
            <v>0</v>
          </cell>
          <cell r="X2479" t="str">
            <v>EST MESA JANTAR CORTEN (RESINA SAYER K-167 CINZA) ACO CORTEN - Ø0x0,74H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210273</v>
          </cell>
          <cell r="P2480"/>
          <cell r="Q2480" t="str">
            <v>EST BANCO ESTRADA (KRAFT)</v>
          </cell>
          <cell r="R2480"/>
          <cell r="S2480"/>
          <cell r="T2480">
            <v>2.12</v>
          </cell>
          <cell r="U2480">
            <v>0.45</v>
          </cell>
          <cell r="V2480">
            <v>0.43</v>
          </cell>
          <cell r="W2480">
            <v>0</v>
          </cell>
          <cell r="X2480" t="str">
            <v>EST BANCO ESTRADA (KRAFT) - 2,12x0,45x0,43H</v>
          </cell>
          <cell r="Y2480">
            <v>0</v>
          </cell>
          <cell r="Z2480">
            <v>0.35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210276</v>
          </cell>
          <cell r="P2481"/>
          <cell r="Q2481" t="str">
            <v>EST POLTRONA MANTIQUEIRA (G) (KRAFT)</v>
          </cell>
          <cell r="R2481"/>
          <cell r="S2481"/>
          <cell r="T2481">
            <v>1.51</v>
          </cell>
          <cell r="U2481">
            <v>0.85</v>
          </cell>
          <cell r="V2481">
            <v>0.53</v>
          </cell>
          <cell r="W2481">
            <v>0</v>
          </cell>
          <cell r="X2481" t="str">
            <v>EST POLTRONA MANTIQUEIRA (G) (KRAFT) - 1,51x0,85x0,53H</v>
          </cell>
          <cell r="Y2481">
            <v>0</v>
          </cell>
          <cell r="Z2481">
            <v>0.35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210278</v>
          </cell>
          <cell r="P2482"/>
          <cell r="Q2482" t="str">
            <v>EST POLTRONA MANTIQUEIRA (P) (KRAFT)</v>
          </cell>
          <cell r="R2482"/>
          <cell r="S2482"/>
          <cell r="T2482">
            <v>0.62</v>
          </cell>
          <cell r="U2482">
            <v>0.85</v>
          </cell>
          <cell r="V2482">
            <v>0.53</v>
          </cell>
          <cell r="W2482">
            <v>0</v>
          </cell>
          <cell r="X2482" t="str">
            <v>EST POLTRONA MANTIQUEIRA (P) (KRAFT) - 0,62x0,85x0,53H</v>
          </cell>
          <cell r="Y2482">
            <v>0</v>
          </cell>
          <cell r="Z2482">
            <v>0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210306</v>
          </cell>
          <cell r="P2483"/>
          <cell r="Q2483" t="str">
            <v>EST COMPONENTE ALMOFADAO POLTRONA MOLE COURO CH 18</v>
          </cell>
          <cell r="R2483"/>
          <cell r="S2483"/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 t="str">
            <v>EST COMPONENTE ALMOFADAO POLTRONA MOLE COURO CH 18 - Ø0x0H</v>
          </cell>
          <cell r="Y2483">
            <v>0</v>
          </cell>
          <cell r="Z2483">
            <v>0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0</v>
          </cell>
          <cell r="O2484">
            <v>211284</v>
          </cell>
          <cell r="P2484"/>
          <cell r="Q2484" t="str">
            <v>EST BANCO SEDIMENTOS (KRAFT) VIDRO)</v>
          </cell>
          <cell r="R2484"/>
          <cell r="S2484"/>
          <cell r="T2484">
            <v>0.4</v>
          </cell>
          <cell r="U2484">
            <v>0.4</v>
          </cell>
          <cell r="V2484">
            <v>0.4</v>
          </cell>
          <cell r="W2484">
            <v>0</v>
          </cell>
          <cell r="X2484" t="str">
            <v>EST BANCO SEDIMENTOS (KRAFT) VIDRO) - 0,4x0,4x0,4H</v>
          </cell>
          <cell r="Y2484">
            <v>0</v>
          </cell>
          <cell r="Z2484">
            <v>0.35</v>
          </cell>
          <cell r="AA2484">
            <v>0</v>
          </cell>
          <cell r="AB2484"/>
        </row>
        <row r="2485"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H2485">
            <v>1</v>
          </cell>
          <cell r="O2485">
            <v>211540</v>
          </cell>
          <cell r="P2485"/>
          <cell r="Q2485" t="str">
            <v>EST MESA CENTRO MC (LACA SAYERLACK L-168 CINZA CHUMBO)</v>
          </cell>
          <cell r="R2485"/>
          <cell r="S2485"/>
          <cell r="T2485">
            <v>1.6</v>
          </cell>
          <cell r="U2485">
            <v>1.2</v>
          </cell>
          <cell r="V2485">
            <v>0.3</v>
          </cell>
          <cell r="W2485">
            <v>0</v>
          </cell>
          <cell r="X2485" t="str">
            <v>EST MESA CENTRO MC (LACA SAYERLACK L-168 CINZA CHUMBO) - 1,6x1,2x0,3H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2</v>
          </cell>
          <cell r="O2486">
            <v>211861</v>
          </cell>
          <cell r="P2486"/>
          <cell r="Q2486" t="str">
            <v>EST POLTRONA DIZ (LAMINADA C/FURO) (MAD IMBUIA STAIN)</v>
          </cell>
          <cell r="R2486"/>
          <cell r="S2486"/>
          <cell r="T2486">
            <v>0.78</v>
          </cell>
          <cell r="U2486">
            <v>0.89</v>
          </cell>
          <cell r="V2486">
            <v>0.71</v>
          </cell>
          <cell r="W2486">
            <v>0</v>
          </cell>
          <cell r="X2486" t="str">
            <v>EST POLTRONA DIZ (LAMINADA C/FURO) (MAD IMBUIA STAIN) - 0,78x0,89x0,71H</v>
          </cell>
          <cell r="Y2486">
            <v>0</v>
          </cell>
          <cell r="Z2486">
            <v>0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212966</v>
          </cell>
          <cell r="P2487"/>
          <cell r="Q2487" t="str">
            <v>EST MESA JANTAR OBLONGO (CABREUVA) ALTERNADO PTO FSC</v>
          </cell>
          <cell r="R2487"/>
          <cell r="S2487"/>
          <cell r="T2487">
            <v>3</v>
          </cell>
          <cell r="U2487">
            <v>1.1000000000000001</v>
          </cell>
          <cell r="V2487">
            <v>0.74</v>
          </cell>
          <cell r="W2487">
            <v>0</v>
          </cell>
          <cell r="X2487" t="str">
            <v>EST MESA JANTAR OBLONGO (CABREUVA) ALTERNADO PTO FSC - 3x1,1x0,74H</v>
          </cell>
          <cell r="Y2487">
            <v>77083.039000000004</v>
          </cell>
          <cell r="Z2487">
            <v>0</v>
          </cell>
          <cell r="AA2487">
            <v>77083.039000000004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3</v>
          </cell>
          <cell r="O2488">
            <v>214165</v>
          </cell>
          <cell r="P2488"/>
          <cell r="Q2488" t="str">
            <v>EST GAVETEIRO TRIDZIO (ALCA METAL VERMELHO) (FORMICA PRATA)</v>
          </cell>
          <cell r="R2488"/>
          <cell r="S2488"/>
          <cell r="T2488">
            <v>0.6</v>
          </cell>
          <cell r="U2488">
            <v>0.43</v>
          </cell>
          <cell r="V2488">
            <v>0.47</v>
          </cell>
          <cell r="W2488">
            <v>0</v>
          </cell>
          <cell r="X2488" t="str">
            <v>EST GAVETEIRO TRIDZIO (ALCA METAL VERMELHO) (FORMICA PRATA) - 0,6x0,43x0,47H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215227</v>
          </cell>
          <cell r="P2489"/>
          <cell r="Q2489" t="str">
            <v>EST GAVETEIRO TRIDZIO (ALCA METAL VERMELHO) (FORMICA AZUL)</v>
          </cell>
          <cell r="R2489"/>
          <cell r="S2489"/>
          <cell r="T2489">
            <v>0.6</v>
          </cell>
          <cell r="U2489">
            <v>0.43</v>
          </cell>
          <cell r="V2489">
            <v>0.47</v>
          </cell>
          <cell r="W2489">
            <v>0</v>
          </cell>
          <cell r="X2489" t="str">
            <v>EST GAVETEIRO TRIDZIO (ALCA METAL VERMELHO) (FORMICA AZUL) - 0,6x0,43x0,47H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2</v>
          </cell>
          <cell r="O2490">
            <v>215451</v>
          </cell>
          <cell r="P2490"/>
          <cell r="Q2490" t="str">
            <v>EST POLTRONA PORTUGUESA S/B (SOLTO) (CATUABA) CAMURCA TAUPE</v>
          </cell>
          <cell r="R2490"/>
          <cell r="S2490"/>
          <cell r="T2490">
            <v>0.65</v>
          </cell>
          <cell r="U2490">
            <v>0.67</v>
          </cell>
          <cell r="V2490">
            <v>0.75</v>
          </cell>
          <cell r="W2490">
            <v>0</v>
          </cell>
          <cell r="X2490" t="str">
            <v>EST POLTRONA PORTUGUESA S/B (SOLTO) (CATUABA) CAMURCA TAUPE - 0,65x0,67x0,75H</v>
          </cell>
          <cell r="Y2490">
            <v>0</v>
          </cell>
          <cell r="Z2490">
            <v>0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1</v>
          </cell>
          <cell r="O2491">
            <v>215452</v>
          </cell>
          <cell r="P2491"/>
          <cell r="Q2491" t="str">
            <v>EST POLTRONA PORTUGUESA S/B (FIXO) (CATUABA) TC 409 NATURAL</v>
          </cell>
          <cell r="R2491"/>
          <cell r="S2491"/>
          <cell r="T2491">
            <v>0.65</v>
          </cell>
          <cell r="U2491">
            <v>0.67</v>
          </cell>
          <cell r="V2491">
            <v>0.75</v>
          </cell>
          <cell r="W2491">
            <v>0</v>
          </cell>
          <cell r="X2491" t="str">
            <v>EST POLTRONA PORTUGUESA S/B (FIXO) (CATUABA) TC 409 NATURAL - 0,65x0,67x0,75H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0</v>
          </cell>
          <cell r="O2492">
            <v>216164</v>
          </cell>
          <cell r="P2492"/>
          <cell r="Q2492" t="str">
            <v>EST CADEIRA MENNA (FREIJO NATURAL)</v>
          </cell>
          <cell r="R2492"/>
          <cell r="S2492"/>
          <cell r="T2492">
            <v>0.5</v>
          </cell>
          <cell r="U2492">
            <v>0.51</v>
          </cell>
          <cell r="V2492">
            <v>1.27</v>
          </cell>
          <cell r="W2492">
            <v>0</v>
          </cell>
          <cell r="X2492" t="str">
            <v>EST CADEIRA MENNA (FREIJO NATURAL) - 0,5x0,51x1,27H</v>
          </cell>
          <cell r="Y2492">
            <v>0</v>
          </cell>
          <cell r="Z2492">
            <v>0.5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1</v>
          </cell>
          <cell r="O2493">
            <v>216698</v>
          </cell>
          <cell r="P2493"/>
          <cell r="Q2493" t="str">
            <v>EST BANCO SONIA (MAD A COR 02) (BOTOES COR 02/PES COR 02)</v>
          </cell>
          <cell r="R2493"/>
          <cell r="S2493"/>
          <cell r="T2493">
            <v>0.4</v>
          </cell>
          <cell r="U2493">
            <v>0.42</v>
          </cell>
          <cell r="V2493">
            <v>0.39</v>
          </cell>
          <cell r="W2493">
            <v>0</v>
          </cell>
          <cell r="X2493" t="str">
            <v>EST BANCO SONIA (MAD A COR 02) (BOTOES COR 02/PES COR 02) - 0,4x0,42x0,39H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3</v>
          </cell>
          <cell r="O2494">
            <v>216699</v>
          </cell>
          <cell r="P2494"/>
          <cell r="Q2494" t="str">
            <v>EST BANCO SONIA (MAD B COR 03) (BOTOES COR 03/PES COR 03)</v>
          </cell>
          <cell r="R2494"/>
          <cell r="S2494"/>
          <cell r="T2494">
            <v>0.4</v>
          </cell>
          <cell r="U2494">
            <v>0.42</v>
          </cell>
          <cell r="V2494">
            <v>0.39</v>
          </cell>
          <cell r="W2494">
            <v>0</v>
          </cell>
          <cell r="X2494" t="str">
            <v>EST BANCO SONIA (MAD B COR 03) (BOTOES COR 03/PES COR 03) - 0,4x0,42x0,39H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216747</v>
          </cell>
          <cell r="P2495"/>
          <cell r="Q2495" t="str">
            <v>EST MESA LATERAL DECK (GARAPEIRA)</v>
          </cell>
          <cell r="R2495"/>
          <cell r="S2495"/>
          <cell r="T2495">
            <v>0.85</v>
          </cell>
          <cell r="U2495">
            <v>0.8</v>
          </cell>
          <cell r="V2495">
            <v>0.28000000000000003</v>
          </cell>
          <cell r="W2495">
            <v>0</v>
          </cell>
          <cell r="X2495" t="str">
            <v>EST MESA LATERAL DECK (GARAPEIRA) - 0,85x0,8x0,28H</v>
          </cell>
          <cell r="Y2495">
            <v>0</v>
          </cell>
          <cell r="Z2495">
            <v>0.5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1</v>
          </cell>
          <cell r="O2496">
            <v>216748</v>
          </cell>
          <cell r="P2496"/>
          <cell r="Q2496" t="str">
            <v>EST MESA LATERAL DECK (GARAPEIRA)</v>
          </cell>
          <cell r="R2496"/>
          <cell r="S2496"/>
          <cell r="T2496">
            <v>0.85</v>
          </cell>
          <cell r="U2496">
            <v>0.47</v>
          </cell>
          <cell r="V2496">
            <v>0.28000000000000003</v>
          </cell>
          <cell r="W2496">
            <v>0</v>
          </cell>
          <cell r="X2496" t="str">
            <v>EST MESA LATERAL DECK (GARAPEIRA) - 0,85x0,47x0,28H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1</v>
          </cell>
          <cell r="O2497">
            <v>216749</v>
          </cell>
          <cell r="P2497"/>
          <cell r="Q2497" t="str">
            <v>EST MOVEL AUXILIAR QUADRADINHO (1 PORTA) (FREIJO NATURAL)</v>
          </cell>
          <cell r="R2497"/>
          <cell r="S2497"/>
          <cell r="T2497">
            <v>0.52</v>
          </cell>
          <cell r="U2497">
            <v>0.55000000000000004</v>
          </cell>
          <cell r="V2497">
            <v>0.59</v>
          </cell>
          <cell r="W2497">
            <v>0</v>
          </cell>
          <cell r="X2497" t="str">
            <v>EST MOVEL AUXILIAR QUADRADINHO (1 PORTA) (FREIJO NATURAL) - 0,52x0,55x0,59H</v>
          </cell>
          <cell r="Y2497">
            <v>0</v>
          </cell>
          <cell r="Z2497">
            <v>0.5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3</v>
          </cell>
          <cell r="O2498">
            <v>217262</v>
          </cell>
          <cell r="P2498"/>
          <cell r="Q2498" t="str">
            <v>EST POLTRONA LEVE (MAD B LOURO ESP) COURO CAMURCA TABACO</v>
          </cell>
          <cell r="R2498"/>
          <cell r="S2498"/>
          <cell r="T2498">
            <v>0.76</v>
          </cell>
          <cell r="U2498">
            <v>0.87</v>
          </cell>
          <cell r="V2498">
            <v>0.85</v>
          </cell>
          <cell r="W2498">
            <v>0</v>
          </cell>
          <cell r="X2498" t="str">
            <v>EST POLTRONA LEVE (MAD B LOURO ESP) COURO CAMURCA TABACO - 0,76x0,87x0,85H</v>
          </cell>
          <cell r="Y2498">
            <v>0</v>
          </cell>
          <cell r="Z2498">
            <v>0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217416</v>
          </cell>
          <cell r="P2499"/>
          <cell r="Q2499" t="str">
            <v>EST ESCRIVANINHA CORTEN (2 GAV) (PAU FERRO CLARO) PTO FSC</v>
          </cell>
          <cell r="R2499"/>
          <cell r="S2499"/>
          <cell r="T2499">
            <v>1.8</v>
          </cell>
          <cell r="U2499">
            <v>0.8</v>
          </cell>
          <cell r="V2499">
            <v>0.74</v>
          </cell>
          <cell r="W2499">
            <v>0</v>
          </cell>
          <cell r="X2499" t="str">
            <v>EST ESCRIVANINHA CORTEN (2 GAV) (PAU FERRO CLARO) PTO FSC - 1,8x0,8x0,74H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217489</v>
          </cell>
          <cell r="P2500"/>
          <cell r="Q2500" t="str">
            <v>EST BANCO ABAPORU (XILOG J.BORGES) (FREIJO NAT) CV MARINHO</v>
          </cell>
          <cell r="R2500"/>
          <cell r="S2500"/>
          <cell r="T2500">
            <v>0.38</v>
          </cell>
          <cell r="U2500">
            <v>0</v>
          </cell>
          <cell r="V2500">
            <v>0.44</v>
          </cell>
          <cell r="W2500">
            <v>0.44</v>
          </cell>
          <cell r="X2500" t="str">
            <v>EST BANCO ABAPORU (XILOG J.BORGES) (FREIJO NAT) CV MARINHO - Ø0,44x0,44H</v>
          </cell>
          <cell r="Y2500">
            <v>0</v>
          </cell>
          <cell r="Z2500">
            <v>0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217643</v>
          </cell>
          <cell r="P2501"/>
          <cell r="Q2501" t="str">
            <v>EST TAMPO MAMORE ARMANI BRONZE FSC (CHANFRADO) (BIPARTIDO)</v>
          </cell>
          <cell r="R2501"/>
          <cell r="S2501"/>
          <cell r="T2501">
            <v>3</v>
          </cell>
          <cell r="U2501">
            <v>1.1000000000000001</v>
          </cell>
          <cell r="V2501">
            <v>0</v>
          </cell>
          <cell r="W2501">
            <v>0</v>
          </cell>
          <cell r="X2501" t="str">
            <v>EST TAMPO MAMORE ARMANI BRONZE FSC (CHANFRADO) (BIPARTIDO) - 3x1,1x0H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2</v>
          </cell>
          <cell r="O2502">
            <v>217843</v>
          </cell>
          <cell r="P2502"/>
          <cell r="Q2502" t="str">
            <v>EST GAVETEIRO FULVIO NANNI (P) (03 GAVETAS CLARO)</v>
          </cell>
          <cell r="R2502"/>
          <cell r="S2502"/>
          <cell r="T2502">
            <v>0.22</v>
          </cell>
          <cell r="U2502">
            <v>0.24</v>
          </cell>
          <cell r="V2502">
            <v>0.19</v>
          </cell>
          <cell r="W2502">
            <v>0</v>
          </cell>
          <cell r="X2502" t="str">
            <v>EST GAVETEIRO FULVIO NANNI (P) (03 GAVETAS CLARO) - 0,22x0,24x0,19H</v>
          </cell>
          <cell r="Y2502">
            <v>0</v>
          </cell>
          <cell r="Z2502">
            <v>0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217844</v>
          </cell>
          <cell r="P2503"/>
          <cell r="Q2503" t="str">
            <v>EST GAVETEIRO FULVIO NANNI (P) (03 GAVETAS MEDIO)</v>
          </cell>
          <cell r="R2503"/>
          <cell r="S2503"/>
          <cell r="T2503">
            <v>0.22</v>
          </cell>
          <cell r="U2503">
            <v>0.24</v>
          </cell>
          <cell r="V2503">
            <v>0.19</v>
          </cell>
          <cell r="W2503">
            <v>0</v>
          </cell>
          <cell r="X2503" t="str">
            <v>EST GAVETEIRO FULVIO NANNI (P) (03 GAVETAS MEDIO) - 0,22x0,24x0,19H</v>
          </cell>
          <cell r="Y2503">
            <v>0</v>
          </cell>
          <cell r="Z2503">
            <v>0.5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1</v>
          </cell>
          <cell r="O2504">
            <v>217845</v>
          </cell>
          <cell r="P2504"/>
          <cell r="Q2504" t="str">
            <v>EST GAVETEIRO FULVIO NANNI (P) (03 GAVETAS ESCURO)</v>
          </cell>
          <cell r="R2504"/>
          <cell r="S2504"/>
          <cell r="T2504">
            <v>0.22</v>
          </cell>
          <cell r="U2504">
            <v>0.24</v>
          </cell>
          <cell r="V2504">
            <v>0.19</v>
          </cell>
          <cell r="W2504">
            <v>0</v>
          </cell>
          <cell r="X2504" t="str">
            <v>EST GAVETEIRO FULVIO NANNI (P) (03 GAVETAS ESCURO) - 0,22x0,24x0,19H</v>
          </cell>
          <cell r="Y2504">
            <v>0</v>
          </cell>
          <cell r="Z2504">
            <v>0.5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1</v>
          </cell>
          <cell r="O2505">
            <v>217849</v>
          </cell>
          <cell r="P2505"/>
          <cell r="Q2505" t="str">
            <v>EST GAVETEIRO FULVIO NANNI (M) (03 GAVETAS CLARO)</v>
          </cell>
          <cell r="R2505"/>
          <cell r="S2505"/>
          <cell r="T2505">
            <v>0.27</v>
          </cell>
          <cell r="U2505">
            <v>0.24</v>
          </cell>
          <cell r="V2505">
            <v>0.19</v>
          </cell>
          <cell r="W2505">
            <v>0</v>
          </cell>
          <cell r="X2505" t="str">
            <v>EST GAVETEIRO FULVIO NANNI (M) (03 GAVETAS CLARO) - 0,27x0,24x0,19H</v>
          </cell>
          <cell r="Y2505">
            <v>0</v>
          </cell>
          <cell r="Z2505">
            <v>0.5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1</v>
          </cell>
          <cell r="O2506">
            <v>217850</v>
          </cell>
          <cell r="P2506"/>
          <cell r="Q2506" t="str">
            <v>EST GAVETEIRO FULVIO NANNI (M) (03 GAVETAS MEDIO)</v>
          </cell>
          <cell r="R2506"/>
          <cell r="S2506"/>
          <cell r="T2506">
            <v>0.27</v>
          </cell>
          <cell r="U2506">
            <v>0.24</v>
          </cell>
          <cell r="V2506">
            <v>0.19</v>
          </cell>
          <cell r="W2506">
            <v>0</v>
          </cell>
          <cell r="X2506" t="str">
            <v>EST GAVETEIRO FULVIO NANNI (M) (03 GAVETAS MEDIO) - 0,27x0,24x0,19H</v>
          </cell>
          <cell r="Y2506">
            <v>0</v>
          </cell>
          <cell r="Z2506">
            <v>0.5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2</v>
          </cell>
          <cell r="O2507">
            <v>217851</v>
          </cell>
          <cell r="P2507"/>
          <cell r="Q2507" t="str">
            <v>EST GAVETEIRO FULVIO NANNI (M) (03 GAVETAS ESCURO)</v>
          </cell>
          <cell r="R2507"/>
          <cell r="S2507"/>
          <cell r="T2507">
            <v>0.27</v>
          </cell>
          <cell r="U2507">
            <v>0.24</v>
          </cell>
          <cell r="V2507">
            <v>0.19</v>
          </cell>
          <cell r="W2507">
            <v>0</v>
          </cell>
          <cell r="X2507" t="str">
            <v>EST GAVETEIRO FULVIO NANNI (M) (03 GAVETAS ESCURO) - 0,27x0,24x0,19H</v>
          </cell>
          <cell r="Y2507">
            <v>0</v>
          </cell>
          <cell r="Z2507">
            <v>0.5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3</v>
          </cell>
          <cell r="O2508">
            <v>217853</v>
          </cell>
          <cell r="P2508"/>
          <cell r="Q2508" t="str">
            <v>EST GAVETEIRO FULVIO NANNI (G) (02 GAVETAS MEDIO)</v>
          </cell>
          <cell r="R2508"/>
          <cell r="S2508"/>
          <cell r="T2508">
            <v>0.44</v>
          </cell>
          <cell r="U2508">
            <v>0.3</v>
          </cell>
          <cell r="V2508">
            <v>0.14000000000000001</v>
          </cell>
          <cell r="W2508">
            <v>0</v>
          </cell>
          <cell r="X2508" t="str">
            <v>EST GAVETEIRO FULVIO NANNI (G) (02 GAVETAS MEDIO) - 0,44x0,3x0,14H</v>
          </cell>
          <cell r="Y2508">
            <v>0</v>
          </cell>
          <cell r="Z2508">
            <v>0.5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1</v>
          </cell>
          <cell r="O2509">
            <v>217854</v>
          </cell>
          <cell r="P2509"/>
          <cell r="Q2509" t="str">
            <v>EST GAVETEIRO FULVIO NANNI (G) (02 GAVETAS ESCURO)</v>
          </cell>
          <cell r="R2509"/>
          <cell r="S2509"/>
          <cell r="T2509">
            <v>0.44</v>
          </cell>
          <cell r="U2509">
            <v>0.3</v>
          </cell>
          <cell r="V2509">
            <v>0.14000000000000001</v>
          </cell>
          <cell r="W2509">
            <v>0</v>
          </cell>
          <cell r="X2509" t="str">
            <v>EST GAVETEIRO FULVIO NANNI (G) (02 GAVETAS ESCURO) - 0,44x0,3x0,14H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2</v>
          </cell>
          <cell r="O2510">
            <v>218577</v>
          </cell>
          <cell r="P2510"/>
          <cell r="Q2510" t="str">
            <v>EST BANQUETA MOLE (60 ANOS) (MAD IMBUIA) COURO CH 05</v>
          </cell>
          <cell r="R2510"/>
          <cell r="S2510"/>
          <cell r="T2510">
            <v>0.82</v>
          </cell>
          <cell r="U2510">
            <v>0.59</v>
          </cell>
          <cell r="V2510">
            <v>0.45</v>
          </cell>
          <cell r="W2510">
            <v>0</v>
          </cell>
          <cell r="X2510" t="str">
            <v>EST BANQUETA MOLE (60 ANOS) (MAD IMBUIA) COURO CH 05 - 0,82x0,59x0,45H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218825</v>
          </cell>
          <cell r="P2511"/>
          <cell r="Q2511" t="str">
            <v>EST BANCO DOMINO (4 LUG) (CONC GOIABA) (CORTEN)</v>
          </cell>
          <cell r="R2511"/>
          <cell r="S2511"/>
          <cell r="T2511">
            <v>1.9</v>
          </cell>
          <cell r="U2511">
            <v>0.45</v>
          </cell>
          <cell r="V2511">
            <v>0.48</v>
          </cell>
          <cell r="W2511">
            <v>0</v>
          </cell>
          <cell r="X2511" t="str">
            <v>EST BANCO DOMINO (4 LUG) (CONC GOIABA) (CORTEN) - 1,9x0,45x0,48H</v>
          </cell>
          <cell r="Y2511">
            <v>0</v>
          </cell>
          <cell r="Z2511">
            <v>0.35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1</v>
          </cell>
          <cell r="O2512">
            <v>219035</v>
          </cell>
          <cell r="P2512"/>
          <cell r="Q2512" t="str">
            <v>EST POLTRONA PORTUGUESA S/B (SOLTO) (FREIJO) CAMURCA TABACO</v>
          </cell>
          <cell r="R2512"/>
          <cell r="S2512"/>
          <cell r="T2512">
            <v>0.65</v>
          </cell>
          <cell r="U2512">
            <v>0.67</v>
          </cell>
          <cell r="V2512">
            <v>0.75</v>
          </cell>
          <cell r="W2512">
            <v>0</v>
          </cell>
          <cell r="X2512" t="str">
            <v>EST POLTRONA PORTUGUESA S/B (SOLTO) (FREIJO) CAMURCA TABACO - 0,65x0,67x0,75H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0</v>
          </cell>
          <cell r="O2513">
            <v>220728</v>
          </cell>
          <cell r="P2513"/>
          <cell r="Q2513" t="str">
            <v>EST BUFFET TRES (MADEIRA CARVALHO NATURAL)</v>
          </cell>
          <cell r="R2513"/>
          <cell r="S2513"/>
          <cell r="T2513">
            <v>2.85</v>
          </cell>
          <cell r="U2513">
            <v>0.5</v>
          </cell>
          <cell r="V2513">
            <v>0.85</v>
          </cell>
          <cell r="W2513">
            <v>0</v>
          </cell>
          <cell r="X2513" t="str">
            <v>EST BUFFET TRES (MADEIRA CARVALHO NATURAL) - 2,85x0,5x0,85H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1</v>
          </cell>
          <cell r="O2514">
            <v>220805</v>
          </cell>
          <cell r="P2514"/>
          <cell r="Q2514" t="str">
            <v>EST POLTRONA BENJAMIN S/SELO (FREIJO NT) COURO NOBUK 98</v>
          </cell>
          <cell r="R2514"/>
          <cell r="S2514"/>
          <cell r="T2514">
            <v>0.92</v>
          </cell>
          <cell r="U2514">
            <v>0.9</v>
          </cell>
          <cell r="V2514">
            <v>0.92</v>
          </cell>
          <cell r="W2514">
            <v>0</v>
          </cell>
          <cell r="X2514" t="str">
            <v>EST POLTRONA BENJAMIN S/SELO (FREIJO NT) COURO NOBUK 98 - 0,92x0,9x0,92H</v>
          </cell>
          <cell r="Y2514">
            <v>0</v>
          </cell>
          <cell r="Z2514">
            <v>0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220815</v>
          </cell>
          <cell r="P2515"/>
          <cell r="Q2515" t="str">
            <v>EST CADEIRA GB01 MISTA (JEQ 01) (QUADRIC NT) TC KILIM BEGE</v>
          </cell>
          <cell r="R2515"/>
          <cell r="S2515"/>
          <cell r="T2515">
            <v>0.45</v>
          </cell>
          <cell r="U2515">
            <v>0.48</v>
          </cell>
          <cell r="V2515">
            <v>0.85</v>
          </cell>
          <cell r="W2515">
            <v>0</v>
          </cell>
          <cell r="X2515" t="str">
            <v>EST CADEIRA GB01 MISTA (JEQ 01) (QUADRIC NT) TC KILIM BEGE - 0,45x0,48x0,85H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</v>
          </cell>
          <cell r="O2516">
            <v>220816</v>
          </cell>
          <cell r="P2516"/>
          <cell r="Q2516" t="str">
            <v>EST CADEIRA GB01 RIPADA (JEQ 01) TC KILIM BEGE</v>
          </cell>
          <cell r="R2516"/>
          <cell r="S2516"/>
          <cell r="T2516">
            <v>0.45</v>
          </cell>
          <cell r="U2516">
            <v>0.48</v>
          </cell>
          <cell r="V2516">
            <v>0.85</v>
          </cell>
          <cell r="W2516">
            <v>0</v>
          </cell>
          <cell r="X2516" t="str">
            <v>EST CADEIRA GB01 RIPADA (JEQ 01) TC KILIM BEGE - 0,45x0,48x0,85H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0</v>
          </cell>
          <cell r="O2517">
            <v>220825</v>
          </cell>
          <cell r="P2517"/>
          <cell r="Q2517" t="str">
            <v>EST CADEIRA OMAR OFFICE C/R (MAD B FREIJO ENV) COURO PIG 340</v>
          </cell>
          <cell r="R2517"/>
          <cell r="S2517"/>
          <cell r="T2517">
            <v>0.54</v>
          </cell>
          <cell r="U2517">
            <v>0.56999999999999995</v>
          </cell>
          <cell r="V2517">
            <v>0.83</v>
          </cell>
          <cell r="W2517">
            <v>0</v>
          </cell>
          <cell r="X2517" t="str">
            <v>EST CADEIRA OMAR OFFICE C/R (MAD B FREIJO ENV) COURO PIG 340 - 0,54x0,57x0,83H</v>
          </cell>
          <cell r="Y2517">
            <v>0</v>
          </cell>
          <cell r="Z2517">
            <v>0</v>
          </cell>
          <cell r="AA2517">
            <v>0</v>
          </cell>
          <cell r="AB2517"/>
        </row>
        <row r="2518">
          <cell r="C2518" t="e">
            <v>#N/A</v>
          </cell>
          <cell r="D2518" t="e">
            <v>#N/A</v>
          </cell>
          <cell r="E2518" t="e">
            <v>#N/A</v>
          </cell>
          <cell r="F2518" t="e">
            <v>#N/A</v>
          </cell>
          <cell r="H2518" t="e">
            <v>#N/A</v>
          </cell>
          <cell r="O2518">
            <v>220920</v>
          </cell>
          <cell r="P2518"/>
          <cell r="Q2518" t="e">
            <v>#N/A</v>
          </cell>
          <cell r="R2518"/>
          <cell r="S2518"/>
          <cell r="T2518" t="e">
            <v>#N/A</v>
          </cell>
          <cell r="U2518" t="e">
            <v>#N/A</v>
          </cell>
          <cell r="V2518" t="e">
            <v>#N/A</v>
          </cell>
          <cell r="W2518" t="e">
            <v>#N/A</v>
          </cell>
          <cell r="X2518" t="e">
            <v>#N/A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1</v>
          </cell>
          <cell r="O2519">
            <v>220922</v>
          </cell>
          <cell r="P2519"/>
          <cell r="Q2519" t="str">
            <v>EST POLTRONA BETO PU PRETO (MAD A COR 01) TC UNIQUE CRU</v>
          </cell>
          <cell r="R2519"/>
          <cell r="S2519"/>
          <cell r="T2519">
            <v>0.84</v>
          </cell>
          <cell r="U2519">
            <v>0.75</v>
          </cell>
          <cell r="V2519">
            <v>0.71</v>
          </cell>
          <cell r="W2519">
            <v>0</v>
          </cell>
          <cell r="X2519" t="str">
            <v>EST POLTRONA BETO PU PRETO (MAD A COR 01) TC UNIQUE CRU - 0,84x0,75x0,71H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1</v>
          </cell>
          <cell r="O2520">
            <v>220925</v>
          </cell>
          <cell r="P2520"/>
          <cell r="Q2520" t="str">
            <v>EST POLTRONA LIA (MAD B COR 03) COURO CH VERMELHO</v>
          </cell>
          <cell r="R2520"/>
          <cell r="S2520"/>
          <cell r="T2520">
            <v>0.74</v>
          </cell>
          <cell r="U2520">
            <v>0.73</v>
          </cell>
          <cell r="V2520">
            <v>0.71</v>
          </cell>
          <cell r="W2520">
            <v>0</v>
          </cell>
          <cell r="X2520" t="str">
            <v>EST POLTRONA LIA (MAD B COR 03) COURO CH VERMELHO - 0,74x0,73x0,71H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1</v>
          </cell>
          <cell r="O2521">
            <v>220930</v>
          </cell>
          <cell r="P2521"/>
          <cell r="Q2521" t="str">
            <v>EST POLTRONA KILIN (SOLETA NATURAL) (MAD B COR 03)</v>
          </cell>
          <cell r="R2521"/>
          <cell r="S2521"/>
          <cell r="T2521">
            <v>0.68</v>
          </cell>
          <cell r="U2521">
            <v>0.63</v>
          </cell>
          <cell r="V2521">
            <v>0.69</v>
          </cell>
          <cell r="W2521">
            <v>0</v>
          </cell>
          <cell r="X2521" t="str">
            <v>EST POLTRONA KILIN (SOLETA NATURAL) (MAD B COR 03) - 0,68x0,63x0,69H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220931</v>
          </cell>
          <cell r="P2522"/>
          <cell r="Q2522" t="str">
            <v>EST POLTRONA OSCAR ESTAR (TELA NATURAL) (MAD B COR 3)</v>
          </cell>
          <cell r="R2522"/>
          <cell r="S2522"/>
          <cell r="T2522">
            <v>0.7</v>
          </cell>
          <cell r="U2522">
            <v>0.65</v>
          </cell>
          <cell r="V2522">
            <v>0.8</v>
          </cell>
          <cell r="W2522">
            <v>0</v>
          </cell>
          <cell r="X2522" t="str">
            <v>EST POLTRONA OSCAR ESTAR (TELA NATURAL) (MAD B COR 3) - 0,7x0,65x0,8H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1</v>
          </cell>
          <cell r="O2523">
            <v>220945</v>
          </cell>
          <cell r="P2523"/>
          <cell r="Q2523" t="str">
            <v>EST CADEIRA 3 APOIOS (JEQUITIBA TONALIZADO) (MARFIM)</v>
          </cell>
          <cell r="R2523"/>
          <cell r="S2523"/>
          <cell r="T2523">
            <v>0.42</v>
          </cell>
          <cell r="U2523">
            <v>0.57999999999999996</v>
          </cell>
          <cell r="V2523">
            <v>0.66</v>
          </cell>
          <cell r="W2523">
            <v>0</v>
          </cell>
          <cell r="X2523" t="str">
            <v>EST CADEIRA 3 APOIOS (JEQUITIBA TONALIZADO) (MARFIM) - 0,42x0,58x0,66H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1</v>
          </cell>
          <cell r="O2524">
            <v>221051</v>
          </cell>
          <cell r="P2524"/>
          <cell r="Q2524" t="str">
            <v>EST SOFA TAJA (2 LUG) LACA PRETA FOSCA</v>
          </cell>
          <cell r="R2524"/>
          <cell r="S2524"/>
          <cell r="T2524">
            <v>1.1299999999999999</v>
          </cell>
          <cell r="U2524">
            <v>0.66</v>
          </cell>
          <cell r="V2524">
            <v>0.75</v>
          </cell>
          <cell r="W2524">
            <v>0</v>
          </cell>
          <cell r="X2524" t="str">
            <v>EST SOFA TAJA (2 LUG) LACA PRETA FOSCA - 1,13x0,66x0,75H</v>
          </cell>
          <cell r="Y2524">
            <v>0</v>
          </cell>
          <cell r="Z2524">
            <v>0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221357</v>
          </cell>
          <cell r="P2525"/>
          <cell r="Q2525" t="str">
            <v>EST COMODA BIANCA (DET INOX ESC) (IMB STAIN) PE EBANIZ BRL20</v>
          </cell>
          <cell r="R2525"/>
          <cell r="S2525"/>
          <cell r="T2525">
            <v>1.5</v>
          </cell>
          <cell r="U2525">
            <v>0.53</v>
          </cell>
          <cell r="V2525">
            <v>0.95</v>
          </cell>
          <cell r="W2525">
            <v>0</v>
          </cell>
          <cell r="X2525" t="str">
            <v>EST COMODA BIANCA (DET INOX ESC) (IMB STAIN) PE EBANIZ BRL20 - 1,5x0,53x0,95H</v>
          </cell>
          <cell r="Y2525">
            <v>0</v>
          </cell>
          <cell r="Z2525">
            <v>0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4</v>
          </cell>
          <cell r="O2526">
            <v>221370</v>
          </cell>
          <cell r="P2526"/>
          <cell r="Q2526" t="str">
            <v>EST POLTRONA TETE (FREIJO NT) COURO NOBUCK 10</v>
          </cell>
          <cell r="R2526"/>
          <cell r="S2526"/>
          <cell r="T2526">
            <v>0.86</v>
          </cell>
          <cell r="U2526">
            <v>0.84</v>
          </cell>
          <cell r="V2526">
            <v>0.75</v>
          </cell>
          <cell r="W2526">
            <v>0</v>
          </cell>
          <cell r="X2526" t="str">
            <v>EST POLTRONA TETE (FREIJO NT) COURO NOBUCK 10 - 0,86x0,84x0,75H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1</v>
          </cell>
          <cell r="O2527">
            <v>221501</v>
          </cell>
          <cell r="P2527"/>
          <cell r="Q2527" t="str">
            <v>EST BASE CENTRO GELSOMINA (G) (SUCUPIRA)</v>
          </cell>
          <cell r="R2527"/>
          <cell r="S2527"/>
          <cell r="T2527">
            <v>1.5</v>
          </cell>
          <cell r="U2527">
            <v>0.78</v>
          </cell>
          <cell r="V2527">
            <v>0.38</v>
          </cell>
          <cell r="W2527">
            <v>0</v>
          </cell>
          <cell r="X2527" t="str">
            <v>EST BASE CENTRO GELSOMINA (G) (SUCUPIRA) - 1,5x0,78x0,38H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221504</v>
          </cell>
          <cell r="P2528"/>
          <cell r="Q2528" t="str">
            <v>EST TAMPO GELSOMINA (OVAL) (VERDE TIKAL) (BORDA DUP)</v>
          </cell>
          <cell r="R2528"/>
          <cell r="S2528"/>
          <cell r="T2528">
            <v>2.2000000000000002</v>
          </cell>
          <cell r="U2528">
            <v>1</v>
          </cell>
          <cell r="V2528">
            <v>0.02</v>
          </cell>
          <cell r="W2528">
            <v>0</v>
          </cell>
          <cell r="X2528" t="str">
            <v>EST TAMPO GELSOMINA (OVAL) (VERDE TIKAL) (BORDA DUP) - 2,2x1x0,02H</v>
          </cell>
          <cell r="Y2528">
            <v>0</v>
          </cell>
          <cell r="Z2528">
            <v>0.5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1</v>
          </cell>
          <cell r="O2529">
            <v>221690</v>
          </cell>
          <cell r="P2529"/>
          <cell r="Q2529" t="str">
            <v>EST POLTRONA DORA (BAIXA) CAMURCA VANILLA</v>
          </cell>
          <cell r="R2529"/>
          <cell r="S2529"/>
          <cell r="T2529">
            <v>0.76</v>
          </cell>
          <cell r="U2529">
            <v>0.83</v>
          </cell>
          <cell r="V2529">
            <v>0.7</v>
          </cell>
          <cell r="W2529">
            <v>0</v>
          </cell>
          <cell r="X2529" t="str">
            <v>EST POLTRONA DORA (BAIXA) CAMURCA VANILLA - 0,76x0,83x0,7H</v>
          </cell>
          <cell r="Y2529">
            <v>0</v>
          </cell>
          <cell r="Z2529">
            <v>0.35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221933</v>
          </cell>
          <cell r="P2530"/>
          <cell r="Q2530" t="str">
            <v>EST POLTRONA OSCAR JANTAR (TELA NATURAL) (MAD A COR 1)</v>
          </cell>
          <cell r="R2530"/>
          <cell r="S2530"/>
          <cell r="T2530">
            <v>0.7</v>
          </cell>
          <cell r="U2530">
            <v>0.61</v>
          </cell>
          <cell r="V2530">
            <v>0.85</v>
          </cell>
          <cell r="W2530">
            <v>0</v>
          </cell>
          <cell r="X2530" t="str">
            <v>EST POLTRONA OSCAR JANTAR (TELA NATURAL) (MAD A COR 1) - 0,7x0,61x0,85H</v>
          </cell>
          <cell r="Y2530">
            <v>0</v>
          </cell>
          <cell r="Z2530">
            <v>0.5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0</v>
          </cell>
          <cell r="O2531">
            <v>221934</v>
          </cell>
          <cell r="P2531"/>
          <cell r="Q2531" t="str">
            <v>EST POLTRONA MOLECA (MAD B COR 03) COURO NOBUK 10</v>
          </cell>
          <cell r="R2531"/>
          <cell r="S2531"/>
          <cell r="T2531">
            <v>1.06</v>
          </cell>
          <cell r="U2531">
            <v>0.9</v>
          </cell>
          <cell r="V2531">
            <v>0.8</v>
          </cell>
          <cell r="W2531">
            <v>0</v>
          </cell>
          <cell r="X2531" t="str">
            <v>EST POLTRONA MOLECA (MAD B COR 03) COURO NOBUK 10 - 1,06x0,9x0,8H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0</v>
          </cell>
          <cell r="O2532">
            <v>221935</v>
          </cell>
          <cell r="P2532"/>
          <cell r="Q2532" t="str">
            <v>EST BANQUETA MOLECA (MAD B COR 03) COURO NOBUK 10</v>
          </cell>
          <cell r="R2532"/>
          <cell r="S2532"/>
          <cell r="T2532">
            <v>0.81</v>
          </cell>
          <cell r="U2532">
            <v>0.52</v>
          </cell>
          <cell r="V2532">
            <v>0.43</v>
          </cell>
          <cell r="W2532">
            <v>0</v>
          </cell>
          <cell r="X2532" t="str">
            <v>EST BANQUETA MOLECA (MAD B COR 03) COURO NOBUK 10 - 0,81x0,52x0,43H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222255</v>
          </cell>
          <cell r="P2533"/>
          <cell r="Q2533" t="str">
            <v>EST MESA LATERAL CAE (FREIJO TONALIZADO 2)</v>
          </cell>
          <cell r="R2533"/>
          <cell r="S2533"/>
          <cell r="T2533">
            <v>0.6</v>
          </cell>
          <cell r="U2533">
            <v>0.4</v>
          </cell>
          <cell r="V2533">
            <v>0.52</v>
          </cell>
          <cell r="W2533">
            <v>0</v>
          </cell>
          <cell r="X2533" t="str">
            <v>EST MESA LATERAL CAE (FREIJO TONALIZADO 2) - 0,6x0,4x0,52H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2</v>
          </cell>
          <cell r="O2534">
            <v>222260</v>
          </cell>
          <cell r="P2534"/>
          <cell r="Q2534" t="str">
            <v>EST POLTRONA ANA (JEQUITIBA) COURO NOBUCK 10</v>
          </cell>
          <cell r="R2534"/>
          <cell r="S2534"/>
          <cell r="T2534">
            <v>0.74</v>
          </cell>
          <cell r="U2534">
            <v>0.83</v>
          </cell>
          <cell r="V2534">
            <v>1.01</v>
          </cell>
          <cell r="W2534">
            <v>0</v>
          </cell>
          <cell r="X2534" t="str">
            <v>EST POLTRONA ANA (JEQUITIBA) COURO NOBUCK 10 - 0,74x0,83x1,01H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2</v>
          </cell>
          <cell r="O2535">
            <v>222261</v>
          </cell>
          <cell r="P2535"/>
          <cell r="Q2535" t="str">
            <v>EST BANQUETA ANA (JEQUITIBA) COURO NOBUCK 10</v>
          </cell>
          <cell r="R2535"/>
          <cell r="S2535"/>
          <cell r="T2535">
            <v>0.66</v>
          </cell>
          <cell r="U2535">
            <v>0.43</v>
          </cell>
          <cell r="V2535">
            <v>0.47</v>
          </cell>
          <cell r="W2535">
            <v>0</v>
          </cell>
          <cell r="X2535" t="str">
            <v>EST BANQUETA ANA (JEQUITIBA) COURO NOBUCK 10 - 0,66x0,43x0,47H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222329</v>
          </cell>
          <cell r="P2536"/>
          <cell r="Q2536" t="str">
            <v>EST MOVEL AUXILIAR PINHIM 01 (1 PRT/1 PTA) (CATUABA VEIO PT)</v>
          </cell>
          <cell r="R2536"/>
          <cell r="S2536"/>
          <cell r="T2536">
            <v>0.55000000000000004</v>
          </cell>
          <cell r="U2536">
            <v>0.45</v>
          </cell>
          <cell r="V2536">
            <v>0.49</v>
          </cell>
          <cell r="W2536">
            <v>0</v>
          </cell>
          <cell r="X2536" t="str">
            <v>EST MOVEL AUXILIAR PINHIM 01 (1 PRT/1 PTA) (CATUABA VEIO PT) - 0,55x0,45x0,49H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1</v>
          </cell>
          <cell r="O2537">
            <v>222392</v>
          </cell>
          <cell r="P2537"/>
          <cell r="Q2537" t="str">
            <v>EST MESA LATERAL BV (RESINA SAYERLACK K155) (FREIJO ESCURO)</v>
          </cell>
          <cell r="R2537"/>
          <cell r="S2537"/>
          <cell r="T2537">
            <v>0.65</v>
          </cell>
          <cell r="U2537">
            <v>0.25</v>
          </cell>
          <cell r="V2537">
            <v>0.4</v>
          </cell>
          <cell r="W2537">
            <v>0</v>
          </cell>
          <cell r="X2537" t="str">
            <v>EST MESA LATERAL BV (RESINA SAYERLACK K155) (FREIJO ESCURO) - 0,65x0,25x0,4H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2</v>
          </cell>
          <cell r="O2538">
            <v>222594</v>
          </cell>
          <cell r="P2538"/>
          <cell r="Q2538" t="str">
            <v>EST CADEIRA ANEL (ACO CARBONO) (CAMURCA CARAMELO)</v>
          </cell>
          <cell r="R2538"/>
          <cell r="S2538"/>
          <cell r="T2538">
            <v>0.68</v>
          </cell>
          <cell r="U2538">
            <v>0</v>
          </cell>
          <cell r="V2538">
            <v>0.82</v>
          </cell>
          <cell r="W2538">
            <v>0.68</v>
          </cell>
          <cell r="X2538" t="str">
            <v>EST CADEIRA ANEL (ACO CARBONO) (CAMURCA CARAMELO) - Ø0,68x0,82H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1</v>
          </cell>
          <cell r="O2539">
            <v>222688</v>
          </cell>
          <cell r="P2539"/>
          <cell r="Q2539" t="str">
            <v>EST CADEIRA LUCIO (TELA NATURAL) (MAD B COR 03)</v>
          </cell>
          <cell r="R2539"/>
          <cell r="S2539"/>
          <cell r="T2539">
            <v>0.48</v>
          </cell>
          <cell r="U2539">
            <v>0.49</v>
          </cell>
          <cell r="V2539">
            <v>0.81</v>
          </cell>
          <cell r="W2539">
            <v>0</v>
          </cell>
          <cell r="X2539" t="str">
            <v>EST CADEIRA LUCIO (TELA NATURAL) (MAD B COR 03) - 0,48x0,49x0,81H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1</v>
          </cell>
          <cell r="O2540">
            <v>222691</v>
          </cell>
          <cell r="P2540"/>
          <cell r="Q2540" t="str">
            <v>EST BANQUETA VRONKA (MAD B COR 05) TC EL MEDA GREY</v>
          </cell>
          <cell r="R2540"/>
          <cell r="S2540"/>
          <cell r="T2540">
            <v>0.74</v>
          </cell>
          <cell r="U2540">
            <v>0.52</v>
          </cell>
          <cell r="V2540">
            <v>0.42</v>
          </cell>
          <cell r="W2540">
            <v>0</v>
          </cell>
          <cell r="X2540" t="str">
            <v>EST BANQUETA VRONKA (MAD B COR 05) TC EL MEDA GREY - 0,74x0,52x0,42H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1</v>
          </cell>
          <cell r="O2541">
            <v>222692</v>
          </cell>
          <cell r="P2541"/>
          <cell r="Q2541" t="str">
            <v>EST POLTRONA VRONKA (MAD B COR 05) TC EL MEDA GREY</v>
          </cell>
          <cell r="R2541"/>
          <cell r="S2541"/>
          <cell r="T2541">
            <v>0.74</v>
          </cell>
          <cell r="U2541">
            <v>0.91</v>
          </cell>
          <cell r="V2541">
            <v>0.93</v>
          </cell>
          <cell r="W2541">
            <v>0</v>
          </cell>
          <cell r="X2541" t="str">
            <v>EST POLTRONA VRONKA (MAD B COR 05) TC EL MEDA GREY - 0,74x0,91x0,93H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1</v>
          </cell>
          <cell r="O2542">
            <v>222880</v>
          </cell>
          <cell r="P2542"/>
          <cell r="Q2542" t="str">
            <v>EST BANCO DECK (GARAPEIRA STAIN ESCURO) S/ALMOFADA</v>
          </cell>
          <cell r="R2542"/>
          <cell r="S2542"/>
          <cell r="T2542">
            <v>1.85</v>
          </cell>
          <cell r="U2542">
            <v>0.85</v>
          </cell>
          <cell r="V2542">
            <v>0.28000000000000003</v>
          </cell>
          <cell r="W2542">
            <v>0</v>
          </cell>
          <cell r="X2542" t="str">
            <v>EST BANCO DECK (GARAPEIRA STAIN ESCURO) S/ALMOFADA - 1,85x0,85x0,28H</v>
          </cell>
          <cell r="Y2542">
            <v>0</v>
          </cell>
          <cell r="Z2542">
            <v>0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0</v>
          </cell>
          <cell r="O2543">
            <v>222881</v>
          </cell>
          <cell r="P2543"/>
          <cell r="Q2543" t="str">
            <v>EST BASE JANTAR AERO (P/TP 3,00X1,10) (PRETO MTZ FSC)</v>
          </cell>
          <cell r="R2543"/>
          <cell r="S2543"/>
          <cell r="T2543">
            <v>3</v>
          </cell>
          <cell r="U2543">
            <v>1.1000000000000001</v>
          </cell>
          <cell r="V2543">
            <v>0.74</v>
          </cell>
          <cell r="W2543">
            <v>0</v>
          </cell>
          <cell r="X2543" t="str">
            <v>EST BASE JANTAR AERO (P/TP 3,00X1,10) (PRETO MTZ FSC) - 3x1,1x0,74H</v>
          </cell>
          <cell r="Y2543">
            <v>0</v>
          </cell>
          <cell r="Z2543">
            <v>0.5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222970</v>
          </cell>
          <cell r="P2544"/>
          <cell r="Q2544" t="str">
            <v>EST ESCRIVANINHA LACERDA (S/VIDRO FREIJO NATURAL)</v>
          </cell>
          <cell r="R2544"/>
          <cell r="S2544"/>
          <cell r="T2544">
            <v>1.18</v>
          </cell>
          <cell r="U2544">
            <v>0.7</v>
          </cell>
          <cell r="V2544">
            <v>0.74</v>
          </cell>
          <cell r="W2544">
            <v>0</v>
          </cell>
          <cell r="X2544" t="str">
            <v>EST ESCRIVANINHA LACERDA (S/VIDRO FREIJO NATURAL) - 1,18x0,7x0,74H</v>
          </cell>
          <cell r="Y2544">
            <v>0</v>
          </cell>
          <cell r="Z2544">
            <v>0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1</v>
          </cell>
          <cell r="O2545">
            <v>223100</v>
          </cell>
          <cell r="P2545"/>
          <cell r="Q2545" t="str">
            <v>EST CADEIRA GB01 RIPADA (JEQ 03) TC LINHO 501</v>
          </cell>
          <cell r="R2545"/>
          <cell r="S2545"/>
          <cell r="T2545">
            <v>0.45</v>
          </cell>
          <cell r="U2545">
            <v>0.48</v>
          </cell>
          <cell r="V2545">
            <v>0.85</v>
          </cell>
          <cell r="W2545">
            <v>0</v>
          </cell>
          <cell r="X2545" t="str">
            <v>EST CADEIRA GB01 RIPADA (JEQ 03) TC LINHO 501 - 0,45x0,48x0,85H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1</v>
          </cell>
          <cell r="O2546">
            <v>223103</v>
          </cell>
          <cell r="P2546"/>
          <cell r="Q2546" t="str">
            <v>EST CADEIRA TIMBO (CUMARU POLIDO)</v>
          </cell>
          <cell r="R2546"/>
          <cell r="S2546"/>
          <cell r="T2546">
            <v>0.44</v>
          </cell>
          <cell r="U2546">
            <v>0.56999999999999995</v>
          </cell>
          <cell r="V2546">
            <v>0.87</v>
          </cell>
          <cell r="W2546">
            <v>0</v>
          </cell>
          <cell r="X2546" t="str">
            <v>EST CADEIRA TIMBO (CUMARU POLIDO) - 0,44x0,57x0,87H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3</v>
          </cell>
          <cell r="O2547">
            <v>223231</v>
          </cell>
          <cell r="P2547"/>
          <cell r="Q2547" t="str">
            <v>EST BANCO DOMINO (6 LUG) (CILIN PINHO RIGA) (CONC NT) (INOX)</v>
          </cell>
          <cell r="R2547"/>
          <cell r="S2547"/>
          <cell r="T2547">
            <v>2.73</v>
          </cell>
          <cell r="U2547">
            <v>0.45</v>
          </cell>
          <cell r="V2547">
            <v>0.48</v>
          </cell>
          <cell r="W2547">
            <v>0</v>
          </cell>
          <cell r="X2547" t="str">
            <v>EST BANCO DOMINO (6 LUG) (CILIN PINHO RIGA) (CONC NT) (INOX) - 2,73x0,45x0,48H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4</v>
          </cell>
          <cell r="O2548">
            <v>223657</v>
          </cell>
          <cell r="P2548"/>
          <cell r="Q2548" t="str">
            <v>EST CADEIRA MARESIAS S/BRACO (COURO MARROM) (CUMARU POLIDO)</v>
          </cell>
          <cell r="R2548"/>
          <cell r="S2548"/>
          <cell r="T2548">
            <v>0.52</v>
          </cell>
          <cell r="U2548">
            <v>0.55000000000000004</v>
          </cell>
          <cell r="V2548">
            <v>0.83</v>
          </cell>
          <cell r="W2548">
            <v>0</v>
          </cell>
          <cell r="X2548" t="str">
            <v>EST CADEIRA MARESIAS S/BRACO (COURO MARROM) (CUMARU POLIDO) - 0,52x0,55x0,83H</v>
          </cell>
          <cell r="Y2548">
            <v>0</v>
          </cell>
          <cell r="Z2548">
            <v>0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2</v>
          </cell>
          <cell r="O2549">
            <v>223658</v>
          </cell>
          <cell r="P2549"/>
          <cell r="Q2549" t="str">
            <v>EST BANCO MARESIAS (NAUTICA PRETA) (CUMARU POLIDO)</v>
          </cell>
          <cell r="R2549"/>
          <cell r="S2549"/>
          <cell r="T2549">
            <v>0.49</v>
          </cell>
          <cell r="U2549">
            <v>0.4</v>
          </cell>
          <cell r="V2549">
            <v>0.45</v>
          </cell>
          <cell r="W2549">
            <v>0</v>
          </cell>
          <cell r="X2549" t="str">
            <v>EST BANCO MARESIAS (NAUTICA PRETA) (CUMARU POLIDO) - 0,49x0,4x0,45H</v>
          </cell>
          <cell r="Y2549">
            <v>0</v>
          </cell>
          <cell r="Z2549">
            <v>0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2</v>
          </cell>
          <cell r="O2550">
            <v>223659</v>
          </cell>
          <cell r="P2550"/>
          <cell r="Q2550" t="str">
            <v>EST BANQUETA BAR MARESIAS (B) (NAUTICA PRETA CUMARU POL)</v>
          </cell>
          <cell r="R2550"/>
          <cell r="S2550"/>
          <cell r="T2550">
            <v>0.49</v>
          </cell>
          <cell r="U2550">
            <v>0.4</v>
          </cell>
          <cell r="V2550">
            <v>0.72</v>
          </cell>
          <cell r="W2550">
            <v>0</v>
          </cell>
          <cell r="X2550" t="str">
            <v>EST BANQUETA BAR MARESIAS (B) (NAUTICA PRETA CUMARU POL) - 0,49x0,4x0,72H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223739</v>
          </cell>
          <cell r="P2551"/>
          <cell r="Q2551" t="str">
            <v>EST POLTRONA STELLA (BAIXA) (MAD A COR 01) TC EL MEDA AQUA</v>
          </cell>
          <cell r="R2551"/>
          <cell r="S2551"/>
          <cell r="T2551">
            <v>0.74</v>
          </cell>
          <cell r="U2551">
            <v>0.92</v>
          </cell>
          <cell r="V2551">
            <v>0.69</v>
          </cell>
          <cell r="W2551">
            <v>0</v>
          </cell>
          <cell r="X2551" t="str">
            <v>EST POLTRONA STELLA (BAIXA) (MAD A COR 01) TC EL MEDA AQUA - 0,74x0,92x0,69H</v>
          </cell>
          <cell r="Y2551">
            <v>0</v>
          </cell>
          <cell r="Z2551">
            <v>0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224089</v>
          </cell>
          <cell r="P2552"/>
          <cell r="Q2552" t="str">
            <v>EST BASE JANTAR CONE (TAMPO FORN) (CONCRETO PRETO)</v>
          </cell>
          <cell r="R2552"/>
          <cell r="S2552"/>
          <cell r="T2552">
            <v>0.35</v>
          </cell>
          <cell r="U2552">
            <v>0</v>
          </cell>
          <cell r="V2552">
            <v>0.7</v>
          </cell>
          <cell r="W2552">
            <v>0</v>
          </cell>
          <cell r="X2552" t="str">
            <v>EST BASE JANTAR CONE (TAMPO FORN) (CONCRETO PRETO) - Ø0x0,7H</v>
          </cell>
          <cell r="Y2552">
            <v>0</v>
          </cell>
          <cell r="Z2552">
            <v>0.5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0</v>
          </cell>
          <cell r="O2553">
            <v>224158</v>
          </cell>
          <cell r="P2553"/>
          <cell r="Q2553" t="str">
            <v>EST BASE CENTRO GELSOMINA (P) (SUCUPIRA)</v>
          </cell>
          <cell r="R2553"/>
          <cell r="S2553"/>
          <cell r="T2553">
            <v>1.34</v>
          </cell>
          <cell r="U2553">
            <v>0.63</v>
          </cell>
          <cell r="V2553">
            <v>0.33</v>
          </cell>
          <cell r="W2553">
            <v>0</v>
          </cell>
          <cell r="X2553" t="str">
            <v>EST BASE CENTRO GELSOMINA (P) (SUCUPIRA) - 1,34x0,63x0,33H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>
            <v>0</v>
          </cell>
          <cell r="D2554">
            <v>1</v>
          </cell>
          <cell r="E2554">
            <v>0</v>
          </cell>
          <cell r="F2554">
            <v>0</v>
          </cell>
          <cell r="H2554">
            <v>0</v>
          </cell>
          <cell r="O2554">
            <v>224670</v>
          </cell>
          <cell r="P2554"/>
          <cell r="Q2554" t="str">
            <v>EST CADEIRA OMAR C/B ALT (MAD B LOURO ESP) TC EL MEDA WHITE</v>
          </cell>
          <cell r="R2554"/>
          <cell r="S2554"/>
          <cell r="T2554">
            <v>0.55000000000000004</v>
          </cell>
          <cell r="U2554">
            <v>0.55000000000000004</v>
          </cell>
          <cell r="V2554">
            <v>0.82</v>
          </cell>
          <cell r="W2554">
            <v>0</v>
          </cell>
          <cell r="X2554" t="str">
            <v>EST CADEIRA OMAR C/B ALT (MAD B LOURO ESP) TC EL MEDA WHITE - 0,55x0,55x0,82H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1</v>
          </cell>
          <cell r="O2555">
            <v>224968</v>
          </cell>
          <cell r="P2555"/>
          <cell r="Q2555" t="str">
            <v>EST BUFFET OBLONGO (P FERRO CLARO) (PTO FSC SOLID)</v>
          </cell>
          <cell r="R2555"/>
          <cell r="S2555"/>
          <cell r="T2555">
            <v>2.5</v>
          </cell>
          <cell r="U2555">
            <v>0.5</v>
          </cell>
          <cell r="V2555">
            <v>0.74</v>
          </cell>
          <cell r="W2555">
            <v>0</v>
          </cell>
          <cell r="X2555" t="str">
            <v>EST BUFFET OBLONGO (P FERRO CLARO) (PTO FSC SOLID) - 2,5x0,5x0,74H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1</v>
          </cell>
          <cell r="O2556">
            <v>225198</v>
          </cell>
          <cell r="P2556"/>
          <cell r="Q2556" t="str">
            <v>EST MESA JANTAR CONE (TPO PAU FERRO NT) CONCRETO PRETO</v>
          </cell>
          <cell r="R2556"/>
          <cell r="S2556"/>
          <cell r="T2556">
            <v>0</v>
          </cell>
          <cell r="U2556">
            <v>0</v>
          </cell>
          <cell r="V2556">
            <v>0.75</v>
          </cell>
          <cell r="W2556">
            <v>0</v>
          </cell>
          <cell r="X2556" t="str">
            <v>EST MESA JANTAR CONE (TPO PAU FERRO NT) CONCRETO PRETO - Ø0x0,75H</v>
          </cell>
          <cell r="Y2556">
            <v>0</v>
          </cell>
          <cell r="Z2556">
            <v>0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2</v>
          </cell>
          <cell r="O2557">
            <v>225624</v>
          </cell>
          <cell r="P2557"/>
          <cell r="Q2557" t="str">
            <v>EST BANQUETA BAR TIAO H61 (MAD B COR 03) TC CHEVR LI1354 NT</v>
          </cell>
          <cell r="R2557"/>
          <cell r="S2557"/>
          <cell r="T2557">
            <v>0.48</v>
          </cell>
          <cell r="U2557">
            <v>0.52</v>
          </cell>
          <cell r="V2557">
            <v>0.91</v>
          </cell>
          <cell r="W2557">
            <v>0</v>
          </cell>
          <cell r="X2557" t="str">
            <v>EST BANQUETA BAR TIAO H61 (MAD B COR 03) TC CHEVR LI1354 NT - 0,48x0,52x0,91H</v>
          </cell>
          <cell r="Y2557">
            <v>0</v>
          </cell>
          <cell r="Z2557">
            <v>0.5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4</v>
          </cell>
          <cell r="O2558">
            <v>225646</v>
          </cell>
          <cell r="P2558"/>
          <cell r="Q2558" t="str">
            <v>EST LUMINARIA XIBO (LATAO CROMADO) (FREIJO NATURAL)</v>
          </cell>
          <cell r="R2558"/>
          <cell r="S2558"/>
          <cell r="T2558">
            <v>0.46</v>
          </cell>
          <cell r="U2558">
            <v>0</v>
          </cell>
          <cell r="V2558">
            <v>0.63</v>
          </cell>
          <cell r="W2558">
            <v>0.46</v>
          </cell>
          <cell r="X2558" t="str">
            <v>EST LUMINARIA XIBO (LATAO CROMADO) (FREIJO NATURAL) - Ø0,46x0,63H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8</v>
          </cell>
          <cell r="O2559">
            <v>225782</v>
          </cell>
          <cell r="P2559"/>
          <cell r="Q2559" t="str">
            <v>EST BANCO GB (TELA NAT) (SUCUPIRA) (ACO PTO)</v>
          </cell>
          <cell r="R2559"/>
          <cell r="S2559"/>
          <cell r="T2559">
            <v>0.42</v>
          </cell>
          <cell r="U2559">
            <v>0.42</v>
          </cell>
          <cell r="V2559">
            <v>0.45</v>
          </cell>
          <cell r="W2559">
            <v>0</v>
          </cell>
          <cell r="X2559" t="str">
            <v>EST BANCO GB (TELA NAT) (SUCUPIRA) (ACO PTO) - 0,42x0,42x0,45H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1</v>
          </cell>
          <cell r="O2560">
            <v>225790</v>
          </cell>
          <cell r="P2560"/>
          <cell r="Q2560" t="str">
            <v>EST POLTRONA JULIA ESTAR (TELA NATURAL) (MAD A COR 01)</v>
          </cell>
          <cell r="R2560"/>
          <cell r="S2560"/>
          <cell r="T2560">
            <v>0.66</v>
          </cell>
          <cell r="U2560">
            <v>0.63</v>
          </cell>
          <cell r="V2560">
            <v>0.74</v>
          </cell>
          <cell r="W2560">
            <v>0</v>
          </cell>
          <cell r="X2560" t="str">
            <v>EST POLTRONA JULIA ESTAR (TELA NATURAL) (MAD A COR 01) - 0,66x0,63x0,74H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1</v>
          </cell>
          <cell r="O2561">
            <v>225792</v>
          </cell>
          <cell r="P2561"/>
          <cell r="Q2561" t="str">
            <v>EST POLTRONA JULIA ESTAR (TELA NATURAL) (MAD B COR 03)</v>
          </cell>
          <cell r="R2561"/>
          <cell r="S2561"/>
          <cell r="T2561">
            <v>0.66</v>
          </cell>
          <cell r="U2561">
            <v>0.63</v>
          </cell>
          <cell r="V2561">
            <v>0.74</v>
          </cell>
          <cell r="W2561">
            <v>0</v>
          </cell>
          <cell r="X2561" t="str">
            <v>EST POLTRONA JULIA ESTAR (TELA NATURAL) (MAD B COR 03) - 0,66x0,63x0,74H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0</v>
          </cell>
          <cell r="O2562">
            <v>225821</v>
          </cell>
          <cell r="P2562"/>
          <cell r="Q2562" t="str">
            <v>EST APARADOR CAICARA (IPE/IMBUIA) (CON)</v>
          </cell>
          <cell r="R2562"/>
          <cell r="S2562"/>
          <cell r="T2562">
            <v>2.9</v>
          </cell>
          <cell r="U2562">
            <v>0.46</v>
          </cell>
          <cell r="V2562">
            <v>0.9</v>
          </cell>
          <cell r="W2562">
            <v>0</v>
          </cell>
          <cell r="X2562" t="str">
            <v>EST APARADOR CAICARA (IPE/IMBUIA) (CON) - 2,9x0,46x0,9H</v>
          </cell>
          <cell r="Y2562">
            <v>0</v>
          </cell>
          <cell r="Z2562">
            <v>0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1</v>
          </cell>
          <cell r="O2563">
            <v>225834</v>
          </cell>
          <cell r="P2563"/>
          <cell r="Q2563" t="str">
            <v>EST SOFA SOFT C/CAPA TC CAMBRAIA BRANCO/TC SAGG INDIGO</v>
          </cell>
          <cell r="R2563"/>
          <cell r="S2563"/>
          <cell r="T2563">
            <v>3</v>
          </cell>
          <cell r="U2563">
            <v>1.02</v>
          </cell>
          <cell r="V2563">
            <v>0.66</v>
          </cell>
          <cell r="W2563">
            <v>0</v>
          </cell>
          <cell r="X2563" t="str">
            <v>EST SOFA SOFT C/CAPA TC CAMBRAIA BRANCO/TC SAGG INDIGO - 3x1,02x0,66H</v>
          </cell>
          <cell r="Y2563">
            <v>0</v>
          </cell>
          <cell r="Z2563">
            <v>0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8</v>
          </cell>
          <cell r="O2564">
            <v>225845</v>
          </cell>
          <cell r="P2564"/>
          <cell r="Q2564" t="str">
            <v>EST CADEIRA BOA (FREIJO NAT) 24401719 LISO SAG INDIGO</v>
          </cell>
          <cell r="R2564"/>
          <cell r="S2564"/>
          <cell r="T2564">
            <v>0.48</v>
          </cell>
          <cell r="U2564">
            <v>0.65</v>
          </cell>
          <cell r="V2564">
            <v>0.8</v>
          </cell>
          <cell r="W2564">
            <v>0</v>
          </cell>
          <cell r="X2564" t="str">
            <v>EST CADEIRA BOA (FREIJO NAT) 24401719 LISO SAG INDIGO - 0,48x0,65x0,8H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1</v>
          </cell>
          <cell r="O2565">
            <v>225846</v>
          </cell>
          <cell r="P2565"/>
          <cell r="Q2565" t="str">
            <v>EST POLTRONA PREGUICA BAIXA (GIR) (SUCUPIRA) COURO PIG CAFE</v>
          </cell>
          <cell r="R2565"/>
          <cell r="S2565"/>
          <cell r="T2565">
            <v>0.66</v>
          </cell>
          <cell r="U2565">
            <v>0.9</v>
          </cell>
          <cell r="V2565">
            <v>0.78</v>
          </cell>
          <cell r="W2565">
            <v>0</v>
          </cell>
          <cell r="X2565" t="str">
            <v>EST POLTRONA PREGUICA BAIXA (GIR) (SUCUPIRA) COURO PIG CAFE - 0,66x0,9x0,78H</v>
          </cell>
          <cell r="Y2565">
            <v>0</v>
          </cell>
          <cell r="Z2565">
            <v>0.5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225977</v>
          </cell>
          <cell r="P2566"/>
          <cell r="Q2566" t="str">
            <v>EST MOVEL AUXILIAR QUADRADINHO (1 PORTA) (PINHO DE RIGA)</v>
          </cell>
          <cell r="R2566"/>
          <cell r="S2566"/>
          <cell r="T2566">
            <v>0.52</v>
          </cell>
          <cell r="U2566">
            <v>0.55000000000000004</v>
          </cell>
          <cell r="V2566">
            <v>0.59</v>
          </cell>
          <cell r="W2566">
            <v>0</v>
          </cell>
          <cell r="X2566" t="str">
            <v>EST MOVEL AUXILIAR QUADRADINHO (1 PORTA) (PINHO DE RIGA) - 0,52x0,55x0,59H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226040</v>
          </cell>
          <cell r="P2567"/>
          <cell r="Q2567" t="str">
            <v>EST ESCRIVANINHA DESQUI (IMBUIA)</v>
          </cell>
          <cell r="R2567"/>
          <cell r="S2567"/>
          <cell r="T2567">
            <v>1.92</v>
          </cell>
          <cell r="U2567">
            <v>0.76</v>
          </cell>
          <cell r="V2567">
            <v>0.75</v>
          </cell>
          <cell r="W2567">
            <v>0</v>
          </cell>
          <cell r="X2567" t="str">
            <v>EST ESCRIVANINHA DESQUI (IMBUIA) - 1,92x0,76x0,75H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1</v>
          </cell>
          <cell r="O2568">
            <v>226059</v>
          </cell>
          <cell r="P2568"/>
          <cell r="Q2568" t="str">
            <v>EST BANQUETA BAR GUI H70 (SOLETA/CAMURA BG32.2) (PINTURA)</v>
          </cell>
          <cell r="R2568"/>
          <cell r="S2568"/>
          <cell r="T2568">
            <v>0.32</v>
          </cell>
          <cell r="U2568">
            <v>0.32</v>
          </cell>
          <cell r="V2568">
            <v>0.7</v>
          </cell>
          <cell r="W2568">
            <v>0</v>
          </cell>
          <cell r="X2568" t="str">
            <v>EST BANQUETA BAR GUI H70 (SOLETA/CAMURA BG32.2) (PINTURA) - 0,32x0,32x0,7H</v>
          </cell>
          <cell r="Y2568">
            <v>0</v>
          </cell>
          <cell r="Z2568">
            <v>0.5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226060</v>
          </cell>
          <cell r="P2569"/>
          <cell r="Q2569" t="str">
            <v>EST BANQUETA BAR GUI H70 (SOLETA/CAMURA BG32.4)</v>
          </cell>
          <cell r="R2569"/>
          <cell r="S2569"/>
          <cell r="T2569">
            <v>0.32</v>
          </cell>
          <cell r="U2569">
            <v>0.32</v>
          </cell>
          <cell r="V2569">
            <v>0.7</v>
          </cell>
          <cell r="W2569">
            <v>0</v>
          </cell>
          <cell r="X2569" t="str">
            <v>EST BANQUETA BAR GUI H70 (SOLETA/CAMURA BG32.4) - 0,32x0,32x0,7H</v>
          </cell>
          <cell r="Y2569">
            <v>0</v>
          </cell>
          <cell r="Z2569">
            <v>0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1</v>
          </cell>
          <cell r="O2570">
            <v>226061</v>
          </cell>
          <cell r="P2570"/>
          <cell r="Q2570" t="str">
            <v>EST BANCO GUI (01 ASS) (SOLETA CAMEL/BG48.4) (PINTURA) JEQ</v>
          </cell>
          <cell r="R2570"/>
          <cell r="S2570"/>
          <cell r="T2570">
            <v>0.48</v>
          </cell>
          <cell r="U2570">
            <v>0.48</v>
          </cell>
          <cell r="V2570">
            <v>0.16</v>
          </cell>
          <cell r="W2570">
            <v>0</v>
          </cell>
          <cell r="X2570" t="str">
            <v>EST BANCO GUI (01 ASS) (SOLETA CAMEL/BG48.4) (PINTURA) JEQ - 0,48x0,48x0,16H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226062</v>
          </cell>
          <cell r="P2571"/>
          <cell r="Q2571" t="str">
            <v>EST BANCO GUI (01 ASS) (SOLETA CRU/BG48.5) (PINTURA) JEQ</v>
          </cell>
          <cell r="R2571"/>
          <cell r="S2571"/>
          <cell r="T2571">
            <v>0.48</v>
          </cell>
          <cell r="U2571">
            <v>0.48</v>
          </cell>
          <cell r="V2571">
            <v>0.16</v>
          </cell>
          <cell r="W2571">
            <v>0</v>
          </cell>
          <cell r="X2571" t="str">
            <v>EST BANCO GUI (01 ASS) (SOLETA CRU/BG48.5) (PINTURA) JEQ - 0,48x0,48x0,16H</v>
          </cell>
          <cell r="Y2571">
            <v>0</v>
          </cell>
          <cell r="Z2571">
            <v>0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1</v>
          </cell>
          <cell r="O2572">
            <v>226063</v>
          </cell>
          <cell r="P2572"/>
          <cell r="Q2572" t="str">
            <v>EST BANCO GUI (01 ASS) (SOLETA PRETA/BG36.3) (PINTURA) JEQ</v>
          </cell>
          <cell r="R2572"/>
          <cell r="S2572"/>
          <cell r="T2572">
            <v>0.42</v>
          </cell>
          <cell r="U2572">
            <v>0.42</v>
          </cell>
          <cell r="V2572">
            <v>0.42</v>
          </cell>
          <cell r="W2572">
            <v>0</v>
          </cell>
          <cell r="X2572" t="str">
            <v>EST BANCO GUI (01 ASS) (SOLETA PRETA/BG36.3) (PINTURA) JEQ - 0,42x0,42x0,42H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226064</v>
          </cell>
          <cell r="P2573"/>
          <cell r="Q2573" t="str">
            <v>EST BANCO GUI (01 ASS) (SOLETA BEGE/BG36.5) (PINTURA) JEQ</v>
          </cell>
          <cell r="R2573"/>
          <cell r="S2573"/>
          <cell r="T2573">
            <v>0.42</v>
          </cell>
          <cell r="U2573">
            <v>0.42</v>
          </cell>
          <cell r="V2573">
            <v>0.42</v>
          </cell>
          <cell r="W2573">
            <v>0</v>
          </cell>
          <cell r="X2573" t="str">
            <v>EST BANCO GUI (01 ASS) (SOLETA BEGE/BG36.5) (PINTURA) JEQ - 0,42x0,42x0,42H</v>
          </cell>
          <cell r="Y2573">
            <v>0</v>
          </cell>
          <cell r="Z2573">
            <v>0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1</v>
          </cell>
          <cell r="O2574">
            <v>226443</v>
          </cell>
          <cell r="P2574"/>
          <cell r="Q2574" t="str">
            <v>EST SOFA SOFT C/CAPA TC ELVAS/TC CAMBRAIA OFF WHITE</v>
          </cell>
          <cell r="R2574"/>
          <cell r="S2574"/>
          <cell r="T2574">
            <v>3</v>
          </cell>
          <cell r="U2574">
            <v>1.02</v>
          </cell>
          <cell r="V2574">
            <v>0.66</v>
          </cell>
          <cell r="W2574">
            <v>0</v>
          </cell>
          <cell r="X2574" t="str">
            <v>EST SOFA SOFT C/CAPA TC ELVAS/TC CAMBRAIA OFF WHITE - 3x1,02x0,66H</v>
          </cell>
          <cell r="Y2574">
            <v>0</v>
          </cell>
          <cell r="Z2574">
            <v>0.5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1</v>
          </cell>
          <cell r="O2575">
            <v>226959</v>
          </cell>
          <cell r="P2575"/>
          <cell r="Q2575" t="str">
            <v>EST POLTRONA ATOMO C/BRACO TC LONA STONE GRAFITE</v>
          </cell>
          <cell r="R2575"/>
          <cell r="S2575"/>
          <cell r="T2575">
            <v>0.9</v>
          </cell>
          <cell r="U2575">
            <v>0.76</v>
          </cell>
          <cell r="V2575">
            <v>0.82</v>
          </cell>
          <cell r="W2575">
            <v>0</v>
          </cell>
          <cell r="X2575" t="str">
            <v>EST POLTRONA ATOMO C/BRACO TC LONA STONE GRAFITE - 0,9x0,76x0,82H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1</v>
          </cell>
          <cell r="O2576">
            <v>226960</v>
          </cell>
          <cell r="P2576"/>
          <cell r="Q2576" t="str">
            <v>EST BANQUETA ATOMO TC LO454 LONA STONE GUILHE GRAFITE</v>
          </cell>
          <cell r="R2576"/>
          <cell r="S2576"/>
          <cell r="T2576">
            <v>0.7</v>
          </cell>
          <cell r="U2576">
            <v>0.62</v>
          </cell>
          <cell r="V2576">
            <v>0.42</v>
          </cell>
          <cell r="W2576">
            <v>0</v>
          </cell>
          <cell r="X2576" t="str">
            <v>EST BANQUETA ATOMO TC LO454 LONA STONE GUILHE GRAFITE - 0,7x0,62x0,42H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0</v>
          </cell>
          <cell r="O2577">
            <v>227073</v>
          </cell>
          <cell r="P2577"/>
          <cell r="Q2577" t="str">
            <v>EST BANCO TARIKI (COURO NOBUCK 10) PES PINTADO PRETO FSC</v>
          </cell>
          <cell r="R2577"/>
          <cell r="S2577"/>
          <cell r="T2577">
            <v>1.8</v>
          </cell>
          <cell r="U2577">
            <v>0.75</v>
          </cell>
          <cell r="V2577">
            <v>0.4</v>
          </cell>
          <cell r="W2577">
            <v>0</v>
          </cell>
          <cell r="X2577" t="str">
            <v>EST BANCO TARIKI (COURO NOBUCK 10) PES PINTADO PRETO FSC - 1,8x0,75x0,4H</v>
          </cell>
          <cell r="Y2577">
            <v>0</v>
          </cell>
          <cell r="Z2577">
            <v>0.5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227123</v>
          </cell>
          <cell r="P2578"/>
          <cell r="Q2578" t="str">
            <v>EST CADEIRA JOHN GRAZ (PINHO DE RIGA) COURO MALTA 340 VERDE</v>
          </cell>
          <cell r="R2578"/>
          <cell r="S2578"/>
          <cell r="T2578">
            <v>0.48</v>
          </cell>
          <cell r="U2578">
            <v>0.53</v>
          </cell>
          <cell r="V2578">
            <v>0.82</v>
          </cell>
          <cell r="W2578">
            <v>0</v>
          </cell>
          <cell r="X2578" t="str">
            <v>EST CADEIRA JOHN GRAZ (PINHO DE RIGA) COURO MALTA 340 VERDE - 0,48x0,53x0,82H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1</v>
          </cell>
          <cell r="O2579">
            <v>227190</v>
          </cell>
          <cell r="P2579"/>
          <cell r="Q2579" t="str">
            <v>EST POLTRONA NAVONA (FREIJO NT) COURO ANILINA PRETO</v>
          </cell>
          <cell r="R2579"/>
          <cell r="S2579"/>
          <cell r="T2579">
            <v>1.05</v>
          </cell>
          <cell r="U2579">
            <v>0.86</v>
          </cell>
          <cell r="V2579">
            <v>0.7</v>
          </cell>
          <cell r="W2579">
            <v>0</v>
          </cell>
          <cell r="X2579" t="str">
            <v>EST POLTRONA NAVONA (FREIJO NT) COURO ANILINA PRETO - 1,05x0,86x0,7H</v>
          </cell>
          <cell r="Y2579">
            <v>0</v>
          </cell>
          <cell r="Z2579">
            <v>0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0</v>
          </cell>
          <cell r="O2580">
            <v>228057</v>
          </cell>
          <cell r="P2580"/>
          <cell r="Q2580" t="str">
            <v>EST SOFA AIR II (BASE PRETA) TC SAAG INDIGO (6 ALM DEC)</v>
          </cell>
          <cell r="R2580"/>
          <cell r="S2580"/>
          <cell r="T2580">
            <v>3.5</v>
          </cell>
          <cell r="U2580">
            <v>0.97</v>
          </cell>
          <cell r="V2580">
            <v>0.7</v>
          </cell>
          <cell r="W2580">
            <v>0</v>
          </cell>
          <cell r="X2580" t="str">
            <v>EST SOFA AIR II (BASE PRETA) TC SAAG INDIGO (6 ALM DEC) - 3,5x0,97x0,7H</v>
          </cell>
          <cell r="Y2580">
            <v>0</v>
          </cell>
          <cell r="Z2580">
            <v>0.5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4</v>
          </cell>
          <cell r="O2581">
            <v>228444</v>
          </cell>
          <cell r="P2581"/>
          <cell r="Q2581" t="str">
            <v>EST LUMINARIA PAU DE LUZ MINI (LATAO) (FREIJO NATURAL) BIVOL</v>
          </cell>
          <cell r="R2581"/>
          <cell r="S2581"/>
          <cell r="T2581">
            <v>0.03</v>
          </cell>
          <cell r="U2581">
            <v>0.04</v>
          </cell>
          <cell r="V2581">
            <v>1.22</v>
          </cell>
          <cell r="W2581">
            <v>0</v>
          </cell>
          <cell r="X2581" t="str">
            <v>EST LUMINARIA PAU DE LUZ MINI (LATAO) (FREIJO NATURAL) BIVOL - 0,03x0,04x1,22H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1</v>
          </cell>
          <cell r="O2582">
            <v>228509</v>
          </cell>
          <cell r="P2582"/>
          <cell r="Q2582" t="str">
            <v>EST BANCO DOMINO (4 LUG) (CILIN PINHO RIGA) (CONC NT) (INOX)</v>
          </cell>
          <cell r="R2582"/>
          <cell r="S2582"/>
          <cell r="T2582">
            <v>1.9</v>
          </cell>
          <cell r="U2582">
            <v>0.45</v>
          </cell>
          <cell r="V2582">
            <v>0.48</v>
          </cell>
          <cell r="W2582">
            <v>0</v>
          </cell>
          <cell r="X2582" t="str">
            <v>EST BANCO DOMINO (4 LUG) (CILIN PINHO RIGA) (CONC NT) (INOX) - 1,9x0,45x0,48H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1</v>
          </cell>
          <cell r="O2583">
            <v>228547</v>
          </cell>
          <cell r="P2583"/>
          <cell r="Q2583" t="str">
            <v>EST GAVETEIRO GB UL24 (1 GAV) (METAL) (INTEIROPAU FERRO)</v>
          </cell>
          <cell r="R2583"/>
          <cell r="S2583"/>
          <cell r="T2583">
            <v>0.53</v>
          </cell>
          <cell r="U2583">
            <v>0.42</v>
          </cell>
          <cell r="V2583">
            <v>0.42</v>
          </cell>
          <cell r="W2583">
            <v>0</v>
          </cell>
          <cell r="X2583" t="str">
            <v>EST GAVETEIRO GB UL24 (1 GAV) (METAL) (INTEIROPAU FERRO) - 0,53x0,42x0,42H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1</v>
          </cell>
          <cell r="O2584">
            <v>228577</v>
          </cell>
          <cell r="P2584"/>
          <cell r="Q2584" t="str">
            <v>EST BANQUETA BAR BOA ALTA S/BRACO H72 (TC SAGG INDIGO)</v>
          </cell>
          <cell r="R2584"/>
          <cell r="S2584"/>
          <cell r="T2584">
            <v>0.44</v>
          </cell>
          <cell r="U2584">
            <v>0.55000000000000004</v>
          </cell>
          <cell r="V2584">
            <v>1.01</v>
          </cell>
          <cell r="W2584">
            <v>0</v>
          </cell>
          <cell r="X2584" t="str">
            <v>EST BANQUETA BAR BOA ALTA S/BRACO H72 (TC SAGG INDIGO) - 0,44x0,55x1,01H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9</v>
          </cell>
          <cell r="O2585">
            <v>228582</v>
          </cell>
          <cell r="P2585"/>
          <cell r="Q2585" t="str">
            <v>EST TAMPO MINI PICK (MODELO A) (RED DRAGON)</v>
          </cell>
          <cell r="R2585"/>
          <cell r="S2585"/>
          <cell r="T2585">
            <v>0.68</v>
          </cell>
          <cell r="U2585">
            <v>0.5</v>
          </cell>
          <cell r="V2585">
            <v>0.02</v>
          </cell>
          <cell r="W2585">
            <v>0</v>
          </cell>
          <cell r="X2585" t="str">
            <v>EST TAMPO MINI PICK (MODELO A) (RED DRAGON) - 0,68x0,5x0,02H</v>
          </cell>
          <cell r="Y2585">
            <v>0</v>
          </cell>
          <cell r="Z2585">
            <v>0.5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228589</v>
          </cell>
          <cell r="P2586"/>
          <cell r="Q2586" t="str">
            <v>EST TAMPO MINI PICK (MODELO A) (BATEIG BLUE)</v>
          </cell>
          <cell r="R2586"/>
          <cell r="S2586"/>
          <cell r="T2586">
            <v>0.68</v>
          </cell>
          <cell r="U2586">
            <v>0.5</v>
          </cell>
          <cell r="V2586">
            <v>0.02</v>
          </cell>
          <cell r="W2586">
            <v>0</v>
          </cell>
          <cell r="X2586" t="str">
            <v>EST TAMPO MINI PICK (MODELO A) (BATEIG BLUE) - 0,68x0,5x0,02H</v>
          </cell>
          <cell r="Y2586">
            <v>0</v>
          </cell>
          <cell r="Z2586">
            <v>0.5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5</v>
          </cell>
          <cell r="O2587">
            <v>228592</v>
          </cell>
          <cell r="P2587"/>
          <cell r="Q2587" t="str">
            <v>EST TAMPO MINI PICK (MODELO A) (BASALTINA)</v>
          </cell>
          <cell r="R2587"/>
          <cell r="S2587"/>
          <cell r="T2587">
            <v>0.68</v>
          </cell>
          <cell r="U2587">
            <v>0.5</v>
          </cell>
          <cell r="V2587">
            <v>0.02</v>
          </cell>
          <cell r="W2587">
            <v>0</v>
          </cell>
          <cell r="X2587" t="str">
            <v>EST TAMPO MINI PICK (MODELO A) (BASALTINA) - 0,68x0,5x0,02H</v>
          </cell>
          <cell r="Y2587">
            <v>0</v>
          </cell>
          <cell r="Z2587">
            <v>0.5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8</v>
          </cell>
          <cell r="O2588">
            <v>229364</v>
          </cell>
          <cell r="P2588"/>
          <cell r="Q2588" t="str">
            <v>EST TAMPO MINI PICK (MODELO B) (BASALTINA)</v>
          </cell>
          <cell r="R2588"/>
          <cell r="S2588"/>
          <cell r="T2588">
            <v>0.8</v>
          </cell>
          <cell r="U2588">
            <v>0.5</v>
          </cell>
          <cell r="V2588">
            <v>0.02</v>
          </cell>
          <cell r="W2588">
            <v>0</v>
          </cell>
          <cell r="X2588" t="str">
            <v>EST TAMPO MINI PICK (MODELO B) (BASALTINA) - 0,8x0,5x0,02H</v>
          </cell>
          <cell r="Y2588">
            <v>0</v>
          </cell>
          <cell r="Z2588">
            <v>0.5</v>
          </cell>
          <cell r="AA2588">
            <v>0</v>
          </cell>
          <cell r="AB2588"/>
        </row>
        <row r="2589"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H2589">
            <v>1</v>
          </cell>
          <cell r="O2589">
            <v>229365</v>
          </cell>
          <cell r="P2589"/>
          <cell r="Q2589" t="str">
            <v>EST TAMPO MINI PICK (MODELO B) (BATEIG BLUE)</v>
          </cell>
          <cell r="R2589"/>
          <cell r="S2589"/>
          <cell r="T2589">
            <v>0.8</v>
          </cell>
          <cell r="U2589">
            <v>0.5</v>
          </cell>
          <cell r="V2589">
            <v>0.02</v>
          </cell>
          <cell r="W2589">
            <v>0</v>
          </cell>
          <cell r="X2589" t="str">
            <v>EST TAMPO MINI PICK (MODELO B) (BATEIG BLUE) - 0,8x0,5x0,02H</v>
          </cell>
          <cell r="Y2589">
            <v>0</v>
          </cell>
          <cell r="Z2589">
            <v>0.5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6</v>
          </cell>
          <cell r="O2590">
            <v>229366</v>
          </cell>
          <cell r="P2590"/>
          <cell r="Q2590" t="str">
            <v>EST TAMPO MINI PICK (MODELO B) (RED DRAGON)</v>
          </cell>
          <cell r="R2590"/>
          <cell r="S2590"/>
          <cell r="T2590">
            <v>0.8</v>
          </cell>
          <cell r="U2590">
            <v>0.5</v>
          </cell>
          <cell r="V2590">
            <v>0.02</v>
          </cell>
          <cell r="W2590">
            <v>0</v>
          </cell>
          <cell r="X2590" t="str">
            <v>EST TAMPO MINI PICK (MODELO B) (RED DRAGON) - 0,8x0,5x0,02H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229377</v>
          </cell>
          <cell r="P2591"/>
          <cell r="Q2591" t="str">
            <v>EST TAMPO MINI PICK (MODELO C) (RED DRAGON)</v>
          </cell>
          <cell r="R2591"/>
          <cell r="S2591"/>
          <cell r="T2591">
            <v>0.85</v>
          </cell>
          <cell r="U2591">
            <v>0.5</v>
          </cell>
          <cell r="V2591">
            <v>0.02</v>
          </cell>
          <cell r="W2591">
            <v>0</v>
          </cell>
          <cell r="X2591" t="str">
            <v>EST TAMPO MINI PICK (MODELO C) (RED DRAGON) - 0,85x0,5x0,02H</v>
          </cell>
          <cell r="Y2591">
            <v>0</v>
          </cell>
          <cell r="Z2591">
            <v>0.5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4</v>
          </cell>
          <cell r="O2592">
            <v>229380</v>
          </cell>
          <cell r="P2592"/>
          <cell r="Q2592" t="str">
            <v>EST TAMPO MINI PICK (MODELO C) (BASALTINA)</v>
          </cell>
          <cell r="R2592"/>
          <cell r="S2592"/>
          <cell r="T2592">
            <v>0.85</v>
          </cell>
          <cell r="U2592">
            <v>0.4</v>
          </cell>
          <cell r="V2592">
            <v>0.02</v>
          </cell>
          <cell r="W2592">
            <v>0</v>
          </cell>
          <cell r="X2592" t="str">
            <v>EST TAMPO MINI PICK (MODELO C) (BASALTINA) - 0,85x0,4x0,02H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3</v>
          </cell>
          <cell r="O2593">
            <v>229381</v>
          </cell>
          <cell r="P2593"/>
          <cell r="Q2593" t="str">
            <v>EST TAMPO MINI PICK (MODELO C) (BATEIG BLUE)</v>
          </cell>
          <cell r="R2593"/>
          <cell r="S2593"/>
          <cell r="T2593">
            <v>0.85</v>
          </cell>
          <cell r="U2593">
            <v>0.5</v>
          </cell>
          <cell r="V2593">
            <v>0.02</v>
          </cell>
          <cell r="W2593">
            <v>0</v>
          </cell>
          <cell r="X2593" t="str">
            <v>EST TAMPO MINI PICK (MODELO C) (BATEIG BLUE) - 0,85x0,5x0,02H</v>
          </cell>
          <cell r="Y2593">
            <v>0</v>
          </cell>
          <cell r="Z2593">
            <v>0.5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3</v>
          </cell>
          <cell r="O2594">
            <v>229382</v>
          </cell>
          <cell r="P2594"/>
          <cell r="Q2594" t="str">
            <v>EST BASE CENTRO MINI PICK (A) (CONCRETO NATURAL)</v>
          </cell>
          <cell r="R2594"/>
          <cell r="S2594"/>
          <cell r="T2594">
            <v>0.68</v>
          </cell>
          <cell r="U2594">
            <v>0.5</v>
          </cell>
          <cell r="V2594">
            <v>0.33</v>
          </cell>
          <cell r="W2594">
            <v>0</v>
          </cell>
          <cell r="X2594" t="str">
            <v>EST BASE CENTRO MINI PICK (A) (CONCRETO NATURAL) - 0,68x0,5x0,33H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7</v>
          </cell>
          <cell r="O2595">
            <v>229383</v>
          </cell>
          <cell r="P2595"/>
          <cell r="Q2595" t="str">
            <v>EST BASE CENTRO MINI PICK (A) (CONCRETO GOIABA)</v>
          </cell>
          <cell r="R2595"/>
          <cell r="S2595"/>
          <cell r="T2595">
            <v>0.68</v>
          </cell>
          <cell r="U2595">
            <v>0.5</v>
          </cell>
          <cell r="V2595">
            <v>0.33</v>
          </cell>
          <cell r="W2595">
            <v>0</v>
          </cell>
          <cell r="X2595" t="str">
            <v>EST BASE CENTRO MINI PICK (A) (CONCRETO GOIABA) - 0,68x0,5x0,33H</v>
          </cell>
          <cell r="Y2595">
            <v>0</v>
          </cell>
          <cell r="Z2595">
            <v>0.5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7</v>
          </cell>
          <cell r="O2596">
            <v>229384</v>
          </cell>
          <cell r="P2596"/>
          <cell r="Q2596" t="str">
            <v>EST BASE CENTRO MINI PICK (A) (CONCRETO GRAFITE)</v>
          </cell>
          <cell r="R2596"/>
          <cell r="S2596"/>
          <cell r="T2596">
            <v>0.68</v>
          </cell>
          <cell r="U2596">
            <v>0.5</v>
          </cell>
          <cell r="V2596">
            <v>0.33</v>
          </cell>
          <cell r="W2596">
            <v>0</v>
          </cell>
          <cell r="X2596" t="str">
            <v>EST BASE CENTRO MINI PICK (A) (CONCRETO GRAFITE) - 0,68x0,5x0,33H</v>
          </cell>
          <cell r="Y2596">
            <v>0</v>
          </cell>
          <cell r="Z2596">
            <v>0.5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6</v>
          </cell>
          <cell r="O2597">
            <v>229385</v>
          </cell>
          <cell r="P2597"/>
          <cell r="Q2597" t="str">
            <v>EST BASE CENTRO MINI PICK (B) (CONCRETO NATURAL)</v>
          </cell>
          <cell r="R2597"/>
          <cell r="S2597"/>
          <cell r="T2597">
            <v>0.8</v>
          </cell>
          <cell r="U2597">
            <v>0.5</v>
          </cell>
          <cell r="V2597">
            <v>0.33</v>
          </cell>
          <cell r="W2597">
            <v>0</v>
          </cell>
          <cell r="X2597" t="str">
            <v>EST BASE CENTRO MINI PICK (B) (CONCRETO NATURAL) - 0,8x0,5x0,33H</v>
          </cell>
          <cell r="Y2597">
            <v>0</v>
          </cell>
          <cell r="Z2597">
            <v>0.5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5</v>
          </cell>
          <cell r="O2598">
            <v>229386</v>
          </cell>
          <cell r="P2598"/>
          <cell r="Q2598" t="str">
            <v>EST BASE CENTRO MINI PICK (B) (CONCRETO GOIABA)</v>
          </cell>
          <cell r="R2598"/>
          <cell r="S2598"/>
          <cell r="T2598">
            <v>0.8</v>
          </cell>
          <cell r="U2598">
            <v>0.5</v>
          </cell>
          <cell r="V2598">
            <v>0.33</v>
          </cell>
          <cell r="W2598">
            <v>0</v>
          </cell>
          <cell r="X2598" t="str">
            <v>EST BASE CENTRO MINI PICK (B) (CONCRETO GOIABA) - 0,8x0,5x0,33H</v>
          </cell>
          <cell r="Y2598">
            <v>0</v>
          </cell>
          <cell r="Z2598">
            <v>0.5</v>
          </cell>
          <cell r="AA2598">
            <v>0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6</v>
          </cell>
          <cell r="O2599">
            <v>229387</v>
          </cell>
          <cell r="P2599"/>
          <cell r="Q2599" t="str">
            <v>EST BASE CENTRO MINI PICK (B) (CONCRETO GRAFITE)</v>
          </cell>
          <cell r="R2599"/>
          <cell r="S2599"/>
          <cell r="T2599">
            <v>0.8</v>
          </cell>
          <cell r="U2599">
            <v>0.5</v>
          </cell>
          <cell r="V2599">
            <v>0.33</v>
          </cell>
          <cell r="W2599">
            <v>0</v>
          </cell>
          <cell r="X2599" t="str">
            <v>EST BASE CENTRO MINI PICK (B) (CONCRETO GRAFITE) - 0,8x0,5x0,33H</v>
          </cell>
          <cell r="Y2599">
            <v>0</v>
          </cell>
          <cell r="Z2599">
            <v>0.5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0</v>
          </cell>
          <cell r="O2600">
            <v>229389</v>
          </cell>
          <cell r="P2600"/>
          <cell r="Q2600" t="str">
            <v>EST BASE CENTRO MINI PICK (C) (CONCRETO GOIABA)</v>
          </cell>
          <cell r="R2600"/>
          <cell r="S2600"/>
          <cell r="T2600">
            <v>0.85</v>
          </cell>
          <cell r="U2600">
            <v>0.5</v>
          </cell>
          <cell r="V2600">
            <v>0.33</v>
          </cell>
          <cell r="W2600">
            <v>0</v>
          </cell>
          <cell r="X2600" t="str">
            <v>EST BASE CENTRO MINI PICK (C) (CONCRETO GOIABA) - 0,85x0,5x0,33H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5</v>
          </cell>
          <cell r="O2601">
            <v>229390</v>
          </cell>
          <cell r="P2601"/>
          <cell r="Q2601" t="str">
            <v>EST BASE CENTRO MINI PICK (C) (CONCRETO NATURAL)</v>
          </cell>
          <cell r="R2601"/>
          <cell r="S2601"/>
          <cell r="T2601">
            <v>0.85</v>
          </cell>
          <cell r="U2601">
            <v>0.5</v>
          </cell>
          <cell r="V2601">
            <v>0.33</v>
          </cell>
          <cell r="W2601">
            <v>0</v>
          </cell>
          <cell r="X2601" t="str">
            <v>EST BASE CENTRO MINI PICK (C) (CONCRETO NATURAL) - 0,85x0,5x0,33H</v>
          </cell>
          <cell r="Y2601">
            <v>0</v>
          </cell>
          <cell r="Z2601">
            <v>0.5</v>
          </cell>
          <cell r="AA2601">
            <v>0</v>
          </cell>
          <cell r="AB2601"/>
        </row>
        <row r="2602"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H2602">
            <v>4</v>
          </cell>
          <cell r="O2602">
            <v>229391</v>
          </cell>
          <cell r="P2602"/>
          <cell r="Q2602" t="str">
            <v>EST BASE CENTRO MINI PICK (C) (CONCRETO GRAFITE)</v>
          </cell>
          <cell r="R2602"/>
          <cell r="S2602"/>
          <cell r="T2602">
            <v>0.85</v>
          </cell>
          <cell r="U2602">
            <v>0.5</v>
          </cell>
          <cell r="V2602">
            <v>0.33</v>
          </cell>
          <cell r="W2602">
            <v>0</v>
          </cell>
          <cell r="X2602" t="str">
            <v>EST BASE CENTRO MINI PICK (C) (CONCRETO GRAFITE) - 0,85x0,5x0,33H</v>
          </cell>
          <cell r="Y2602">
            <v>0</v>
          </cell>
          <cell r="Z2602">
            <v>0.5</v>
          </cell>
          <cell r="AA2602">
            <v>0</v>
          </cell>
          <cell r="AB2602"/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H2603">
            <v>1</v>
          </cell>
          <cell r="O2603">
            <v>229413</v>
          </cell>
          <cell r="P2603"/>
          <cell r="Q2603" t="str">
            <v>EST POLTRONA TETE (FREIJO NT) COURO WHINCESTER WHINCESTER</v>
          </cell>
          <cell r="R2603"/>
          <cell r="S2603"/>
          <cell r="T2603">
            <v>0.86</v>
          </cell>
          <cell r="U2603">
            <v>0.84</v>
          </cell>
          <cell r="V2603">
            <v>0.75</v>
          </cell>
          <cell r="W2603">
            <v>0</v>
          </cell>
          <cell r="X2603" t="str">
            <v>EST POLTRONA TETE (FREIJO NT) COURO WHINCESTER WHINCESTER - 0,86x0,84x0,75H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229427</v>
          </cell>
          <cell r="P2604"/>
          <cell r="Q2604" t="str">
            <v>EST BANQUETA PREGUICA (PES EM X) (SUCUPIRA) COURO NOBUCK 70</v>
          </cell>
          <cell r="R2604"/>
          <cell r="S2604"/>
          <cell r="T2604">
            <v>0.49</v>
          </cell>
          <cell r="U2604">
            <v>0.45</v>
          </cell>
          <cell r="V2604">
            <v>0.37</v>
          </cell>
          <cell r="W2604">
            <v>0</v>
          </cell>
          <cell r="X2604" t="str">
            <v>EST BANQUETA PREGUICA (PES EM X) (SUCUPIRA) COURO NOBUCK 70 - 0,49x0,45x0,37H</v>
          </cell>
          <cell r="Y2604">
            <v>0</v>
          </cell>
          <cell r="Z2604">
            <v>0.5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1</v>
          </cell>
          <cell r="O2605">
            <v>229541</v>
          </cell>
          <cell r="P2605"/>
          <cell r="Q2605" t="str">
            <v>EST REVISTEIRO VECCI (P) (MADEIRA IMBUIA)</v>
          </cell>
          <cell r="R2605"/>
          <cell r="S2605"/>
          <cell r="T2605">
            <v>0.38</v>
          </cell>
          <cell r="U2605">
            <v>0.34</v>
          </cell>
          <cell r="V2605">
            <v>0.9</v>
          </cell>
          <cell r="W2605">
            <v>0</v>
          </cell>
          <cell r="X2605" t="str">
            <v>EST REVISTEIRO VECCI (P) (MADEIRA IMBUIA) - 0,38x0,34x0,9H</v>
          </cell>
          <cell r="Y2605">
            <v>0</v>
          </cell>
          <cell r="Z2605">
            <v>0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1</v>
          </cell>
          <cell r="O2606">
            <v>229542</v>
          </cell>
          <cell r="P2606"/>
          <cell r="Q2606" t="str">
            <v>EST REVISTEIRO VECCI (M) (MADEIRA IMBUIA)</v>
          </cell>
          <cell r="R2606"/>
          <cell r="S2606"/>
          <cell r="T2606">
            <v>0.38</v>
          </cell>
          <cell r="U2606">
            <v>0.34</v>
          </cell>
          <cell r="V2606">
            <v>1.4</v>
          </cell>
          <cell r="W2606">
            <v>0</v>
          </cell>
          <cell r="X2606" t="str">
            <v>EST REVISTEIRO VECCI (M) (MADEIRA IMBUIA) - 0,38x0,34x1,4H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229545</v>
          </cell>
          <cell r="P2607"/>
          <cell r="Q2607" t="str">
            <v>EST MESA LATERAL JOALHERIA (ENCAIXE) (PAU FERRO)</v>
          </cell>
          <cell r="R2607"/>
          <cell r="S2607"/>
          <cell r="T2607">
            <v>0.6</v>
          </cell>
          <cell r="U2607">
            <v>0.37</v>
          </cell>
          <cell r="V2607">
            <v>0.55000000000000004</v>
          </cell>
          <cell r="W2607">
            <v>0</v>
          </cell>
          <cell r="X2607" t="str">
            <v>EST MESA LATERAL JOALHERIA (ENCAIXE) (PAU FERRO) - 0,6x0,37x0,55H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0</v>
          </cell>
          <cell r="O2608">
            <v>230165</v>
          </cell>
          <cell r="P2608"/>
          <cell r="Q2608" t="str">
            <v>EST POLTRONA DRUMMOND (MAD B COR 3) TC VILLA OLMO NT</v>
          </cell>
          <cell r="R2608"/>
          <cell r="S2608"/>
          <cell r="T2608">
            <v>0.8</v>
          </cell>
          <cell r="U2608">
            <v>0.78</v>
          </cell>
          <cell r="V2608">
            <v>0.76</v>
          </cell>
          <cell r="W2608">
            <v>0</v>
          </cell>
          <cell r="X2608" t="str">
            <v>EST POLTRONA DRUMMOND (MAD B COR 3) TC VILLA OLMO NT - 0,8x0,78x0,76H</v>
          </cell>
          <cell r="Y2608">
            <v>0</v>
          </cell>
          <cell r="Z2608">
            <v>0.5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2</v>
          </cell>
          <cell r="O2609">
            <v>230316</v>
          </cell>
          <cell r="P2609"/>
          <cell r="Q2609" t="str">
            <v>EST BANQUETA SENHOR (MAD B LOURO ESP) CAMURCA TABACO</v>
          </cell>
          <cell r="R2609"/>
          <cell r="S2609"/>
          <cell r="T2609">
            <v>0.77</v>
          </cell>
          <cell r="U2609">
            <v>0.49</v>
          </cell>
          <cell r="V2609">
            <v>0.36</v>
          </cell>
          <cell r="W2609">
            <v>0</v>
          </cell>
          <cell r="X2609" t="str">
            <v>EST BANQUETA SENHOR (MAD B LOURO ESP) CAMURCA TABACO - 0,77x0,49x0,36H</v>
          </cell>
          <cell r="Y2609">
            <v>0</v>
          </cell>
          <cell r="Z2609">
            <v>0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1</v>
          </cell>
          <cell r="O2610">
            <v>230531</v>
          </cell>
          <cell r="P2610"/>
          <cell r="Q2610" t="str">
            <v>EST CADEIRA JOHN GRAZ (NOGUEIRA) COURO NOBUCK 70</v>
          </cell>
          <cell r="R2610"/>
          <cell r="S2610"/>
          <cell r="T2610">
            <v>0.48</v>
          </cell>
          <cell r="U2610">
            <v>0.53</v>
          </cell>
          <cell r="V2610">
            <v>0.82</v>
          </cell>
          <cell r="W2610">
            <v>0</v>
          </cell>
          <cell r="X2610" t="str">
            <v>EST CADEIRA JOHN GRAZ (NOGUEIRA) COURO NOBUCK 70 - 0,48x0,53x0,82H</v>
          </cell>
          <cell r="Y2610">
            <v>0</v>
          </cell>
          <cell r="Z2610">
            <v>0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1</v>
          </cell>
          <cell r="O2611">
            <v>230532</v>
          </cell>
          <cell r="P2611"/>
          <cell r="Q2611" t="str">
            <v>EST CADEIRA JOHN GRAZ (PINHO DE RIGA) COURO NOBUCK 70</v>
          </cell>
          <cell r="R2611"/>
          <cell r="S2611"/>
          <cell r="T2611">
            <v>0.48</v>
          </cell>
          <cell r="U2611">
            <v>0.53</v>
          </cell>
          <cell r="V2611">
            <v>0.82</v>
          </cell>
          <cell r="W2611">
            <v>0</v>
          </cell>
          <cell r="X2611" t="str">
            <v>EST CADEIRA JOHN GRAZ (PINHO DE RIGA) COURO NOBUCK 70 - 0,48x0,53x0,82H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230660</v>
          </cell>
          <cell r="P2612"/>
          <cell r="Q2612" t="str">
            <v>EST POLTRONA JULIA ESTAR (TELA NATURAL) (MAD IMBUIA STAIN)</v>
          </cell>
          <cell r="R2612"/>
          <cell r="S2612"/>
          <cell r="T2612">
            <v>0.66</v>
          </cell>
          <cell r="U2612">
            <v>0.63</v>
          </cell>
          <cell r="V2612">
            <v>0.74</v>
          </cell>
          <cell r="W2612">
            <v>0</v>
          </cell>
          <cell r="X2612" t="str">
            <v>EST POLTRONA JULIA ESTAR (TELA NATURAL) (MAD IMBUIA STAIN) - 0,66x0,63x0,74H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H2613">
            <v>6</v>
          </cell>
          <cell r="O2613">
            <v>230661</v>
          </cell>
          <cell r="P2613"/>
          <cell r="Q2613" t="str">
            <v>EST BANQUETA BAR NINE H73 (MAD B COR 03) VERNIZ 20% BRILHO</v>
          </cell>
          <cell r="R2613"/>
          <cell r="S2613"/>
          <cell r="T2613">
            <v>0.42</v>
          </cell>
          <cell r="U2613">
            <v>0.4</v>
          </cell>
          <cell r="V2613">
            <v>0.73</v>
          </cell>
          <cell r="W2613">
            <v>0</v>
          </cell>
          <cell r="X2613" t="str">
            <v>EST BANQUETA BAR NINE H73 (MAD B COR 03) VERNIZ 20% BRILHO - 0,42x0,4x0,73H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230662</v>
          </cell>
          <cell r="P2614"/>
          <cell r="Q2614" t="str">
            <v>EST BANQUETA BAR NINE H80 (MAD B COR 03) VERNIZ 20% BRILHO</v>
          </cell>
          <cell r="R2614"/>
          <cell r="S2614"/>
          <cell r="T2614">
            <v>0.42</v>
          </cell>
          <cell r="U2614">
            <v>0.4</v>
          </cell>
          <cell r="V2614">
            <v>0.8</v>
          </cell>
          <cell r="W2614">
            <v>0</v>
          </cell>
          <cell r="X2614" t="str">
            <v>EST BANQUETA BAR NINE H80 (MAD B COR 03) VERNIZ 20% BRILHO - 0,42x0,4x0,8H</v>
          </cell>
          <cell r="Y2614">
            <v>0</v>
          </cell>
          <cell r="Z2614">
            <v>0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230663</v>
          </cell>
          <cell r="P2615"/>
          <cell r="Q2615" t="str">
            <v>EST BANQUETA BAR NINE H60 (MAD B COR 03) VERNIZ 20% BRILHO</v>
          </cell>
          <cell r="R2615"/>
          <cell r="S2615"/>
          <cell r="T2615">
            <v>0.42</v>
          </cell>
          <cell r="U2615">
            <v>0.4</v>
          </cell>
          <cell r="V2615">
            <v>0.6</v>
          </cell>
          <cell r="W2615">
            <v>0</v>
          </cell>
          <cell r="X2615" t="str">
            <v>EST BANQUETA BAR NINE H60 (MAD B COR 03) VERNIZ 20% BRILHO - 0,42x0,4x0,6H</v>
          </cell>
          <cell r="Y2615">
            <v>0</v>
          </cell>
          <cell r="Z2615">
            <v>0.5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231184</v>
          </cell>
          <cell r="P2616"/>
          <cell r="Q2616" t="str">
            <v>EST POLTRONA STELLA (BAIXA) (MAD B COR 02) TC EL MALIBU BLUE</v>
          </cell>
          <cell r="R2616"/>
          <cell r="S2616"/>
          <cell r="T2616">
            <v>0.74</v>
          </cell>
          <cell r="U2616">
            <v>0.92</v>
          </cell>
          <cell r="V2616">
            <v>0.69</v>
          </cell>
          <cell r="W2616">
            <v>0</v>
          </cell>
          <cell r="X2616" t="str">
            <v>EST POLTRONA STELLA (BAIXA) (MAD B COR 02) TC EL MALIBU BLUE - 0,74x0,92x0,69H</v>
          </cell>
          <cell r="Y2616">
            <v>0</v>
          </cell>
          <cell r="Z2616">
            <v>0.5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2</v>
          </cell>
          <cell r="O2617">
            <v>231590</v>
          </cell>
          <cell r="P2617"/>
          <cell r="Q2617" t="str">
            <v>EST POLTRONA PORTUGUESA C/B (SOLTO) (FREIJO) CAMURCA TABACO</v>
          </cell>
          <cell r="R2617"/>
          <cell r="S2617"/>
          <cell r="T2617">
            <v>0.65</v>
          </cell>
          <cell r="U2617">
            <v>0.7</v>
          </cell>
          <cell r="V2617">
            <v>0.83</v>
          </cell>
          <cell r="W2617">
            <v>0</v>
          </cell>
          <cell r="X2617" t="str">
            <v>EST POLTRONA PORTUGUESA C/B (SOLTO) (FREIJO) CAMURCA TABACO - 0,65x0,7x0,83H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4</v>
          </cell>
          <cell r="O2618">
            <v>231597</v>
          </cell>
          <cell r="P2618"/>
          <cell r="Q2618" t="str">
            <v>EST CAPA AVULSA ALMOFADA ENCOSTO SOFA SOFT CAMBRA OFF WHITE</v>
          </cell>
          <cell r="R2618"/>
          <cell r="S2618"/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 t="str">
            <v>EST CAPA AVULSA ALMOFADA ENCOSTO SOFA SOFT CAMBRA OFF WHITE - Ø0x0H</v>
          </cell>
          <cell r="Y2618">
            <v>0</v>
          </cell>
          <cell r="Z2618">
            <v>0.5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0</v>
          </cell>
          <cell r="O2619">
            <v>231625</v>
          </cell>
          <cell r="P2619"/>
          <cell r="Q2619" t="str">
            <v>EST POLTRONA STELLA (ALTA)  (MAD B COR 03) TC EL MEDA AQUA</v>
          </cell>
          <cell r="R2619"/>
          <cell r="S2619"/>
          <cell r="T2619">
            <v>0.74</v>
          </cell>
          <cell r="U2619">
            <v>0.95</v>
          </cell>
          <cell r="V2619">
            <v>0.87</v>
          </cell>
          <cell r="W2619">
            <v>0</v>
          </cell>
          <cell r="X2619" t="str">
            <v>EST POLTRONA STELLA (ALTA)  (MAD B COR 03) TC EL MEDA AQUA - 0,74x0,95x0,87H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231878</v>
          </cell>
          <cell r="P2620"/>
          <cell r="Q2620" t="str">
            <v>EST ESCRIVANINHA DESQUI (PAU FERRO) (PES EBANIZADOS)</v>
          </cell>
          <cell r="R2620"/>
          <cell r="S2620"/>
          <cell r="T2620">
            <v>1.92</v>
          </cell>
          <cell r="U2620">
            <v>0.76</v>
          </cell>
          <cell r="V2620">
            <v>0.75</v>
          </cell>
          <cell r="W2620">
            <v>0</v>
          </cell>
          <cell r="X2620" t="str">
            <v>EST ESCRIVANINHA DESQUI (PAU FERRO) (PES EBANIZADOS) - 1,92x0,76x0,75H</v>
          </cell>
          <cell r="Y2620">
            <v>0</v>
          </cell>
          <cell r="Z2620">
            <v>0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2</v>
          </cell>
          <cell r="O2621">
            <v>232285</v>
          </cell>
          <cell r="P2621"/>
          <cell r="Q2621" t="str">
            <v>EST GAVETEIRO GB UL24 (1 GAV) (METAL) (IMBUIA/GAV BRANCAS)</v>
          </cell>
          <cell r="R2621"/>
          <cell r="S2621"/>
          <cell r="T2621">
            <v>0.53</v>
          </cell>
          <cell r="U2621">
            <v>0.42</v>
          </cell>
          <cell r="V2621">
            <v>0.42</v>
          </cell>
          <cell r="W2621">
            <v>0</v>
          </cell>
          <cell r="X2621" t="str">
            <v>EST GAVETEIRO GB UL24 (1 GAV) (METAL) (IMBUIA/GAV BRANCAS) - 0,53x0,42x0,42H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2</v>
          </cell>
          <cell r="O2622">
            <v>232879</v>
          </cell>
          <cell r="P2622"/>
          <cell r="Q2622" t="str">
            <v>EST LUMINARIA J HIRTH (LATAO CROMADO) (FREIJO NATURAL)</v>
          </cell>
          <cell r="R2622"/>
          <cell r="S2622"/>
          <cell r="T2622">
            <v>0.45</v>
          </cell>
          <cell r="U2622">
            <v>0</v>
          </cell>
          <cell r="V2622">
            <v>0.96</v>
          </cell>
          <cell r="W2622">
            <v>0.45</v>
          </cell>
          <cell r="X2622" t="str">
            <v>EST LUMINARIA J HIRTH (LATAO CROMADO) (FREIJO NATURAL) - Ø0,45x0,96H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1</v>
          </cell>
          <cell r="O2623">
            <v>232968</v>
          </cell>
          <cell r="P2623"/>
          <cell r="Q2623" t="str">
            <v>EST MESA JANTAR ABAPORU (SUCUPIRA NATURAL)</v>
          </cell>
          <cell r="R2623"/>
          <cell r="S2623"/>
          <cell r="T2623">
            <v>1.3</v>
          </cell>
          <cell r="U2623">
            <v>0</v>
          </cell>
          <cell r="V2623">
            <v>0.76</v>
          </cell>
          <cell r="W2623">
            <v>1.3</v>
          </cell>
          <cell r="X2623" t="str">
            <v>EST MESA JANTAR ABAPORU (SUCUPIRA NATURAL) - Ø1,3x0,76H</v>
          </cell>
          <cell r="Y2623">
            <v>0</v>
          </cell>
          <cell r="Z2623">
            <v>0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2</v>
          </cell>
          <cell r="O2624">
            <v>232971</v>
          </cell>
          <cell r="P2624"/>
          <cell r="Q2624" t="str">
            <v>EST BANCO ABAPORU (S/AZULEJO) (SUCUPIRA NATURAL)</v>
          </cell>
          <cell r="R2624"/>
          <cell r="S2624"/>
          <cell r="T2624">
            <v>0.38</v>
          </cell>
          <cell r="U2624">
            <v>0</v>
          </cell>
          <cell r="V2624">
            <v>0.44</v>
          </cell>
          <cell r="W2624">
            <v>0.38</v>
          </cell>
          <cell r="X2624" t="str">
            <v>EST BANCO ABAPORU (S/AZULEJO) (SUCUPIRA NATURAL) - Ø0,38x0,44H</v>
          </cell>
          <cell r="Y2624">
            <v>0</v>
          </cell>
          <cell r="Z2624">
            <v>0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5</v>
          </cell>
          <cell r="O2625">
            <v>232987</v>
          </cell>
          <cell r="P2625"/>
          <cell r="Q2625" t="str">
            <v>EST MANCEBO STAND BY (BASE CONCRETO NATURAL) (IMBUIA)</v>
          </cell>
          <cell r="R2625"/>
          <cell r="S2625"/>
          <cell r="T2625">
            <v>0.2</v>
          </cell>
          <cell r="U2625">
            <v>0.33</v>
          </cell>
          <cell r="V2625">
            <v>1.75</v>
          </cell>
          <cell r="W2625">
            <v>0</v>
          </cell>
          <cell r="X2625" t="str">
            <v>EST MANCEBO STAND BY (BASE CONCRETO NATURAL) (IMBUIA) - 0,2x0,33x1,75H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2</v>
          </cell>
          <cell r="O2626">
            <v>233214</v>
          </cell>
          <cell r="P2626"/>
          <cell r="Q2626" t="str">
            <v>EST CADEIRA CANTU BAIXA (MAD B COR 03) COURO CH ENV 07</v>
          </cell>
          <cell r="R2626"/>
          <cell r="S2626"/>
          <cell r="T2626">
            <v>0.5</v>
          </cell>
          <cell r="U2626">
            <v>0.55000000000000004</v>
          </cell>
          <cell r="V2626">
            <v>0.81</v>
          </cell>
          <cell r="W2626">
            <v>0</v>
          </cell>
          <cell r="X2626" t="str">
            <v>EST CADEIRA CANTU BAIXA (MAD B COR 03) COURO CH ENV 07 - 0,5x0,55x0,81H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233417</v>
          </cell>
          <cell r="P2627"/>
          <cell r="Q2627" t="str">
            <v>EST CADEIRA LUCIO (TELA NATURAL) (MAD A COR 02)</v>
          </cell>
          <cell r="R2627"/>
          <cell r="S2627"/>
          <cell r="T2627">
            <v>0.48</v>
          </cell>
          <cell r="U2627">
            <v>0.49</v>
          </cell>
          <cell r="V2627">
            <v>0.81</v>
          </cell>
          <cell r="W2627">
            <v>0</v>
          </cell>
          <cell r="X2627" t="str">
            <v>EST CADEIRA LUCIO (TELA NATURAL) (MAD A COR 02) - 0,48x0,49x0,81H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0</v>
          </cell>
          <cell r="O2628">
            <v>234430</v>
          </cell>
          <cell r="P2628"/>
          <cell r="Q2628" t="str">
            <v>EST BANQUETA PORTUGUESA (SOLTO) (FREIJO) CAMURCA TABACO</v>
          </cell>
          <cell r="R2628"/>
          <cell r="S2628"/>
          <cell r="T2628">
            <v>0</v>
          </cell>
          <cell r="U2628">
            <v>0</v>
          </cell>
          <cell r="V2628">
            <v>0</v>
          </cell>
          <cell r="W2628">
            <v>0</v>
          </cell>
          <cell r="X2628" t="str">
            <v>EST BANQUETA PORTUGUESA (SOLTO) (FREIJO) CAMURCA TABACO - Ø0x0H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234641</v>
          </cell>
          <cell r="P2629"/>
          <cell r="Q2629" t="str">
            <v>EST BANQUETA BAR OMAR C/B H75 (MAD B FREIJO NT) FIRENZE600</v>
          </cell>
          <cell r="R2629"/>
          <cell r="S2629"/>
          <cell r="T2629">
            <v>0.54</v>
          </cell>
          <cell r="U2629">
            <v>0.56000000000000005</v>
          </cell>
          <cell r="V2629">
            <v>1.06</v>
          </cell>
          <cell r="W2629">
            <v>0</v>
          </cell>
          <cell r="X2629" t="str">
            <v>EST BANQUETA BAR OMAR C/B H75 (MAD B FREIJO NT) FIRENZE600 - 0,54x0,56x1,06H</v>
          </cell>
          <cell r="Y2629">
            <v>0</v>
          </cell>
          <cell r="Z2629">
            <v>0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1</v>
          </cell>
          <cell r="O2630">
            <v>234642</v>
          </cell>
          <cell r="P2630"/>
          <cell r="Q2630" t="str">
            <v>EST BANQUETA BAR ORQUIDEA H75 (MAD B LOURO ESP) FIRENZE600</v>
          </cell>
          <cell r="R2630"/>
          <cell r="S2630"/>
          <cell r="T2630">
            <v>0.48</v>
          </cell>
          <cell r="U2630">
            <v>0.55000000000000004</v>
          </cell>
          <cell r="V2630">
            <v>0.98</v>
          </cell>
          <cell r="W2630">
            <v>0</v>
          </cell>
          <cell r="X2630" t="str">
            <v>EST BANQUETA BAR ORQUIDEA H75 (MAD B LOURO ESP) FIRENZE600 - 0,48x0,55x0,98H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1</v>
          </cell>
          <cell r="O2631">
            <v>234645</v>
          </cell>
          <cell r="P2631"/>
          <cell r="Q2631" t="str">
            <v>EST SOFA AIR II (BASE PRETA) COURO FIRENZE 600</v>
          </cell>
          <cell r="R2631"/>
          <cell r="S2631"/>
          <cell r="T2631">
            <v>3.5</v>
          </cell>
          <cell r="U2631">
            <v>0.97</v>
          </cell>
          <cell r="V2631">
            <v>0.7</v>
          </cell>
          <cell r="W2631">
            <v>0</v>
          </cell>
          <cell r="X2631" t="str">
            <v>EST SOFA AIR II (BASE PRETA) COURO FIRENZE 600 - 3,5x0,97x0,7H</v>
          </cell>
          <cell r="Y2631">
            <v>0</v>
          </cell>
          <cell r="Z2631">
            <v>0.5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0</v>
          </cell>
          <cell r="O2632">
            <v>234724</v>
          </cell>
          <cell r="P2632"/>
          <cell r="Q2632" t="str">
            <v>EST CARRINHO BIRITINHA (PINHO DE RIGA)</v>
          </cell>
          <cell r="R2632"/>
          <cell r="S2632"/>
          <cell r="T2632">
            <v>1.1299999999999999</v>
          </cell>
          <cell r="U2632">
            <v>0.55000000000000004</v>
          </cell>
          <cell r="V2632">
            <v>0.75</v>
          </cell>
          <cell r="W2632">
            <v>0</v>
          </cell>
          <cell r="X2632" t="str">
            <v>EST CARRINHO BIRITINHA (PINHO DE RIGA) - 1,13x0,55x0,75H</v>
          </cell>
          <cell r="Y2632">
            <v>0</v>
          </cell>
          <cell r="Z2632">
            <v>0.5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1</v>
          </cell>
          <cell r="O2633">
            <v>234745</v>
          </cell>
          <cell r="P2633"/>
          <cell r="Q2633" t="str">
            <v>EST SOFA PARATY (MAD B COR 03) TC MALIBU VELVET ROSE</v>
          </cell>
          <cell r="R2633"/>
          <cell r="S2633"/>
          <cell r="T2633">
            <v>1.43</v>
          </cell>
          <cell r="U2633">
            <v>0.81</v>
          </cell>
          <cell r="V2633">
            <v>0.73</v>
          </cell>
          <cell r="W2633">
            <v>0</v>
          </cell>
          <cell r="X2633" t="str">
            <v>EST SOFA PARATY (MAD B COR 03) TC MALIBU VELVET ROSE - 1,43x0,81x0,73H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 t="e">
            <v>#N/A</v>
          </cell>
          <cell r="D2634" t="e">
            <v>#N/A</v>
          </cell>
          <cell r="E2634" t="e">
            <v>#N/A</v>
          </cell>
          <cell r="F2634" t="e">
            <v>#N/A</v>
          </cell>
          <cell r="H2634" t="e">
            <v>#N/A</v>
          </cell>
          <cell r="O2634">
            <v>234746</v>
          </cell>
          <cell r="P2634"/>
          <cell r="Q2634" t="e">
            <v>#N/A</v>
          </cell>
          <cell r="R2634"/>
          <cell r="S2634"/>
          <cell r="T2634" t="e">
            <v>#N/A</v>
          </cell>
          <cell r="U2634" t="e">
            <v>#N/A</v>
          </cell>
          <cell r="V2634" t="e">
            <v>#N/A</v>
          </cell>
          <cell r="W2634" t="e">
            <v>#N/A</v>
          </cell>
          <cell r="X2634" t="e">
            <v>#N/A</v>
          </cell>
          <cell r="Y2634">
            <v>0</v>
          </cell>
          <cell r="Z2634">
            <v>0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7</v>
          </cell>
          <cell r="O2635">
            <v>234925</v>
          </cell>
          <cell r="P2635"/>
          <cell r="Q2635" t="str">
            <v>EST CADEIRA GB M110 (TELA NAT) (FREIJO) (ACO PTO)</v>
          </cell>
          <cell r="R2635"/>
          <cell r="S2635"/>
          <cell r="T2635">
            <v>0.45</v>
          </cell>
          <cell r="U2635">
            <v>0.5</v>
          </cell>
          <cell r="V2635">
            <v>0.84</v>
          </cell>
          <cell r="W2635">
            <v>0</v>
          </cell>
          <cell r="X2635" t="str">
            <v>EST CADEIRA GB M110 (TELA NAT) (FREIJO) (ACO PTO) - 0,45x0,5x0,84H</v>
          </cell>
          <cell r="Y2635">
            <v>0</v>
          </cell>
          <cell r="Z2635">
            <v>0.5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235215</v>
          </cell>
          <cell r="P2636"/>
          <cell r="Q2636" t="str">
            <v>EST MESA LATERAL OBLONGO (CARVALHO NT) DIAGONAL CORTEN</v>
          </cell>
          <cell r="R2636"/>
          <cell r="S2636"/>
          <cell r="T2636">
            <v>0.7</v>
          </cell>
          <cell r="U2636">
            <v>0.7</v>
          </cell>
          <cell r="V2636">
            <v>0.55000000000000004</v>
          </cell>
          <cell r="W2636">
            <v>0</v>
          </cell>
          <cell r="X2636" t="str">
            <v>EST MESA LATERAL OBLONGO (CARVALHO NT) DIAGONAL CORTEN - 0,7x0,7x0,55H</v>
          </cell>
          <cell r="Y2636">
            <v>0</v>
          </cell>
          <cell r="Z2636">
            <v>0.5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235961</v>
          </cell>
          <cell r="P2637"/>
          <cell r="Q2637" t="str">
            <v>EST SOFA AIR II (BASE PRETA) TC MAGNOLIA 1126 (6 ALM DEC)</v>
          </cell>
          <cell r="R2637"/>
          <cell r="S2637"/>
          <cell r="T2637">
            <v>2.8</v>
          </cell>
          <cell r="U2637">
            <v>0.97</v>
          </cell>
          <cell r="V2637">
            <v>0.68</v>
          </cell>
          <cell r="W2637">
            <v>0</v>
          </cell>
          <cell r="X2637" t="str">
            <v>EST SOFA AIR II (BASE PRETA) TC MAGNOLIA 1126 (6 ALM DEC) - 2,8x0,97x0,68H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238298</v>
          </cell>
          <cell r="P2638"/>
          <cell r="Q2638" t="str">
            <v>EST BANCO MARCOS (TELA NATURAL) (FREIJO NATURAL)</v>
          </cell>
          <cell r="R2638"/>
          <cell r="S2638"/>
          <cell r="T2638">
            <v>0.45</v>
          </cell>
          <cell r="U2638">
            <v>0.45</v>
          </cell>
          <cell r="V2638">
            <v>0.42</v>
          </cell>
          <cell r="W2638">
            <v>0</v>
          </cell>
          <cell r="X2638" t="str">
            <v>EST BANCO MARCOS (TELA NATURAL) (FREIJO NATURAL) - 0,45x0,45x0,42H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1</v>
          </cell>
          <cell r="O2639">
            <v>238331</v>
          </cell>
          <cell r="P2639"/>
          <cell r="Q2639" t="str">
            <v>EST BASE JANTAR AERO (P/TP Ø1,80) (PRETO MTZ FSC)</v>
          </cell>
          <cell r="R2639"/>
          <cell r="S2639"/>
          <cell r="T2639">
            <v>1.8</v>
          </cell>
          <cell r="U2639">
            <v>0</v>
          </cell>
          <cell r="V2639">
            <v>0.74</v>
          </cell>
          <cell r="W2639">
            <v>1.8</v>
          </cell>
          <cell r="X2639" t="str">
            <v>EST BASE JANTAR AERO (P/TP Ø1,80) (PRETO MTZ FSC) - Ø1,8x0,74H</v>
          </cell>
          <cell r="Y2639">
            <v>0</v>
          </cell>
          <cell r="Z2639">
            <v>0.5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238343</v>
          </cell>
          <cell r="P2640"/>
          <cell r="Q2640" t="str">
            <v>EST BANQUETA BAR ZANINE X H63 (ALTO) (FREIJO NAT) (PIG 405)</v>
          </cell>
          <cell r="R2640"/>
          <cell r="S2640"/>
          <cell r="T2640">
            <v>0.5</v>
          </cell>
          <cell r="U2640">
            <v>0</v>
          </cell>
          <cell r="V2640">
            <v>0.63</v>
          </cell>
          <cell r="W2640">
            <v>0.5</v>
          </cell>
          <cell r="X2640" t="str">
            <v>EST BANQUETA BAR ZANINE X H63 (ALTO) (FREIJO NAT) (PIG 405) - Ø0,5x0,63H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3</v>
          </cell>
          <cell r="O2641">
            <v>238944</v>
          </cell>
          <cell r="P2641"/>
          <cell r="Q2641" t="str">
            <v>EST CADEIRA CURVA (ALUMINIO BRANCO TXT) (MADEIRA CUMARU)</v>
          </cell>
          <cell r="R2641"/>
          <cell r="S2641"/>
          <cell r="T2641">
            <v>0.54</v>
          </cell>
          <cell r="U2641">
            <v>0.49</v>
          </cell>
          <cell r="V2641">
            <v>0.77</v>
          </cell>
          <cell r="W2641">
            <v>0</v>
          </cell>
          <cell r="X2641" t="str">
            <v>EST CADEIRA CURVA (ALUMINIO BRANCO TXT) (MADEIRA CUMARU) - 0,54x0,49x0,77H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238945</v>
          </cell>
          <cell r="P2642"/>
          <cell r="Q2642" t="str">
            <v>EST CADEIRA CURVA (ALUMINIO CORTEN AL41) (MADEIRA CUMARU)</v>
          </cell>
          <cell r="R2642"/>
          <cell r="S2642"/>
          <cell r="T2642">
            <v>0.54</v>
          </cell>
          <cell r="U2642">
            <v>0.49</v>
          </cell>
          <cell r="V2642">
            <v>0.77</v>
          </cell>
          <cell r="W2642">
            <v>0</v>
          </cell>
          <cell r="X2642" t="str">
            <v>EST CADEIRA CURVA (ALUMINIO CORTEN AL41) (MADEIRA CUMARU) - 0,54x0,49x0,77H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1</v>
          </cell>
          <cell r="O2643">
            <v>239026</v>
          </cell>
          <cell r="P2643"/>
          <cell r="Q2643" t="str">
            <v>EST MODULO BRACO ESQ CHAISE DECK (GARAPEIRA) TC LONA CRU</v>
          </cell>
          <cell r="R2643"/>
          <cell r="S2643"/>
          <cell r="T2643">
            <v>0.85</v>
          </cell>
          <cell r="U2643">
            <v>1.97</v>
          </cell>
          <cell r="V2643">
            <v>0.63</v>
          </cell>
          <cell r="W2643">
            <v>0</v>
          </cell>
          <cell r="X2643" t="str">
            <v>EST MODULO BRACO ESQ CHAISE DECK (GARAPEIRA) TC LONA CRU - 0,85x1,97x0,63H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1</v>
          </cell>
          <cell r="O2644">
            <v>239203</v>
          </cell>
          <cell r="P2644"/>
          <cell r="Q2644" t="str">
            <v>EST BANCO DOMINO (4 LUG) (G1 - ALASKA) (INOX)</v>
          </cell>
          <cell r="R2644"/>
          <cell r="S2644"/>
          <cell r="T2644">
            <v>1.9</v>
          </cell>
          <cell r="U2644">
            <v>0.45</v>
          </cell>
          <cell r="V2644">
            <v>0.48</v>
          </cell>
          <cell r="W2644">
            <v>0</v>
          </cell>
          <cell r="X2644" t="str">
            <v>EST BANCO DOMINO (4 LUG) (G1 - ALASKA) (INOX) - 1,9x0,45x0,48H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2</v>
          </cell>
          <cell r="O2645">
            <v>239204</v>
          </cell>
          <cell r="P2645"/>
          <cell r="Q2645" t="str">
            <v>EST MANCEBO STAND BY (IPE) (G2 - RAFAELLO)</v>
          </cell>
          <cell r="R2645"/>
          <cell r="S2645"/>
          <cell r="T2645">
            <v>0.2</v>
          </cell>
          <cell r="U2645">
            <v>0.33</v>
          </cell>
          <cell r="V2645">
            <v>1.75</v>
          </cell>
          <cell r="W2645">
            <v>0</v>
          </cell>
          <cell r="X2645" t="str">
            <v>EST MANCEBO STAND BY (IPE) (G2 - RAFAELLO) - 0,2x0,33x1,75H</v>
          </cell>
          <cell r="Y2645">
            <v>0</v>
          </cell>
          <cell r="Z2645">
            <v>0.5</v>
          </cell>
          <cell r="AA2645">
            <v>0</v>
          </cell>
          <cell r="AB2645"/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H2646">
            <v>0</v>
          </cell>
          <cell r="O2646">
            <v>239240</v>
          </cell>
          <cell r="P2646"/>
          <cell r="Q2646" t="str">
            <v>EST BASE CENTRO GRAMPO (03 GRAMPOS) (MUIRACATIARA)</v>
          </cell>
          <cell r="R2646"/>
          <cell r="S2646"/>
          <cell r="T2646">
            <v>0</v>
          </cell>
          <cell r="U2646">
            <v>0</v>
          </cell>
          <cell r="V2646">
            <v>0.35</v>
          </cell>
          <cell r="W2646">
            <v>0</v>
          </cell>
          <cell r="X2646" t="str">
            <v>EST BASE CENTRO GRAMPO (03 GRAMPOS) (MUIRACATIARA) - Ø0x0,35H</v>
          </cell>
          <cell r="Y2646">
            <v>0</v>
          </cell>
          <cell r="Z2646">
            <v>0.35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0</v>
          </cell>
          <cell r="O2647">
            <v>239242</v>
          </cell>
          <cell r="P2647"/>
          <cell r="Q2647" t="str">
            <v>EST POLTRONA VIVI (FREIJO NT) CAMURCA TAUPE/COURO CH 05</v>
          </cell>
          <cell r="R2647"/>
          <cell r="S2647"/>
          <cell r="T2647">
            <v>0.85</v>
          </cell>
          <cell r="U2647">
            <v>0.9</v>
          </cell>
          <cell r="V2647">
            <v>0.92</v>
          </cell>
          <cell r="W2647">
            <v>0</v>
          </cell>
          <cell r="X2647" t="str">
            <v>EST POLTRONA VIVI (FREIJO NT) CAMURCA TAUPE/COURO CH 05 - 0,85x0,9x0,92H</v>
          </cell>
          <cell r="Y2647">
            <v>0</v>
          </cell>
          <cell r="Z2647">
            <v>0.5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0</v>
          </cell>
          <cell r="O2648">
            <v>239972</v>
          </cell>
          <cell r="P2648"/>
          <cell r="Q2648" t="str">
            <v>EST CADEIRA DE BALANCO (FREIJO NAT) LO27 CAM GELO</v>
          </cell>
          <cell r="R2648"/>
          <cell r="S2648"/>
          <cell r="T2648">
            <v>0.7</v>
          </cell>
          <cell r="U2648">
            <v>1.06</v>
          </cell>
          <cell r="V2648">
            <v>0.8</v>
          </cell>
          <cell r="W2648">
            <v>0</v>
          </cell>
          <cell r="X2648" t="str">
            <v>EST CADEIRA DE BALANCO (FREIJO NAT) LO27 CAM GELO - 0,7x1,06x0,8H</v>
          </cell>
          <cell r="Y2648">
            <v>0</v>
          </cell>
          <cell r="Z2648">
            <v>0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0</v>
          </cell>
          <cell r="O2649">
            <v>240129</v>
          </cell>
          <cell r="P2649"/>
          <cell r="Q2649" t="str">
            <v>EST MESA JANTAR LITORAL (DAGUA) (MADEIRA SUCUPIRA NATURAL)</v>
          </cell>
          <cell r="R2649"/>
          <cell r="S2649"/>
          <cell r="T2649">
            <v>3.2</v>
          </cell>
          <cell r="U2649">
            <v>1.34</v>
          </cell>
          <cell r="V2649">
            <v>0.74</v>
          </cell>
          <cell r="W2649">
            <v>0</v>
          </cell>
          <cell r="X2649" t="str">
            <v>EST MESA JANTAR LITORAL (DAGUA) (MADEIRA SUCUPIRA NATURAL) - 3,2x1,34x0,74H</v>
          </cell>
          <cell r="Y2649">
            <v>0</v>
          </cell>
          <cell r="Z2649">
            <v>0.5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0</v>
          </cell>
          <cell r="O2650">
            <v>240130</v>
          </cell>
          <cell r="P2650"/>
          <cell r="Q2650" t="str">
            <v>EST MESA CENTRO JOHN GRAZ (BS SUCUPIRA) (LC SAYERLACK VINHO)</v>
          </cell>
          <cell r="R2650"/>
          <cell r="S2650"/>
          <cell r="T2650">
            <v>1.7</v>
          </cell>
          <cell r="U2650">
            <v>0.77</v>
          </cell>
          <cell r="V2650">
            <v>0.31</v>
          </cell>
          <cell r="W2650">
            <v>0</v>
          </cell>
          <cell r="X2650" t="str">
            <v>EST MESA CENTRO JOHN GRAZ (BS SUCUPIRA) (LC SAYERLACK VINHO) - 1,7x0,77x0,31H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0</v>
          </cell>
          <cell r="O2651">
            <v>242322</v>
          </cell>
          <cell r="P2651"/>
          <cell r="Q2651" t="str">
            <v>EST APARADOR U (EM BALANCO) (MAD B IMBUIA POMELE)</v>
          </cell>
          <cell r="R2651"/>
          <cell r="S2651"/>
          <cell r="T2651">
            <v>2.2000000000000002</v>
          </cell>
          <cell r="U2651">
            <v>0.7</v>
          </cell>
          <cell r="V2651">
            <v>0.85</v>
          </cell>
          <cell r="W2651">
            <v>0</v>
          </cell>
          <cell r="X2651" t="str">
            <v>EST APARADOR U (EM BALANCO) (MAD B IMBUIA POMELE) - 2,2x0,7x0,85H</v>
          </cell>
          <cell r="Y2651">
            <v>0</v>
          </cell>
          <cell r="Z2651">
            <v>0.5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1</v>
          </cell>
          <cell r="O2652">
            <v>242356</v>
          </cell>
          <cell r="P2652"/>
          <cell r="Q2652" t="str">
            <v>EST POLTRONA OSCAR JANTAR (TELA NATURAL) (MAD IMBUIA STAIN)</v>
          </cell>
          <cell r="R2652"/>
          <cell r="S2652"/>
          <cell r="T2652">
            <v>0.7</v>
          </cell>
          <cell r="U2652">
            <v>0.61</v>
          </cell>
          <cell r="V2652">
            <v>0.85</v>
          </cell>
          <cell r="W2652">
            <v>0</v>
          </cell>
          <cell r="X2652" t="str">
            <v>EST POLTRONA OSCAR JANTAR (TELA NATURAL) (MAD IMBUIA STAIN) - 0,7x0,61x0,85H</v>
          </cell>
          <cell r="Y2652">
            <v>0</v>
          </cell>
          <cell r="Z2652">
            <v>0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1</v>
          </cell>
          <cell r="O2653">
            <v>242685</v>
          </cell>
          <cell r="P2653"/>
          <cell r="Q2653" t="str">
            <v>EST DAYBED LUXOR (1 ALMF) (MAD IMBUIA STAIN) TC 244-01918 NT</v>
          </cell>
          <cell r="R2653"/>
          <cell r="S2653"/>
          <cell r="T2653">
            <v>2</v>
          </cell>
          <cell r="U2653">
            <v>0.7</v>
          </cell>
          <cell r="V2653">
            <v>0.4</v>
          </cell>
          <cell r="W2653">
            <v>0</v>
          </cell>
          <cell r="X2653" t="str">
            <v>EST DAYBED LUXOR (1 ALMF) (MAD IMBUIA STAIN) TC 244-01918 NT - 2x0,7x0,4H</v>
          </cell>
          <cell r="Y2653">
            <v>0</v>
          </cell>
          <cell r="Z2653">
            <v>0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2</v>
          </cell>
          <cell r="O2654">
            <v>242912</v>
          </cell>
          <cell r="P2654"/>
          <cell r="Q2654" t="str">
            <v>EST MESA LATERAL CORINGA (FREIJO NATURAL)</v>
          </cell>
          <cell r="R2654"/>
          <cell r="S2654"/>
          <cell r="T2654">
            <v>0.7</v>
          </cell>
          <cell r="U2654">
            <v>0</v>
          </cell>
          <cell r="V2654">
            <v>0.45</v>
          </cell>
          <cell r="W2654">
            <v>0.7</v>
          </cell>
          <cell r="X2654" t="str">
            <v>EST MESA LATERAL CORINGA (FREIJO NATURAL) - Ø0,7x0,45H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0</v>
          </cell>
          <cell r="O2655">
            <v>244138</v>
          </cell>
          <cell r="P2655"/>
          <cell r="Q2655" t="str">
            <v>EST MESA CENTRO OBLONGO (PAU FERRO CLARO) ALTERNADOS PT</v>
          </cell>
          <cell r="R2655"/>
          <cell r="S2655"/>
          <cell r="T2655">
            <v>1.8</v>
          </cell>
          <cell r="U2655">
            <v>0.8</v>
          </cell>
          <cell r="V2655">
            <v>0.3</v>
          </cell>
          <cell r="W2655">
            <v>0</v>
          </cell>
          <cell r="X2655" t="str">
            <v>EST MESA CENTRO OBLONGO (PAU FERRO CLARO) ALTERNADOS PT - 1,8x0,8x0,3H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3</v>
          </cell>
          <cell r="O2656">
            <v>245146</v>
          </cell>
          <cell r="P2656"/>
          <cell r="Q2656" t="str">
            <v>EST SOFA SO FAR (FREIJO NATURAL) TC GALLIA NATURAL</v>
          </cell>
          <cell r="R2656"/>
          <cell r="S2656"/>
          <cell r="T2656">
            <v>3</v>
          </cell>
          <cell r="U2656">
            <v>0.95</v>
          </cell>
          <cell r="V2656">
            <v>0.7</v>
          </cell>
          <cell r="W2656">
            <v>0</v>
          </cell>
          <cell r="X2656" t="str">
            <v>EST SOFA SO FAR (FREIJO NATURAL) TC GALLIA NATURAL - 3x0,95x0,7H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2</v>
          </cell>
          <cell r="O2657">
            <v>247581</v>
          </cell>
          <cell r="P2657"/>
          <cell r="Q2657" t="str">
            <v>EST BANCO DOMINO (4 LUG) (G3 - GREEN PEACE) (INOX)</v>
          </cell>
          <cell r="R2657"/>
          <cell r="S2657"/>
          <cell r="T2657">
            <v>1.9</v>
          </cell>
          <cell r="U2657">
            <v>0.45</v>
          </cell>
          <cell r="V2657">
            <v>0.48</v>
          </cell>
          <cell r="W2657">
            <v>0</v>
          </cell>
          <cell r="X2657" t="str">
            <v>EST BANCO DOMINO (4 LUG) (G3 - GREEN PEACE) (INOX) - 1,9x0,45x0,48H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4</v>
          </cell>
          <cell r="O2658">
            <v>248112</v>
          </cell>
          <cell r="P2658"/>
          <cell r="Q2658" t="str">
            <v>EST ALMOFADA DECORATIVA AIR II (M) COURO FIRENZE 600</v>
          </cell>
          <cell r="R2658"/>
          <cell r="S2658"/>
          <cell r="T2658">
            <v>0.62</v>
          </cell>
          <cell r="U2658">
            <v>0.62</v>
          </cell>
          <cell r="V2658">
            <v>0</v>
          </cell>
          <cell r="W2658">
            <v>0</v>
          </cell>
          <cell r="X2658" t="str">
            <v>EST ALMOFADA DECORATIVA AIR II (M) COURO FIRENZE 600 - 0,62x0,62x0H</v>
          </cell>
          <cell r="Y2658">
            <v>0</v>
          </cell>
          <cell r="Z2658">
            <v>0.5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1</v>
          </cell>
          <cell r="O2659">
            <v>248714</v>
          </cell>
          <cell r="P2659"/>
          <cell r="Q2659" t="str">
            <v>EST SOFA LONA (GARAPEIRA) TC DOUBLE TROUB NAVY MIX</v>
          </cell>
          <cell r="R2659"/>
          <cell r="S2659"/>
          <cell r="T2659">
            <v>3.35</v>
          </cell>
          <cell r="U2659">
            <v>0.85</v>
          </cell>
          <cell r="V2659">
            <v>0.73</v>
          </cell>
          <cell r="W2659">
            <v>0</v>
          </cell>
          <cell r="X2659" t="str">
            <v>EST SOFA LONA (GARAPEIRA) TC DOUBLE TROUB NAVY MIX - 3,35x0,85x0,73H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1</v>
          </cell>
          <cell r="O2660">
            <v>248917</v>
          </cell>
          <cell r="P2660"/>
          <cell r="Q2660" t="str">
            <v>EST TAMPO MARMORE TRAVERTINO ROMANO BRUTO</v>
          </cell>
          <cell r="R2660"/>
          <cell r="S2660"/>
          <cell r="T2660">
            <v>1</v>
          </cell>
          <cell r="U2660">
            <v>0</v>
          </cell>
          <cell r="V2660">
            <v>0.2</v>
          </cell>
          <cell r="W2660">
            <v>1</v>
          </cell>
          <cell r="X2660" t="str">
            <v>EST TAMPO MARMORE TRAVERTINO ROMANO BRUTO - Ø1x0,2H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0</v>
          </cell>
          <cell r="O2661">
            <v>249890</v>
          </cell>
          <cell r="P2661"/>
          <cell r="Q2661" t="str">
            <v>EST MANCEBO STAND BY (FREIJO) (G2 - RAFAELLO)</v>
          </cell>
          <cell r="R2661"/>
          <cell r="S2661"/>
          <cell r="T2661">
            <v>0.2</v>
          </cell>
          <cell r="U2661">
            <v>0.33</v>
          </cell>
          <cell r="V2661">
            <v>1.75</v>
          </cell>
          <cell r="W2661">
            <v>0</v>
          </cell>
          <cell r="X2661" t="str">
            <v>EST MANCEBO STAND BY (FREIJO) (G2 - RAFAELLO) - 0,2x0,33x1,75H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249892</v>
          </cell>
          <cell r="P2662"/>
          <cell r="Q2662" t="str">
            <v>EST MANCEBO STAND BY (IPE) (G3 - GREEN PEACE)</v>
          </cell>
          <cell r="R2662"/>
          <cell r="S2662"/>
          <cell r="T2662">
            <v>0.2</v>
          </cell>
          <cell r="U2662">
            <v>0.33</v>
          </cell>
          <cell r="V2662">
            <v>1.75</v>
          </cell>
          <cell r="W2662">
            <v>0</v>
          </cell>
          <cell r="X2662" t="str">
            <v>EST MANCEBO STAND BY (IPE) (G3 - GREEN PEACE) - 0,2x0,33x1,75H</v>
          </cell>
          <cell r="Y2662">
            <v>0</v>
          </cell>
          <cell r="Z2662">
            <v>0.5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4</v>
          </cell>
          <cell r="O2663">
            <v>249893</v>
          </cell>
          <cell r="P2663"/>
          <cell r="Q2663" t="str">
            <v>EST MANCEBO STAND BY (FREIJO) (G1 - ALASKA)</v>
          </cell>
          <cell r="R2663"/>
          <cell r="S2663"/>
          <cell r="T2663">
            <v>0.2</v>
          </cell>
          <cell r="U2663">
            <v>0.33</v>
          </cell>
          <cell r="V2663">
            <v>1.75</v>
          </cell>
          <cell r="W2663">
            <v>0</v>
          </cell>
          <cell r="X2663" t="str">
            <v>EST MANCEBO STAND BY (FREIJO) (G1 - ALASKA) - 0,2x0,33x1,75H</v>
          </cell>
          <cell r="Y2663">
            <v>0</v>
          </cell>
          <cell r="Z2663">
            <v>0.5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3</v>
          </cell>
          <cell r="O2664">
            <v>250009</v>
          </cell>
          <cell r="P2664"/>
          <cell r="Q2664" t="str">
            <v>EST BANCO DOMINO (4 LUG) (G2 - RAFAELLO) (INOX)</v>
          </cell>
          <cell r="R2664"/>
          <cell r="S2664"/>
          <cell r="T2664">
            <v>1.9</v>
          </cell>
          <cell r="U2664">
            <v>0.45</v>
          </cell>
          <cell r="V2664">
            <v>0.48</v>
          </cell>
          <cell r="W2664">
            <v>0</v>
          </cell>
          <cell r="X2664" t="str">
            <v>EST BANCO DOMINO (4 LUG) (G2 - RAFAELLO) (INOX) - 1,9x0,45x0,48H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11</v>
          </cell>
          <cell r="O2665">
            <v>250351</v>
          </cell>
          <cell r="P2665"/>
          <cell r="Q2665" t="str">
            <v>EST BANCO GB (TELA NAT) (FREIJO) (ACO PTO)</v>
          </cell>
          <cell r="R2665"/>
          <cell r="S2665"/>
          <cell r="T2665">
            <v>0.42</v>
          </cell>
          <cell r="U2665">
            <v>0.42</v>
          </cell>
          <cell r="V2665">
            <v>0.45</v>
          </cell>
          <cell r="W2665">
            <v>0</v>
          </cell>
          <cell r="X2665" t="str">
            <v>EST BANCO GB (TELA NAT) (FREIJO) (ACO PTO) - 0,42x0,42x0,45H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3</v>
          </cell>
          <cell r="O2666">
            <v>250371</v>
          </cell>
          <cell r="P2666"/>
          <cell r="Q2666" t="str">
            <v>EST POLTRONA OSCAR ESTAR (TELA NATURAL) (MAD IMBUIA STAIN)</v>
          </cell>
          <cell r="R2666"/>
          <cell r="S2666"/>
          <cell r="T2666">
            <v>0.7</v>
          </cell>
          <cell r="U2666">
            <v>0.65</v>
          </cell>
          <cell r="V2666">
            <v>0.8</v>
          </cell>
          <cell r="W2666">
            <v>0</v>
          </cell>
          <cell r="X2666" t="str">
            <v>EST POLTRONA OSCAR ESTAR (TELA NATURAL) (MAD IMBUIA STAIN) - 0,7x0,65x0,8H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250372</v>
          </cell>
          <cell r="P2667"/>
          <cell r="Q2667" t="str">
            <v>EST PUFF LONA (GARAPEIRA) DOUBLE TROUB NAVY MIX</v>
          </cell>
          <cell r="R2667"/>
          <cell r="S2667"/>
          <cell r="T2667">
            <v>0.86</v>
          </cell>
          <cell r="U2667">
            <v>0.86</v>
          </cell>
          <cell r="V2667">
            <v>0.38</v>
          </cell>
          <cell r="W2667">
            <v>0</v>
          </cell>
          <cell r="X2667" t="str">
            <v>EST PUFF LONA (GARAPEIRA) DOUBLE TROUB NAVY MIX - 0,86x0,86x0,38H</v>
          </cell>
          <cell r="Y2667">
            <v>0</v>
          </cell>
          <cell r="Z2667">
            <v>0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2</v>
          </cell>
          <cell r="O2668">
            <v>250613</v>
          </cell>
          <cell r="P2668"/>
          <cell r="Q2668" t="str">
            <v>EST POLTRON LEME ALTA (ESTOF) (FREIJO NT) COURO FIRENZE 600</v>
          </cell>
          <cell r="R2668"/>
          <cell r="S2668"/>
          <cell r="T2668">
            <v>0.75</v>
          </cell>
          <cell r="U2668">
            <v>0.8</v>
          </cell>
          <cell r="V2668">
            <v>1.1499999999999999</v>
          </cell>
          <cell r="W2668">
            <v>0</v>
          </cell>
          <cell r="X2668" t="str">
            <v>EST POLTRON LEME ALTA (ESTOF) (FREIJO NT) COURO FIRENZE 600 - 0,75x0,8x1,15H</v>
          </cell>
          <cell r="Y2668">
            <v>0</v>
          </cell>
          <cell r="Z2668">
            <v>0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4</v>
          </cell>
          <cell r="O2669">
            <v>250638</v>
          </cell>
          <cell r="P2669"/>
          <cell r="Q2669" t="str">
            <v>EST CADEIRA GB MTF600 (S/B) (KRAFT)</v>
          </cell>
          <cell r="R2669"/>
          <cell r="S2669"/>
          <cell r="T2669">
            <v>0.4</v>
          </cell>
          <cell r="U2669">
            <v>0.48</v>
          </cell>
          <cell r="V2669">
            <v>0.82</v>
          </cell>
          <cell r="W2669">
            <v>0</v>
          </cell>
          <cell r="X2669" t="str">
            <v>EST CADEIRA GB MTF600 (S/B) (KRAFT) - 0,4x0,48x0,82H</v>
          </cell>
          <cell r="Y2669">
            <v>0</v>
          </cell>
          <cell r="Z2669">
            <v>0</v>
          </cell>
          <cell r="AA2669">
            <v>0</v>
          </cell>
          <cell r="AB2669"/>
        </row>
        <row r="2670"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H2670">
            <v>0</v>
          </cell>
          <cell r="O2670">
            <v>250725</v>
          </cell>
          <cell r="P2670"/>
          <cell r="Q2670" t="str">
            <v>EST MANCEBO KBID (BASE CONCRETO NATURAL) (IPE)</v>
          </cell>
          <cell r="R2670"/>
          <cell r="S2670"/>
          <cell r="T2670">
            <v>0.47</v>
          </cell>
          <cell r="U2670">
            <v>0.16</v>
          </cell>
          <cell r="V2670">
            <v>1.35</v>
          </cell>
          <cell r="W2670">
            <v>0</v>
          </cell>
          <cell r="X2670" t="str">
            <v>EST MANCEBO KBID (BASE CONCRETO NATURAL) (IPE) - 0,47x0,16x1,35H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1</v>
          </cell>
          <cell r="O2671">
            <v>250789</v>
          </cell>
          <cell r="P2671"/>
          <cell r="Q2671" t="str">
            <v>EST POLTRONA PORTUGUESA S/B (CORDA KRAFT) (IPE NT)</v>
          </cell>
          <cell r="R2671"/>
          <cell r="S2671"/>
          <cell r="T2671">
            <v>0.65</v>
          </cell>
          <cell r="U2671">
            <v>0.67</v>
          </cell>
          <cell r="V2671">
            <v>0.75</v>
          </cell>
          <cell r="W2671">
            <v>0</v>
          </cell>
          <cell r="X2671" t="str">
            <v>EST POLTRONA PORTUGUESA S/B (CORDA KRAFT) (IPE NT) - 0,65x0,67x0,75H</v>
          </cell>
          <cell r="Y2671">
            <v>0</v>
          </cell>
          <cell r="Z2671">
            <v>0.5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2</v>
          </cell>
          <cell r="O2672">
            <v>250916</v>
          </cell>
          <cell r="P2672"/>
          <cell r="Q2672" t="str">
            <v>EST BANQUETA LEME (ESTOF) (FREIJO NT) COURO FIRENZE 600</v>
          </cell>
          <cell r="R2672"/>
          <cell r="S2672"/>
          <cell r="T2672">
            <v>0.75</v>
          </cell>
          <cell r="U2672">
            <v>0.45</v>
          </cell>
          <cell r="V2672">
            <v>0.4</v>
          </cell>
          <cell r="W2672">
            <v>0</v>
          </cell>
          <cell r="X2672" t="str">
            <v>EST BANQUETA LEME (ESTOF) (FREIJO NT) COURO FIRENZE 600 - 0,75x0,45x0,4H</v>
          </cell>
          <cell r="Y2672">
            <v>0</v>
          </cell>
          <cell r="Z2672">
            <v>0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250959</v>
          </cell>
          <cell r="P2673"/>
          <cell r="Q2673" t="str">
            <v>EST ESPELHO PIRUETA (BASE METALICA) SUCUPIRA NATURAL</v>
          </cell>
          <cell r="R2673"/>
          <cell r="S2673"/>
          <cell r="T2673">
            <v>0.7</v>
          </cell>
          <cell r="U2673">
            <v>0.7</v>
          </cell>
          <cell r="V2673">
            <v>1.69</v>
          </cell>
          <cell r="W2673">
            <v>0</v>
          </cell>
          <cell r="X2673" t="str">
            <v>EST ESPELHO PIRUETA (BASE METALICA) SUCUPIRA NATURAL - 0,7x0,7x1,69H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1</v>
          </cell>
          <cell r="O2674">
            <v>251318</v>
          </cell>
          <cell r="P2674"/>
          <cell r="Q2674" t="str">
            <v>EST LUMINARIA PAPIRO (CORIAN BRANCO)</v>
          </cell>
          <cell r="R2674"/>
          <cell r="S2674"/>
          <cell r="T2674">
            <v>0.19</v>
          </cell>
          <cell r="U2674">
            <v>0.41</v>
          </cell>
          <cell r="V2674">
            <v>0.65</v>
          </cell>
          <cell r="W2674">
            <v>0</v>
          </cell>
          <cell r="X2674" t="str">
            <v>EST LUMINARIA PAPIRO (CORIAN BRANCO) - 0,19x0,41x0,65H</v>
          </cell>
          <cell r="Y2674">
            <v>0</v>
          </cell>
          <cell r="Z2674">
            <v>0.5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2</v>
          </cell>
          <cell r="O2675">
            <v>251928</v>
          </cell>
          <cell r="P2675"/>
          <cell r="Q2675" t="str">
            <v>EST CADEIRA BOA C/B (FREIJO) TC SAGG INDIGO</v>
          </cell>
          <cell r="R2675"/>
          <cell r="S2675"/>
          <cell r="T2675">
            <v>0.65</v>
          </cell>
          <cell r="U2675">
            <v>0.65</v>
          </cell>
          <cell r="V2675">
            <v>0.8</v>
          </cell>
          <cell r="W2675">
            <v>0</v>
          </cell>
          <cell r="X2675" t="str">
            <v>EST CADEIRA BOA C/B (FREIJO) TC SAGG INDIGO - 0,65x0,65x0,8H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252166</v>
          </cell>
          <cell r="P2676"/>
          <cell r="Q2676" t="str">
            <v>EST MANCEBO KBID (FREIJO) (G3 - ROSSO FIORENTINO) INOX</v>
          </cell>
          <cell r="R2676"/>
          <cell r="S2676"/>
          <cell r="T2676">
            <v>0.47</v>
          </cell>
          <cell r="U2676">
            <v>0.16</v>
          </cell>
          <cell r="V2676">
            <v>1.35</v>
          </cell>
          <cell r="W2676">
            <v>0</v>
          </cell>
          <cell r="X2676" t="str">
            <v>EST MANCEBO KBID (FREIJO) (G3 - ROSSO FIORENTINO) INOX - 0,47x0,16x1,35H</v>
          </cell>
          <cell r="Y2676">
            <v>0</v>
          </cell>
          <cell r="Z2676">
            <v>0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1</v>
          </cell>
          <cell r="O2677">
            <v>252234</v>
          </cell>
          <cell r="P2677"/>
          <cell r="Q2677" t="str">
            <v>EST BANCO DOMINO (4 LUG) (CILIN IPE) (CONC GOIABA) (CORTEN)</v>
          </cell>
          <cell r="R2677"/>
          <cell r="S2677"/>
          <cell r="T2677">
            <v>1.9</v>
          </cell>
          <cell r="U2677">
            <v>0.45</v>
          </cell>
          <cell r="V2677">
            <v>0.48</v>
          </cell>
          <cell r="W2677">
            <v>0</v>
          </cell>
          <cell r="X2677" t="str">
            <v>EST BANCO DOMINO (4 LUG) (CILIN IPE) (CONC GOIABA) (CORTEN) - 1,9x0,45x0,48H</v>
          </cell>
          <cell r="Y2677">
            <v>0</v>
          </cell>
          <cell r="Z2677">
            <v>0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4</v>
          </cell>
          <cell r="O2678">
            <v>252235</v>
          </cell>
          <cell r="P2678"/>
          <cell r="Q2678" t="str">
            <v>EST BANQUETA PORTUGUESA (CORDA KRAFT) (IPE NATURAL)</v>
          </cell>
          <cell r="R2678"/>
          <cell r="S2678"/>
          <cell r="T2678">
            <v>0.65</v>
          </cell>
          <cell r="U2678">
            <v>0.45</v>
          </cell>
          <cell r="V2678">
            <v>0.39</v>
          </cell>
          <cell r="W2678">
            <v>0</v>
          </cell>
          <cell r="X2678" t="str">
            <v>EST BANQUETA PORTUGUESA (CORDA KRAFT) (IPE NATURAL) - 0,65x0,45x0,39H</v>
          </cell>
          <cell r="Y2678">
            <v>0</v>
          </cell>
          <cell r="Z2678">
            <v>0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252274</v>
          </cell>
          <cell r="P2679"/>
          <cell r="Q2679" t="str">
            <v>EST POLTRONA CUCA (FREIJO NAT) TC EL SWISS VELVET BEIGE</v>
          </cell>
          <cell r="R2679"/>
          <cell r="S2679"/>
          <cell r="T2679">
            <v>0.63</v>
          </cell>
          <cell r="U2679">
            <v>0.9</v>
          </cell>
          <cell r="V2679">
            <v>0.89</v>
          </cell>
          <cell r="W2679">
            <v>0</v>
          </cell>
          <cell r="X2679" t="str">
            <v>EST POLTRONA CUCA (FREIJO NAT) TC EL SWISS VELVET BEIGE - 0,63x0,9x0,89H</v>
          </cell>
          <cell r="Y2679">
            <v>0</v>
          </cell>
          <cell r="Z2679">
            <v>0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1</v>
          </cell>
          <cell r="O2680">
            <v>252275</v>
          </cell>
          <cell r="P2680"/>
          <cell r="Q2680" t="str">
            <v>EST BANQUETA CUCA (FREIJO NAT) TC EL SWISS VELVET BEIGE</v>
          </cell>
          <cell r="R2680"/>
          <cell r="S2680"/>
          <cell r="T2680">
            <v>0.51</v>
          </cell>
          <cell r="U2680">
            <v>0.4</v>
          </cell>
          <cell r="V2680">
            <v>0.39</v>
          </cell>
          <cell r="W2680">
            <v>0</v>
          </cell>
          <cell r="X2680" t="str">
            <v>EST BANQUETA CUCA (FREIJO NAT) TC EL SWISS VELVET BEIGE - 0,51x0,4x0,39H</v>
          </cell>
          <cell r="Y2680">
            <v>0</v>
          </cell>
          <cell r="Z2680">
            <v>0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9</v>
          </cell>
          <cell r="O2681">
            <v>252417</v>
          </cell>
          <cell r="P2681"/>
          <cell r="Q2681" t="str">
            <v>EST CADEIRA GIRAFA (IPE)</v>
          </cell>
          <cell r="R2681"/>
          <cell r="S2681"/>
          <cell r="T2681">
            <v>0.39</v>
          </cell>
          <cell r="U2681">
            <v>0.43</v>
          </cell>
          <cell r="V2681">
            <v>0.79</v>
          </cell>
          <cell r="W2681">
            <v>0</v>
          </cell>
          <cell r="X2681" t="str">
            <v>EST CADEIRA GIRAFA (IPE) - 0,39x0,43x0,79H</v>
          </cell>
          <cell r="Y2681">
            <v>0</v>
          </cell>
          <cell r="Z2681">
            <v>0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1</v>
          </cell>
          <cell r="O2682">
            <v>252418</v>
          </cell>
          <cell r="P2682"/>
          <cell r="Q2682" t="str">
            <v>EST CADEIRA GIRAFA BORDADEIRA (IPE)</v>
          </cell>
          <cell r="R2682"/>
          <cell r="S2682"/>
          <cell r="T2682">
            <v>0.39</v>
          </cell>
          <cell r="U2682">
            <v>0.42</v>
          </cell>
          <cell r="V2682">
            <v>0.65</v>
          </cell>
          <cell r="W2682">
            <v>0</v>
          </cell>
          <cell r="X2682" t="str">
            <v>EST CADEIRA GIRAFA BORDADEIRA (IPE) - 0,39x0,42x0,65H</v>
          </cell>
          <cell r="Y2682">
            <v>0</v>
          </cell>
          <cell r="Z2682">
            <v>0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4</v>
          </cell>
          <cell r="O2683">
            <v>252538</v>
          </cell>
          <cell r="P2683"/>
          <cell r="Q2683" t="str">
            <v>EST CADEIRA JOHN GRAZ (TECA) CAMURCA TAUPE</v>
          </cell>
          <cell r="R2683"/>
          <cell r="S2683"/>
          <cell r="T2683">
            <v>0.48</v>
          </cell>
          <cell r="U2683">
            <v>0.53</v>
          </cell>
          <cell r="V2683">
            <v>0.82</v>
          </cell>
          <cell r="W2683">
            <v>0</v>
          </cell>
          <cell r="X2683" t="str">
            <v>EST CADEIRA JOHN GRAZ (TECA) CAMURCA TAUPE - 0,48x0,53x0,82H</v>
          </cell>
          <cell r="Y2683">
            <v>0</v>
          </cell>
          <cell r="Z2683">
            <v>0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1</v>
          </cell>
          <cell r="O2684">
            <v>252613</v>
          </cell>
          <cell r="P2684"/>
          <cell r="Q2684" t="str">
            <v>EST BANQUETA STELLA (MAD B COR 03) TC EL MEDA AQUA</v>
          </cell>
          <cell r="R2684"/>
          <cell r="S2684"/>
          <cell r="T2684">
            <v>0.62</v>
          </cell>
          <cell r="U2684">
            <v>0.48</v>
          </cell>
          <cell r="V2684">
            <v>0.9</v>
          </cell>
          <cell r="W2684">
            <v>0</v>
          </cell>
          <cell r="X2684" t="str">
            <v>EST BANQUETA STELLA (MAD B COR 03) TC EL MEDA AQUA - 0,62x0,48x0,9H</v>
          </cell>
          <cell r="Y2684">
            <v>0</v>
          </cell>
          <cell r="Z2684">
            <v>0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252906</v>
          </cell>
          <cell r="P2685"/>
          <cell r="Q2685" t="str">
            <v>EST BASE JANTAR GELSOMINA (OVAL) (FREIJO NATURAL)</v>
          </cell>
          <cell r="R2685"/>
          <cell r="S2685"/>
          <cell r="T2685">
            <v>1.36</v>
          </cell>
          <cell r="U2685">
            <v>0.77</v>
          </cell>
          <cell r="V2685">
            <v>0.73</v>
          </cell>
          <cell r="W2685">
            <v>0</v>
          </cell>
          <cell r="X2685" t="str">
            <v>EST BASE JANTAR GELSOMINA (OVAL) (FREIJO NATURAL) - 1,36x0,77x0,73H</v>
          </cell>
          <cell r="Y2685">
            <v>0</v>
          </cell>
          <cell r="Z2685">
            <v>0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7</v>
          </cell>
          <cell r="O2686">
            <v>253292</v>
          </cell>
          <cell r="P2686"/>
          <cell r="Q2686" t="str">
            <v>EST CADEIRA LUCIO (TELA NATURAL) (IMBUIA STAIN)</v>
          </cell>
          <cell r="R2686"/>
          <cell r="S2686"/>
          <cell r="T2686">
            <v>0.48</v>
          </cell>
          <cell r="U2686">
            <v>0.49</v>
          </cell>
          <cell r="V2686">
            <v>0.81</v>
          </cell>
          <cell r="W2686">
            <v>0</v>
          </cell>
          <cell r="X2686" t="str">
            <v>EST CADEIRA LUCIO (TELA NATURAL) (IMBUIA STAIN) - 0,48x0,49x0,81H</v>
          </cell>
          <cell r="Y2686">
            <v>0</v>
          </cell>
          <cell r="Z2686">
            <v>0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7</v>
          </cell>
          <cell r="O2687">
            <v>253797</v>
          </cell>
          <cell r="P2687"/>
          <cell r="Q2687" t="str">
            <v>EST MESA JANTAR GIRAFA (IPE)</v>
          </cell>
          <cell r="R2687"/>
          <cell r="S2687"/>
          <cell r="T2687">
            <v>0.7</v>
          </cell>
          <cell r="U2687">
            <v>0</v>
          </cell>
          <cell r="V2687">
            <v>0.76</v>
          </cell>
          <cell r="W2687">
            <v>0</v>
          </cell>
          <cell r="X2687" t="str">
            <v>EST MESA JANTAR GIRAFA (IPE) - Ø0x0,76H</v>
          </cell>
          <cell r="Y2687">
            <v>0</v>
          </cell>
          <cell r="Z2687">
            <v>0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6</v>
          </cell>
          <cell r="O2688">
            <v>253800</v>
          </cell>
          <cell r="P2688"/>
          <cell r="Q2688" t="str">
            <v>EST BANCO GIRAFA (IPE)</v>
          </cell>
          <cell r="R2688"/>
          <cell r="S2688"/>
          <cell r="T2688">
            <v>0.38</v>
          </cell>
          <cell r="U2688">
            <v>0.34</v>
          </cell>
          <cell r="V2688">
            <v>0.48</v>
          </cell>
          <cell r="W2688">
            <v>0</v>
          </cell>
          <cell r="X2688" t="str">
            <v>EST BANCO GIRAFA (IPE) - 0,38x0,34x0,48H</v>
          </cell>
          <cell r="Y2688">
            <v>0</v>
          </cell>
          <cell r="Z2688">
            <v>0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0</v>
          </cell>
          <cell r="O2689">
            <v>253802</v>
          </cell>
          <cell r="P2689"/>
          <cell r="Q2689" t="str">
            <v>EST BANQUETA BAR GIRAFA H62 (IPE)</v>
          </cell>
          <cell r="R2689"/>
          <cell r="S2689"/>
          <cell r="T2689">
            <v>0.39</v>
          </cell>
          <cell r="U2689">
            <v>0.46</v>
          </cell>
          <cell r="V2689">
            <v>0.86</v>
          </cell>
          <cell r="W2689">
            <v>0</v>
          </cell>
          <cell r="X2689" t="str">
            <v>EST BANQUETA BAR GIRAFA H62 (IPE) - 0,39x0,46x0,86H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9</v>
          </cell>
          <cell r="O2690">
            <v>253807</v>
          </cell>
          <cell r="P2690"/>
          <cell r="Q2690" t="str">
            <v>EST BANQUETA BAR GIRAFA H76 (IPE)</v>
          </cell>
          <cell r="R2690"/>
          <cell r="S2690"/>
          <cell r="T2690">
            <v>0.39</v>
          </cell>
          <cell r="U2690">
            <v>0.46</v>
          </cell>
          <cell r="V2690">
            <v>1</v>
          </cell>
          <cell r="W2690">
            <v>0</v>
          </cell>
          <cell r="X2690" t="str">
            <v>EST BANQUETA BAR GIRAFA H76 (IPE) - 0,39x0,46x1H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253967</v>
          </cell>
          <cell r="P2691"/>
          <cell r="Q2691" t="str">
            <v>EST TAMPO CRISTAL LAPIDADO (12MM) INCOLOR (CIRCULAR)</v>
          </cell>
          <cell r="R2691"/>
          <cell r="S2691"/>
          <cell r="T2691">
            <v>1.3</v>
          </cell>
          <cell r="U2691">
            <v>1.3</v>
          </cell>
          <cell r="V2691">
            <v>0.01</v>
          </cell>
          <cell r="W2691">
            <v>1.3</v>
          </cell>
          <cell r="X2691" t="str">
            <v>EST TAMPO CRISTAL LAPIDADO (12MM) INCOLOR (CIRCULAR) - 1,3x1,3x0,01H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254391</v>
          </cell>
          <cell r="P2692"/>
          <cell r="Q2692" t="str">
            <v>EST POLTRONA STELLA (BAIXA) (MAD A COR 02) TC EL MALIBU GREY</v>
          </cell>
          <cell r="R2692"/>
          <cell r="S2692"/>
          <cell r="T2692">
            <v>0.74</v>
          </cell>
          <cell r="U2692">
            <v>0.92</v>
          </cell>
          <cell r="V2692">
            <v>0.69</v>
          </cell>
          <cell r="W2692">
            <v>0</v>
          </cell>
          <cell r="X2692" t="str">
            <v>EST POLTRONA STELLA (BAIXA) (MAD A COR 02) TC EL MALIBU GREY - 0,74x0,92x0,69H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1</v>
          </cell>
          <cell r="O2693">
            <v>254549</v>
          </cell>
          <cell r="P2693"/>
          <cell r="Q2693" t="str">
            <v>EST CADEIRA GB01 MISTA (IMBUIA) (QUADRIC NT) TC CHEVRON 1354</v>
          </cell>
          <cell r="R2693"/>
          <cell r="S2693"/>
          <cell r="T2693">
            <v>0.45</v>
          </cell>
          <cell r="U2693">
            <v>0.48</v>
          </cell>
          <cell r="V2693">
            <v>0.85</v>
          </cell>
          <cell r="W2693">
            <v>0</v>
          </cell>
          <cell r="X2693" t="str">
            <v>EST CADEIRA GB01 MISTA (IMBUIA) (QUADRIC NT) TC CHEVRON 1354 - 0,45x0,48x0,85H</v>
          </cell>
          <cell r="Y2693">
            <v>0</v>
          </cell>
          <cell r="Z2693">
            <v>0.35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254652</v>
          </cell>
          <cell r="P2694"/>
          <cell r="Q2694" t="str">
            <v>EST CADEIRA JOHN GRAZ (CEREJEIRA COR IMBUIA) CAMURCA GELO</v>
          </cell>
          <cell r="R2694"/>
          <cell r="S2694"/>
          <cell r="T2694">
            <v>0.48</v>
          </cell>
          <cell r="U2694">
            <v>0.53</v>
          </cell>
          <cell r="V2694">
            <v>0.82</v>
          </cell>
          <cell r="W2694">
            <v>0</v>
          </cell>
          <cell r="X2694" t="str">
            <v>EST CADEIRA JOHN GRAZ (CEREJEIRA COR IMBUIA) CAMURCA GELO - 0,48x0,53x0,82H</v>
          </cell>
          <cell r="Y2694">
            <v>0</v>
          </cell>
          <cell r="Z2694">
            <v>0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5</v>
          </cell>
          <cell r="O2695">
            <v>254708</v>
          </cell>
          <cell r="P2695"/>
          <cell r="Q2695" t="str">
            <v>EST CADEIRA JOHN GRAZ (PINHO DE RIGA) CAMURCA TAUPE</v>
          </cell>
          <cell r="R2695"/>
          <cell r="S2695"/>
          <cell r="T2695">
            <v>0.48</v>
          </cell>
          <cell r="U2695">
            <v>0.53</v>
          </cell>
          <cell r="V2695">
            <v>0.82</v>
          </cell>
          <cell r="W2695">
            <v>0</v>
          </cell>
          <cell r="X2695" t="str">
            <v>EST CADEIRA JOHN GRAZ (PINHO DE RIGA) CAMURCA TAUPE - 0,48x0,53x0,82H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255429</v>
          </cell>
          <cell r="P2696"/>
          <cell r="Q2696" t="str">
            <v>EST BANQUETA BAR GB MTF600 H73 TC LINHO CHEVRON NATURAL</v>
          </cell>
          <cell r="R2696"/>
          <cell r="S2696"/>
          <cell r="T2696">
            <v>0.35</v>
          </cell>
          <cell r="U2696">
            <v>0.4</v>
          </cell>
          <cell r="V2696">
            <v>0.83</v>
          </cell>
          <cell r="W2696">
            <v>0</v>
          </cell>
          <cell r="X2696" t="str">
            <v>EST BANQUETA BAR GB MTF600 H73 TC LINHO CHEVRON NATURAL - 0,35x0,4x0,83H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1</v>
          </cell>
          <cell r="O2697">
            <v>255545</v>
          </cell>
          <cell r="P2697"/>
          <cell r="Q2697" t="str">
            <v>EST MESA JANTAR U (OVAL) (MADEIRA PEROBA MEDIA)</v>
          </cell>
          <cell r="R2697"/>
          <cell r="S2697"/>
          <cell r="T2697">
            <v>2.6</v>
          </cell>
          <cell r="U2697">
            <v>1.1000000000000001</v>
          </cell>
          <cell r="V2697">
            <v>0.74</v>
          </cell>
          <cell r="W2697">
            <v>0</v>
          </cell>
          <cell r="X2697" t="str">
            <v>EST MESA JANTAR U (OVAL) (MADEIRA PEROBA MEDIA) - 2,6x1,1x0,74H</v>
          </cell>
          <cell r="Y2697">
            <v>0</v>
          </cell>
          <cell r="Z2697">
            <v>0.5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1</v>
          </cell>
          <cell r="O2698">
            <v>255786</v>
          </cell>
          <cell r="P2698"/>
          <cell r="Q2698" t="str">
            <v>EST LUMINARIA PAU DE LUZ (INOX) (SUCUPIRA NATURAL) BIVOLT</v>
          </cell>
          <cell r="R2698"/>
          <cell r="S2698"/>
          <cell r="T2698">
            <v>0.04</v>
          </cell>
          <cell r="U2698">
            <v>0.06</v>
          </cell>
          <cell r="V2698">
            <v>2.15</v>
          </cell>
          <cell r="W2698">
            <v>0</v>
          </cell>
          <cell r="X2698" t="str">
            <v>EST LUMINARIA PAU DE LUZ (INOX) (SUCUPIRA NATURAL) BIVOLT - 0,04x0,06x2,15H</v>
          </cell>
          <cell r="Y2698">
            <v>0</v>
          </cell>
          <cell r="Z2698">
            <v>0.5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5</v>
          </cell>
          <cell r="O2699">
            <v>255953</v>
          </cell>
          <cell r="P2699"/>
          <cell r="Q2699" t="str">
            <v>EST BANCO GB (TELA NAT) (IMBUIA) (ACO PTO)</v>
          </cell>
          <cell r="R2699"/>
          <cell r="S2699"/>
          <cell r="T2699">
            <v>0.42</v>
          </cell>
          <cell r="U2699">
            <v>0.42</v>
          </cell>
          <cell r="V2699">
            <v>0.45</v>
          </cell>
          <cell r="W2699">
            <v>0</v>
          </cell>
          <cell r="X2699" t="str">
            <v>EST BANCO GB (TELA NAT) (IMBUIA) (ACO PTO) - 0,42x0,42x0,45H</v>
          </cell>
          <cell r="Y2699">
            <v>0</v>
          </cell>
          <cell r="Z2699">
            <v>0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255954</v>
          </cell>
          <cell r="P2700"/>
          <cell r="Q2700" t="str">
            <v>EST BANQUETA BAR GB H72 (TELA) (IMBUIA) (ACO PRETO)</v>
          </cell>
          <cell r="R2700"/>
          <cell r="S2700"/>
          <cell r="T2700">
            <v>0.42</v>
          </cell>
          <cell r="U2700">
            <v>0.42</v>
          </cell>
          <cell r="V2700">
            <v>0.72</v>
          </cell>
          <cell r="W2700">
            <v>0</v>
          </cell>
          <cell r="X2700" t="str">
            <v>EST BANQUETA BAR GB H72 (TELA) (IMBUIA) (ACO PRETO) - 0,42x0,42x0,72H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1</v>
          </cell>
          <cell r="O2701">
            <v>255999</v>
          </cell>
          <cell r="P2701"/>
          <cell r="Q2701" t="str">
            <v>EST POLTRONA RIO (MAD B LOURO ESP) TELA SEXTAVADA NATURAL</v>
          </cell>
          <cell r="R2701"/>
          <cell r="S2701"/>
          <cell r="T2701">
            <v>0.66</v>
          </cell>
          <cell r="U2701">
            <v>0.7</v>
          </cell>
          <cell r="V2701">
            <v>0.69</v>
          </cell>
          <cell r="W2701">
            <v>0</v>
          </cell>
          <cell r="X2701" t="str">
            <v>EST POLTRONA RIO (MAD B LOURO ESP) TELA SEXTAVADA NATURAL - 0,66x0,7x0,69H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4</v>
          </cell>
          <cell r="O2702">
            <v>256816</v>
          </cell>
          <cell r="P2702"/>
          <cell r="Q2702" t="str">
            <v>EST POLTRONA DIZ (ESTOF S/FURO) (MAD B EBNZ) COURO PIG 100</v>
          </cell>
          <cell r="R2702"/>
          <cell r="S2702"/>
          <cell r="T2702">
            <v>0.78</v>
          </cell>
          <cell r="U2702">
            <v>0.89</v>
          </cell>
          <cell r="V2702">
            <v>0.71</v>
          </cell>
          <cell r="W2702">
            <v>0</v>
          </cell>
          <cell r="X2702" t="str">
            <v>EST POLTRONA DIZ (ESTOF S/FURO) (MAD B EBNZ) COURO PIG 100 - 0,78x0,89x0,71H</v>
          </cell>
          <cell r="Y2702">
            <v>0</v>
          </cell>
          <cell r="Z2702">
            <v>0</v>
          </cell>
          <cell r="AA2702">
            <v>0</v>
          </cell>
          <cell r="AB2702"/>
        </row>
        <row r="2703">
          <cell r="C2703" t="e">
            <v>#N/A</v>
          </cell>
          <cell r="D2703" t="e">
            <v>#N/A</v>
          </cell>
          <cell r="E2703" t="e">
            <v>#N/A</v>
          </cell>
          <cell r="F2703" t="e">
            <v>#N/A</v>
          </cell>
          <cell r="H2703" t="e">
            <v>#N/A</v>
          </cell>
          <cell r="O2703">
            <v>256995</v>
          </cell>
          <cell r="P2703"/>
          <cell r="Q2703" t="e">
            <v>#N/A</v>
          </cell>
          <cell r="R2703"/>
          <cell r="S2703"/>
          <cell r="T2703" t="e">
            <v>#N/A</v>
          </cell>
          <cell r="U2703" t="e">
            <v>#N/A</v>
          </cell>
          <cell r="V2703" t="e">
            <v>#N/A</v>
          </cell>
          <cell r="W2703" t="e">
            <v>#N/A</v>
          </cell>
          <cell r="X2703" t="e">
            <v>#N/A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257000</v>
          </cell>
          <cell r="P2704"/>
          <cell r="Q2704" t="str">
            <v>EST MESA CENTRO JOHN GRAZ (BS IMBUIA) (SAYERLACK Y096 VERDE)</v>
          </cell>
          <cell r="R2704"/>
          <cell r="S2704"/>
          <cell r="T2704">
            <v>1.7</v>
          </cell>
          <cell r="U2704">
            <v>0.77</v>
          </cell>
          <cell r="V2704">
            <v>0.32</v>
          </cell>
          <cell r="W2704">
            <v>0</v>
          </cell>
          <cell r="X2704" t="str">
            <v>EST MESA CENTRO JOHN GRAZ (BS IMBUIA) (SAYERLACK Y096 VERDE) - 1,7x0,77x0,32H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0</v>
          </cell>
          <cell r="O2705">
            <v>257003</v>
          </cell>
          <cell r="P2705"/>
          <cell r="Q2705" t="str">
            <v>EST MOVEL AUXILIAR QUADRADINHO (3 GAV) (FREIJO NATURAL)</v>
          </cell>
          <cell r="R2705"/>
          <cell r="S2705"/>
          <cell r="T2705">
            <v>0.52</v>
          </cell>
          <cell r="U2705">
            <v>0.55000000000000004</v>
          </cell>
          <cell r="V2705">
            <v>0.59</v>
          </cell>
          <cell r="W2705">
            <v>0</v>
          </cell>
          <cell r="X2705" t="str">
            <v>EST MOVEL AUXILIAR QUADRADINHO (3 GAV) (FREIJO NATURAL) - 0,52x0,55x0,59H</v>
          </cell>
          <cell r="Y2705">
            <v>0</v>
          </cell>
          <cell r="Z2705">
            <v>0.5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0</v>
          </cell>
          <cell r="O2706">
            <v>257125</v>
          </cell>
          <cell r="P2706"/>
          <cell r="Q2706" t="str">
            <v>EST APARADOR GB 1013 (GAVETAS BRANCAS) (IMBUIA)</v>
          </cell>
          <cell r="R2706"/>
          <cell r="S2706"/>
          <cell r="T2706">
            <v>1.04</v>
          </cell>
          <cell r="U2706">
            <v>0.42</v>
          </cell>
          <cell r="V2706">
            <v>0.81</v>
          </cell>
          <cell r="W2706">
            <v>0</v>
          </cell>
          <cell r="X2706" t="str">
            <v>EST APARADOR GB 1013 (GAVETAS BRANCAS) (IMBUIA) - 1,04x0,42x0,81H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2</v>
          </cell>
          <cell r="O2707">
            <v>257223</v>
          </cell>
          <cell r="P2707"/>
          <cell r="Q2707" t="str">
            <v>EST MESA JANTAR DINA (FREIJO NATURAL)</v>
          </cell>
          <cell r="R2707"/>
          <cell r="S2707"/>
          <cell r="T2707">
            <v>3.06</v>
          </cell>
          <cell r="U2707">
            <v>1.1000000000000001</v>
          </cell>
          <cell r="V2707">
            <v>0.74</v>
          </cell>
          <cell r="W2707">
            <v>0</v>
          </cell>
          <cell r="X2707" t="str">
            <v>EST MESA JANTAR DINA (FREIJO NATURAL) - 3,06x1,1x0,74H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0</v>
          </cell>
          <cell r="O2708">
            <v>257486</v>
          </cell>
          <cell r="P2708"/>
          <cell r="Q2708" t="str">
            <v>EST SOFA AIR II (BASE PRETA) TC EL NOVE 04 GREY</v>
          </cell>
          <cell r="R2708"/>
          <cell r="S2708"/>
          <cell r="T2708">
            <v>3.5</v>
          </cell>
          <cell r="U2708">
            <v>0.97</v>
          </cell>
          <cell r="V2708">
            <v>0.7</v>
          </cell>
          <cell r="W2708">
            <v>0</v>
          </cell>
          <cell r="X2708" t="str">
            <v>EST SOFA AIR II (BASE PRETA) TC EL NOVE 04 GREY - 3,5x0,97x0,7H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2</v>
          </cell>
          <cell r="O2709">
            <v>257773</v>
          </cell>
          <cell r="P2709"/>
          <cell r="Q2709" t="str">
            <v>EST CADEIRA FLEXA H45 (NAUTICA PRETA) (FAIA VERNIZ CONHAQUE)</v>
          </cell>
          <cell r="R2709"/>
          <cell r="S2709"/>
          <cell r="T2709">
            <v>0.52</v>
          </cell>
          <cell r="U2709">
            <v>0.64</v>
          </cell>
          <cell r="V2709">
            <v>0.87</v>
          </cell>
          <cell r="W2709">
            <v>0</v>
          </cell>
          <cell r="X2709" t="str">
            <v>EST CADEIRA FLEXA H45 (NAUTICA PRETA) (FAIA VERNIZ CONHAQUE) - 0,52x0,64x0,87H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2</v>
          </cell>
          <cell r="O2710">
            <v>257774</v>
          </cell>
          <cell r="P2710"/>
          <cell r="Q2710" t="str">
            <v>EST BANQUETA FLEXA (COURO CASTOR) (FAIA VERNIZ HAVANA)</v>
          </cell>
          <cell r="R2710"/>
          <cell r="S2710"/>
          <cell r="T2710">
            <v>0.56000000000000005</v>
          </cell>
          <cell r="U2710">
            <v>0.35</v>
          </cell>
          <cell r="V2710">
            <v>0.35</v>
          </cell>
          <cell r="W2710">
            <v>0</v>
          </cell>
          <cell r="X2710" t="str">
            <v>EST BANQUETA FLEXA (COURO CASTOR) (FAIA VERNIZ HAVANA) - 0,56x0,35x0,35H</v>
          </cell>
          <cell r="Y2710">
            <v>0</v>
          </cell>
          <cell r="Z2710">
            <v>0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2</v>
          </cell>
          <cell r="O2711">
            <v>257776</v>
          </cell>
          <cell r="P2711"/>
          <cell r="Q2711" t="str">
            <v>EST POLTRONA FLEXA LONGA (COURO CASTOR) (FAIA VERNIZ HAVANA)</v>
          </cell>
          <cell r="R2711"/>
          <cell r="S2711"/>
          <cell r="T2711">
            <v>0.56999999999999995</v>
          </cell>
          <cell r="U2711">
            <v>0.87</v>
          </cell>
          <cell r="V2711">
            <v>0.96</v>
          </cell>
          <cell r="W2711">
            <v>0</v>
          </cell>
          <cell r="X2711" t="str">
            <v>EST POLTRONA FLEXA LONGA (COURO CASTOR) (FAIA VERNIZ HAVANA) - 0,57x0,87x0,96H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3</v>
          </cell>
          <cell r="O2712">
            <v>257778</v>
          </cell>
          <cell r="P2712"/>
          <cell r="Q2712" t="str">
            <v>EST POLTRONA FLEXA MEDIA (COURO CASTOR) (FAIA VERNIZ HAVANA)</v>
          </cell>
          <cell r="R2712"/>
          <cell r="S2712"/>
          <cell r="T2712">
            <v>0.56999999999999995</v>
          </cell>
          <cell r="U2712">
            <v>0.72</v>
          </cell>
          <cell r="V2712">
            <v>0.87</v>
          </cell>
          <cell r="W2712">
            <v>0</v>
          </cell>
          <cell r="X2712" t="str">
            <v>EST POLTRONA FLEXA MEDIA (COURO CASTOR) (FAIA VERNIZ HAVANA) - 0,57x0,72x0,87H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257780</v>
          </cell>
          <cell r="P2713"/>
          <cell r="Q2713" t="str">
            <v>EST POLTRONA TAGUAIBA (FAIA VERNIZ CONHAQUE) CAMURCA BRONZE</v>
          </cell>
          <cell r="R2713"/>
          <cell r="S2713"/>
          <cell r="T2713">
            <v>0.92</v>
          </cell>
          <cell r="U2713">
            <v>0.78</v>
          </cell>
          <cell r="V2713">
            <v>0.84</v>
          </cell>
          <cell r="W2713">
            <v>0</v>
          </cell>
          <cell r="X2713" t="str">
            <v>EST POLTRONA TAGUAIBA (FAIA VERNIZ CONHAQUE) CAMURCA BRONZE - 0,92x0,78x0,84H</v>
          </cell>
          <cell r="Y2713">
            <v>0</v>
          </cell>
          <cell r="Z2713">
            <v>0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4</v>
          </cell>
          <cell r="O2714">
            <v>257962</v>
          </cell>
          <cell r="P2714"/>
          <cell r="Q2714" t="str">
            <v>EST BANQUETA CAFE OMAR (MAD A CINAM EBNZ) TC M VELVET BLUE</v>
          </cell>
          <cell r="R2714"/>
          <cell r="S2714"/>
          <cell r="T2714">
            <v>0.54</v>
          </cell>
          <cell r="U2714">
            <v>0.56000000000000005</v>
          </cell>
          <cell r="V2714">
            <v>0.87</v>
          </cell>
          <cell r="W2714">
            <v>0</v>
          </cell>
          <cell r="X2714" t="str">
            <v>EST BANQUETA CAFE OMAR (MAD A CINAM EBNZ) TC M VELVET BLUE - 0,54x0,56x0,87H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0</v>
          </cell>
          <cell r="O2715">
            <v>258631</v>
          </cell>
          <cell r="P2715"/>
          <cell r="Q2715" t="str">
            <v>EST POLTRONA RENATA (FREIJO NT) COURO CAMURCA VERDE</v>
          </cell>
          <cell r="R2715"/>
          <cell r="S2715"/>
          <cell r="T2715">
            <v>0.75</v>
          </cell>
          <cell r="U2715">
            <v>0.8</v>
          </cell>
          <cell r="V2715">
            <v>0.7</v>
          </cell>
          <cell r="W2715">
            <v>0</v>
          </cell>
          <cell r="X2715" t="str">
            <v>EST POLTRONA RENATA (FREIJO NT) COURO CAMURCA VERDE - 0,75x0,8x0,7H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0</v>
          </cell>
          <cell r="O2716">
            <v>258975</v>
          </cell>
          <cell r="P2716"/>
          <cell r="Q2716" t="str">
            <v>EST GAVETEIRO GB UL25 (2 GAV) (METAL) (IMBUIA/GAV BRANCAS)</v>
          </cell>
          <cell r="R2716"/>
          <cell r="S2716"/>
          <cell r="T2716">
            <v>0.53</v>
          </cell>
          <cell r="U2716">
            <v>0.42</v>
          </cell>
          <cell r="V2716">
            <v>0.6</v>
          </cell>
          <cell r="W2716">
            <v>0</v>
          </cell>
          <cell r="X2716" t="str">
            <v>EST GAVETEIRO GB UL25 (2 GAV) (METAL) (IMBUIA/GAV BRANCAS) - 0,53x0,42x0,6H</v>
          </cell>
          <cell r="Y2716">
            <v>0</v>
          </cell>
          <cell r="Z2716">
            <v>0.5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5</v>
          </cell>
          <cell r="O2717">
            <v>259046</v>
          </cell>
          <cell r="P2717"/>
          <cell r="Q2717" t="str">
            <v>EST BANCO GB (KRAFT) (ACO PRETO)</v>
          </cell>
          <cell r="R2717"/>
          <cell r="S2717"/>
          <cell r="T2717">
            <v>0.42</v>
          </cell>
          <cell r="U2717">
            <v>0.42</v>
          </cell>
          <cell r="V2717">
            <v>0.45</v>
          </cell>
          <cell r="W2717">
            <v>0</v>
          </cell>
          <cell r="X2717" t="str">
            <v>EST BANCO GB (KRAFT) (ACO PRETO) - 0,42x0,42x0,45H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1</v>
          </cell>
          <cell r="O2718">
            <v>259237</v>
          </cell>
          <cell r="P2718"/>
          <cell r="Q2718" t="str">
            <v>EST POLTRONA PARATY (MAD B COR 03) EL NOVE 04 GREY</v>
          </cell>
          <cell r="R2718"/>
          <cell r="S2718"/>
          <cell r="T2718">
            <v>0.77</v>
          </cell>
          <cell r="U2718">
            <v>0.81</v>
          </cell>
          <cell r="V2718">
            <v>0.75</v>
          </cell>
          <cell r="W2718">
            <v>0</v>
          </cell>
          <cell r="X2718" t="str">
            <v>EST POLTRONA PARATY (MAD B COR 03) EL NOVE 04 GREY - 0,77x0,81x0,75H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2</v>
          </cell>
          <cell r="O2719">
            <v>259531</v>
          </cell>
          <cell r="P2719"/>
          <cell r="Q2719" t="str">
            <v>EST POLTRONA GB UL19 (METAL) (IMBUIA) TC EL NOVE 04 GREY</v>
          </cell>
          <cell r="R2719"/>
          <cell r="S2719"/>
          <cell r="T2719">
            <v>0.62</v>
          </cell>
          <cell r="U2719">
            <v>0.69</v>
          </cell>
          <cell r="V2719">
            <v>0.74</v>
          </cell>
          <cell r="W2719">
            <v>0</v>
          </cell>
          <cell r="X2719" t="str">
            <v>EST POLTRONA GB UL19 (METAL) (IMBUIA) TC EL NOVE 04 GREY - 0,62x0,69x0,74H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1</v>
          </cell>
          <cell r="O2720">
            <v>259776</v>
          </cell>
          <cell r="P2720"/>
          <cell r="Q2720" t="str">
            <v>EST BANQUETA PARATY (MAD B COR 03) EL NOVE 04 GREY</v>
          </cell>
          <cell r="R2720"/>
          <cell r="S2720"/>
          <cell r="T2720">
            <v>0.78</v>
          </cell>
          <cell r="U2720">
            <v>0.49</v>
          </cell>
          <cell r="V2720">
            <v>0.39</v>
          </cell>
          <cell r="W2720">
            <v>0</v>
          </cell>
          <cell r="X2720" t="str">
            <v>EST BANQUETA PARATY (MAD B COR 03) EL NOVE 04 GREY - 0,78x0,49x0,39H</v>
          </cell>
          <cell r="Y2720">
            <v>0</v>
          </cell>
          <cell r="Z2720">
            <v>0.5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3</v>
          </cell>
          <cell r="O2721">
            <v>259779</v>
          </cell>
          <cell r="P2721"/>
          <cell r="Q2721" t="str">
            <v>EST BANQUETA BAR PORTUGUESA H71 (CORDA KRAFT) (IPE NATURAL)</v>
          </cell>
          <cell r="R2721"/>
          <cell r="S2721"/>
          <cell r="T2721">
            <v>0.5</v>
          </cell>
          <cell r="U2721">
            <v>0.45</v>
          </cell>
          <cell r="V2721">
            <v>0.71</v>
          </cell>
          <cell r="W2721">
            <v>0</v>
          </cell>
          <cell r="X2721" t="str">
            <v>EST BANQUETA BAR PORTUGUESA H71 (CORDA KRAFT) (IPE NATURAL) - 0,5x0,45x0,71H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1</v>
          </cell>
          <cell r="O2722">
            <v>260568</v>
          </cell>
          <cell r="P2722"/>
          <cell r="Q2722" t="str">
            <v>EST POLTRONA ZANINE N (FREIJO NATURAL) TC TARENTO 12</v>
          </cell>
          <cell r="R2722"/>
          <cell r="S2722"/>
          <cell r="T2722">
            <v>0.71</v>
          </cell>
          <cell r="U2722">
            <v>0.67</v>
          </cell>
          <cell r="V2722">
            <v>0.7</v>
          </cell>
          <cell r="W2722">
            <v>0</v>
          </cell>
          <cell r="X2722" t="str">
            <v>EST POLTRONA ZANINE N (FREIJO NATURAL) TC TARENTO 12 - 0,71x0,67x0,7H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260913</v>
          </cell>
          <cell r="P2723"/>
          <cell r="Q2723" t="str">
            <v>EST SOFA STELLA (MAD B COR 03) TC VILLA OLMO NATURAL</v>
          </cell>
          <cell r="R2723"/>
          <cell r="S2723"/>
          <cell r="T2723">
            <v>2.13</v>
          </cell>
          <cell r="U2723">
            <v>0.92</v>
          </cell>
          <cell r="V2723">
            <v>0.69</v>
          </cell>
          <cell r="W2723">
            <v>0</v>
          </cell>
          <cell r="X2723" t="str">
            <v>EST SOFA STELLA (MAD B COR 03) TC VILLA OLMO NATURAL - 2,13x0,92x0,69H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261035</v>
          </cell>
          <cell r="P2724"/>
          <cell r="Q2724" t="str">
            <v>EST CADEIRA OMAR OFFICE C/R (MAD B FREIJO NT) COURO PIG 200</v>
          </cell>
          <cell r="R2724"/>
          <cell r="S2724"/>
          <cell r="T2724">
            <v>0.54</v>
          </cell>
          <cell r="U2724">
            <v>0.56999999999999995</v>
          </cell>
          <cell r="V2724">
            <v>0.83</v>
          </cell>
          <cell r="W2724">
            <v>0</v>
          </cell>
          <cell r="X2724" t="str">
            <v>EST CADEIRA OMAR OFFICE C/R (MAD B FREIJO NT) COURO PIG 200 - 0,54x0,57x0,83H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261040</v>
          </cell>
          <cell r="P2725"/>
          <cell r="Q2725" t="str">
            <v>EST CADEIRA JOSEFINA (PINHO DE RIGA) COURO PIG 200 VERDE</v>
          </cell>
          <cell r="R2725"/>
          <cell r="S2725"/>
          <cell r="T2725">
            <v>0.56999999999999995</v>
          </cell>
          <cell r="U2725">
            <v>0.54</v>
          </cell>
          <cell r="V2725">
            <v>0.76</v>
          </cell>
          <cell r="W2725">
            <v>0</v>
          </cell>
          <cell r="X2725" t="str">
            <v>EST CADEIRA JOSEFINA (PINHO DE RIGA) COURO PIG 200 VERDE - 0,57x0,54x0,76H</v>
          </cell>
          <cell r="Y2725">
            <v>0</v>
          </cell>
          <cell r="Z2725">
            <v>0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2</v>
          </cell>
          <cell r="O2726">
            <v>261041</v>
          </cell>
          <cell r="P2726"/>
          <cell r="Q2726" t="str">
            <v>EST CADEIRA JOSEFINA (IMBUIA) COURO CAMURCA GELO</v>
          </cell>
          <cell r="R2726"/>
          <cell r="S2726"/>
          <cell r="T2726">
            <v>0.56999999999999995</v>
          </cell>
          <cell r="U2726">
            <v>0.54</v>
          </cell>
          <cell r="V2726">
            <v>0.76</v>
          </cell>
          <cell r="W2726">
            <v>0</v>
          </cell>
          <cell r="X2726" t="str">
            <v>EST CADEIRA JOSEFINA (IMBUIA) COURO CAMURCA GELO - 0,57x0,54x0,76H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261738</v>
          </cell>
          <cell r="P2727"/>
          <cell r="Q2727" t="str">
            <v>EST POLTRONA BEG (S/ROD) (MAD A COR 02) CAMURCA CASTANHO</v>
          </cell>
          <cell r="R2727"/>
          <cell r="S2727"/>
          <cell r="T2727">
            <v>0.65</v>
          </cell>
          <cell r="U2727">
            <v>0.63</v>
          </cell>
          <cell r="V2727">
            <v>0.77</v>
          </cell>
          <cell r="W2727">
            <v>0</v>
          </cell>
          <cell r="X2727" t="str">
            <v>EST POLTRONA BEG (S/ROD) (MAD A COR 02) CAMURCA CASTANHO - 0,65x0,63x0,77H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0</v>
          </cell>
          <cell r="O2728">
            <v>262655</v>
          </cell>
          <cell r="P2728"/>
          <cell r="Q2728" t="str">
            <v>EST APARADOR GB 1013 (PORTAS BRANCAS) (IMBUIA)</v>
          </cell>
          <cell r="R2728"/>
          <cell r="S2728"/>
          <cell r="T2728">
            <v>1.04</v>
          </cell>
          <cell r="U2728">
            <v>0.39</v>
          </cell>
          <cell r="V2728">
            <v>0.82</v>
          </cell>
          <cell r="W2728">
            <v>0</v>
          </cell>
          <cell r="X2728" t="str">
            <v>EST APARADOR GB 1013 (PORTAS BRANCAS) (IMBUIA) - 1,04x0,39x0,82H</v>
          </cell>
          <cell r="Y2728">
            <v>0</v>
          </cell>
          <cell r="Z2728">
            <v>0.5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263359</v>
          </cell>
          <cell r="P2729"/>
          <cell r="Q2729" t="str">
            <v>EST LUMINARIA TCHEKO (LATAO CROMADO) (FREIJO)</v>
          </cell>
          <cell r="R2729"/>
          <cell r="S2729"/>
          <cell r="T2729">
            <v>0.4</v>
          </cell>
          <cell r="U2729">
            <v>0.4</v>
          </cell>
          <cell r="V2729">
            <v>0.9</v>
          </cell>
          <cell r="W2729">
            <v>0</v>
          </cell>
          <cell r="X2729" t="str">
            <v>EST LUMINARIA TCHEKO (LATAO CROMADO) (FREIJO) - 0,4x0,4x0,9H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263464</v>
          </cell>
          <cell r="P2730"/>
          <cell r="Q2730" t="str">
            <v>EST MANCEBO STAND BY (FREIJO) (G3 - GREEN PEACE)</v>
          </cell>
          <cell r="R2730"/>
          <cell r="S2730"/>
          <cell r="T2730">
            <v>0.2</v>
          </cell>
          <cell r="U2730">
            <v>0.33</v>
          </cell>
          <cell r="V2730">
            <v>1.75</v>
          </cell>
          <cell r="W2730">
            <v>0</v>
          </cell>
          <cell r="X2730" t="str">
            <v>EST MANCEBO STAND BY (FREIJO) (G3 - GREEN PEACE) - 0,2x0,33x1,75H</v>
          </cell>
          <cell r="Y2730">
            <v>0</v>
          </cell>
          <cell r="Z2730">
            <v>0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0</v>
          </cell>
          <cell r="O2731">
            <v>264234</v>
          </cell>
          <cell r="P2731"/>
          <cell r="Q2731" t="str">
            <v>EST ALMOFADA DECORATIVA AIR II (M) TC EL NOVE 04 GREY</v>
          </cell>
          <cell r="R2731"/>
          <cell r="S2731"/>
          <cell r="T2731">
            <v>0.62</v>
          </cell>
          <cell r="U2731">
            <v>0.62</v>
          </cell>
          <cell r="V2731">
            <v>0</v>
          </cell>
          <cell r="W2731">
            <v>0</v>
          </cell>
          <cell r="X2731" t="str">
            <v>EST ALMOFADA DECORATIVA AIR II (M) TC EL NOVE 04 GREY - 0,62x0,62x0H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1</v>
          </cell>
          <cell r="O2732">
            <v>264366</v>
          </cell>
          <cell r="P2732"/>
          <cell r="Q2732" t="str">
            <v>EST MESA JANTAR MAC (LAM ESPECIAL) (MAD IMBUIA STAIN)</v>
          </cell>
          <cell r="R2732"/>
          <cell r="S2732"/>
          <cell r="T2732">
            <v>1.2</v>
          </cell>
          <cell r="U2732">
            <v>0</v>
          </cell>
          <cell r="V2732">
            <v>0.75</v>
          </cell>
          <cell r="W2732">
            <v>1.2</v>
          </cell>
          <cell r="X2732" t="str">
            <v>EST MESA JANTAR MAC (LAM ESPECIAL) (MAD IMBUIA STAIN) - Ø1,2x0,75H</v>
          </cell>
          <cell r="Y2732">
            <v>0</v>
          </cell>
          <cell r="Z2732">
            <v>0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0</v>
          </cell>
          <cell r="O2733">
            <v>264946</v>
          </cell>
          <cell r="P2733"/>
          <cell r="Q2733" t="str">
            <v>EST BUFFET CORTEN (4P/2G) (FREIJO) (ACO CORTEN)</v>
          </cell>
          <cell r="R2733"/>
          <cell r="S2733"/>
          <cell r="T2733">
            <v>2.7</v>
          </cell>
          <cell r="U2733">
            <v>0.5</v>
          </cell>
          <cell r="V2733">
            <v>0.73</v>
          </cell>
          <cell r="W2733">
            <v>0</v>
          </cell>
          <cell r="X2733" t="str">
            <v>EST BUFFET CORTEN (4P/2G) (FREIJO) (ACO CORTEN) - 2,7x0,5x0,73H</v>
          </cell>
          <cell r="Y2733">
            <v>0</v>
          </cell>
          <cell r="Z2733">
            <v>0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265559</v>
          </cell>
          <cell r="P2734"/>
          <cell r="Q2734" t="str">
            <v>EST GAVETEIRO GB UL24 (1 GAV) (METAL) (INTEIRO IMBUIA)</v>
          </cell>
          <cell r="R2734"/>
          <cell r="S2734"/>
          <cell r="T2734">
            <v>0.53</v>
          </cell>
          <cell r="U2734">
            <v>0.42</v>
          </cell>
          <cell r="V2734">
            <v>0.42</v>
          </cell>
          <cell r="W2734">
            <v>0</v>
          </cell>
          <cell r="X2734" t="str">
            <v>EST GAVETEIRO GB UL24 (1 GAV) (METAL) (INTEIRO IMBUIA) - 0,53x0,42x0,42H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2</v>
          </cell>
          <cell r="O2735">
            <v>265560</v>
          </cell>
          <cell r="P2735"/>
          <cell r="Q2735" t="str">
            <v>EST GAVETEIRO GB UL25 (2 GAV) (METAL) (INTEIRO IMBUIA)</v>
          </cell>
          <cell r="R2735"/>
          <cell r="S2735"/>
          <cell r="T2735">
            <v>0.53</v>
          </cell>
          <cell r="U2735">
            <v>0.42</v>
          </cell>
          <cell r="V2735">
            <v>0.6</v>
          </cell>
          <cell r="W2735">
            <v>0</v>
          </cell>
          <cell r="X2735" t="str">
            <v>EST GAVETEIRO GB UL25 (2 GAV) (METAL) (INTEIRO IMBUIA) - 0,53x0,42x0,6H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0</v>
          </cell>
          <cell r="O2736">
            <v>265562</v>
          </cell>
          <cell r="P2736"/>
          <cell r="Q2736" t="str">
            <v>EST GAVETEIRO GB UL33 (6 GAV) (METAL) (IMBUIA/GAV BRANCAS)</v>
          </cell>
          <cell r="R2736"/>
          <cell r="S2736"/>
          <cell r="T2736">
            <v>1.04</v>
          </cell>
          <cell r="U2736">
            <v>0.42</v>
          </cell>
          <cell r="V2736">
            <v>0.77</v>
          </cell>
          <cell r="W2736">
            <v>0</v>
          </cell>
          <cell r="X2736" t="str">
            <v>EST GAVETEIRO GB UL33 (6 GAV) (METAL) (IMBUIA/GAV BRANCAS) - 1,04x0,42x0,77H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265795</v>
          </cell>
          <cell r="P2737"/>
          <cell r="Q2737" t="str">
            <v>EST BANCO MUCKI (4 PES) (MAD B COR 3) VRNZ 20 BRILHO</v>
          </cell>
          <cell r="R2737"/>
          <cell r="S2737"/>
          <cell r="T2737">
            <v>2</v>
          </cell>
          <cell r="U2737">
            <v>0.62</v>
          </cell>
          <cell r="V2737">
            <v>0.4</v>
          </cell>
          <cell r="W2737">
            <v>0</v>
          </cell>
          <cell r="X2737" t="str">
            <v>EST BANCO MUCKI (4 PES) (MAD B COR 3) VRNZ 20 BRILHO - 2x0,62x0,4H</v>
          </cell>
          <cell r="Y2737">
            <v>0</v>
          </cell>
          <cell r="Z2737">
            <v>0</v>
          </cell>
          <cell r="AA2737">
            <v>0</v>
          </cell>
          <cell r="AB2737"/>
        </row>
        <row r="2738">
          <cell r="C2738" t="e">
            <v>#N/A</v>
          </cell>
          <cell r="D2738" t="e">
            <v>#N/A</v>
          </cell>
          <cell r="E2738" t="e">
            <v>#N/A</v>
          </cell>
          <cell r="F2738" t="e">
            <v>#N/A</v>
          </cell>
          <cell r="H2738" t="e">
            <v>#N/A</v>
          </cell>
          <cell r="O2738">
            <v>265997</v>
          </cell>
          <cell r="P2738"/>
          <cell r="Q2738" t="e">
            <v>#N/A</v>
          </cell>
          <cell r="R2738"/>
          <cell r="S2738"/>
          <cell r="T2738" t="e">
            <v>#N/A</v>
          </cell>
          <cell r="U2738" t="e">
            <v>#N/A</v>
          </cell>
          <cell r="V2738" t="e">
            <v>#N/A</v>
          </cell>
          <cell r="W2738" t="e">
            <v>#N/A</v>
          </cell>
          <cell r="X2738" t="e">
            <v>#N/A</v>
          </cell>
          <cell r="Y2738">
            <v>0</v>
          </cell>
          <cell r="Z2738">
            <v>0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0</v>
          </cell>
          <cell r="O2739">
            <v>265998</v>
          </cell>
          <cell r="P2739"/>
          <cell r="Q2739" t="str">
            <v>EST POLTRONA BETO PU PRETO (MAD A COR 01) TC VILLA OLMO OCRE</v>
          </cell>
          <cell r="R2739"/>
          <cell r="S2739"/>
          <cell r="T2739">
            <v>0.84</v>
          </cell>
          <cell r="U2739">
            <v>0.75</v>
          </cell>
          <cell r="V2739">
            <v>0.71</v>
          </cell>
          <cell r="W2739">
            <v>0</v>
          </cell>
          <cell r="X2739" t="str">
            <v>EST POLTRONA BETO PU PRETO (MAD A COR 01) TC VILLA OLMO OCRE - 0,84x0,75x0,71H</v>
          </cell>
          <cell r="Y2739">
            <v>0</v>
          </cell>
          <cell r="Z2739">
            <v>0.5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0</v>
          </cell>
          <cell r="O2740">
            <v>266050</v>
          </cell>
          <cell r="P2740"/>
          <cell r="Q2740" t="str">
            <v>EST BUFFET GAFANHOTO (SUPERIOR) (MADEIRA CABREUVA NATURAL)</v>
          </cell>
          <cell r="R2740"/>
          <cell r="S2740"/>
          <cell r="T2740">
            <v>2.88</v>
          </cell>
          <cell r="U2740">
            <v>0.5</v>
          </cell>
          <cell r="V2740">
            <v>0.89</v>
          </cell>
          <cell r="W2740">
            <v>0</v>
          </cell>
          <cell r="X2740" t="str">
            <v>EST BUFFET GAFANHOTO (SUPERIOR) (MADEIRA CABREUVA NATURAL) - 2,88x0,5x0,89H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0</v>
          </cell>
          <cell r="O2741">
            <v>266051</v>
          </cell>
          <cell r="P2741"/>
          <cell r="Q2741" t="str">
            <v>EST BUFFET GAFANHOTO (INFERIOR) (MADEIRA CABREUVA NATURAL)</v>
          </cell>
          <cell r="R2741"/>
          <cell r="S2741"/>
          <cell r="T2741">
            <v>2.7</v>
          </cell>
          <cell r="U2741">
            <v>0.5</v>
          </cell>
          <cell r="V2741">
            <v>0.67</v>
          </cell>
          <cell r="W2741">
            <v>0</v>
          </cell>
          <cell r="X2741" t="str">
            <v>EST BUFFET GAFANHOTO (INFERIOR) (MADEIRA CABREUVA NATURAL) - 2,7x0,5x0,67H</v>
          </cell>
          <cell r="Y2741">
            <v>0</v>
          </cell>
          <cell r="Z2741">
            <v>0.5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</v>
          </cell>
          <cell r="O2742">
            <v>266156</v>
          </cell>
          <cell r="P2742"/>
          <cell r="Q2742" t="str">
            <v>EST SOFA DELEITE C/BRACO SUCUPIRA TC VILLA OLMO OCRE</v>
          </cell>
          <cell r="R2742"/>
          <cell r="S2742"/>
          <cell r="T2742">
            <v>2.0699999999999998</v>
          </cell>
          <cell r="U2742">
            <v>0.8</v>
          </cell>
          <cell r="V2742">
            <v>0.85</v>
          </cell>
          <cell r="W2742">
            <v>0</v>
          </cell>
          <cell r="X2742" t="str">
            <v>EST SOFA DELEITE C/BRACO SUCUPIRA TC VILLA OLMO OCRE - 2,07x0,8x0,85H</v>
          </cell>
          <cell r="Y2742">
            <v>0</v>
          </cell>
          <cell r="Z2742">
            <v>0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</v>
          </cell>
          <cell r="O2743">
            <v>266494</v>
          </cell>
          <cell r="P2743"/>
          <cell r="Q2743" t="str">
            <v>EST POLTRONA BEG (S/ROD) (MAD B COR 03) TC VILLA OLMO OCRE</v>
          </cell>
          <cell r="R2743"/>
          <cell r="S2743"/>
          <cell r="T2743">
            <v>0.65</v>
          </cell>
          <cell r="U2743">
            <v>0.63</v>
          </cell>
          <cell r="V2743">
            <v>0.77</v>
          </cell>
          <cell r="W2743">
            <v>0</v>
          </cell>
          <cell r="X2743" t="str">
            <v>EST POLTRONA BEG (S/ROD) (MAD B COR 03) TC VILLA OLMO OCRE - 0,65x0,63x0,77H</v>
          </cell>
          <cell r="Y2743">
            <v>0</v>
          </cell>
          <cell r="Z2743">
            <v>0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</v>
          </cell>
          <cell r="O2744">
            <v>266852</v>
          </cell>
          <cell r="P2744"/>
          <cell r="Q2744" t="str">
            <v>EST SOFA COZY (C/CP) (IMB) (BIP) TC LINEN NT/LINHO BLUE/LIST</v>
          </cell>
          <cell r="R2744"/>
          <cell r="S2744"/>
          <cell r="T2744">
            <v>3</v>
          </cell>
          <cell r="U2744">
            <v>1.03</v>
          </cell>
          <cell r="V2744">
            <v>0.89</v>
          </cell>
          <cell r="W2744">
            <v>0</v>
          </cell>
          <cell r="X2744" t="str">
            <v>EST SOFA COZY (C/CP) (IMB) (BIP) TC LINEN NT/LINHO BLUE/LIST - 3x1,03x0,89H</v>
          </cell>
          <cell r="Y2744">
            <v>0</v>
          </cell>
          <cell r="Z2744">
            <v>0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6</v>
          </cell>
          <cell r="O2745">
            <v>267985</v>
          </cell>
          <cell r="P2745"/>
          <cell r="Q2745" t="str">
            <v>EST MANCEBO STAND BY (BASE CONCRETO GRAFITE) (IMBUIA)</v>
          </cell>
          <cell r="R2745"/>
          <cell r="S2745"/>
          <cell r="T2745">
            <v>0.2</v>
          </cell>
          <cell r="U2745">
            <v>0.33</v>
          </cell>
          <cell r="V2745">
            <v>1.75</v>
          </cell>
          <cell r="W2745">
            <v>0</v>
          </cell>
          <cell r="X2745" t="str">
            <v>EST MANCEBO STAND BY (BASE CONCRETO GRAFITE) (IMBUIA) - 0,2x0,33x1,75H</v>
          </cell>
          <cell r="Y2745">
            <v>0</v>
          </cell>
          <cell r="Z2745">
            <v>0.35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2</v>
          </cell>
          <cell r="O2746">
            <v>268241</v>
          </cell>
          <cell r="P2746"/>
          <cell r="Q2746" t="str">
            <v>EST POLTRONA PORTUGUESA S/B (FIXO) (FREIJO) TC VILLA UMBER</v>
          </cell>
          <cell r="R2746"/>
          <cell r="S2746"/>
          <cell r="T2746">
            <v>0.65</v>
          </cell>
          <cell r="U2746">
            <v>0.67</v>
          </cell>
          <cell r="V2746">
            <v>0.75</v>
          </cell>
          <cell r="W2746">
            <v>0</v>
          </cell>
          <cell r="X2746" t="str">
            <v>EST POLTRONA PORTUGUESA S/B (FIXO) (FREIJO) TC VILLA UMBER - 0,65x0,67x0,75H</v>
          </cell>
          <cell r="Y2746">
            <v>0</v>
          </cell>
          <cell r="Z2746">
            <v>0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268242</v>
          </cell>
          <cell r="P2747"/>
          <cell r="Q2747" t="str">
            <v>EST POLTRONA PORTUGUESA S/B (SOLTO) (IPE) CAMURCA TABACO</v>
          </cell>
          <cell r="R2747"/>
          <cell r="S2747"/>
          <cell r="T2747">
            <v>0.65</v>
          </cell>
          <cell r="U2747">
            <v>0.67</v>
          </cell>
          <cell r="V2747">
            <v>0.75</v>
          </cell>
          <cell r="W2747">
            <v>0</v>
          </cell>
          <cell r="X2747" t="str">
            <v>EST POLTRONA PORTUGUESA S/B (SOLTO) (IPE) CAMURCA TABACO - 0,65x0,67x0,75H</v>
          </cell>
          <cell r="Y2747" t="e">
            <v>#VALUE!</v>
          </cell>
          <cell r="Z2747">
            <v>0.35</v>
          </cell>
          <cell r="AA2747" t="e">
            <v>#VALUE!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2</v>
          </cell>
          <cell r="O2748">
            <v>268289</v>
          </cell>
          <cell r="P2748"/>
          <cell r="Q2748" t="str">
            <v>EST BANQUETA JOHN GRAZ (IMBUIA) TC INTRICATE- WHITELINEN</v>
          </cell>
          <cell r="R2748"/>
          <cell r="S2748"/>
          <cell r="T2748">
            <v>0.8</v>
          </cell>
          <cell r="U2748">
            <v>0.6</v>
          </cell>
          <cell r="V2748">
            <v>0.35</v>
          </cell>
          <cell r="W2748">
            <v>0</v>
          </cell>
          <cell r="X2748" t="str">
            <v>EST BANQUETA JOHN GRAZ (IMBUIA) TC INTRICATE- WHITELINEN - 0,8x0,6x0,35H</v>
          </cell>
          <cell r="Y2748">
            <v>0</v>
          </cell>
          <cell r="Z2748">
            <v>0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1</v>
          </cell>
          <cell r="O2749">
            <v>268358</v>
          </cell>
          <cell r="P2749"/>
          <cell r="Q2749" t="str">
            <v>EST MESA CENTRO AZULEJO (DESENHO JOHN GRAZ) (B&amp;P)</v>
          </cell>
          <cell r="R2749"/>
          <cell r="S2749"/>
          <cell r="T2749">
            <v>1.57</v>
          </cell>
          <cell r="U2749">
            <v>0.63</v>
          </cell>
          <cell r="V2749">
            <v>0.2</v>
          </cell>
          <cell r="W2749">
            <v>0</v>
          </cell>
          <cell r="X2749" t="str">
            <v>EST MESA CENTRO AZULEJO (DESENHO JOHN GRAZ) (B&amp;P) - 1,57x0,63x0,2H</v>
          </cell>
          <cell r="Y2749">
            <v>0</v>
          </cell>
          <cell r="Z2749">
            <v>0.5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3</v>
          </cell>
          <cell r="O2750">
            <v>268372</v>
          </cell>
          <cell r="P2750"/>
          <cell r="Q2750" t="str">
            <v>EST BANQUETA PORTUGUESA (SOLTO) (IPE) CAMURCA TABACO</v>
          </cell>
          <cell r="R2750"/>
          <cell r="S2750"/>
          <cell r="T2750">
            <v>0.65</v>
          </cell>
          <cell r="U2750">
            <v>0.45</v>
          </cell>
          <cell r="V2750">
            <v>0.39</v>
          </cell>
          <cell r="W2750">
            <v>0</v>
          </cell>
          <cell r="X2750" t="str">
            <v>EST BANQUETA PORTUGUESA (SOLTO) (IPE) CAMURCA TABACO - 0,65x0,45x0,39H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268779</v>
          </cell>
          <cell r="P2751"/>
          <cell r="Q2751" t="str">
            <v>EST BASE CAVALETE MARISA (MAD IMBUIA STAIN) P/TPO 2,00X0,90</v>
          </cell>
          <cell r="R2751"/>
          <cell r="S2751"/>
          <cell r="T2751">
            <v>1.4</v>
          </cell>
          <cell r="U2751">
            <v>0.65</v>
          </cell>
          <cell r="V2751">
            <v>0.72</v>
          </cell>
          <cell r="W2751">
            <v>0</v>
          </cell>
          <cell r="X2751" t="str">
            <v>EST BASE CAVALETE MARISA (MAD IMBUIA STAIN) P/TPO 2,00X0,90 - 1,4x0,65x0,72H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2</v>
          </cell>
          <cell r="O2752">
            <v>268886</v>
          </cell>
          <cell r="P2752"/>
          <cell r="Q2752" t="str">
            <v>EST POLTRONA PORTUGUESA S/B (CORDA KRAFT) (FREIJO)</v>
          </cell>
          <cell r="R2752"/>
          <cell r="S2752"/>
          <cell r="T2752">
            <v>0.65</v>
          </cell>
          <cell r="U2752">
            <v>0.67</v>
          </cell>
          <cell r="V2752">
            <v>0.75</v>
          </cell>
          <cell r="W2752">
            <v>0</v>
          </cell>
          <cell r="X2752" t="str">
            <v>EST POLTRONA PORTUGUESA S/B (CORDA KRAFT) (FREIJO) - 0,65x0,67x0,75H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1</v>
          </cell>
          <cell r="O2753">
            <v>269165</v>
          </cell>
          <cell r="P2753"/>
          <cell r="Q2753" t="str">
            <v>EST CADEIRA ZANINE I (FREIJO NAT) TC JAVA FENNEL</v>
          </cell>
          <cell r="R2753"/>
          <cell r="S2753"/>
          <cell r="T2753">
            <v>0.46</v>
          </cell>
          <cell r="U2753">
            <v>0.56999999999999995</v>
          </cell>
          <cell r="V2753">
            <v>0.81</v>
          </cell>
          <cell r="W2753">
            <v>0</v>
          </cell>
          <cell r="X2753" t="str">
            <v>EST CADEIRA ZANINE I (FREIJO NAT) TC JAVA FENNEL - 0,46x0,57x0,81H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0</v>
          </cell>
          <cell r="O2754">
            <v>269216</v>
          </cell>
          <cell r="P2754"/>
          <cell r="Q2754" t="str">
            <v>EST COMPONENTE ALMOFADA BANCO MOCHO COURO CAMURCA CASTANHO</v>
          </cell>
          <cell r="R2754"/>
          <cell r="S2754"/>
          <cell r="T2754">
            <v>0.4</v>
          </cell>
          <cell r="U2754">
            <v>0.4</v>
          </cell>
          <cell r="V2754">
            <v>0</v>
          </cell>
          <cell r="W2754">
            <v>0</v>
          </cell>
          <cell r="X2754" t="str">
            <v>EST COMPONENTE ALMOFADA BANCO MOCHO COURO CAMURCA CASTANHO - 0,4x0,4x0H</v>
          </cell>
          <cell r="Y2754">
            <v>0</v>
          </cell>
          <cell r="Z2754">
            <v>0.5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0</v>
          </cell>
          <cell r="O2755">
            <v>269289</v>
          </cell>
          <cell r="P2755"/>
          <cell r="Q2755" t="str">
            <v>EST COMPONENTE ALMOFADA BANCO MOCHO TC EL MEDA AQUA</v>
          </cell>
          <cell r="R2755"/>
          <cell r="S2755"/>
          <cell r="T2755">
            <v>0.4</v>
          </cell>
          <cell r="U2755">
            <v>0.4</v>
          </cell>
          <cell r="V2755">
            <v>0</v>
          </cell>
          <cell r="W2755">
            <v>0</v>
          </cell>
          <cell r="X2755" t="str">
            <v>EST COMPONENTE ALMOFADA BANCO MOCHO TC EL MEDA AQUA - 0,4x0,4x0H</v>
          </cell>
          <cell r="Y2755">
            <v>0</v>
          </cell>
          <cell r="Z2755">
            <v>0.5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269318</v>
          </cell>
          <cell r="P2756"/>
          <cell r="Q2756" t="str">
            <v>EST POLTRONA ZANINE N (FREIJO EBANIZADO) TC LINHO CINZA</v>
          </cell>
          <cell r="R2756"/>
          <cell r="S2756"/>
          <cell r="T2756">
            <v>0.71</v>
          </cell>
          <cell r="U2756">
            <v>0.67</v>
          </cell>
          <cell r="V2756">
            <v>0.7</v>
          </cell>
          <cell r="W2756">
            <v>0</v>
          </cell>
          <cell r="X2756" t="str">
            <v>EST POLTRONA ZANINE N (FREIJO EBANIZADO) TC LINHO CINZA - 0,71x0,67x0,7H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270122</v>
          </cell>
          <cell r="P2757"/>
          <cell r="Q2757" t="str">
            <v>EST SOFA JOHN GRAZ (IMBUIA) TC ZEFIRO 158 VERDE</v>
          </cell>
          <cell r="R2757"/>
          <cell r="S2757"/>
          <cell r="T2757">
            <v>1.6</v>
          </cell>
          <cell r="U2757">
            <v>0.83</v>
          </cell>
          <cell r="V2757">
            <v>0.74</v>
          </cell>
          <cell r="W2757">
            <v>0</v>
          </cell>
          <cell r="X2757" t="str">
            <v>EST SOFA JOHN GRAZ (IMBUIA) TC ZEFIRO 158 VERDE - 1,6x0,83x0,74H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>
            <v>0</v>
          </cell>
          <cell r="D2758">
            <v>0</v>
          </cell>
          <cell r="E2758">
            <v>0</v>
          </cell>
          <cell r="F2758">
            <v>0</v>
          </cell>
          <cell r="H2758">
            <v>0</v>
          </cell>
          <cell r="O2758">
            <v>270289</v>
          </cell>
          <cell r="P2758"/>
          <cell r="Q2758" t="str">
            <v>EST CADEIRA OMAR OFFICE C/R (MAD B FREIJO NT) COURO PIG 200</v>
          </cell>
          <cell r="R2758"/>
          <cell r="S2758"/>
          <cell r="T2758">
            <v>0.54</v>
          </cell>
          <cell r="U2758">
            <v>0.56999999999999995</v>
          </cell>
          <cell r="V2758">
            <v>0.83</v>
          </cell>
          <cell r="W2758">
            <v>0</v>
          </cell>
          <cell r="X2758" t="str">
            <v>EST CADEIRA OMAR OFFICE C/R (MAD B FREIJO NT) COURO PIG 200 - 0,54x0,57x0,83H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H2759">
            <v>3</v>
          </cell>
          <cell r="O2759">
            <v>270290</v>
          </cell>
          <cell r="P2759"/>
          <cell r="Q2759" t="str">
            <v>EST BANQUETA BAR GB H62 (KRAFT)</v>
          </cell>
          <cell r="R2759"/>
          <cell r="S2759"/>
          <cell r="T2759">
            <v>0.42</v>
          </cell>
          <cell r="U2759">
            <v>0.42</v>
          </cell>
          <cell r="V2759">
            <v>0.62</v>
          </cell>
          <cell r="W2759">
            <v>0</v>
          </cell>
          <cell r="X2759" t="str">
            <v>EST BANQUETA BAR GB H62 (KRAFT) - 0,42x0,42x0,62H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270386</v>
          </cell>
          <cell r="P2760"/>
          <cell r="Q2760" t="str">
            <v>EST POLTRONA SENHOR (PINHAO) (MAD B LOURO ESP) CAMURCA TABAC</v>
          </cell>
          <cell r="R2760"/>
          <cell r="S2760"/>
          <cell r="T2760">
            <v>0.84</v>
          </cell>
          <cell r="U2760">
            <v>0.9</v>
          </cell>
          <cell r="V2760">
            <v>0.82</v>
          </cell>
          <cell r="W2760">
            <v>0</v>
          </cell>
          <cell r="X2760" t="str">
            <v>EST POLTRONA SENHOR (PINHAO) (MAD B LOURO ESP) CAMURCA TABAC - 0,84x0,9x0,82H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1</v>
          </cell>
          <cell r="O2761">
            <v>270405</v>
          </cell>
          <cell r="P2761"/>
          <cell r="Q2761" t="str">
            <v>EST MESA JANTAR FREVO (PINHO DE RIGA)</v>
          </cell>
          <cell r="R2761"/>
          <cell r="S2761"/>
          <cell r="T2761">
            <v>3.2</v>
          </cell>
          <cell r="U2761">
            <v>1</v>
          </cell>
          <cell r="V2761">
            <v>0.75</v>
          </cell>
          <cell r="W2761">
            <v>0</v>
          </cell>
          <cell r="X2761" t="str">
            <v>EST MESA JANTAR FREVO (PINHO DE RIGA) - 3,2x1x0,75H</v>
          </cell>
          <cell r="Y2761">
            <v>0</v>
          </cell>
          <cell r="Z2761">
            <v>0.5</v>
          </cell>
          <cell r="AA2761">
            <v>0</v>
          </cell>
          <cell r="AB2761"/>
        </row>
        <row r="2762">
          <cell r="C2762" t="e">
            <v>#N/A</v>
          </cell>
          <cell r="D2762" t="e">
            <v>#N/A</v>
          </cell>
          <cell r="E2762" t="e">
            <v>#N/A</v>
          </cell>
          <cell r="F2762" t="e">
            <v>#N/A</v>
          </cell>
          <cell r="H2762" t="e">
            <v>#N/A</v>
          </cell>
          <cell r="O2762">
            <v>270406</v>
          </cell>
          <cell r="P2762"/>
          <cell r="Q2762" t="e">
            <v>#N/A</v>
          </cell>
          <cell r="R2762"/>
          <cell r="S2762"/>
          <cell r="T2762" t="e">
            <v>#N/A</v>
          </cell>
          <cell r="U2762" t="e">
            <v>#N/A</v>
          </cell>
          <cell r="V2762" t="e">
            <v>#N/A</v>
          </cell>
          <cell r="W2762" t="e">
            <v>#N/A</v>
          </cell>
          <cell r="X2762" t="e">
            <v>#N/A</v>
          </cell>
          <cell r="Y2762">
            <v>0</v>
          </cell>
          <cell r="Z2762">
            <v>0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1</v>
          </cell>
          <cell r="O2763">
            <v>270745</v>
          </cell>
          <cell r="P2763"/>
          <cell r="Q2763" t="str">
            <v>EST BUFFET BENJAMIN (FREIJO LAVADO)</v>
          </cell>
          <cell r="R2763"/>
          <cell r="S2763"/>
          <cell r="T2763">
            <v>2.4</v>
          </cell>
          <cell r="U2763">
            <v>0.5</v>
          </cell>
          <cell r="V2763">
            <v>0.75</v>
          </cell>
          <cell r="W2763">
            <v>0</v>
          </cell>
          <cell r="X2763" t="str">
            <v>EST BUFFET BENJAMIN (FREIJO LAVADO) - 2,4x0,5x0,75H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271167</v>
          </cell>
          <cell r="P2764"/>
          <cell r="Q2764" t="str">
            <v>EST SOFA AIR II (BASE PRETA) COURO NOBUCK 70 MARROM</v>
          </cell>
          <cell r="R2764"/>
          <cell r="S2764"/>
          <cell r="T2764">
            <v>3.27</v>
          </cell>
          <cell r="U2764">
            <v>0.97</v>
          </cell>
          <cell r="V2764">
            <v>0.7</v>
          </cell>
          <cell r="W2764">
            <v>0</v>
          </cell>
          <cell r="X2764" t="str">
            <v>EST SOFA AIR II (BASE PRETA) COURO NOBUCK 70 MARROM - 3,27x0,97x0,7H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1</v>
          </cell>
          <cell r="O2765">
            <v>271168</v>
          </cell>
          <cell r="P2765"/>
          <cell r="Q2765" t="str">
            <v>EST MODULO BRACO ESQ C/PUFF AIR II (BS PTA) COURO NOBUCK 10</v>
          </cell>
          <cell r="R2765"/>
          <cell r="S2765"/>
          <cell r="T2765">
            <v>3.3</v>
          </cell>
          <cell r="U2765">
            <v>0.97</v>
          </cell>
          <cell r="V2765">
            <v>0.7</v>
          </cell>
          <cell r="W2765">
            <v>0</v>
          </cell>
          <cell r="X2765" t="str">
            <v>EST MODULO BRACO ESQ C/PUFF AIR II (BS PTA) COURO NOBUCK 10 - 3,3x0,97x0,7H</v>
          </cell>
          <cell r="Y2765">
            <v>0</v>
          </cell>
          <cell r="Z2765">
            <v>0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1</v>
          </cell>
          <cell r="O2766">
            <v>271175</v>
          </cell>
          <cell r="P2766"/>
          <cell r="Q2766" t="str">
            <v>EST BUFFET BENJAMIN (FREIJO NATURAL)</v>
          </cell>
          <cell r="R2766"/>
          <cell r="S2766"/>
          <cell r="T2766">
            <v>2.4</v>
          </cell>
          <cell r="U2766">
            <v>0.5</v>
          </cell>
          <cell r="V2766">
            <v>0.75</v>
          </cell>
          <cell r="W2766">
            <v>0</v>
          </cell>
          <cell r="X2766" t="str">
            <v>EST BUFFET BENJAMIN (FREIJO NATURAL) - 2,4x0,5x0,75H</v>
          </cell>
          <cell r="Y2766">
            <v>0</v>
          </cell>
          <cell r="Z2766">
            <v>0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0</v>
          </cell>
          <cell r="O2767">
            <v>271200</v>
          </cell>
          <cell r="P2767"/>
          <cell r="Q2767" t="str">
            <v>EST ALMOFADA DECORATIVA AIR II COURO NOBUCK 10</v>
          </cell>
          <cell r="R2767"/>
          <cell r="S2767"/>
          <cell r="T2767">
            <v>0.62</v>
          </cell>
          <cell r="U2767">
            <v>0.62</v>
          </cell>
          <cell r="V2767">
            <v>0</v>
          </cell>
          <cell r="W2767">
            <v>0</v>
          </cell>
          <cell r="X2767" t="str">
            <v>EST ALMOFADA DECORATIVA AIR II COURO NOBUCK 10 - 0,62x0,62x0H</v>
          </cell>
          <cell r="Y2767">
            <v>0</v>
          </cell>
          <cell r="Z2767">
            <v>0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6</v>
          </cell>
          <cell r="O2768">
            <v>271201</v>
          </cell>
          <cell r="P2768"/>
          <cell r="Q2768" t="str">
            <v>EST ALMOFADA DECORATIVA AIR II (M) COURO NOBUCK 70 MARROM</v>
          </cell>
          <cell r="R2768"/>
          <cell r="S2768"/>
          <cell r="T2768">
            <v>0.62</v>
          </cell>
          <cell r="U2768">
            <v>0.62</v>
          </cell>
          <cell r="V2768">
            <v>0</v>
          </cell>
          <cell r="W2768">
            <v>0</v>
          </cell>
          <cell r="X2768" t="str">
            <v>EST ALMOFADA DECORATIVA AIR II (M) COURO NOBUCK 70 MARROM - 0,62x0,62x0H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1</v>
          </cell>
          <cell r="O2769">
            <v>271338</v>
          </cell>
          <cell r="P2769"/>
          <cell r="Q2769" t="str">
            <v>EST TAMPO MESA JANTAR AERO (PAU FERRO CLARO)</v>
          </cell>
          <cell r="R2769"/>
          <cell r="S2769"/>
          <cell r="T2769">
            <v>1.8</v>
          </cell>
          <cell r="U2769">
            <v>0</v>
          </cell>
          <cell r="V2769">
            <v>0.03</v>
          </cell>
          <cell r="W2769">
            <v>0</v>
          </cell>
          <cell r="X2769" t="str">
            <v>EST TAMPO MESA JANTAR AERO (PAU FERRO CLARO) - Ø0x0,03H</v>
          </cell>
          <cell r="Y2769">
            <v>0</v>
          </cell>
          <cell r="Z2769">
            <v>0.5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1</v>
          </cell>
          <cell r="O2770">
            <v>271524</v>
          </cell>
          <cell r="P2770"/>
          <cell r="Q2770" t="str">
            <v>EST BANQUETA BAR ABAPORU H73 (DET METAL PTO) (S/AZ) FREIJO</v>
          </cell>
          <cell r="R2770"/>
          <cell r="S2770"/>
          <cell r="T2770">
            <v>0.37</v>
          </cell>
          <cell r="U2770">
            <v>0</v>
          </cell>
          <cell r="V2770">
            <v>0.73</v>
          </cell>
          <cell r="W2770">
            <v>0</v>
          </cell>
          <cell r="X2770" t="str">
            <v>EST BANQUETA BAR ABAPORU H73 (DET METAL PTO) (S/AZ) FREIJO - Ø0x0,73H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1</v>
          </cell>
          <cell r="O2771">
            <v>271776</v>
          </cell>
          <cell r="P2771"/>
          <cell r="Q2771" t="str">
            <v>EST TAMPO GELSOMINA (CIRCULAR) (G3-GREEN P LEVIG BORDA DUP)</v>
          </cell>
          <cell r="R2771"/>
          <cell r="S2771"/>
          <cell r="T2771">
            <v>1.2</v>
          </cell>
          <cell r="U2771">
            <v>0</v>
          </cell>
          <cell r="V2771">
            <v>0.02</v>
          </cell>
          <cell r="W2771">
            <v>1.2</v>
          </cell>
          <cell r="X2771" t="str">
            <v>EST TAMPO GELSOMINA (CIRCULAR) (G3-GREEN P LEVIG BORDA DUP) - Ø1,2x0,02H</v>
          </cell>
          <cell r="Y2771">
            <v>0</v>
          </cell>
          <cell r="Z2771">
            <v>0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0</v>
          </cell>
          <cell r="O2772">
            <v>271829</v>
          </cell>
          <cell r="P2772"/>
          <cell r="Q2772" t="str">
            <v>EST CARRINHO BAR ANTONIO (CARRARA) (FREIJO NATURAL)</v>
          </cell>
          <cell r="R2772"/>
          <cell r="S2772"/>
          <cell r="T2772">
            <v>0.74</v>
          </cell>
          <cell r="U2772">
            <v>0.45</v>
          </cell>
          <cell r="V2772">
            <v>0.75</v>
          </cell>
          <cell r="W2772">
            <v>0</v>
          </cell>
          <cell r="X2772" t="str">
            <v>EST CARRINHO BAR ANTONIO (CARRARA) (FREIJO NATURAL) - 0,74x0,45x0,75H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1</v>
          </cell>
          <cell r="O2773">
            <v>271830</v>
          </cell>
          <cell r="P2773"/>
          <cell r="Q2773" t="str">
            <v>EST CARRINHO BAR SOFIA (PRETO ABSOLUTO) FREIJO NATURAL</v>
          </cell>
          <cell r="R2773"/>
          <cell r="S2773"/>
          <cell r="T2773">
            <v>0.45</v>
          </cell>
          <cell r="U2773">
            <v>0</v>
          </cell>
          <cell r="V2773">
            <v>0.67</v>
          </cell>
          <cell r="W2773">
            <v>0.45</v>
          </cell>
          <cell r="X2773" t="str">
            <v>EST CARRINHO BAR SOFIA (PRETO ABSOLUTO) FREIJO NATURAL - Ø0,45x0,67H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1</v>
          </cell>
          <cell r="O2774">
            <v>271931</v>
          </cell>
          <cell r="P2774"/>
          <cell r="Q2774" t="str">
            <v>EST SOFA HAUNER (MAD A COR 02) TC ZEFIRO 158 VERDE</v>
          </cell>
          <cell r="R2774"/>
          <cell r="S2774"/>
          <cell r="T2774">
            <v>1.8</v>
          </cell>
          <cell r="U2774">
            <v>1.02</v>
          </cell>
          <cell r="V2774">
            <v>0.72</v>
          </cell>
          <cell r="W2774">
            <v>0</v>
          </cell>
          <cell r="X2774" t="str">
            <v>EST SOFA HAUNER (MAD A COR 02) TC ZEFIRO 158 VERDE - 1,8x1,02x0,72H</v>
          </cell>
          <cell r="Y2774">
            <v>0</v>
          </cell>
          <cell r="Z2774">
            <v>0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272033</v>
          </cell>
          <cell r="P2775"/>
          <cell r="Q2775" t="str">
            <v>EST CADEIRA ZANINE I (FREIJO NT) TC FLORENTINE CYPRESS</v>
          </cell>
          <cell r="R2775"/>
          <cell r="S2775"/>
          <cell r="T2775">
            <v>0.46</v>
          </cell>
          <cell r="U2775">
            <v>0.56999999999999995</v>
          </cell>
          <cell r="V2775">
            <v>0.81</v>
          </cell>
          <cell r="W2775">
            <v>0</v>
          </cell>
          <cell r="X2775" t="str">
            <v>EST CADEIRA ZANINE I (FREIJO NT) TC FLORENTINE CYPRESS - 0,46x0,57x0,81H</v>
          </cell>
          <cell r="Y2775">
            <v>0</v>
          </cell>
          <cell r="Z2775">
            <v>0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0</v>
          </cell>
          <cell r="O2776">
            <v>273523</v>
          </cell>
          <cell r="P2776"/>
          <cell r="Q2776" t="str">
            <v>EST CAIXA C/ PUXADOR (CIRCULAR) FRONTAL (ROXINHO)</v>
          </cell>
          <cell r="R2776"/>
          <cell r="S2776"/>
          <cell r="T2776">
            <v>0.4</v>
          </cell>
          <cell r="U2776">
            <v>0.3</v>
          </cell>
          <cell r="V2776">
            <v>0.15</v>
          </cell>
          <cell r="W2776">
            <v>0</v>
          </cell>
          <cell r="X2776" t="str">
            <v>EST CAIXA C/ PUXADOR (CIRCULAR) FRONTAL (ROXINHO) - 0,4x0,3x0,15H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1</v>
          </cell>
          <cell r="O2777">
            <v>273524</v>
          </cell>
          <cell r="P2777"/>
          <cell r="Q2777" t="str">
            <v>EST CAIXA C/ALCA SUPERIOR (ROXINHO/PEROBA)</v>
          </cell>
          <cell r="R2777"/>
          <cell r="S2777"/>
          <cell r="T2777">
            <v>0.4</v>
          </cell>
          <cell r="U2777">
            <v>0.3</v>
          </cell>
          <cell r="V2777">
            <v>0.15</v>
          </cell>
          <cell r="W2777">
            <v>0</v>
          </cell>
          <cell r="X2777" t="str">
            <v>EST CAIXA C/ALCA SUPERIOR (ROXINHO/PEROBA) - 0,4x0,3x0,15H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1</v>
          </cell>
          <cell r="O2778">
            <v>273525</v>
          </cell>
          <cell r="P2778"/>
          <cell r="Q2778" t="str">
            <v>EST CAIXA C/PUXADOR HASTE FRONTAL TORNEADO (ROXINHO)</v>
          </cell>
          <cell r="R2778"/>
          <cell r="S2778"/>
          <cell r="T2778">
            <v>0.4</v>
          </cell>
          <cell r="U2778">
            <v>0.3</v>
          </cell>
          <cell r="V2778">
            <v>0.15</v>
          </cell>
          <cell r="W2778">
            <v>0</v>
          </cell>
          <cell r="X2778" t="str">
            <v>EST CAIXA C/PUXADOR HASTE FRONTAL TORNEADO (ROXINHO) - 0,4x0,3x0,15H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H2779">
            <v>0</v>
          </cell>
          <cell r="O2779">
            <v>273689</v>
          </cell>
          <cell r="P2779"/>
          <cell r="Q2779" t="str">
            <v>EST POLTRONA ZANINE N (FREIJO NATURAL) TC ZEFIRO 158 VERDE</v>
          </cell>
          <cell r="R2779"/>
          <cell r="S2779"/>
          <cell r="T2779">
            <v>0.71</v>
          </cell>
          <cell r="U2779">
            <v>0.67</v>
          </cell>
          <cell r="V2779">
            <v>0.7</v>
          </cell>
          <cell r="W2779">
            <v>0</v>
          </cell>
          <cell r="X2779" t="str">
            <v>EST POLTRONA ZANINE N (FREIJO NATURAL) TC ZEFIRO 158 VERDE - 0,71x0,67x0,7H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0</v>
          </cell>
          <cell r="O2780">
            <v>273690</v>
          </cell>
          <cell r="P2780"/>
          <cell r="Q2780" t="str">
            <v>EST POLTRONA ZANINE N (FREIJO NATURAL) TC GRIGGIO COR 3 CRU</v>
          </cell>
          <cell r="R2780"/>
          <cell r="S2780"/>
          <cell r="T2780">
            <v>0.71</v>
          </cell>
          <cell r="U2780">
            <v>0.67</v>
          </cell>
          <cell r="V2780">
            <v>0.7</v>
          </cell>
          <cell r="W2780">
            <v>0</v>
          </cell>
          <cell r="X2780" t="str">
            <v>EST POLTRONA ZANINE N (FREIJO NATURAL) TC GRIGGIO COR 3 CRU - 0,71x0,67x0,7H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2</v>
          </cell>
          <cell r="O2781">
            <v>273804</v>
          </cell>
          <cell r="P2781"/>
          <cell r="Q2781" t="str">
            <v>EST CARRINHO CHA VERTIS (FREIJO NATURAL)</v>
          </cell>
          <cell r="R2781"/>
          <cell r="S2781"/>
          <cell r="T2781">
            <v>0.7</v>
          </cell>
          <cell r="U2781">
            <v>0.44</v>
          </cell>
          <cell r="V2781">
            <v>0.78</v>
          </cell>
          <cell r="W2781">
            <v>0</v>
          </cell>
          <cell r="X2781" t="str">
            <v>EST CARRINHO CHA VERTIS (FREIJO NATURAL) - 0,7x0,44x0,78H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2</v>
          </cell>
          <cell r="O2782">
            <v>273805</v>
          </cell>
          <cell r="P2782"/>
          <cell r="Q2782" t="str">
            <v>EST MESA JANTAR ROSSI (FREIJO NATURAL)</v>
          </cell>
          <cell r="R2782"/>
          <cell r="S2782"/>
          <cell r="T2782">
            <v>1.8</v>
          </cell>
          <cell r="U2782">
            <v>0.86</v>
          </cell>
          <cell r="V2782">
            <v>0.75</v>
          </cell>
          <cell r="W2782">
            <v>0</v>
          </cell>
          <cell r="X2782" t="str">
            <v>EST MESA JANTAR ROSSI (FREIJO NATURAL) - 1,8x0,86x0,75H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2</v>
          </cell>
          <cell r="O2783">
            <v>273806</v>
          </cell>
          <cell r="P2783"/>
          <cell r="Q2783" t="str">
            <v>EST CADEIRA GAIA (FREIJO NATURAL)</v>
          </cell>
          <cell r="R2783"/>
          <cell r="S2783"/>
          <cell r="T2783">
            <v>0.48</v>
          </cell>
          <cell r="U2783">
            <v>0.54</v>
          </cell>
          <cell r="V2783">
            <v>0.75</v>
          </cell>
          <cell r="W2783">
            <v>0</v>
          </cell>
          <cell r="X2783" t="str">
            <v>EST CADEIRA GAIA (FREIJO NATURAL) - 0,48x0,54x0,75H</v>
          </cell>
          <cell r="Y2783">
            <v>0</v>
          </cell>
          <cell r="Z2783">
            <v>0.5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1</v>
          </cell>
          <cell r="O2784">
            <v>273982</v>
          </cell>
          <cell r="P2784"/>
          <cell r="Q2784" t="str">
            <v>EST POLTRONA MOLECA (MAD A COR 02) COURO CAMURCA TABACO</v>
          </cell>
          <cell r="R2784"/>
          <cell r="S2784"/>
          <cell r="T2784">
            <v>1.06</v>
          </cell>
          <cell r="U2784">
            <v>0.9</v>
          </cell>
          <cell r="V2784">
            <v>0.8</v>
          </cell>
          <cell r="W2784">
            <v>0</v>
          </cell>
          <cell r="X2784" t="str">
            <v>EST POLTRONA MOLECA (MAD A COR 02) COURO CAMURCA TABACO - 1,06x0,9x0,8H</v>
          </cell>
          <cell r="Y2784">
            <v>0</v>
          </cell>
          <cell r="Z2784">
            <v>0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1</v>
          </cell>
          <cell r="O2785">
            <v>273983</v>
          </cell>
          <cell r="P2785"/>
          <cell r="Q2785" t="str">
            <v>EST BANQUETA MOLECA (MAD A COR 02) COURO CAMURCA TABACO</v>
          </cell>
          <cell r="R2785"/>
          <cell r="S2785"/>
          <cell r="T2785">
            <v>0.81</v>
          </cell>
          <cell r="U2785">
            <v>0.52</v>
          </cell>
          <cell r="V2785">
            <v>0.43</v>
          </cell>
          <cell r="W2785">
            <v>0</v>
          </cell>
          <cell r="X2785" t="str">
            <v>EST BANQUETA MOLECA (MAD A COR 02) COURO CAMURCA TABACO - 0,81x0,52x0,43H</v>
          </cell>
          <cell r="Y2785">
            <v>0</v>
          </cell>
          <cell r="Z2785">
            <v>0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1</v>
          </cell>
          <cell r="O2786">
            <v>273997</v>
          </cell>
          <cell r="P2786"/>
          <cell r="Q2786" t="str">
            <v>EST CADEIRA NIKOLAS (FREIJO NATURAL) COURO SOFT CARAMELO</v>
          </cell>
          <cell r="R2786"/>
          <cell r="S2786"/>
          <cell r="T2786">
            <v>0.6</v>
          </cell>
          <cell r="U2786">
            <v>0.52</v>
          </cell>
          <cell r="V2786">
            <v>0.83</v>
          </cell>
          <cell r="W2786">
            <v>0</v>
          </cell>
          <cell r="X2786" t="str">
            <v>EST CADEIRA NIKOLAS (FREIJO NATURAL) COURO SOFT CARAMELO - 0,6x0,52x0,83H</v>
          </cell>
          <cell r="Y2786">
            <v>0</v>
          </cell>
          <cell r="Z2786">
            <v>0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3</v>
          </cell>
          <cell r="O2787">
            <v>274033</v>
          </cell>
          <cell r="P2787"/>
          <cell r="Q2787" t="str">
            <v>EST POLTRONA MOLECA (MAD A COR 02) TC ZEFIRO 158 VERDE</v>
          </cell>
          <cell r="R2787"/>
          <cell r="S2787"/>
          <cell r="T2787">
            <v>1.06</v>
          </cell>
          <cell r="U2787">
            <v>0.9</v>
          </cell>
          <cell r="V2787">
            <v>0.8</v>
          </cell>
          <cell r="W2787">
            <v>0</v>
          </cell>
          <cell r="X2787" t="str">
            <v>EST POLTRONA MOLECA (MAD A COR 02) TC ZEFIRO 158 VERDE - 1,06x0,9x0,8H</v>
          </cell>
          <cell r="Y2787">
            <v>0</v>
          </cell>
          <cell r="Z2787">
            <v>0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3</v>
          </cell>
          <cell r="O2788">
            <v>274034</v>
          </cell>
          <cell r="P2788"/>
          <cell r="Q2788" t="str">
            <v>EST BANQUETA MOLECA (MAD A COR 02) TC ZEFIRO 158 VERDE</v>
          </cell>
          <cell r="R2788"/>
          <cell r="S2788"/>
          <cell r="T2788">
            <v>0.81</v>
          </cell>
          <cell r="U2788">
            <v>0.52</v>
          </cell>
          <cell r="V2788">
            <v>0.43</v>
          </cell>
          <cell r="W2788">
            <v>0</v>
          </cell>
          <cell r="X2788" t="str">
            <v>EST BANQUETA MOLECA (MAD A COR 02) TC ZEFIRO 158 VERDE - 0,81x0,52x0,43H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3</v>
          </cell>
          <cell r="O2789">
            <v>274143</v>
          </cell>
          <cell r="P2789"/>
          <cell r="Q2789" t="str">
            <v>EST BANQUETA BAR OMAR C/B H75 (MAD B LOURO ESP VILLA UMBER)</v>
          </cell>
          <cell r="R2789"/>
          <cell r="S2789"/>
          <cell r="T2789">
            <v>0.54</v>
          </cell>
          <cell r="U2789">
            <v>0.56000000000000005</v>
          </cell>
          <cell r="V2789">
            <v>1.06</v>
          </cell>
          <cell r="W2789">
            <v>0</v>
          </cell>
          <cell r="X2789" t="str">
            <v>EST BANQUETA BAR OMAR C/B H75 (MAD B LOURO ESP VILLA UMBER) - 0,54x0,56x1,06H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0</v>
          </cell>
          <cell r="O2790">
            <v>274146</v>
          </cell>
          <cell r="P2790"/>
          <cell r="Q2790" t="str">
            <v>EST POLTRONA SAND (MAD B FREIJO NT) TC ZEFIRO 158 VERDE</v>
          </cell>
          <cell r="R2790"/>
          <cell r="S2790"/>
          <cell r="T2790">
            <v>0.8</v>
          </cell>
          <cell r="U2790">
            <v>0.86</v>
          </cell>
          <cell r="V2790">
            <v>0.76</v>
          </cell>
          <cell r="W2790">
            <v>0</v>
          </cell>
          <cell r="X2790" t="str">
            <v>EST POLTRONA SAND (MAD B FREIJO NT) TC ZEFIRO 158 VERDE - 0,8x0,86x0,76H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3</v>
          </cell>
          <cell r="O2791">
            <v>274148</v>
          </cell>
          <cell r="P2791"/>
          <cell r="Q2791" t="str">
            <v>EST BANQUETA BAR ORQUIDEA H75 (MAD B FREIJO NT) (PIG VERDE)</v>
          </cell>
          <cell r="R2791"/>
          <cell r="S2791"/>
          <cell r="T2791">
            <v>0.48</v>
          </cell>
          <cell r="U2791">
            <v>0.5</v>
          </cell>
          <cell r="V2791">
            <v>0.98</v>
          </cell>
          <cell r="W2791">
            <v>0</v>
          </cell>
          <cell r="X2791" t="str">
            <v>EST BANQUETA BAR ORQUIDEA H75 (MAD B FREIJO NT) (PIG VERDE) - 0,48x0,5x0,98H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8</v>
          </cell>
          <cell r="O2792">
            <v>274149</v>
          </cell>
          <cell r="P2792"/>
          <cell r="Q2792" t="str">
            <v>EST CADEIRA ORQUIDEA (MAD B FREIJO NT) COURO FIRENZE 400</v>
          </cell>
          <cell r="R2792"/>
          <cell r="S2792"/>
          <cell r="T2792">
            <v>0.47</v>
          </cell>
          <cell r="U2792">
            <v>0.55000000000000004</v>
          </cell>
          <cell r="V2792">
            <v>0.79</v>
          </cell>
          <cell r="W2792">
            <v>0</v>
          </cell>
          <cell r="X2792" t="str">
            <v>EST CADEIRA ORQUIDEA (MAD B FREIJO NT) COURO FIRENZE 400 - 0,47x0,55x0,79H</v>
          </cell>
          <cell r="Y2792">
            <v>0</v>
          </cell>
          <cell r="Z2792">
            <v>0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3</v>
          </cell>
          <cell r="O2793">
            <v>274150</v>
          </cell>
          <cell r="P2793"/>
          <cell r="Q2793" t="str">
            <v>EST CADEIRA ORQUIDEA (MAD B FREIJO NT) COURO PIG VERDE</v>
          </cell>
          <cell r="R2793"/>
          <cell r="S2793"/>
          <cell r="T2793">
            <v>0.47</v>
          </cell>
          <cell r="U2793">
            <v>0.55000000000000004</v>
          </cell>
          <cell r="V2793">
            <v>0.79</v>
          </cell>
          <cell r="W2793">
            <v>0</v>
          </cell>
          <cell r="X2793" t="str">
            <v>EST CADEIRA ORQUIDEA (MAD B FREIJO NT) COURO PIG VERDE - 0,47x0,55x0,79H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4</v>
          </cell>
          <cell r="O2794">
            <v>274181</v>
          </cell>
          <cell r="P2794"/>
          <cell r="Q2794" t="str">
            <v>EST CADEIRA OMAR C/B BXO (MAD B LOURO ESP) COURO PIG VERDE</v>
          </cell>
          <cell r="R2794"/>
          <cell r="S2794"/>
          <cell r="T2794">
            <v>0.55000000000000004</v>
          </cell>
          <cell r="U2794">
            <v>0.55000000000000004</v>
          </cell>
          <cell r="V2794">
            <v>0.83</v>
          </cell>
          <cell r="W2794">
            <v>0</v>
          </cell>
          <cell r="X2794" t="str">
            <v>EST CADEIRA OMAR C/B BXO (MAD B LOURO ESP) COURO PIG VERDE - 0,55x0,55x0,83H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0</v>
          </cell>
          <cell r="O2795">
            <v>274221</v>
          </cell>
          <cell r="P2795"/>
          <cell r="Q2795" t="str">
            <v>EST BANCO OTTO (PRETO FOSCO) (FREIJO) TC ZEFIRO 158 VERDE</v>
          </cell>
          <cell r="R2795"/>
          <cell r="S2795"/>
          <cell r="T2795">
            <v>1.81</v>
          </cell>
          <cell r="U2795">
            <v>0.62</v>
          </cell>
          <cell r="V2795">
            <v>0.35</v>
          </cell>
          <cell r="W2795">
            <v>0</v>
          </cell>
          <cell r="X2795" t="str">
            <v>EST BANCO OTTO (PRETO FOSCO) (FREIJO) TC ZEFIRO 158 VERDE - 1,81x0,62x0,35H</v>
          </cell>
          <cell r="Y2795">
            <v>0</v>
          </cell>
          <cell r="Z2795">
            <v>0.5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4</v>
          </cell>
          <cell r="O2796">
            <v>274261</v>
          </cell>
          <cell r="P2796"/>
          <cell r="Q2796" t="str">
            <v>EST BANCO BANQUINHO (FREIJO NATURAL)</v>
          </cell>
          <cell r="R2796"/>
          <cell r="S2796"/>
          <cell r="T2796">
            <v>0.63</v>
          </cell>
          <cell r="U2796">
            <v>0.48</v>
          </cell>
          <cell r="V2796">
            <v>0.44</v>
          </cell>
          <cell r="W2796">
            <v>0</v>
          </cell>
          <cell r="X2796" t="str">
            <v>EST BANCO BANQUINHO (FREIJO NATURAL) - 0,63x0,48x0,44H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4</v>
          </cell>
          <cell r="O2797">
            <v>274338</v>
          </cell>
          <cell r="P2797"/>
          <cell r="Q2797" t="str">
            <v>EST ALMOFADA DECORATIVA SO FAR (C/ABAS) TC GALLIA NATURAL</v>
          </cell>
          <cell r="R2797"/>
          <cell r="S2797"/>
          <cell r="T2797">
            <v>0.65</v>
          </cell>
          <cell r="U2797">
            <v>0.65</v>
          </cell>
          <cell r="V2797">
            <v>0</v>
          </cell>
          <cell r="W2797">
            <v>0</v>
          </cell>
          <cell r="X2797" t="str">
            <v>EST ALMOFADA DECORATIVA SO FAR (C/ABAS) TC GALLIA NATURAL - 0,65x0,65x0H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6</v>
          </cell>
          <cell r="O2798">
            <v>274411</v>
          </cell>
          <cell r="P2798"/>
          <cell r="Q2798" t="str">
            <v>EST CADEIRA GB01 TELA (QUADRIC NT) (JEQ EBANO)</v>
          </cell>
          <cell r="R2798"/>
          <cell r="S2798"/>
          <cell r="T2798">
            <v>0.45</v>
          </cell>
          <cell r="U2798">
            <v>0.48</v>
          </cell>
          <cell r="V2798">
            <v>0.85</v>
          </cell>
          <cell r="W2798">
            <v>0</v>
          </cell>
          <cell r="X2798" t="str">
            <v>EST CADEIRA GB01 TELA (QUADRIC NT) (JEQ EBANO) - 0,45x0,48x0,85H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7</v>
          </cell>
          <cell r="O2799">
            <v>274589</v>
          </cell>
          <cell r="P2799"/>
          <cell r="Q2799" t="str">
            <v>EST CADEIRA GB01 MISTA (IMBUIA) (QUADRIC NT) TC ZEFIRO 158</v>
          </cell>
          <cell r="R2799"/>
          <cell r="S2799"/>
          <cell r="T2799">
            <v>0.45</v>
          </cell>
          <cell r="U2799">
            <v>0.48</v>
          </cell>
          <cell r="V2799">
            <v>0.85</v>
          </cell>
          <cell r="W2799">
            <v>0</v>
          </cell>
          <cell r="X2799" t="str">
            <v>EST CADEIRA GB01 MISTA (IMBUIA) (QUADRIC NT) TC ZEFIRO 158 - 0,45x0,48x0,85H</v>
          </cell>
          <cell r="Y2799">
            <v>0</v>
          </cell>
          <cell r="Z2799">
            <v>0.5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8</v>
          </cell>
          <cell r="O2800">
            <v>274590</v>
          </cell>
          <cell r="P2800"/>
          <cell r="Q2800" t="str">
            <v>EST CADEIRA GB01 MISTA (IMBUIA) (QUADRIC NT) TC GRIGGI CRU</v>
          </cell>
          <cell r="R2800"/>
          <cell r="S2800"/>
          <cell r="T2800">
            <v>0.45</v>
          </cell>
          <cell r="U2800">
            <v>0.48</v>
          </cell>
          <cell r="V2800">
            <v>0.85</v>
          </cell>
          <cell r="W2800">
            <v>0</v>
          </cell>
          <cell r="X2800" t="str">
            <v>EST CADEIRA GB01 MISTA (IMBUIA) (QUADRIC NT) TC GRIGGI CRU - 0,45x0,48x0,85H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0</v>
          </cell>
          <cell r="O2801">
            <v>274601</v>
          </cell>
          <cell r="P2801"/>
          <cell r="Q2801" t="str">
            <v>EST POLTRONA CEGONHA (PRETO) (TAUARI NT) SOFT CARAMELO</v>
          </cell>
          <cell r="R2801"/>
          <cell r="S2801"/>
          <cell r="T2801">
            <v>0.71</v>
          </cell>
          <cell r="U2801">
            <v>0.88</v>
          </cell>
          <cell r="V2801">
            <v>0.94</v>
          </cell>
          <cell r="W2801">
            <v>0</v>
          </cell>
          <cell r="X2801" t="str">
            <v>EST POLTRONA CEGONHA (PRETO) (TAUARI NT) SOFT CARAMELO - 0,71x0,88x0,94H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2</v>
          </cell>
          <cell r="O2802">
            <v>274849</v>
          </cell>
          <cell r="P2802"/>
          <cell r="Q2802" t="str">
            <v>EST BANCO MAGRINI (IMBUIA STAIN)</v>
          </cell>
          <cell r="R2802"/>
          <cell r="S2802"/>
          <cell r="T2802">
            <v>0.42</v>
          </cell>
          <cell r="U2802">
            <v>0.42</v>
          </cell>
          <cell r="V2802">
            <v>0.37</v>
          </cell>
          <cell r="W2802">
            <v>0</v>
          </cell>
          <cell r="X2802" t="str">
            <v>EST BANCO MAGRINI (IMBUIA STAIN) - 0,42x0,42x0,37H</v>
          </cell>
          <cell r="Y2802">
            <v>0</v>
          </cell>
          <cell r="Z2802">
            <v>0.5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7</v>
          </cell>
          <cell r="O2803">
            <v>274867</v>
          </cell>
          <cell r="P2803"/>
          <cell r="Q2803" t="str">
            <v>EST POLTRONA KATITA (IMBUIA STAIN) TC TARENTO 12</v>
          </cell>
          <cell r="R2803"/>
          <cell r="S2803"/>
          <cell r="T2803">
            <v>0.68</v>
          </cell>
          <cell r="U2803">
            <v>0.63</v>
          </cell>
          <cell r="V2803">
            <v>0.77</v>
          </cell>
          <cell r="W2803">
            <v>0</v>
          </cell>
          <cell r="X2803" t="str">
            <v>EST POLTRONA KATITA (IMBUIA STAIN) TC TARENTO 12 - 0,68x0,63x0,77H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2</v>
          </cell>
          <cell r="O2804">
            <v>274869</v>
          </cell>
          <cell r="P2804"/>
          <cell r="Q2804" t="str">
            <v>EST POLTRONA DRUMMOND (MAD A COR 01) TC VILLA OLMO COR OCRE</v>
          </cell>
          <cell r="R2804"/>
          <cell r="S2804"/>
          <cell r="T2804">
            <v>0.8</v>
          </cell>
          <cell r="U2804">
            <v>0.78</v>
          </cell>
          <cell r="V2804">
            <v>0.76</v>
          </cell>
          <cell r="W2804">
            <v>0</v>
          </cell>
          <cell r="X2804" t="str">
            <v>EST POLTRONA DRUMMOND (MAD A COR 01) TC VILLA OLMO COR OCRE - 0,8x0,78x0,76H</v>
          </cell>
          <cell r="Y2804">
            <v>0</v>
          </cell>
          <cell r="Z2804">
            <v>0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2</v>
          </cell>
          <cell r="O2805">
            <v>274966</v>
          </cell>
          <cell r="P2805"/>
          <cell r="Q2805" t="str">
            <v>EST CADEIRA CANTU ALTA (MAD B COR 03) COURO NOBUCK 10</v>
          </cell>
          <cell r="R2805"/>
          <cell r="S2805"/>
          <cell r="T2805">
            <v>0.5</v>
          </cell>
          <cell r="U2805">
            <v>0.55000000000000004</v>
          </cell>
          <cell r="V2805">
            <v>1.01</v>
          </cell>
          <cell r="W2805">
            <v>0</v>
          </cell>
          <cell r="X2805" t="str">
            <v>EST CADEIRA CANTU ALTA (MAD B COR 03) COURO NOBUCK 10 - 0,5x0,55x1,01H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3</v>
          </cell>
          <cell r="O2806">
            <v>275482</v>
          </cell>
          <cell r="P2806"/>
          <cell r="Q2806" t="str">
            <v>EST CADEIRA GB F61 (C/B) (ESTAR) TC EL NOVE 4 GREY</v>
          </cell>
          <cell r="R2806"/>
          <cell r="S2806"/>
          <cell r="T2806">
            <v>0.59</v>
          </cell>
          <cell r="U2806">
            <v>0.54</v>
          </cell>
          <cell r="V2806">
            <v>0.82</v>
          </cell>
          <cell r="W2806">
            <v>0</v>
          </cell>
          <cell r="X2806" t="str">
            <v>EST CADEIRA GB F61 (C/B) (ESTAR) TC EL NOVE 4 GREY - 0,59x0,54x0,82H</v>
          </cell>
          <cell r="Y2806">
            <v>0</v>
          </cell>
          <cell r="Z2806">
            <v>0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6</v>
          </cell>
          <cell r="O2807">
            <v>275484</v>
          </cell>
          <cell r="P2807"/>
          <cell r="Q2807" t="str">
            <v>EST CADEIRA GB F61 (C/B) (JANTAR) TC VILLA OLMO NATURAL</v>
          </cell>
          <cell r="R2807"/>
          <cell r="S2807"/>
          <cell r="T2807">
            <v>0.59</v>
          </cell>
          <cell r="U2807">
            <v>0.54</v>
          </cell>
          <cell r="V2807">
            <v>0.85</v>
          </cell>
          <cell r="W2807">
            <v>0</v>
          </cell>
          <cell r="X2807" t="str">
            <v>EST CADEIRA GB F61 (C/B) (JANTAR) TC VILLA OLMO NATURAL - 0,59x0,54x0,85H</v>
          </cell>
          <cell r="Y2807">
            <v>0</v>
          </cell>
          <cell r="Z2807">
            <v>0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0</v>
          </cell>
          <cell r="O2808">
            <v>275631</v>
          </cell>
          <cell r="P2808"/>
          <cell r="Q2808" t="str">
            <v>EST MESA JANTAR U (CIRCULAR) (MADEIRA CABREUVA)</v>
          </cell>
          <cell r="R2808"/>
          <cell r="S2808"/>
          <cell r="T2808">
            <v>1.3</v>
          </cell>
          <cell r="U2808">
            <v>0</v>
          </cell>
          <cell r="V2808">
            <v>0.74</v>
          </cell>
          <cell r="W2808">
            <v>1.3</v>
          </cell>
          <cell r="X2808" t="str">
            <v>EST MESA JANTAR U (CIRCULAR) (MADEIRA CABREUVA) - Ø1,3x0,74H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2</v>
          </cell>
          <cell r="O2809">
            <v>276170</v>
          </cell>
          <cell r="P2809"/>
          <cell r="Q2809" t="str">
            <v>EST MESA LATERAL DAMA (FREIJO NATURAL)</v>
          </cell>
          <cell r="R2809"/>
          <cell r="S2809"/>
          <cell r="T2809">
            <v>0.7</v>
          </cell>
          <cell r="U2809">
            <v>0.35</v>
          </cell>
          <cell r="V2809">
            <v>0.45</v>
          </cell>
          <cell r="W2809">
            <v>0</v>
          </cell>
          <cell r="X2809" t="str">
            <v>EST MESA LATERAL DAMA (FREIJO NATURAL) - 0,7x0,35x0,45H</v>
          </cell>
          <cell r="Y2809">
            <v>0</v>
          </cell>
          <cell r="Z2809">
            <v>0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2</v>
          </cell>
          <cell r="O2810">
            <v>276171</v>
          </cell>
          <cell r="P2810"/>
          <cell r="Q2810" t="str">
            <v>EST MESA LATERAL DAMA (FREIJO NATURAL)</v>
          </cell>
          <cell r="R2810"/>
          <cell r="S2810"/>
          <cell r="T2810">
            <v>0.5</v>
          </cell>
          <cell r="U2810">
            <v>0.3</v>
          </cell>
          <cell r="V2810">
            <v>0.45</v>
          </cell>
          <cell r="W2810">
            <v>0</v>
          </cell>
          <cell r="X2810" t="str">
            <v>EST MESA LATERAL DAMA (FREIJO NATURAL) - 0,5x0,3x0,45H</v>
          </cell>
          <cell r="Y2810">
            <v>0</v>
          </cell>
          <cell r="Z2810">
            <v>0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2</v>
          </cell>
          <cell r="O2811">
            <v>276172</v>
          </cell>
          <cell r="P2811"/>
          <cell r="Q2811" t="str">
            <v>EST MESA LATERAL DAMA (FREIJO NATURAL)</v>
          </cell>
          <cell r="R2811"/>
          <cell r="S2811"/>
          <cell r="T2811">
            <v>0.4</v>
          </cell>
          <cell r="U2811">
            <v>0.4</v>
          </cell>
          <cell r="V2811">
            <v>0.45</v>
          </cell>
          <cell r="W2811">
            <v>0</v>
          </cell>
          <cell r="X2811" t="str">
            <v>EST MESA LATERAL DAMA (FREIJO NATURAL) - 0,4x0,4x0,45H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1</v>
          </cell>
          <cell r="O2812">
            <v>276233</v>
          </cell>
          <cell r="P2812"/>
          <cell r="Q2812" t="str">
            <v>EST POLTRONA XIBO (FREIJO NAT) CABECEIRA CREME/SOLETA PRETA</v>
          </cell>
          <cell r="R2812"/>
          <cell r="S2812"/>
          <cell r="T2812">
            <v>0.8</v>
          </cell>
          <cell r="U2812">
            <v>0.8</v>
          </cell>
          <cell r="V2812">
            <v>1.1000000000000001</v>
          </cell>
          <cell r="W2812">
            <v>0</v>
          </cell>
          <cell r="X2812" t="str">
            <v>EST POLTRONA XIBO (FREIJO NAT) CABECEIRA CREME/SOLETA PRETA - 0,8x0,8x1,1H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4</v>
          </cell>
          <cell r="O2813">
            <v>276336</v>
          </cell>
          <cell r="P2813"/>
          <cell r="Q2813" t="str">
            <v>EST CADEIRA JOATINGA (TECA NATURAL)</v>
          </cell>
          <cell r="R2813"/>
          <cell r="S2813"/>
          <cell r="T2813">
            <v>0.56000000000000005</v>
          </cell>
          <cell r="U2813">
            <v>0.59</v>
          </cell>
          <cell r="V2813">
            <v>0.75</v>
          </cell>
          <cell r="W2813">
            <v>0</v>
          </cell>
          <cell r="X2813" t="str">
            <v>EST CADEIRA JOATINGA (TECA NATURAL) - 0,56x0,59x0,75H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2</v>
          </cell>
          <cell r="O2814">
            <v>276339</v>
          </cell>
          <cell r="P2814"/>
          <cell r="Q2814" t="str">
            <v>EST CADEIRA JOATINGA C/BRACO (TECA NATURAL)</v>
          </cell>
          <cell r="R2814"/>
          <cell r="S2814"/>
          <cell r="T2814">
            <v>0.62</v>
          </cell>
          <cell r="U2814">
            <v>0.64</v>
          </cell>
          <cell r="V2814">
            <v>0.75</v>
          </cell>
          <cell r="W2814">
            <v>0</v>
          </cell>
          <cell r="X2814" t="str">
            <v>EST CADEIRA JOATINGA C/BRACO (TECA NATURAL) - 0,62x0,64x0,75H</v>
          </cell>
          <cell r="Y2814">
            <v>0</v>
          </cell>
          <cell r="Z2814">
            <v>0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276378</v>
          </cell>
          <cell r="P2815"/>
          <cell r="Q2815" t="str">
            <v>EST CADEIRA OMAR C/B (MAD A CINAM NT) TC VELUDO ROSE</v>
          </cell>
          <cell r="R2815"/>
          <cell r="S2815"/>
          <cell r="T2815">
            <v>0.55000000000000004</v>
          </cell>
          <cell r="U2815">
            <v>0.55000000000000004</v>
          </cell>
          <cell r="V2815">
            <v>0.83</v>
          </cell>
          <cell r="W2815">
            <v>0</v>
          </cell>
          <cell r="X2815" t="str">
            <v>EST CADEIRA OMAR C/B (MAD A CINAM NT) TC VELUDO ROSE - 0,55x0,55x0,83H</v>
          </cell>
          <cell r="Y2815">
            <v>0</v>
          </cell>
          <cell r="Z2815">
            <v>0.5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1</v>
          </cell>
          <cell r="O2816">
            <v>276458</v>
          </cell>
          <cell r="P2816"/>
          <cell r="Q2816" t="str">
            <v>EST LUMINARIA FISSURA (CUPULA LAVAVEL) (MADEIRA FREIJO)</v>
          </cell>
          <cell r="R2816"/>
          <cell r="S2816"/>
          <cell r="T2816">
            <v>0.36</v>
          </cell>
          <cell r="U2816">
            <v>0.1</v>
          </cell>
          <cell r="V2816">
            <v>0.28000000000000003</v>
          </cell>
          <cell r="W2816">
            <v>0</v>
          </cell>
          <cell r="X2816" t="str">
            <v>EST LUMINARIA FISSURA (CUPULA LAVAVEL) (MADEIRA FREIJO) - 0,36x0,1x0,28H</v>
          </cell>
          <cell r="Y2816">
            <v>0</v>
          </cell>
          <cell r="Z2816">
            <v>0.5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0</v>
          </cell>
          <cell r="O2817">
            <v>276478</v>
          </cell>
          <cell r="P2817"/>
          <cell r="Q2817" t="str">
            <v>EST LUMINARIA FISSURA (CUPULA LAVAVEL) (MADEIRA PAU FERRO)</v>
          </cell>
          <cell r="R2817"/>
          <cell r="S2817"/>
          <cell r="T2817">
            <v>0.36</v>
          </cell>
          <cell r="U2817">
            <v>0.1</v>
          </cell>
          <cell r="V2817">
            <v>0.28000000000000003</v>
          </cell>
          <cell r="W2817">
            <v>0</v>
          </cell>
          <cell r="X2817" t="str">
            <v>EST LUMINARIA FISSURA (CUPULA LAVAVEL) (MADEIRA PAU FERRO) - 0,36x0,1x0,28H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1</v>
          </cell>
          <cell r="O2818">
            <v>276611</v>
          </cell>
          <cell r="P2818"/>
          <cell r="Q2818" t="str">
            <v>EST CADEIRA BOA C/B (C/ROD) (SUCUPIRA) TC RUSTIC BLUE</v>
          </cell>
          <cell r="R2818"/>
          <cell r="S2818"/>
          <cell r="T2818">
            <v>0.65</v>
          </cell>
          <cell r="U2818">
            <v>0.65</v>
          </cell>
          <cell r="V2818">
            <v>0.8</v>
          </cell>
          <cell r="W2818">
            <v>0</v>
          </cell>
          <cell r="X2818" t="str">
            <v>EST CADEIRA BOA C/B (C/ROD) (SUCUPIRA) TC RUSTIC BLUE - 0,65x0,65x0,8H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 t="e">
            <v>#N/A</v>
          </cell>
          <cell r="D2819" t="e">
            <v>#N/A</v>
          </cell>
          <cell r="E2819" t="e">
            <v>#N/A</v>
          </cell>
          <cell r="F2819" t="e">
            <v>#N/A</v>
          </cell>
          <cell r="H2819" t="e">
            <v>#N/A</v>
          </cell>
          <cell r="O2819">
            <v>276618</v>
          </cell>
          <cell r="P2819"/>
          <cell r="Q2819" t="e">
            <v>#N/A</v>
          </cell>
          <cell r="R2819"/>
          <cell r="S2819"/>
          <cell r="T2819" t="e">
            <v>#N/A</v>
          </cell>
          <cell r="U2819" t="e">
            <v>#N/A</v>
          </cell>
          <cell r="V2819" t="e">
            <v>#N/A</v>
          </cell>
          <cell r="W2819" t="e">
            <v>#N/A</v>
          </cell>
          <cell r="X2819" t="e">
            <v>#N/A</v>
          </cell>
          <cell r="Y2819">
            <v>0</v>
          </cell>
          <cell r="Z2819">
            <v>0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276626</v>
          </cell>
          <cell r="P2820"/>
          <cell r="Q2820" t="str">
            <v>EST POLTRONA TETE (FREIJO NT) COURO CAMURCA VERDE</v>
          </cell>
          <cell r="R2820"/>
          <cell r="S2820"/>
          <cell r="T2820">
            <v>0.86</v>
          </cell>
          <cell r="U2820">
            <v>0.84</v>
          </cell>
          <cell r="V2820">
            <v>0.75</v>
          </cell>
          <cell r="W2820">
            <v>0</v>
          </cell>
          <cell r="X2820" t="str">
            <v>EST POLTRONA TETE (FREIJO NT) COURO CAMURCA VERDE - 0,86x0,84x0,75H</v>
          </cell>
          <cell r="Y2820">
            <v>0</v>
          </cell>
          <cell r="Z2820">
            <v>0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0</v>
          </cell>
          <cell r="O2821">
            <v>276628</v>
          </cell>
          <cell r="P2821"/>
          <cell r="Q2821" t="str">
            <v>EST POLTRONA BENJAMIN S/SELO (FREIJO NATURAL) COURO NOBUK10</v>
          </cell>
          <cell r="R2821"/>
          <cell r="S2821"/>
          <cell r="T2821">
            <v>0.92</v>
          </cell>
          <cell r="U2821">
            <v>0.9</v>
          </cell>
          <cell r="V2821">
            <v>0.92</v>
          </cell>
          <cell r="W2821">
            <v>0</v>
          </cell>
          <cell r="X2821" t="str">
            <v>EST POLTRONA BENJAMIN S/SELO (FREIJO NATURAL) COURO NOBUK10 - 0,92x0,9x0,92H</v>
          </cell>
          <cell r="Y2821">
            <v>0</v>
          </cell>
          <cell r="Z2821">
            <v>0.5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0</v>
          </cell>
          <cell r="O2822">
            <v>276629</v>
          </cell>
          <cell r="P2822"/>
          <cell r="Q2822" t="str">
            <v>EST BANQUETA BENJAMIN (FREIJO NATURAL) COURO NOBUCK 10</v>
          </cell>
          <cell r="R2822"/>
          <cell r="S2822"/>
          <cell r="T2822">
            <v>0.8</v>
          </cell>
          <cell r="U2822">
            <v>0.6</v>
          </cell>
          <cell r="V2822">
            <v>0.38</v>
          </cell>
          <cell r="W2822">
            <v>0</v>
          </cell>
          <cell r="X2822" t="str">
            <v>EST BANQUETA BENJAMIN (FREIJO NATURAL) COURO NOBUCK 10 - 0,8x0,6x0,38H</v>
          </cell>
          <cell r="Y2822">
            <v>0</v>
          </cell>
          <cell r="Z2822">
            <v>0.5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2</v>
          </cell>
          <cell r="O2823">
            <v>276632</v>
          </cell>
          <cell r="P2823"/>
          <cell r="Q2823" t="str">
            <v>EST POLTRONA TETE (FREIJO2) COURO FIRENZE DESERT/ALM MOSTARD</v>
          </cell>
          <cell r="R2823"/>
          <cell r="S2823"/>
          <cell r="T2823">
            <v>0.86</v>
          </cell>
          <cell r="U2823">
            <v>0.84</v>
          </cell>
          <cell r="V2823">
            <v>0.75</v>
          </cell>
          <cell r="W2823">
            <v>0</v>
          </cell>
          <cell r="X2823" t="str">
            <v>EST POLTRONA TETE (FREIJO2) COURO FIRENZE DESERT/ALM MOSTARD - 0,86x0,84x0,75H</v>
          </cell>
          <cell r="Y2823">
            <v>0</v>
          </cell>
          <cell r="Z2823">
            <v>0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276656</v>
          </cell>
          <cell r="P2824"/>
          <cell r="Q2824" t="str">
            <v>EST POLTRONA BENJAMIN S/SELO (FREIJO COR 2) CAMURCA HAVANA</v>
          </cell>
          <cell r="R2824"/>
          <cell r="S2824"/>
          <cell r="T2824">
            <v>0.92</v>
          </cell>
          <cell r="U2824">
            <v>0.9</v>
          </cell>
          <cell r="V2824">
            <v>0.92</v>
          </cell>
          <cell r="W2824">
            <v>0</v>
          </cell>
          <cell r="X2824" t="str">
            <v>EST POLTRONA BENJAMIN S/SELO (FREIJO COR 2) CAMURCA HAVANA - 0,92x0,9x0,92H</v>
          </cell>
          <cell r="Y2824">
            <v>0</v>
          </cell>
          <cell r="Z2824">
            <v>0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0</v>
          </cell>
          <cell r="O2825">
            <v>276708</v>
          </cell>
          <cell r="P2825"/>
          <cell r="Q2825" t="str">
            <v>EST MESA JANTAR CONE (TPO LAMINADO FREIJO) CONCRETO</v>
          </cell>
          <cell r="R2825"/>
          <cell r="S2825"/>
          <cell r="T2825">
            <v>1</v>
          </cell>
          <cell r="U2825">
            <v>0</v>
          </cell>
          <cell r="V2825">
            <v>0.75</v>
          </cell>
          <cell r="W2825">
            <v>0</v>
          </cell>
          <cell r="X2825" t="str">
            <v>EST MESA JANTAR CONE (TPO LAMINADO FREIJO) CONCRETO - Ø0x0,75H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0</v>
          </cell>
          <cell r="O2826">
            <v>277587</v>
          </cell>
          <cell r="P2826"/>
          <cell r="Q2826" t="str">
            <v>EST TAMPO GELSOMINA (OVAL) (G3-GREEN P LEVIG) (BORDA DUP)</v>
          </cell>
          <cell r="R2826"/>
          <cell r="S2826"/>
          <cell r="T2826">
            <v>1.8</v>
          </cell>
          <cell r="U2826">
            <v>0.9</v>
          </cell>
          <cell r="V2826">
            <v>0</v>
          </cell>
          <cell r="W2826">
            <v>0</v>
          </cell>
          <cell r="X2826" t="str">
            <v>EST TAMPO GELSOMINA (OVAL) (G3-GREEN P LEVIG) (BORDA DUP) - 1,8x0,9x0H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1</v>
          </cell>
          <cell r="O2827">
            <v>277815</v>
          </cell>
          <cell r="P2827"/>
          <cell r="Q2827" t="str">
            <v>EST POLTRONA TONICO (FREIJO NAT) COURO SOFT CARAMELO/CH 01</v>
          </cell>
          <cell r="R2827"/>
          <cell r="S2827"/>
          <cell r="T2827">
            <v>1.05</v>
          </cell>
          <cell r="U2827">
            <v>0.86</v>
          </cell>
          <cell r="V2827">
            <v>1.08</v>
          </cell>
          <cell r="W2827">
            <v>0</v>
          </cell>
          <cell r="X2827" t="str">
            <v>EST POLTRONA TONICO (FREIJO NAT) COURO SOFT CARAMELO/CH 01 - 1,05x0,86x1,08H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1</v>
          </cell>
          <cell r="O2828">
            <v>277821</v>
          </cell>
          <cell r="P2828"/>
          <cell r="Q2828" t="str">
            <v>EST BANQUETA TONICO (FREIJO NAT) COURO SOFT CARAMELO</v>
          </cell>
          <cell r="R2828"/>
          <cell r="S2828"/>
          <cell r="T2828">
            <v>0.86</v>
          </cell>
          <cell r="U2828">
            <v>0.5</v>
          </cell>
          <cell r="V2828">
            <v>0.42</v>
          </cell>
          <cell r="W2828">
            <v>0</v>
          </cell>
          <cell r="X2828" t="str">
            <v>EST BANQUETA TONICO (FREIJO NAT) COURO SOFT CARAMELO - 0,86x0,5x0,42H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277874</v>
          </cell>
          <cell r="P2829"/>
          <cell r="Q2829" t="str">
            <v>EST BASE CENTRO VITRINE (FREIJO NATURAL) (FUNDO BRANCO)</v>
          </cell>
          <cell r="R2829"/>
          <cell r="S2829"/>
          <cell r="T2829">
            <v>1.6</v>
          </cell>
          <cell r="U2829">
            <v>0.8</v>
          </cell>
          <cell r="V2829">
            <v>0.38</v>
          </cell>
          <cell r="W2829">
            <v>0</v>
          </cell>
          <cell r="X2829" t="str">
            <v>EST BASE CENTRO VITRINE (FREIJO NATURAL) (FUNDO BRANCO) - 1,6x0,8x0,38H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0</v>
          </cell>
          <cell r="O2830">
            <v>277886</v>
          </cell>
          <cell r="P2830"/>
          <cell r="Q2830" t="str">
            <v>EST MODULO CAIXA ESTANTE BF (IMBUIA) INTERIOR F100</v>
          </cell>
          <cell r="R2830"/>
          <cell r="S2830"/>
          <cell r="T2830">
            <v>1.9</v>
          </cell>
          <cell r="U2830">
            <v>0.43</v>
          </cell>
          <cell r="V2830">
            <v>0.47</v>
          </cell>
          <cell r="W2830">
            <v>0</v>
          </cell>
          <cell r="X2830" t="str">
            <v>EST MODULO CAIXA ESTANTE BF (IMBUIA) INTERIOR F100 - 1,9x0,43x0,47H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0</v>
          </cell>
          <cell r="O2831">
            <v>277887</v>
          </cell>
          <cell r="P2831"/>
          <cell r="Q2831" t="str">
            <v>EST MODULO CAIXA ESTANTE BF (IMBUIA) INTERIOR F100</v>
          </cell>
          <cell r="R2831"/>
          <cell r="S2831"/>
          <cell r="T2831">
            <v>0.9</v>
          </cell>
          <cell r="U2831">
            <v>0.43</v>
          </cell>
          <cell r="V2831">
            <v>0.47</v>
          </cell>
          <cell r="W2831">
            <v>0</v>
          </cell>
          <cell r="X2831" t="str">
            <v>EST MODULO CAIXA ESTANTE BF (IMBUIA) INTERIOR F100 - 0,9x0,43x0,47H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0</v>
          </cell>
          <cell r="O2832">
            <v>277888</v>
          </cell>
          <cell r="P2832"/>
          <cell r="Q2832" t="str">
            <v>EST MODULO COLUNA ESTANTE BF (IMBUIA)</v>
          </cell>
          <cell r="R2832"/>
          <cell r="S2832"/>
          <cell r="T2832">
            <v>0.14000000000000001</v>
          </cell>
          <cell r="U2832">
            <v>0.04</v>
          </cell>
          <cell r="V2832">
            <v>2.11</v>
          </cell>
          <cell r="W2832">
            <v>0</v>
          </cell>
          <cell r="X2832" t="str">
            <v>EST MODULO COLUNA ESTANTE BF (IMBUIA) - 0,14x0,04x2,11H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0</v>
          </cell>
          <cell r="O2833">
            <v>277889</v>
          </cell>
          <cell r="P2833"/>
          <cell r="Q2833" t="str">
            <v>EST MODULO PRATELEIRA ESTANTE BF (IMBUIA)</v>
          </cell>
          <cell r="R2833"/>
          <cell r="S2833"/>
          <cell r="T2833">
            <v>0.9</v>
          </cell>
          <cell r="U2833">
            <v>0.32</v>
          </cell>
          <cell r="V2833">
            <v>0.09</v>
          </cell>
          <cell r="W2833">
            <v>0</v>
          </cell>
          <cell r="X2833" t="str">
            <v>EST MODULO PRATELEIRA ESTANTE BF (IMBUIA) - 0,9x0,32x0,09H</v>
          </cell>
          <cell r="Y2833">
            <v>0</v>
          </cell>
          <cell r="Z2833">
            <v>0.5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0</v>
          </cell>
          <cell r="O2834">
            <v>277927</v>
          </cell>
          <cell r="P2834"/>
          <cell r="Q2834" t="str">
            <v>EST MODULO COLUNA ESTANTE BF (IMBUIA)</v>
          </cell>
          <cell r="R2834"/>
          <cell r="S2834"/>
          <cell r="T2834">
            <v>0.14000000000000001</v>
          </cell>
          <cell r="U2834">
            <v>0.04</v>
          </cell>
          <cell r="V2834">
            <v>2.38</v>
          </cell>
          <cell r="W2834">
            <v>0</v>
          </cell>
          <cell r="X2834" t="str">
            <v>EST MODULO COLUNA ESTANTE BF (IMBUIA) - 0,14x0,04x2,38H</v>
          </cell>
          <cell r="Y2834">
            <v>0</v>
          </cell>
          <cell r="Z2834">
            <v>0.5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278031</v>
          </cell>
          <cell r="P2835"/>
          <cell r="Q2835" t="str">
            <v>EST ESTANTE GB MF710 (C) (TRIPLA) (IMBUIA)</v>
          </cell>
          <cell r="R2835"/>
          <cell r="S2835"/>
          <cell r="T2835">
            <v>1.55</v>
          </cell>
          <cell r="U2835">
            <v>0.42</v>
          </cell>
          <cell r="V2835">
            <v>2</v>
          </cell>
          <cell r="W2835">
            <v>0</v>
          </cell>
          <cell r="X2835" t="str">
            <v>EST ESTANTE GB MF710 (C) (TRIPLA) (IMBUIA) - 1,55x0,42x2H</v>
          </cell>
          <cell r="Y2835">
            <v>0</v>
          </cell>
          <cell r="Z2835">
            <v>0.5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278032</v>
          </cell>
          <cell r="P2836"/>
          <cell r="Q2836" t="str">
            <v>EST ESTANTE GB MF710 (D) (TRIPLA) (IMBUIA)</v>
          </cell>
          <cell r="R2836"/>
          <cell r="S2836"/>
          <cell r="T2836">
            <v>1.55</v>
          </cell>
          <cell r="U2836">
            <v>0.42</v>
          </cell>
          <cell r="V2836">
            <v>2</v>
          </cell>
          <cell r="W2836">
            <v>0</v>
          </cell>
          <cell r="X2836" t="str">
            <v>EST ESTANTE GB MF710 (D) (TRIPLA) (IMBUIA) - 1,55x0,42x2H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278060</v>
          </cell>
          <cell r="P2837"/>
          <cell r="Q2837" t="str">
            <v>EST ESTANTE GB MF710 (C) (QUADRUPLA) (IMBUIA)</v>
          </cell>
          <cell r="R2837"/>
          <cell r="S2837"/>
          <cell r="T2837">
            <v>2.06</v>
          </cell>
          <cell r="U2837">
            <v>0.42</v>
          </cell>
          <cell r="V2837">
            <v>2</v>
          </cell>
          <cell r="W2837">
            <v>0</v>
          </cell>
          <cell r="X2837" t="str">
            <v>EST ESTANTE GB MF710 (C) (QUADRUPLA) (IMBUIA) - 2,06x0,42x2H</v>
          </cell>
          <cell r="Y2837">
            <v>0</v>
          </cell>
          <cell r="Z2837">
            <v>0.5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278111</v>
          </cell>
          <cell r="P2838"/>
          <cell r="Q2838" t="str">
            <v>EST BANQUETA BAR ESTRIBO H72 (ACO PT CAMURCA TABACO FREIJO)</v>
          </cell>
          <cell r="R2838"/>
          <cell r="S2838"/>
          <cell r="T2838">
            <v>0.44</v>
          </cell>
          <cell r="U2838">
            <v>0.57999999999999996</v>
          </cell>
          <cell r="V2838">
            <v>1.06</v>
          </cell>
          <cell r="W2838">
            <v>0</v>
          </cell>
          <cell r="X2838" t="str">
            <v>EST BANQUETA BAR ESTRIBO H72 (ACO PT CAMURCA TABACO FREIJO) - 0,44x0,58x1,06H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278112</v>
          </cell>
          <cell r="P2839"/>
          <cell r="Q2839" t="str">
            <v>EST BANQUETA BAR ESTRIBO H72 (ACO PT) NOBUCK 98 (SUCUPIRA)</v>
          </cell>
          <cell r="R2839"/>
          <cell r="S2839"/>
          <cell r="T2839">
            <v>0.44</v>
          </cell>
          <cell r="U2839">
            <v>0.57999999999999996</v>
          </cell>
          <cell r="V2839">
            <v>1.06</v>
          </cell>
          <cell r="W2839">
            <v>0</v>
          </cell>
          <cell r="X2839" t="str">
            <v>EST BANQUETA BAR ESTRIBO H72 (ACO PT) NOBUCK 98 (SUCUPIRA) - 0,44x0,58x1,06H</v>
          </cell>
          <cell r="Y2839">
            <v>0</v>
          </cell>
          <cell r="Z2839">
            <v>0</v>
          </cell>
          <cell r="AA2839">
            <v>0</v>
          </cell>
          <cell r="AB2839"/>
        </row>
        <row r="2840"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H2840">
            <v>0</v>
          </cell>
          <cell r="O2840">
            <v>278285</v>
          </cell>
          <cell r="P2840"/>
          <cell r="Q2840" t="str">
            <v>EST BASE JANTAR LITORAL (CAB ARRED) (MADEIRA PEROBA MEDIA)</v>
          </cell>
          <cell r="R2840"/>
          <cell r="S2840"/>
          <cell r="T2840">
            <v>3</v>
          </cell>
          <cell r="U2840">
            <v>1</v>
          </cell>
          <cell r="V2840">
            <v>0.72</v>
          </cell>
          <cell r="W2840">
            <v>0</v>
          </cell>
          <cell r="X2840" t="str">
            <v>EST BASE JANTAR LITORAL (CAB ARRED) (MADEIRA PEROBA MEDIA) - 3x1x0,72H</v>
          </cell>
          <cell r="Y2840">
            <v>0</v>
          </cell>
          <cell r="Z2840">
            <v>0.5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1</v>
          </cell>
          <cell r="O2841">
            <v>278470</v>
          </cell>
          <cell r="P2841"/>
          <cell r="Q2841" t="str">
            <v>EST REVISTEIRO BO CHAO (LAMINA IMBUIA NATURAL)</v>
          </cell>
          <cell r="R2841"/>
          <cell r="S2841"/>
          <cell r="T2841">
            <v>0.45</v>
          </cell>
          <cell r="U2841">
            <v>0.33</v>
          </cell>
          <cell r="V2841">
            <v>1.8</v>
          </cell>
          <cell r="W2841">
            <v>0</v>
          </cell>
          <cell r="X2841" t="str">
            <v>EST REVISTEIRO BO CHAO (LAMINA IMBUIA NATURAL) - 0,45x0,33x1,8H</v>
          </cell>
          <cell r="Y2841">
            <v>0</v>
          </cell>
          <cell r="Z2841">
            <v>0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2</v>
          </cell>
          <cell r="O2842">
            <v>278504</v>
          </cell>
          <cell r="P2842"/>
          <cell r="Q2842" t="str">
            <v>EST POLTRONA LACUNA (IPE) TC LONA GUILHE MUSGO</v>
          </cell>
          <cell r="R2842"/>
          <cell r="S2842"/>
          <cell r="T2842">
            <v>0.67</v>
          </cell>
          <cell r="U2842">
            <v>0.8</v>
          </cell>
          <cell r="V2842">
            <v>0.64</v>
          </cell>
          <cell r="W2842">
            <v>0</v>
          </cell>
          <cell r="X2842" t="str">
            <v>EST POLTRONA LACUNA (IPE) TC LONA GUILHE MUSGO - 0,67x0,8x0,64H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2</v>
          </cell>
          <cell r="O2843">
            <v>278506</v>
          </cell>
          <cell r="P2843"/>
          <cell r="Q2843" t="str">
            <v>EST POLTRONA LACUNA (IPE) TC PORTLAND (SAGE) AZUL</v>
          </cell>
          <cell r="R2843"/>
          <cell r="S2843"/>
          <cell r="T2843">
            <v>0.67</v>
          </cell>
          <cell r="U2843">
            <v>0.8</v>
          </cell>
          <cell r="V2843">
            <v>0.64</v>
          </cell>
          <cell r="W2843">
            <v>0</v>
          </cell>
          <cell r="X2843" t="str">
            <v>EST POLTRONA LACUNA (IPE) TC PORTLAND (SAGE) AZUL - 0,67x0,8x0,64H</v>
          </cell>
          <cell r="Y2843">
            <v>0</v>
          </cell>
          <cell r="Z2843">
            <v>0.5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278509</v>
          </cell>
          <cell r="P2844"/>
          <cell r="Q2844" t="str">
            <v>EST SOFA MOLE (3L) (MAD B COR 03) COURO WINCHESTER 98</v>
          </cell>
          <cell r="R2844"/>
          <cell r="S2844"/>
          <cell r="T2844">
            <v>2.2000000000000002</v>
          </cell>
          <cell r="U2844">
            <v>1.1000000000000001</v>
          </cell>
          <cell r="V2844">
            <v>0.82</v>
          </cell>
          <cell r="W2844">
            <v>0</v>
          </cell>
          <cell r="X2844" t="str">
            <v>EST SOFA MOLE (3L) (MAD B COR 03) COURO WINCHESTER 98 - 2,2x1,1x0,82H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0</v>
          </cell>
          <cell r="O2845">
            <v>278534</v>
          </cell>
          <cell r="P2845"/>
          <cell r="Q2845" t="str">
            <v>EST DAYBED LUXOR (3 ALMF) (MAD IMBUIA STAIN) TC EL NOVE GREY</v>
          </cell>
          <cell r="R2845"/>
          <cell r="S2845"/>
          <cell r="T2845">
            <v>2</v>
          </cell>
          <cell r="U2845">
            <v>0.7</v>
          </cell>
          <cell r="V2845">
            <v>0.4</v>
          </cell>
          <cell r="W2845">
            <v>0</v>
          </cell>
          <cell r="X2845" t="str">
            <v>EST DAYBED LUXOR (3 ALMF) (MAD IMBUIA STAIN) TC EL NOVE GREY - 2x0,7x0,4H</v>
          </cell>
          <cell r="Y2845">
            <v>0</v>
          </cell>
          <cell r="Z2845">
            <v>0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4</v>
          </cell>
          <cell r="O2846">
            <v>278535</v>
          </cell>
          <cell r="P2846"/>
          <cell r="Q2846" t="str">
            <v>EST CADEIRA CANTU BAIXA (MAD B COR 03) TC EL NOVE 4 GREY</v>
          </cell>
          <cell r="R2846"/>
          <cell r="S2846"/>
          <cell r="T2846">
            <v>0.5</v>
          </cell>
          <cell r="U2846">
            <v>0.56000000000000005</v>
          </cell>
          <cell r="V2846">
            <v>0.81</v>
          </cell>
          <cell r="W2846">
            <v>0</v>
          </cell>
          <cell r="X2846" t="str">
            <v>EST CADEIRA CANTU BAIXA (MAD B COR 03) TC EL NOVE 4 GREY - 0,5x0,56x0,81H</v>
          </cell>
          <cell r="Y2846">
            <v>0</v>
          </cell>
          <cell r="Z2846">
            <v>0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5</v>
          </cell>
          <cell r="O2847">
            <v>278551</v>
          </cell>
          <cell r="P2847"/>
          <cell r="Q2847" t="str">
            <v>EST CADEIRA TIAO (IMBUIA STAIN) EL NOVE 04 COR GREY</v>
          </cell>
          <cell r="R2847"/>
          <cell r="S2847"/>
          <cell r="T2847">
            <v>0.47</v>
          </cell>
          <cell r="U2847">
            <v>0.54</v>
          </cell>
          <cell r="V2847">
            <v>0.75</v>
          </cell>
          <cell r="W2847">
            <v>0</v>
          </cell>
          <cell r="X2847" t="str">
            <v>EST CADEIRA TIAO (IMBUIA STAIN) EL NOVE 04 COR GREY - 0,47x0,54x0,75H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278552</v>
          </cell>
          <cell r="P2848"/>
          <cell r="Q2848" t="str">
            <v>EST CADEIRA CANTU ALTA (MAD B COR 03) TC EL NOVE 4 GREY</v>
          </cell>
          <cell r="R2848"/>
          <cell r="S2848"/>
          <cell r="T2848">
            <v>0.5</v>
          </cell>
          <cell r="U2848">
            <v>0.56000000000000005</v>
          </cell>
          <cell r="V2848">
            <v>1.01</v>
          </cell>
          <cell r="W2848">
            <v>0</v>
          </cell>
          <cell r="X2848" t="str">
            <v>EST CADEIRA CANTU ALTA (MAD B COR 03) TC EL NOVE 4 GREY - 0,5x0,56x1,01H</v>
          </cell>
          <cell r="Y2848">
            <v>0</v>
          </cell>
          <cell r="Z2848">
            <v>0.5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1</v>
          </cell>
          <cell r="O2849">
            <v>278565</v>
          </cell>
          <cell r="P2849"/>
          <cell r="Q2849" t="str">
            <v>EST POLTRONA BEG (S/ROD) (MAD B COR 03) TC VILLA OLMO UMBER</v>
          </cell>
          <cell r="R2849"/>
          <cell r="S2849"/>
          <cell r="T2849">
            <v>0.65</v>
          </cell>
          <cell r="U2849">
            <v>0.63</v>
          </cell>
          <cell r="V2849">
            <v>0.77</v>
          </cell>
          <cell r="W2849">
            <v>0</v>
          </cell>
          <cell r="X2849" t="str">
            <v>EST POLTRONA BEG (S/ROD) (MAD B COR 03) TC VILLA OLMO UMBER - 0,65x0,63x0,77H</v>
          </cell>
          <cell r="Y2849">
            <v>0</v>
          </cell>
          <cell r="Z2849">
            <v>0.5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0</v>
          </cell>
          <cell r="O2850">
            <v>278566</v>
          </cell>
          <cell r="P2850"/>
          <cell r="Q2850" t="str">
            <v>EST POLTRONA BEG (S/ROD) (MAD A COR 02) TC VILLA NATURAL</v>
          </cell>
          <cell r="R2850"/>
          <cell r="S2850"/>
          <cell r="T2850">
            <v>0.65</v>
          </cell>
          <cell r="U2850">
            <v>0.63</v>
          </cell>
          <cell r="V2850">
            <v>0.77</v>
          </cell>
          <cell r="W2850">
            <v>0</v>
          </cell>
          <cell r="X2850" t="str">
            <v>EST POLTRONA BEG (S/ROD) (MAD A COR 02) TC VILLA NATURAL - 0,65x0,63x0,77H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1</v>
          </cell>
          <cell r="O2851">
            <v>278567</v>
          </cell>
          <cell r="P2851"/>
          <cell r="Q2851" t="str">
            <v>EST POLTRONA BEG (S/ROD) (MAD IMBUIA STAIN) TC VILLA NATURAL</v>
          </cell>
          <cell r="R2851"/>
          <cell r="S2851"/>
          <cell r="T2851">
            <v>0.65</v>
          </cell>
          <cell r="U2851">
            <v>0.63</v>
          </cell>
          <cell r="V2851">
            <v>0.77</v>
          </cell>
          <cell r="W2851">
            <v>0</v>
          </cell>
          <cell r="X2851" t="str">
            <v>EST POLTRONA BEG (S/ROD) (MAD IMBUIA STAIN) TC VILLA NATURAL - 0,65x0,63x0,77H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1</v>
          </cell>
          <cell r="O2852">
            <v>278568</v>
          </cell>
          <cell r="P2852"/>
          <cell r="Q2852" t="str">
            <v>EST CADEIRA TIAO C/BRACO (MAD IMBUIA STAIN) LINHO 403 W 611</v>
          </cell>
          <cell r="R2852"/>
          <cell r="S2852"/>
          <cell r="T2852">
            <v>0.61</v>
          </cell>
          <cell r="U2852">
            <v>0.62</v>
          </cell>
          <cell r="V2852">
            <v>0.78</v>
          </cell>
          <cell r="W2852">
            <v>0</v>
          </cell>
          <cell r="X2852" t="str">
            <v>EST CADEIRA TIAO C/BRACO (MAD IMBUIA STAIN) LINHO 403 W 611 - 0,61x0,62x0,78H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2</v>
          </cell>
          <cell r="O2853">
            <v>278569</v>
          </cell>
          <cell r="P2853"/>
          <cell r="Q2853" t="str">
            <v>EST CADEIRA TIAO C/BRACO (IMBUIA STAIN) EL NOVE 04 COR GREY</v>
          </cell>
          <cell r="R2853"/>
          <cell r="S2853"/>
          <cell r="T2853">
            <v>0.61</v>
          </cell>
          <cell r="U2853">
            <v>0.62</v>
          </cell>
          <cell r="V2853">
            <v>0.78</v>
          </cell>
          <cell r="W2853">
            <v>0</v>
          </cell>
          <cell r="X2853" t="str">
            <v>EST CADEIRA TIAO C/BRACO (IMBUIA STAIN) EL NOVE 04 COR GREY - 0,61x0,62x0,78H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1</v>
          </cell>
          <cell r="O2854">
            <v>278837</v>
          </cell>
          <cell r="P2854"/>
          <cell r="Q2854" t="str">
            <v>EST POLTRONA PARATY (MAD B COR 03) TC EL NOVE 04 GOLD</v>
          </cell>
          <cell r="R2854"/>
          <cell r="S2854"/>
          <cell r="T2854">
            <v>0.77</v>
          </cell>
          <cell r="U2854">
            <v>0.81</v>
          </cell>
          <cell r="V2854">
            <v>0.75</v>
          </cell>
          <cell r="W2854">
            <v>0</v>
          </cell>
          <cell r="X2854" t="str">
            <v>EST POLTRONA PARATY (MAD B COR 03) TC EL NOVE 04 GOLD - 0,77x0,81x0,75H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2</v>
          </cell>
          <cell r="O2855">
            <v>278838</v>
          </cell>
          <cell r="P2855"/>
          <cell r="Q2855" t="str">
            <v>EST BANQUETA PARATY (MAD B COR 03) TC EL NOVE 04 GOLD</v>
          </cell>
          <cell r="R2855"/>
          <cell r="S2855"/>
          <cell r="T2855">
            <v>0.78</v>
          </cell>
          <cell r="U2855">
            <v>0.49</v>
          </cell>
          <cell r="V2855">
            <v>0.39</v>
          </cell>
          <cell r="W2855">
            <v>0</v>
          </cell>
          <cell r="X2855" t="str">
            <v>EST BANQUETA PARATY (MAD B COR 03) TC EL NOVE 04 GOLD - 0,78x0,49x0,39H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1</v>
          </cell>
          <cell r="O2856">
            <v>279164</v>
          </cell>
          <cell r="P2856"/>
          <cell r="Q2856" t="str">
            <v>EST CADEIRA GOUTHIER (FREIJO NATURAL) COURO ENV CH 18</v>
          </cell>
          <cell r="R2856"/>
          <cell r="S2856"/>
          <cell r="T2856">
            <v>0.62</v>
          </cell>
          <cell r="U2856">
            <v>0.62</v>
          </cell>
          <cell r="V2856">
            <v>0.78</v>
          </cell>
          <cell r="W2856">
            <v>0</v>
          </cell>
          <cell r="X2856" t="str">
            <v>EST CADEIRA GOUTHIER (FREIJO NATURAL) COURO ENV CH 18 - 0,62x0,62x0,78H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1</v>
          </cell>
          <cell r="O2857">
            <v>279240</v>
          </cell>
          <cell r="P2857"/>
          <cell r="Q2857" t="str">
            <v>EST BANCO SUTRA (MADEIRA FREIJO NATURAL) CAMURCA TABACO</v>
          </cell>
          <cell r="R2857"/>
          <cell r="S2857"/>
          <cell r="T2857">
            <v>2</v>
          </cell>
          <cell r="U2857">
            <v>0.6</v>
          </cell>
          <cell r="V2857">
            <v>0.6</v>
          </cell>
          <cell r="W2857">
            <v>0</v>
          </cell>
          <cell r="X2857" t="str">
            <v>EST BANCO SUTRA (MADEIRA FREIJO NATURAL) CAMURCA TABACO - 2x0,6x0,6H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1</v>
          </cell>
          <cell r="O2858">
            <v>279256</v>
          </cell>
          <cell r="P2858"/>
          <cell r="Q2858" t="str">
            <v>EST MESA CENTRO FONTANA (FREIJO NATURAL)</v>
          </cell>
          <cell r="R2858"/>
          <cell r="S2858"/>
          <cell r="T2858">
            <v>1.8</v>
          </cell>
          <cell r="U2858">
            <v>0.8</v>
          </cell>
          <cell r="V2858">
            <v>0.3</v>
          </cell>
          <cell r="W2858">
            <v>0</v>
          </cell>
          <cell r="X2858" t="str">
            <v>EST MESA CENTRO FONTANA (FREIJO NATURAL) - 1,8x0,8x0,3H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1</v>
          </cell>
          <cell r="O2859">
            <v>279627</v>
          </cell>
          <cell r="P2859"/>
          <cell r="Q2859" t="str">
            <v>EST MESA LATERAL STAN (TAMPO TAUARI TONALIZADO COR 03)</v>
          </cell>
          <cell r="R2859"/>
          <cell r="S2859"/>
          <cell r="T2859">
            <v>0.4</v>
          </cell>
          <cell r="U2859">
            <v>0</v>
          </cell>
          <cell r="V2859">
            <v>0.6</v>
          </cell>
          <cell r="W2859">
            <v>0.4</v>
          </cell>
          <cell r="X2859" t="str">
            <v>EST MESA LATERAL STAN (TAMPO TAUARI TONALIZADO COR 03) - Ø0,4x0,6H</v>
          </cell>
          <cell r="Y2859">
            <v>0</v>
          </cell>
          <cell r="Z2859">
            <v>0.5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12</v>
          </cell>
          <cell r="O2860">
            <v>279631</v>
          </cell>
          <cell r="P2860"/>
          <cell r="Q2860" t="str">
            <v>EST MESA LATERAL STAN (TAMPO FREIJO NATURAL)</v>
          </cell>
          <cell r="R2860"/>
          <cell r="S2860"/>
          <cell r="T2860">
            <v>0.4</v>
          </cell>
          <cell r="U2860">
            <v>0</v>
          </cell>
          <cell r="V2860">
            <v>0.6</v>
          </cell>
          <cell r="W2860">
            <v>0.4</v>
          </cell>
          <cell r="X2860" t="str">
            <v>EST MESA LATERAL STAN (TAMPO FREIJO NATURAL) - Ø0,4x0,6H</v>
          </cell>
          <cell r="Y2860">
            <v>0</v>
          </cell>
          <cell r="Z2860">
            <v>0.5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9</v>
          </cell>
          <cell r="O2861">
            <v>279685</v>
          </cell>
          <cell r="P2861"/>
          <cell r="Q2861" t="str">
            <v>EST MESA LATERAL STAN JR (TAMPO FREIJO NATURAL)</v>
          </cell>
          <cell r="R2861"/>
          <cell r="S2861"/>
          <cell r="T2861">
            <v>0.3</v>
          </cell>
          <cell r="U2861">
            <v>0</v>
          </cell>
          <cell r="V2861">
            <v>0.55000000000000004</v>
          </cell>
          <cell r="W2861">
            <v>0.3</v>
          </cell>
          <cell r="X2861" t="str">
            <v>EST MESA LATERAL STAN JR (TAMPO FREIJO NATURAL) - Ø0,3x0,55H</v>
          </cell>
          <cell r="Y2861">
            <v>0</v>
          </cell>
          <cell r="Z2861">
            <v>0.5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2</v>
          </cell>
          <cell r="O2862">
            <v>280385</v>
          </cell>
          <cell r="P2862"/>
          <cell r="Q2862" t="str">
            <v>EST MESA LATERAL STAN JR (MARMORE MARROM IMPERIAL)</v>
          </cell>
          <cell r="R2862"/>
          <cell r="S2862"/>
          <cell r="T2862">
            <v>0.3</v>
          </cell>
          <cell r="U2862">
            <v>0</v>
          </cell>
          <cell r="V2862">
            <v>0.55000000000000004</v>
          </cell>
          <cell r="W2862">
            <v>0.3</v>
          </cell>
          <cell r="X2862" t="str">
            <v>EST MESA LATERAL STAN JR (MARMORE MARROM IMPERIAL) - Ø0,3x0,55H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1</v>
          </cell>
          <cell r="O2863">
            <v>280685</v>
          </cell>
          <cell r="P2863"/>
          <cell r="Q2863" t="str">
            <v>EST CADEIRA OMAR OFFICE S/R (MAD A CINAM EBNZ) COURO CH PTO</v>
          </cell>
          <cell r="R2863"/>
          <cell r="S2863"/>
          <cell r="T2863">
            <v>0.54</v>
          </cell>
          <cell r="U2863">
            <v>0.56999999999999995</v>
          </cell>
          <cell r="V2863">
            <v>0.83</v>
          </cell>
          <cell r="W2863">
            <v>0</v>
          </cell>
          <cell r="X2863" t="str">
            <v>EST CADEIRA OMAR OFFICE S/R (MAD A CINAM EBNZ) COURO CH PTO - 0,54x0,57x0,83H</v>
          </cell>
          <cell r="Y2863">
            <v>0</v>
          </cell>
          <cell r="Z2863">
            <v>0</v>
          </cell>
          <cell r="AA2863">
            <v>0</v>
          </cell>
          <cell r="AB2863"/>
        </row>
        <row r="2864">
          <cell r="C2864">
            <v>0</v>
          </cell>
          <cell r="D2864">
            <v>0</v>
          </cell>
          <cell r="E2864">
            <v>0</v>
          </cell>
          <cell r="F2864">
            <v>0</v>
          </cell>
          <cell r="H2864">
            <v>5</v>
          </cell>
          <cell r="O2864">
            <v>280848</v>
          </cell>
          <cell r="P2864"/>
          <cell r="Q2864" t="str">
            <v>EST CADEIRA ORQUIDEA (MAD B FREIJO NT) COURO NOBUCK 98</v>
          </cell>
          <cell r="R2864"/>
          <cell r="S2864"/>
          <cell r="T2864">
            <v>0.47</v>
          </cell>
          <cell r="U2864">
            <v>0.55000000000000004</v>
          </cell>
          <cell r="V2864">
            <v>0.79</v>
          </cell>
          <cell r="W2864">
            <v>0</v>
          </cell>
          <cell r="X2864" t="str">
            <v>EST CADEIRA ORQUIDEA (MAD B FREIJO NT) COURO NOBUCK 98 - 0,47x0,55x0,79H</v>
          </cell>
          <cell r="Y2864">
            <v>0</v>
          </cell>
          <cell r="Z2864">
            <v>0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281308</v>
          </cell>
          <cell r="P2865"/>
          <cell r="Q2865" t="str">
            <v>EST CADEIRA ORQUIDEA (MAD B FREIJO NT) TC FOLHAGEM VERDE</v>
          </cell>
          <cell r="R2865"/>
          <cell r="S2865"/>
          <cell r="T2865">
            <v>0.47</v>
          </cell>
          <cell r="U2865">
            <v>0.55000000000000004</v>
          </cell>
          <cell r="V2865">
            <v>0.79</v>
          </cell>
          <cell r="W2865">
            <v>0</v>
          </cell>
          <cell r="X2865" t="str">
            <v>EST CADEIRA ORQUIDEA (MAD B FREIJO NT) TC FOLHAGEM VERDE - 0,47x0,55x0,79H</v>
          </cell>
          <cell r="Y2865">
            <v>0</v>
          </cell>
          <cell r="Z2865">
            <v>0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0</v>
          </cell>
          <cell r="O2866">
            <v>281448</v>
          </cell>
          <cell r="P2866"/>
          <cell r="Q2866" t="str">
            <v>EST MODULO CHAISE BRACO ESQ LONA MAIS TC PERFECTION NEUTRAL</v>
          </cell>
          <cell r="R2866"/>
          <cell r="S2866"/>
          <cell r="T2866">
            <v>1.6</v>
          </cell>
          <cell r="U2866">
            <v>1.2</v>
          </cell>
          <cell r="V2866">
            <v>0.73</v>
          </cell>
          <cell r="W2866">
            <v>0</v>
          </cell>
          <cell r="X2866" t="str">
            <v>EST MODULO CHAISE BRACO ESQ LONA MAIS TC PERFECTION NEUTRAL - 1,6x1,2x0,73H</v>
          </cell>
          <cell r="Y2866">
            <v>0</v>
          </cell>
          <cell r="Z2866">
            <v>0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0</v>
          </cell>
          <cell r="O2867">
            <v>281449</v>
          </cell>
          <cell r="P2867"/>
          <cell r="Q2867" t="str">
            <v>EST MODULO BRACO DIR LONA MAIS TC PERFECTION NEUTRAL</v>
          </cell>
          <cell r="R2867"/>
          <cell r="S2867"/>
          <cell r="T2867">
            <v>0</v>
          </cell>
          <cell r="U2867">
            <v>0</v>
          </cell>
          <cell r="V2867">
            <v>0</v>
          </cell>
          <cell r="W2867">
            <v>0</v>
          </cell>
          <cell r="X2867" t="str">
            <v>EST MODULO BRACO DIR LONA MAIS TC PERFECTION NEUTRAL - Ø0x0H</v>
          </cell>
          <cell r="Y2867">
            <v>0</v>
          </cell>
          <cell r="Z2867">
            <v>0.5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0</v>
          </cell>
          <cell r="O2868">
            <v>281450</v>
          </cell>
          <cell r="P2868"/>
          <cell r="Q2868" t="str">
            <v>EST MODULO CHAISE S/BRACO LONA MAIS TC PERFECTION NEUTRAL</v>
          </cell>
          <cell r="R2868"/>
          <cell r="S2868"/>
          <cell r="T2868">
            <v>0.95</v>
          </cell>
          <cell r="U2868">
            <v>1.2</v>
          </cell>
          <cell r="V2868">
            <v>0.73</v>
          </cell>
          <cell r="W2868">
            <v>0</v>
          </cell>
          <cell r="X2868" t="str">
            <v>EST MODULO CHAISE S/BRACO LONA MAIS TC PERFECTION NEUTRAL - 0,95x1,2x0,73H</v>
          </cell>
          <cell r="Y2868">
            <v>0</v>
          </cell>
          <cell r="Z2868">
            <v>0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0</v>
          </cell>
          <cell r="O2869">
            <v>281452</v>
          </cell>
          <cell r="P2869"/>
          <cell r="Q2869" t="str">
            <v>EST MODULO S/BRACO LONA MAIS TC PERFECTION NEUTRAL</v>
          </cell>
          <cell r="R2869"/>
          <cell r="S2869"/>
          <cell r="T2869">
            <v>0.95</v>
          </cell>
          <cell r="U2869">
            <v>0.95</v>
          </cell>
          <cell r="V2869">
            <v>0.73</v>
          </cell>
          <cell r="W2869">
            <v>0</v>
          </cell>
          <cell r="X2869" t="str">
            <v>EST MODULO S/BRACO LONA MAIS TC PERFECTION NEUTRAL - 0,95x0,95x0,73H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0</v>
          </cell>
          <cell r="O2870">
            <v>281453</v>
          </cell>
          <cell r="P2870"/>
          <cell r="Q2870" t="str">
            <v>EST PUFF LONA MAIS TC PERFECTION NEUTRAL</v>
          </cell>
          <cell r="R2870"/>
          <cell r="S2870"/>
          <cell r="T2870">
            <v>0.95</v>
          </cell>
          <cell r="U2870">
            <v>0.95</v>
          </cell>
          <cell r="V2870">
            <v>0.4</v>
          </cell>
          <cell r="W2870">
            <v>0</v>
          </cell>
          <cell r="X2870" t="str">
            <v>EST PUFF LONA MAIS TC PERFECTION NEUTRAL - 0,95x0,95x0,4H</v>
          </cell>
          <cell r="Y2870">
            <v>0</v>
          </cell>
          <cell r="Z2870">
            <v>0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0</v>
          </cell>
          <cell r="O2871">
            <v>281454</v>
          </cell>
          <cell r="P2871"/>
          <cell r="Q2871" t="str">
            <v>EST MODULO CHAISE BRACO ESQ LONA MAIS TC PERFECTION NEUTRAL</v>
          </cell>
          <cell r="R2871"/>
          <cell r="S2871"/>
          <cell r="T2871">
            <v>1.2</v>
          </cell>
          <cell r="U2871">
            <v>1.2</v>
          </cell>
          <cell r="V2871">
            <v>0.73</v>
          </cell>
          <cell r="W2871">
            <v>0</v>
          </cell>
          <cell r="X2871" t="str">
            <v>EST MODULO CHAISE BRACO ESQ LONA MAIS TC PERFECTION NEUTRAL - 1,2x1,2x0,73H</v>
          </cell>
          <cell r="Y2871">
            <v>0</v>
          </cell>
          <cell r="Z2871">
            <v>0.5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0</v>
          </cell>
          <cell r="O2872">
            <v>281466</v>
          </cell>
          <cell r="P2872"/>
          <cell r="Q2872" t="str">
            <v>EST ALMOFADA DECORATIVA LONA MAIS TC GALLIA 7888 CAFE</v>
          </cell>
          <cell r="R2872"/>
          <cell r="S2872"/>
          <cell r="T2872">
            <v>0.6</v>
          </cell>
          <cell r="U2872">
            <v>0.6</v>
          </cell>
          <cell r="V2872">
            <v>0</v>
          </cell>
          <cell r="W2872">
            <v>0</v>
          </cell>
          <cell r="X2872" t="str">
            <v>EST ALMOFADA DECORATIVA LONA MAIS TC GALLIA 7888 CAFE - 0,6x0,6x0H</v>
          </cell>
          <cell r="Y2872">
            <v>0</v>
          </cell>
          <cell r="Z2872">
            <v>0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0</v>
          </cell>
          <cell r="O2873">
            <v>281467</v>
          </cell>
          <cell r="P2873"/>
          <cell r="Q2873" t="str">
            <v>EST ALMOFADA DECORATIVA LONA MAIS (RIM) TC GIRONA 7770</v>
          </cell>
          <cell r="R2873"/>
          <cell r="S2873"/>
          <cell r="T2873">
            <v>0.6</v>
          </cell>
          <cell r="U2873">
            <v>0.3</v>
          </cell>
          <cell r="V2873">
            <v>0</v>
          </cell>
          <cell r="W2873">
            <v>0</v>
          </cell>
          <cell r="X2873" t="str">
            <v>EST ALMOFADA DECORATIVA LONA MAIS (RIM) TC GIRONA 7770 - 0,6x0,3x0H</v>
          </cell>
          <cell r="Y2873">
            <v>0</v>
          </cell>
          <cell r="Z2873">
            <v>0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7</v>
          </cell>
          <cell r="O2874">
            <v>281470</v>
          </cell>
          <cell r="P2874"/>
          <cell r="Q2874" t="str">
            <v>EST CADEIRA ESSA (JEQ TABACO) TC PERFECTION NEUTRAL</v>
          </cell>
          <cell r="R2874"/>
          <cell r="S2874"/>
          <cell r="T2874">
            <v>0.56000000000000005</v>
          </cell>
          <cell r="U2874">
            <v>0.59</v>
          </cell>
          <cell r="V2874">
            <v>0.8</v>
          </cell>
          <cell r="W2874">
            <v>0</v>
          </cell>
          <cell r="X2874" t="str">
            <v>EST CADEIRA ESSA (JEQ TABACO) TC PERFECTION NEUTRAL - 0,56x0,59x0,8H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6</v>
          </cell>
          <cell r="O2875">
            <v>281472</v>
          </cell>
          <cell r="P2875"/>
          <cell r="Q2875" t="str">
            <v>EST CADEIRA ESSA (MAD A JEQ 03) TC GALLIA MUSGO</v>
          </cell>
          <cell r="R2875"/>
          <cell r="S2875"/>
          <cell r="T2875">
            <v>0.56000000000000005</v>
          </cell>
          <cell r="U2875">
            <v>0.59</v>
          </cell>
          <cell r="V2875">
            <v>0.8</v>
          </cell>
          <cell r="W2875">
            <v>0</v>
          </cell>
          <cell r="X2875" t="str">
            <v>EST CADEIRA ESSA (MAD A JEQ 03) TC GALLIA MUSGO - 0,56x0,59x0,8H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1</v>
          </cell>
          <cell r="O2876">
            <v>281544</v>
          </cell>
          <cell r="P2876"/>
          <cell r="Q2876" t="str">
            <v>EST SOFA OLIVO (ACO PRETO) TC XADREZ SUECIA (PEWTER)</v>
          </cell>
          <cell r="R2876"/>
          <cell r="S2876"/>
          <cell r="T2876">
            <v>2.4500000000000002</v>
          </cell>
          <cell r="U2876">
            <v>0.84</v>
          </cell>
          <cell r="V2876">
            <v>0.7</v>
          </cell>
          <cell r="W2876">
            <v>0</v>
          </cell>
          <cell r="X2876" t="str">
            <v>EST SOFA OLIVO (ACO PRETO) TC XADREZ SUECIA (PEWTER) - 2,45x0,84x0,7H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1</v>
          </cell>
          <cell r="O2877">
            <v>291201</v>
          </cell>
          <cell r="P2877"/>
          <cell r="Q2877" t="str">
            <v>EST SOFA SOFT C/CAPA TC LINHO SAFARI CORES MUSGO/ALM NEUTRO</v>
          </cell>
          <cell r="R2877"/>
          <cell r="S2877"/>
          <cell r="T2877">
            <v>3</v>
          </cell>
          <cell r="U2877">
            <v>1.02</v>
          </cell>
          <cell r="V2877">
            <v>0</v>
          </cell>
          <cell r="W2877">
            <v>0</v>
          </cell>
          <cell r="X2877" t="str">
            <v>EST SOFA SOFT C/CAPA TC LINHO SAFARI CORES MUSGO/ALM NEUTRO - 3x1,02x0H</v>
          </cell>
          <cell r="Y2877">
            <v>0</v>
          </cell>
          <cell r="Z2877">
            <v>0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291214</v>
          </cell>
          <cell r="P2878"/>
          <cell r="Q2878" t="str">
            <v>EST MODULO CHAISE BRACO DIR LONA MAIS TC PERFECTION NEUTRAL</v>
          </cell>
          <cell r="R2878"/>
          <cell r="S2878"/>
          <cell r="T2878">
            <v>1.2</v>
          </cell>
          <cell r="U2878">
            <v>1.2</v>
          </cell>
          <cell r="V2878">
            <v>0.73</v>
          </cell>
          <cell r="W2878">
            <v>0</v>
          </cell>
          <cell r="X2878" t="str">
            <v>EST MODULO CHAISE BRACO DIR LONA MAIS TC PERFECTION NEUTRAL - 1,2x1,2x0,73H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292815</v>
          </cell>
          <cell r="P2879"/>
          <cell r="Q2879" t="str">
            <v>EST ESCRIVANINHA MARINA (PAU FERRO NATURAL 1) COURO CH 42</v>
          </cell>
          <cell r="R2879"/>
          <cell r="S2879"/>
          <cell r="T2879">
            <v>1.8</v>
          </cell>
          <cell r="U2879">
            <v>0.7</v>
          </cell>
          <cell r="V2879">
            <v>0.75</v>
          </cell>
          <cell r="W2879">
            <v>0</v>
          </cell>
          <cell r="X2879" t="str">
            <v>EST ESCRIVANINHA MARINA (PAU FERRO NATURAL 1) COURO CH 42 - 1,8x0,7x0,75H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296319</v>
          </cell>
          <cell r="P2880"/>
          <cell r="Q2880" t="str">
            <v>EST BASE JANTAR GELSOMINA (FREIJO TONALIZADO)</v>
          </cell>
          <cell r="R2880"/>
          <cell r="S2880"/>
          <cell r="T2880">
            <v>0.9</v>
          </cell>
          <cell r="U2880">
            <v>0</v>
          </cell>
          <cell r="V2880">
            <v>0.73</v>
          </cell>
          <cell r="W2880">
            <v>0</v>
          </cell>
          <cell r="X2880" t="str">
            <v>EST BASE JANTAR GELSOMINA (FREIJO TONALIZADO) - Ø0x0,73H</v>
          </cell>
          <cell r="Y2880">
            <v>0</v>
          </cell>
          <cell r="Z2880">
            <v>0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4</v>
          </cell>
          <cell r="O2881">
            <v>297947</v>
          </cell>
          <cell r="P2881"/>
          <cell r="Q2881" t="str">
            <v>EST CADEIRA GB01 TELA (QUADRIC NT) (JEQ 03)</v>
          </cell>
          <cell r="R2881"/>
          <cell r="S2881"/>
          <cell r="T2881">
            <v>0.45</v>
          </cell>
          <cell r="U2881">
            <v>0.48</v>
          </cell>
          <cell r="V2881">
            <v>0.85</v>
          </cell>
          <cell r="W2881">
            <v>0</v>
          </cell>
          <cell r="X2881" t="str">
            <v>EST CADEIRA GB01 TELA (QUADRIC NT) (JEQ 03) - 0,45x0,48x0,85H</v>
          </cell>
          <cell r="Y2881">
            <v>0</v>
          </cell>
          <cell r="Z2881">
            <v>0.5</v>
          </cell>
          <cell r="AA2881">
            <v>0</v>
          </cell>
          <cell r="AB2881"/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H2882">
            <v>2</v>
          </cell>
          <cell r="O2882">
            <v>299179</v>
          </cell>
          <cell r="P2882"/>
          <cell r="Q2882" t="str">
            <v>EST BASE JANTAR KAYA (P/ TP 3,00X1,20) (FREIJO NATURAL)</v>
          </cell>
          <cell r="R2882"/>
          <cell r="S2882"/>
          <cell r="T2882">
            <v>2.6</v>
          </cell>
          <cell r="U2882">
            <v>0.8</v>
          </cell>
          <cell r="V2882">
            <v>0.72</v>
          </cell>
          <cell r="W2882">
            <v>0</v>
          </cell>
          <cell r="X2882" t="str">
            <v>EST BASE JANTAR KAYA (P/ TP 3,00X1,20) (FREIJO NATURAL) - 2,6x0,8x0,72H</v>
          </cell>
          <cell r="Y2882">
            <v>0</v>
          </cell>
          <cell r="Z2882">
            <v>0.5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1</v>
          </cell>
          <cell r="O2883">
            <v>299316</v>
          </cell>
          <cell r="P2883"/>
          <cell r="Q2883" t="str">
            <v>EST POLTRONA MOLECA (MAD A COR 102) TC GALLIA NATURAL</v>
          </cell>
          <cell r="R2883"/>
          <cell r="S2883"/>
          <cell r="T2883">
            <v>1.06</v>
          </cell>
          <cell r="U2883">
            <v>0.9</v>
          </cell>
          <cell r="V2883">
            <v>0.8</v>
          </cell>
          <cell r="W2883">
            <v>0</v>
          </cell>
          <cell r="X2883" t="str">
            <v>EST POLTRONA MOLECA (MAD A COR 102) TC GALLIA NATURAL - 1,06x0,9x0,8H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1</v>
          </cell>
          <cell r="O2884">
            <v>299317</v>
          </cell>
          <cell r="P2884"/>
          <cell r="Q2884" t="str">
            <v>EST BANQUETA MOLECA (MAD A COR 102) TC GALLIA NATURAL</v>
          </cell>
          <cell r="R2884"/>
          <cell r="S2884"/>
          <cell r="T2884">
            <v>0.81</v>
          </cell>
          <cell r="U2884">
            <v>0.52</v>
          </cell>
          <cell r="V2884">
            <v>0.43</v>
          </cell>
          <cell r="W2884">
            <v>0</v>
          </cell>
          <cell r="X2884" t="str">
            <v>EST BANQUETA MOLECA (MAD A COR 102) TC GALLIA NATURAL - 0,81x0,52x0,43H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300030</v>
          </cell>
          <cell r="P2885"/>
          <cell r="Q2885" t="str">
            <v>EST POLTRONA PORTUGUESA S/B (SOLTO) (IPE) CAMURCA TABACO</v>
          </cell>
          <cell r="R2885"/>
          <cell r="S2885"/>
          <cell r="T2885">
            <v>0.65</v>
          </cell>
          <cell r="U2885">
            <v>0.67</v>
          </cell>
          <cell r="V2885">
            <v>0.75</v>
          </cell>
          <cell r="W2885">
            <v>0</v>
          </cell>
          <cell r="X2885" t="str">
            <v>EST POLTRONA PORTUGUESA S/B (SOLTO) (IPE) CAMURCA TABACO - 0,65x0,67x0,75H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1</v>
          </cell>
          <cell r="O2886">
            <v>300462</v>
          </cell>
          <cell r="P2886"/>
          <cell r="Q2886" t="str">
            <v>EST MESA JANTAR DINA (FREIJO NATURAL)</v>
          </cell>
          <cell r="R2886"/>
          <cell r="S2886"/>
          <cell r="T2886">
            <v>3.5</v>
          </cell>
          <cell r="U2886">
            <v>1.2</v>
          </cell>
          <cell r="V2886">
            <v>0.75</v>
          </cell>
          <cell r="W2886">
            <v>0</v>
          </cell>
          <cell r="X2886" t="str">
            <v>EST MESA JANTAR DINA (FREIJO NATURAL) - 3,5x1,2x0,75H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2</v>
          </cell>
          <cell r="O2887">
            <v>300674</v>
          </cell>
          <cell r="P2887"/>
          <cell r="Q2887" t="str">
            <v>EST BANCO FREVO (PINHO DE RIGA)</v>
          </cell>
          <cell r="R2887"/>
          <cell r="S2887"/>
          <cell r="T2887">
            <v>2.2000000000000002</v>
          </cell>
          <cell r="U2887">
            <v>0.5</v>
          </cell>
          <cell r="V2887">
            <v>0.45</v>
          </cell>
          <cell r="W2887">
            <v>0</v>
          </cell>
          <cell r="X2887" t="str">
            <v>EST BANCO FREVO (PINHO DE RIGA) - 2,2x0,5x0,45H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2</v>
          </cell>
          <cell r="O2888">
            <v>300675</v>
          </cell>
          <cell r="P2888"/>
          <cell r="Q2888" t="str">
            <v>EST BANCO FREVO (FREIJO)</v>
          </cell>
          <cell r="R2888"/>
          <cell r="S2888"/>
          <cell r="T2888">
            <v>2.2000000000000002</v>
          </cell>
          <cell r="U2888">
            <v>0.5</v>
          </cell>
          <cell r="V2888">
            <v>0.45</v>
          </cell>
          <cell r="W2888">
            <v>0</v>
          </cell>
          <cell r="X2888" t="str">
            <v>EST BANCO FREVO (FREIJO) - 2,2x0,5x0,45H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2</v>
          </cell>
          <cell r="O2889">
            <v>300799</v>
          </cell>
          <cell r="P2889"/>
          <cell r="Q2889" t="str">
            <v>EST POLTRONA MILLOR (FREIJO NATURAL) TC PERFECTION NEUTRAL</v>
          </cell>
          <cell r="R2889"/>
          <cell r="S2889"/>
          <cell r="T2889">
            <v>1</v>
          </cell>
          <cell r="U2889">
            <v>0.92</v>
          </cell>
          <cell r="V2889">
            <v>0.7</v>
          </cell>
          <cell r="W2889">
            <v>0</v>
          </cell>
          <cell r="X2889" t="str">
            <v>EST POLTRONA MILLOR (FREIJO NATURAL) TC PERFECTION NEUTRAL - 1x0,92x0,7H</v>
          </cell>
          <cell r="Y2889">
            <v>0</v>
          </cell>
          <cell r="Z2889">
            <v>0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4</v>
          </cell>
          <cell r="O2890">
            <v>301227</v>
          </cell>
          <cell r="P2890"/>
          <cell r="Q2890" t="str">
            <v>EST BANCO BANQUINHO (IMBUIA)</v>
          </cell>
          <cell r="R2890"/>
          <cell r="S2890"/>
          <cell r="T2890">
            <v>0.63</v>
          </cell>
          <cell r="U2890">
            <v>0.48</v>
          </cell>
          <cell r="V2890">
            <v>0.44</v>
          </cell>
          <cell r="W2890">
            <v>0</v>
          </cell>
          <cell r="X2890" t="str">
            <v>EST BANCO BANQUINHO (IMBUIA) - 0,63x0,48x0,44H</v>
          </cell>
          <cell r="Y2890">
            <v>0</v>
          </cell>
          <cell r="Z2890">
            <v>0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13</v>
          </cell>
          <cell r="O2891">
            <v>302807</v>
          </cell>
          <cell r="P2891"/>
          <cell r="Q2891" t="str">
            <v>EST MESA LATERAL SOLO (MOD 1) (BASE TAIPA) (TP FREIJO)</v>
          </cell>
          <cell r="R2891"/>
          <cell r="S2891"/>
          <cell r="T2891">
            <v>0.3</v>
          </cell>
          <cell r="U2891">
            <v>0.2</v>
          </cell>
          <cell r="V2891">
            <v>0.56000000000000005</v>
          </cell>
          <cell r="W2891">
            <v>0</v>
          </cell>
          <cell r="X2891" t="str">
            <v>EST MESA LATERAL SOLO (MOD 1) (BASE TAIPA) (TP FREIJO) - 0,3x0,2x0,56H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13</v>
          </cell>
          <cell r="O2892">
            <v>302809</v>
          </cell>
          <cell r="P2892"/>
          <cell r="Q2892" t="str">
            <v>EST MESA LATERAL SOLO (MOD 1) (BASE TAIPA) (TP IMBUIA)</v>
          </cell>
          <cell r="R2892"/>
          <cell r="S2892"/>
          <cell r="T2892">
            <v>0.3</v>
          </cell>
          <cell r="U2892">
            <v>0.2</v>
          </cell>
          <cell r="V2892">
            <v>0.56000000000000005</v>
          </cell>
          <cell r="W2892">
            <v>0</v>
          </cell>
          <cell r="X2892" t="str">
            <v>EST MESA LATERAL SOLO (MOD 1) (BASE TAIPA) (TP IMBUIA) - 0,3x0,2x0,56H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18</v>
          </cell>
          <cell r="O2893">
            <v>302810</v>
          </cell>
          <cell r="P2893"/>
          <cell r="Q2893" t="str">
            <v>EST MESA LATERAL SOLO (MOD 2) (BASE TAIPA) (TP IMBUIA)</v>
          </cell>
          <cell r="R2893"/>
          <cell r="S2893"/>
          <cell r="T2893">
            <v>0.35</v>
          </cell>
          <cell r="U2893">
            <v>0.25</v>
          </cell>
          <cell r="V2893">
            <v>0.62</v>
          </cell>
          <cell r="W2893">
            <v>0</v>
          </cell>
          <cell r="X2893" t="str">
            <v>EST MESA LATERAL SOLO (MOD 2) (BASE TAIPA) (TP IMBUIA) - 0,35x0,25x0,62H</v>
          </cell>
          <cell r="Y2893">
            <v>0</v>
          </cell>
          <cell r="Z2893">
            <v>0.35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14</v>
          </cell>
          <cell r="O2894">
            <v>302811</v>
          </cell>
          <cell r="P2894"/>
          <cell r="Q2894" t="str">
            <v>EST MESA LATERAL SOLO (MOD 2) (BASE TAIPA) (TP FREIJO)</v>
          </cell>
          <cell r="R2894"/>
          <cell r="S2894"/>
          <cell r="T2894">
            <v>0.35</v>
          </cell>
          <cell r="U2894">
            <v>0.25</v>
          </cell>
          <cell r="V2894">
            <v>0.62</v>
          </cell>
          <cell r="W2894">
            <v>0</v>
          </cell>
          <cell r="X2894" t="str">
            <v>EST MESA LATERAL SOLO (MOD 2) (BASE TAIPA) (TP FREIJO) - 0,35x0,25x0,62H</v>
          </cell>
          <cell r="Y2894">
            <v>0</v>
          </cell>
          <cell r="Z2894">
            <v>0.5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5</v>
          </cell>
          <cell r="O2895">
            <v>302821</v>
          </cell>
          <cell r="P2895"/>
          <cell r="Q2895" t="str">
            <v>EST CABIDEIRO SOLO (BASE TAIPA) (HASTE FREIJO)</v>
          </cell>
          <cell r="R2895"/>
          <cell r="S2895"/>
          <cell r="T2895">
            <v>0.36</v>
          </cell>
          <cell r="U2895">
            <v>0.15</v>
          </cell>
          <cell r="V2895">
            <v>0.96</v>
          </cell>
          <cell r="W2895">
            <v>0</v>
          </cell>
          <cell r="X2895" t="str">
            <v>EST CABIDEIRO SOLO (BASE TAIPA) (HASTE FREIJO) - 0,36x0,15x0,96H</v>
          </cell>
          <cell r="Y2895">
            <v>0</v>
          </cell>
          <cell r="Z2895">
            <v>0.5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1</v>
          </cell>
          <cell r="O2896">
            <v>302822</v>
          </cell>
          <cell r="P2896"/>
          <cell r="Q2896" t="str">
            <v>EST CABIDEIRO SOLO (BASE TAIPA) (HASTE IMBUIA)</v>
          </cell>
          <cell r="R2896"/>
          <cell r="S2896"/>
          <cell r="T2896">
            <v>0.36</v>
          </cell>
          <cell r="U2896">
            <v>0.15</v>
          </cell>
          <cell r="V2896">
            <v>0.96</v>
          </cell>
          <cell r="W2896">
            <v>0</v>
          </cell>
          <cell r="X2896" t="str">
            <v>EST CABIDEIRO SOLO (BASE TAIPA) (HASTE IMBUIA) - 0,36x0,15x0,96H</v>
          </cell>
          <cell r="Y2896">
            <v>0</v>
          </cell>
          <cell r="Z2896">
            <v>0.5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303855</v>
          </cell>
          <cell r="P2897"/>
          <cell r="Q2897" t="str">
            <v>EST TAMPO GELSOMINA (CIRCULAR) (G3-GREEN P BORDA DUP)</v>
          </cell>
          <cell r="R2897"/>
          <cell r="S2897"/>
          <cell r="T2897">
            <v>1.6</v>
          </cell>
          <cell r="U2897">
            <v>0</v>
          </cell>
          <cell r="V2897">
            <v>0.02</v>
          </cell>
          <cell r="W2897">
            <v>1.6</v>
          </cell>
          <cell r="X2897" t="str">
            <v>EST TAMPO GELSOMINA (CIRCULAR) (G3-GREEN P BORDA DUP) - Ø1,6x0,02H</v>
          </cell>
          <cell r="Y2897">
            <v>0</v>
          </cell>
          <cell r="Z2897">
            <v>0.35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1</v>
          </cell>
          <cell r="O2898">
            <v>304384</v>
          </cell>
          <cell r="P2898"/>
          <cell r="Q2898" t="str">
            <v>EST SOFA AIR II (BASE PRETA) TC PERFECTION NEUTRAL</v>
          </cell>
          <cell r="R2898"/>
          <cell r="S2898"/>
          <cell r="T2898">
            <v>3</v>
          </cell>
          <cell r="U2898">
            <v>0.97</v>
          </cell>
          <cell r="V2898">
            <v>0.7</v>
          </cell>
          <cell r="W2898">
            <v>0</v>
          </cell>
          <cell r="X2898" t="str">
            <v>EST SOFA AIR II (BASE PRETA) TC PERFECTION NEUTRAL - 3x0,97x0,7H</v>
          </cell>
          <cell r="Y2898">
            <v>0</v>
          </cell>
          <cell r="Z2898">
            <v>0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1</v>
          </cell>
          <cell r="O2899">
            <v>307682</v>
          </cell>
          <cell r="P2899"/>
          <cell r="Q2899" t="str">
            <v>EST MESA LATERAL CONINHA (JEQUITIBA NT) (TPO METAL PTO FSC)</v>
          </cell>
          <cell r="R2899"/>
          <cell r="S2899"/>
          <cell r="T2899">
            <v>0.35</v>
          </cell>
          <cell r="U2899">
            <v>0</v>
          </cell>
          <cell r="V2899">
            <v>0.5</v>
          </cell>
          <cell r="W2899">
            <v>0.35</v>
          </cell>
          <cell r="X2899" t="str">
            <v>EST MESA LATERAL CONINHA (JEQUITIBA NT) (TPO METAL PTO FSC) - Ø0,35x0,5H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307712</v>
          </cell>
          <cell r="P2900"/>
          <cell r="Q2900" t="str">
            <v>EST MESA LATERAL CHEGA AQUI (LISA) (SUCUPIRA) BS PRETA FSC</v>
          </cell>
          <cell r="R2900"/>
          <cell r="S2900"/>
          <cell r="T2900">
            <v>0.41</v>
          </cell>
          <cell r="U2900">
            <v>0</v>
          </cell>
          <cell r="V2900">
            <v>0.7</v>
          </cell>
          <cell r="W2900">
            <v>0.41</v>
          </cell>
          <cell r="X2900" t="str">
            <v>EST MESA LATERAL CHEGA AQUI (LISA) (SUCUPIRA) BS PRETA FSC - Ø0,41x0,7H</v>
          </cell>
          <cell r="Y2900">
            <v>0</v>
          </cell>
          <cell r="Z2900">
            <v>0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307724</v>
          </cell>
          <cell r="P2901"/>
          <cell r="Q2901" t="str">
            <v>EST MESA LATERAL CONINHA (BASE CONCRETO) (TPO METAL PTO FSC)</v>
          </cell>
          <cell r="R2901"/>
          <cell r="S2901"/>
          <cell r="T2901">
            <v>0.35</v>
          </cell>
          <cell r="U2901">
            <v>0</v>
          </cell>
          <cell r="V2901">
            <v>0.48</v>
          </cell>
          <cell r="W2901">
            <v>0.35</v>
          </cell>
          <cell r="X2901" t="str">
            <v>EST MESA LATERAL CONINHA (BASE CONCRETO) (TPO METAL PTO FSC) - Ø0,35x0,48H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6</v>
          </cell>
          <cell r="O2902">
            <v>307864</v>
          </cell>
          <cell r="P2902"/>
          <cell r="Q2902" t="str">
            <v>EST CADEIRA GB01 MISTA (JEQ 03) (SEXT NT) TC MAGNOL 112</v>
          </cell>
          <cell r="R2902"/>
          <cell r="S2902"/>
          <cell r="T2902">
            <v>0.45</v>
          </cell>
          <cell r="U2902">
            <v>0.48</v>
          </cell>
          <cell r="V2902">
            <v>0</v>
          </cell>
          <cell r="W2902">
            <v>0</v>
          </cell>
          <cell r="X2902" t="str">
            <v>EST CADEIRA GB01 MISTA (JEQ 03) (SEXT NT) TC MAGNOL 112 - 0,45x0,48x0H</v>
          </cell>
          <cell r="Y2902">
            <v>0</v>
          </cell>
          <cell r="Z2902">
            <v>0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307969</v>
          </cell>
          <cell r="P2903"/>
          <cell r="Q2903" t="str">
            <v>EST SOFA OLIVO (ACO PRETO) TC LINHO FREIXO (PEWTER)</v>
          </cell>
          <cell r="R2903"/>
          <cell r="S2903"/>
          <cell r="T2903">
            <v>2.4500000000000002</v>
          </cell>
          <cell r="U2903">
            <v>0.84</v>
          </cell>
          <cell r="V2903">
            <v>0.7</v>
          </cell>
          <cell r="W2903">
            <v>0</v>
          </cell>
          <cell r="X2903" t="str">
            <v>EST SOFA OLIVO (ACO PRETO) TC LINHO FREIXO (PEWTER) - 2,45x0,84x0,7H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307970</v>
          </cell>
          <cell r="P2904"/>
          <cell r="Q2904" t="str">
            <v>EST SOFA OLIVO (ACO PRETO) TC LINHO FREIXO (SILVER)</v>
          </cell>
          <cell r="R2904"/>
          <cell r="S2904"/>
          <cell r="T2904">
            <v>1.85</v>
          </cell>
          <cell r="U2904">
            <v>0.84</v>
          </cell>
          <cell r="V2904">
            <v>0.7</v>
          </cell>
          <cell r="W2904">
            <v>0</v>
          </cell>
          <cell r="X2904" t="str">
            <v>EST SOFA OLIVO (ACO PRETO) TC LINHO FREIXO (SILVER) - 1,85x0,84x0,7H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0</v>
          </cell>
          <cell r="O2905">
            <v>308019</v>
          </cell>
          <cell r="P2905"/>
          <cell r="Q2905" t="str">
            <v>EST ESTANTE GB 02 (DUPLA) (PINHO NATURAL)</v>
          </cell>
          <cell r="R2905"/>
          <cell r="S2905"/>
          <cell r="T2905">
            <v>2.7</v>
          </cell>
          <cell r="U2905">
            <v>0.4</v>
          </cell>
          <cell r="V2905">
            <v>2.15</v>
          </cell>
          <cell r="W2905">
            <v>0</v>
          </cell>
          <cell r="X2905" t="str">
            <v>EST ESTANTE GB 02 (DUPLA) (PINHO NATURAL) - 2,7x0,4x2,15H</v>
          </cell>
          <cell r="Y2905">
            <v>0</v>
          </cell>
          <cell r="Z2905">
            <v>0.5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1</v>
          </cell>
          <cell r="O2906">
            <v>308717</v>
          </cell>
          <cell r="P2906"/>
          <cell r="Q2906" t="str">
            <v>EST MESA JANTAR U (CIRCULAR) (MADEIRA CARVALHO NATURAL)</v>
          </cell>
          <cell r="R2906"/>
          <cell r="S2906"/>
          <cell r="T2906">
            <v>1.5</v>
          </cell>
          <cell r="U2906">
            <v>0</v>
          </cell>
          <cell r="V2906">
            <v>0.74</v>
          </cell>
          <cell r="W2906">
            <v>1.5</v>
          </cell>
          <cell r="X2906" t="str">
            <v>EST MESA JANTAR U (CIRCULAR) (MADEIRA CARVALHO NATURAL) - Ø1,5x0,74H</v>
          </cell>
          <cell r="Y2906">
            <v>0</v>
          </cell>
          <cell r="Z2906">
            <v>0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1</v>
          </cell>
          <cell r="O2907">
            <v>308774</v>
          </cell>
          <cell r="P2907"/>
          <cell r="Q2907" t="str">
            <v>EST POLTRONA MOLE (MAD B COR 03) COURO CAMURCA MOSTARDA</v>
          </cell>
          <cell r="R2907"/>
          <cell r="S2907"/>
          <cell r="T2907">
            <v>1.2</v>
          </cell>
          <cell r="U2907">
            <v>1.05</v>
          </cell>
          <cell r="V2907">
            <v>0.82</v>
          </cell>
          <cell r="W2907">
            <v>0</v>
          </cell>
          <cell r="X2907" t="str">
            <v>EST POLTRONA MOLE (MAD B COR 03) COURO CAMURCA MOSTARDA - 1,2x1,05x0,82H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1</v>
          </cell>
          <cell r="O2908">
            <v>308775</v>
          </cell>
          <cell r="P2908"/>
          <cell r="Q2908" t="str">
            <v>EST BANQUETA MOLE (MAD B COR 03) COURO CAMURCA MOSTARDA</v>
          </cell>
          <cell r="R2908"/>
          <cell r="S2908"/>
          <cell r="T2908">
            <v>0.82</v>
          </cell>
          <cell r="U2908">
            <v>0.59</v>
          </cell>
          <cell r="V2908">
            <v>0.45</v>
          </cell>
          <cell r="W2908">
            <v>0</v>
          </cell>
          <cell r="X2908" t="str">
            <v>EST BANQUETA MOLE (MAD B COR 03) COURO CAMURCA MOSTARDA - 0,82x0,59x0,45H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2</v>
          </cell>
          <cell r="O2909">
            <v>309402</v>
          </cell>
          <cell r="P2909"/>
          <cell r="Q2909" t="str">
            <v>EST POLTRONA MOLECA (MAD A COR 02) COURO NOBUCK 10</v>
          </cell>
          <cell r="R2909"/>
          <cell r="S2909"/>
          <cell r="T2909">
            <v>1.06</v>
          </cell>
          <cell r="U2909">
            <v>0.9</v>
          </cell>
          <cell r="V2909">
            <v>0.8</v>
          </cell>
          <cell r="W2909">
            <v>0</v>
          </cell>
          <cell r="X2909" t="str">
            <v>EST POLTRONA MOLECA (MAD A COR 02) COURO NOBUCK 10 - 1,06x0,9x0,8H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309403</v>
          </cell>
          <cell r="P2910"/>
          <cell r="Q2910" t="str">
            <v>EST BANQUETA MOLECA (MAD A COR 02) COURO NOBUK 10</v>
          </cell>
          <cell r="R2910"/>
          <cell r="S2910"/>
          <cell r="T2910">
            <v>0.81</v>
          </cell>
          <cell r="U2910">
            <v>0.52</v>
          </cell>
          <cell r="V2910">
            <v>0.43</v>
          </cell>
          <cell r="W2910">
            <v>0</v>
          </cell>
          <cell r="X2910" t="str">
            <v>EST BANQUETA MOLECA (MAD A COR 02) COURO NOBUK 10 - 0,81x0,52x0,43H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9</v>
          </cell>
          <cell r="O2911">
            <v>309887</v>
          </cell>
          <cell r="P2911"/>
          <cell r="Q2911" t="str">
            <v>EST MESA LATERAL STAN JR (MARMORE CARRARA)</v>
          </cell>
          <cell r="R2911"/>
          <cell r="S2911"/>
          <cell r="T2911">
            <v>0.3</v>
          </cell>
          <cell r="U2911">
            <v>0</v>
          </cell>
          <cell r="V2911">
            <v>0.55000000000000004</v>
          </cell>
          <cell r="W2911">
            <v>0.3</v>
          </cell>
          <cell r="X2911" t="str">
            <v>EST MESA LATERAL STAN JR (MARMORE CARRARA) - Ø0,3x0,55H</v>
          </cell>
          <cell r="Y2911">
            <v>0</v>
          </cell>
          <cell r="Z2911">
            <v>0.5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6</v>
          </cell>
          <cell r="O2912">
            <v>309888</v>
          </cell>
          <cell r="P2912"/>
          <cell r="Q2912" t="str">
            <v>EST MESA LATERAL STAN JR (MARMORE VERDE ALPI)</v>
          </cell>
          <cell r="R2912"/>
          <cell r="S2912"/>
          <cell r="T2912">
            <v>0.3</v>
          </cell>
          <cell r="U2912">
            <v>0</v>
          </cell>
          <cell r="V2912">
            <v>0.55000000000000004</v>
          </cell>
          <cell r="W2912">
            <v>0.3</v>
          </cell>
          <cell r="X2912" t="str">
            <v>EST MESA LATERAL STAN JR (MARMORE VERDE ALPI) - Ø0,3x0,55H</v>
          </cell>
          <cell r="Y2912">
            <v>0</v>
          </cell>
          <cell r="Z2912">
            <v>0.5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309930</v>
          </cell>
          <cell r="P2913"/>
          <cell r="Q2913" t="str">
            <v>EST BANCO OSSO (INTEIRO MADEIRA CEDRO)</v>
          </cell>
          <cell r="R2913"/>
          <cell r="S2913"/>
          <cell r="T2913">
            <v>2</v>
          </cell>
          <cell r="U2913">
            <v>0.5</v>
          </cell>
          <cell r="V2913">
            <v>0.4</v>
          </cell>
          <cell r="W2913">
            <v>0</v>
          </cell>
          <cell r="X2913" t="str">
            <v>EST BANCO OSSO (INTEIRO MADEIRA CEDRO) - 2x0,5x0,4H</v>
          </cell>
          <cell r="Y2913">
            <v>0</v>
          </cell>
          <cell r="Z2913">
            <v>0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4</v>
          </cell>
          <cell r="O2914">
            <v>309932</v>
          </cell>
          <cell r="P2914"/>
          <cell r="Q2914" t="str">
            <v>EST MESA LATERAL STAN (MARMORE CARRARA)</v>
          </cell>
          <cell r="R2914"/>
          <cell r="S2914"/>
          <cell r="T2914">
            <v>0.4</v>
          </cell>
          <cell r="U2914">
            <v>0</v>
          </cell>
          <cell r="V2914">
            <v>0.6</v>
          </cell>
          <cell r="W2914">
            <v>0.4</v>
          </cell>
          <cell r="X2914" t="str">
            <v>EST MESA LATERAL STAN (MARMORE CARRARA) - Ø0,4x0,6H</v>
          </cell>
          <cell r="Y2914">
            <v>0</v>
          </cell>
          <cell r="Z2914">
            <v>0.5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4</v>
          </cell>
          <cell r="O2915">
            <v>309935</v>
          </cell>
          <cell r="P2915"/>
          <cell r="Q2915" t="str">
            <v>EST MESA LATERAL STAN (MARMORE VERDE ALPI)</v>
          </cell>
          <cell r="R2915"/>
          <cell r="S2915"/>
          <cell r="T2915">
            <v>0.4</v>
          </cell>
          <cell r="U2915">
            <v>0</v>
          </cell>
          <cell r="V2915">
            <v>0.6</v>
          </cell>
          <cell r="W2915">
            <v>0.4</v>
          </cell>
          <cell r="X2915" t="str">
            <v>EST MESA LATERAL STAN (MARMORE VERDE ALPI) - Ø0,4x0,6H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3</v>
          </cell>
          <cell r="O2916">
            <v>309936</v>
          </cell>
          <cell r="P2916"/>
          <cell r="Q2916" t="str">
            <v>EST MESA LATERAL STAN (MARMORE MARROM IMPERIAL)</v>
          </cell>
          <cell r="R2916"/>
          <cell r="S2916"/>
          <cell r="T2916">
            <v>0.4</v>
          </cell>
          <cell r="U2916">
            <v>0</v>
          </cell>
          <cell r="V2916">
            <v>0.6</v>
          </cell>
          <cell r="W2916">
            <v>0.4</v>
          </cell>
          <cell r="X2916" t="str">
            <v>EST MESA LATERAL STAN (MARMORE MARROM IMPERIAL) - Ø0,4x0,6H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1</v>
          </cell>
          <cell r="O2917">
            <v>312382</v>
          </cell>
          <cell r="P2917"/>
          <cell r="Q2917" t="str">
            <v>EST POLTRONA RIO (IMBUIA) (TELA NATURAL)</v>
          </cell>
          <cell r="R2917"/>
          <cell r="S2917"/>
          <cell r="T2917">
            <v>0.66</v>
          </cell>
          <cell r="U2917">
            <v>0.7</v>
          </cell>
          <cell r="V2917">
            <v>0.69</v>
          </cell>
          <cell r="W2917">
            <v>0</v>
          </cell>
          <cell r="X2917" t="str">
            <v>EST POLTRONA RIO (IMBUIA) (TELA NATURAL) - 0,66x0,7x0,69H</v>
          </cell>
          <cell r="Y2917">
            <v>0</v>
          </cell>
          <cell r="Z2917">
            <v>0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2</v>
          </cell>
          <cell r="O2918">
            <v>314630</v>
          </cell>
          <cell r="P2918"/>
          <cell r="Q2918" t="str">
            <v>EST POLTRONA LEVE (MAD B LOURO ESP) COURO NOBUCK VERDE</v>
          </cell>
          <cell r="R2918"/>
          <cell r="S2918"/>
          <cell r="T2918">
            <v>0.76</v>
          </cell>
          <cell r="U2918">
            <v>0.87</v>
          </cell>
          <cell r="V2918">
            <v>0.85</v>
          </cell>
          <cell r="W2918">
            <v>0</v>
          </cell>
          <cell r="X2918" t="str">
            <v>EST POLTRONA LEVE (MAD B LOURO ESP) COURO NOBUCK VERDE - 0,76x0,87x0,85H</v>
          </cell>
          <cell r="Y2918">
            <v>0</v>
          </cell>
          <cell r="Z2918">
            <v>0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5</v>
          </cell>
          <cell r="O2919">
            <v>314631</v>
          </cell>
          <cell r="P2919"/>
          <cell r="Q2919" t="str">
            <v>EST POLTRONA MILHAZES (IMBUIA) COURO IMPORT 300</v>
          </cell>
          <cell r="R2919"/>
          <cell r="S2919"/>
          <cell r="T2919">
            <v>0.62</v>
          </cell>
          <cell r="U2919">
            <v>0.65</v>
          </cell>
          <cell r="V2919">
            <v>0.8</v>
          </cell>
          <cell r="W2919">
            <v>0</v>
          </cell>
          <cell r="X2919" t="str">
            <v>EST POLTRONA MILHAZES (IMBUIA) COURO IMPORT 300 - 0,62x0,65x0,8H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314637</v>
          </cell>
          <cell r="P2920"/>
          <cell r="Q2920" t="str">
            <v>EST POLTRONA TETE (FREIJO NT) COURO NOBUK 98 /ALM AVESSO</v>
          </cell>
          <cell r="R2920"/>
          <cell r="S2920"/>
          <cell r="T2920">
            <v>0.86</v>
          </cell>
          <cell r="U2920">
            <v>0.84</v>
          </cell>
          <cell r="V2920">
            <v>0.75</v>
          </cell>
          <cell r="W2920">
            <v>0</v>
          </cell>
          <cell r="X2920" t="str">
            <v>EST POLTRONA TETE (FREIJO NT) COURO NOBUK 98 /ALM AVESSO - 0,86x0,84x0,75H</v>
          </cell>
          <cell r="Y2920">
            <v>0</v>
          </cell>
          <cell r="Z2920">
            <v>0.5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316517</v>
          </cell>
          <cell r="P2921"/>
          <cell r="Q2921" t="str">
            <v>EST MESA LATERAL KATI (FREIJO NATURAL)</v>
          </cell>
          <cell r="R2921"/>
          <cell r="S2921"/>
          <cell r="T2921">
            <v>0.6</v>
          </cell>
          <cell r="U2921">
            <v>0</v>
          </cell>
          <cell r="V2921">
            <v>0.45</v>
          </cell>
          <cell r="W2921">
            <v>0.6</v>
          </cell>
          <cell r="X2921" t="str">
            <v>EST MESA LATERAL KATI (FREIJO NATURAL) - Ø0,6x0,45H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3</v>
          </cell>
          <cell r="O2922">
            <v>316550</v>
          </cell>
          <cell r="P2922"/>
          <cell r="Q2922" t="str">
            <v>EST MESA LATERAL OLIVER (MARMORE MARROM IMPERIAL)</v>
          </cell>
          <cell r="R2922"/>
          <cell r="S2922"/>
          <cell r="T2922">
            <v>0.5</v>
          </cell>
          <cell r="U2922">
            <v>0</v>
          </cell>
          <cell r="V2922">
            <v>0.45</v>
          </cell>
          <cell r="W2922">
            <v>0.5</v>
          </cell>
          <cell r="X2922" t="str">
            <v>EST MESA LATERAL OLIVER (MARMORE MARROM IMPERIAL) - Ø0,5x0,45H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2</v>
          </cell>
          <cell r="O2923">
            <v>316551</v>
          </cell>
          <cell r="P2923"/>
          <cell r="Q2923" t="str">
            <v>EST MESA LATERAL OLIVER (MARMORE CARRARA)</v>
          </cell>
          <cell r="R2923"/>
          <cell r="S2923"/>
          <cell r="T2923">
            <v>0.5</v>
          </cell>
          <cell r="U2923">
            <v>0</v>
          </cell>
          <cell r="V2923">
            <v>0.45</v>
          </cell>
          <cell r="W2923">
            <v>0.5</v>
          </cell>
          <cell r="X2923" t="str">
            <v>EST MESA LATERAL OLIVER (MARMORE CARRARA) - Ø0,5x0,45H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316552</v>
          </cell>
          <cell r="P2924"/>
          <cell r="Q2924" t="str">
            <v>EST MESA LATERAL OLIVER (MARMORE VERDE ALPI)</v>
          </cell>
          <cell r="R2924"/>
          <cell r="S2924"/>
          <cell r="T2924">
            <v>0.5</v>
          </cell>
          <cell r="U2924">
            <v>0</v>
          </cell>
          <cell r="V2924">
            <v>0.45</v>
          </cell>
          <cell r="W2924">
            <v>0.5</v>
          </cell>
          <cell r="X2924" t="str">
            <v>EST MESA LATERAL OLIVER (MARMORE VERDE ALPI) - Ø0,5x0,45H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5</v>
          </cell>
          <cell r="O2925">
            <v>316553</v>
          </cell>
          <cell r="P2925"/>
          <cell r="Q2925" t="str">
            <v>EST MESA LATERAL OLIVER (MARMORE NERO MARQUINA)</v>
          </cell>
          <cell r="R2925"/>
          <cell r="S2925"/>
          <cell r="T2925">
            <v>0.5</v>
          </cell>
          <cell r="U2925">
            <v>0</v>
          </cell>
          <cell r="V2925">
            <v>0.45</v>
          </cell>
          <cell r="W2925">
            <v>0.5</v>
          </cell>
          <cell r="X2925" t="str">
            <v>EST MESA LATERAL OLIVER (MARMORE NERO MARQUINA) - Ø0,5x0,45H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2</v>
          </cell>
          <cell r="O2926">
            <v>316986</v>
          </cell>
          <cell r="P2926"/>
          <cell r="Q2926" t="str">
            <v>EST TAMPO KAYA (CARRARA GIOIA)</v>
          </cell>
          <cell r="R2926"/>
          <cell r="S2926"/>
          <cell r="T2926">
            <v>3</v>
          </cell>
          <cell r="U2926">
            <v>1.2</v>
          </cell>
          <cell r="V2926">
            <v>0.02</v>
          </cell>
          <cell r="W2926">
            <v>0</v>
          </cell>
          <cell r="X2926" t="str">
            <v>EST TAMPO KAYA (CARRARA GIOIA) - 3x1,2x0,02H</v>
          </cell>
          <cell r="Y2926">
            <v>0</v>
          </cell>
          <cell r="Z2926">
            <v>0.5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317438</v>
          </cell>
          <cell r="P2927"/>
          <cell r="Q2927" t="str">
            <v>EST CADEIRA OMAR OFFICE (C/RODIZ) (FREIJO ENV) COURO PIG 393</v>
          </cell>
          <cell r="R2927"/>
          <cell r="S2927"/>
          <cell r="T2927">
            <v>0.54</v>
          </cell>
          <cell r="U2927">
            <v>0.56999999999999995</v>
          </cell>
          <cell r="V2927">
            <v>0.83</v>
          </cell>
          <cell r="W2927">
            <v>0</v>
          </cell>
          <cell r="X2927" t="str">
            <v>EST CADEIRA OMAR OFFICE (C/RODIZ) (FREIJO ENV) COURO PIG 393 - 0,54x0,57x0,83H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 t="e">
            <v>#N/A</v>
          </cell>
          <cell r="D2928" t="e">
            <v>#N/A</v>
          </cell>
          <cell r="E2928" t="e">
            <v>#N/A</v>
          </cell>
          <cell r="F2928" t="e">
            <v>#N/A</v>
          </cell>
          <cell r="H2928" t="e">
            <v>#N/A</v>
          </cell>
          <cell r="O2928">
            <v>317527</v>
          </cell>
          <cell r="P2928"/>
          <cell r="Q2928" t="e">
            <v>#N/A</v>
          </cell>
          <cell r="R2928"/>
          <cell r="S2928"/>
          <cell r="T2928" t="e">
            <v>#N/A</v>
          </cell>
          <cell r="U2928" t="e">
            <v>#N/A</v>
          </cell>
          <cell r="V2928" t="e">
            <v>#N/A</v>
          </cell>
          <cell r="W2928" t="e">
            <v>#N/A</v>
          </cell>
          <cell r="X2928" t="e">
            <v>#N/A</v>
          </cell>
          <cell r="Y2928">
            <v>0</v>
          </cell>
          <cell r="Z2928">
            <v>0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1</v>
          </cell>
          <cell r="O2929">
            <v>317546</v>
          </cell>
          <cell r="P2929"/>
          <cell r="Q2929" t="str">
            <v>EST MESA JANTAR FLAT (MADEIRA D CARVALHO NATURAL BRILHO 0%)</v>
          </cell>
          <cell r="R2929"/>
          <cell r="S2929"/>
          <cell r="T2929">
            <v>3</v>
          </cell>
          <cell r="U2929">
            <v>1.1000000000000001</v>
          </cell>
          <cell r="V2929">
            <v>0.75</v>
          </cell>
          <cell r="W2929">
            <v>0</v>
          </cell>
          <cell r="X2929" t="str">
            <v>EST MESA JANTAR FLAT (MADEIRA D CARVALHO NATURAL BRILHO 0%) - 3x1,1x0,75H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3</v>
          </cell>
          <cell r="O2930">
            <v>317574</v>
          </cell>
          <cell r="P2930"/>
          <cell r="Q2930" t="str">
            <v>EST CADEIRA LUCIO (TELA NATURAL) (MAD IMBUIA STAIN)</v>
          </cell>
          <cell r="R2930"/>
          <cell r="S2930"/>
          <cell r="T2930">
            <v>0.48</v>
          </cell>
          <cell r="U2930">
            <v>0.49</v>
          </cell>
          <cell r="V2930">
            <v>0.83</v>
          </cell>
          <cell r="W2930">
            <v>0</v>
          </cell>
          <cell r="X2930" t="str">
            <v>EST CADEIRA LUCIO (TELA NATURAL) (MAD IMBUIA STAIN) - 0,48x0,49x0,83H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8</v>
          </cell>
          <cell r="O2931">
            <v>317578</v>
          </cell>
          <cell r="P2931"/>
          <cell r="Q2931" t="str">
            <v>EST CADEIRA PRIMA (LOURO ESPECIAL) TC JAVA FENEL</v>
          </cell>
          <cell r="R2931"/>
          <cell r="S2931"/>
          <cell r="T2931">
            <v>0.53</v>
          </cell>
          <cell r="U2931">
            <v>0.59</v>
          </cell>
          <cell r="V2931">
            <v>0.83</v>
          </cell>
          <cell r="W2931">
            <v>0</v>
          </cell>
          <cell r="X2931" t="str">
            <v>EST CADEIRA PRIMA (LOURO ESPECIAL) TC JAVA FENEL - 0,53x0,59x0,83H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317579</v>
          </cell>
          <cell r="P2932"/>
          <cell r="Q2932" t="str">
            <v>EST CADEIRA PRIMA (IMBUIA) TC PERFECTION NEUTRAL</v>
          </cell>
          <cell r="R2932"/>
          <cell r="S2932"/>
          <cell r="T2932">
            <v>0.53</v>
          </cell>
          <cell r="U2932">
            <v>0.59</v>
          </cell>
          <cell r="V2932">
            <v>0.83</v>
          </cell>
          <cell r="W2932">
            <v>0</v>
          </cell>
          <cell r="X2932" t="str">
            <v>EST CADEIRA PRIMA (IMBUIA) TC PERFECTION NEUTRAL - 0,53x0,59x0,83H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318488</v>
          </cell>
          <cell r="P2933"/>
          <cell r="Q2933" t="str">
            <v>EST MODULO PUFF COZY (S/CAPA) (IMBUIA) TC VILLA OLMO OCRE</v>
          </cell>
          <cell r="R2933"/>
          <cell r="S2933"/>
          <cell r="T2933">
            <v>1.03</v>
          </cell>
          <cell r="U2933">
            <v>0.8</v>
          </cell>
          <cell r="V2933">
            <v>0.46</v>
          </cell>
          <cell r="W2933">
            <v>0</v>
          </cell>
          <cell r="X2933" t="str">
            <v>EST MODULO PUFF COZY (S/CAPA) (IMBUIA) TC VILLA OLMO OCRE - 1,03x0,8x0,46H</v>
          </cell>
          <cell r="Y2933">
            <v>0</v>
          </cell>
          <cell r="Z2933">
            <v>0.5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318489</v>
          </cell>
          <cell r="P2934"/>
          <cell r="Q2934" t="str">
            <v>EST MODULO CANTO DIR COZY (S/CP) TC VILA OLMO OCHRE/NATURAL</v>
          </cell>
          <cell r="R2934"/>
          <cell r="S2934"/>
          <cell r="T2934">
            <v>2</v>
          </cell>
          <cell r="U2934">
            <v>1.02</v>
          </cell>
          <cell r="V2934">
            <v>0.84</v>
          </cell>
          <cell r="W2934">
            <v>0</v>
          </cell>
          <cell r="X2934" t="str">
            <v>EST MODULO CANTO DIR COZY (S/CP) TC VILA OLMO OCHRE/NATURAL - 2x1,02x0,84H</v>
          </cell>
          <cell r="Y2934">
            <v>0</v>
          </cell>
          <cell r="Z2934">
            <v>0.5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318490</v>
          </cell>
          <cell r="P2935"/>
          <cell r="Q2935" t="str">
            <v>EST MODULO BRACO DIR COZY (S/CP) TC VILLA OLMO OCRE/NATURAL</v>
          </cell>
          <cell r="R2935"/>
          <cell r="S2935"/>
          <cell r="T2935">
            <v>3</v>
          </cell>
          <cell r="U2935">
            <v>1.03</v>
          </cell>
          <cell r="V2935">
            <v>0.84</v>
          </cell>
          <cell r="W2935">
            <v>0</v>
          </cell>
          <cell r="X2935" t="str">
            <v>EST MODULO BRACO DIR COZY (S/CP) TC VILLA OLMO OCRE/NATURAL - 3x1,03x0,84H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0</v>
          </cell>
          <cell r="O2936">
            <v>318611</v>
          </cell>
          <cell r="P2936"/>
          <cell r="Q2936" t="str">
            <v>EST MESA JANTAR ECO (MADEIRA CANELA NATURAL)</v>
          </cell>
          <cell r="R2936"/>
          <cell r="S2936"/>
          <cell r="T2936">
            <v>3.2</v>
          </cell>
          <cell r="U2936">
            <v>1.2</v>
          </cell>
          <cell r="V2936">
            <v>0.74</v>
          </cell>
          <cell r="W2936">
            <v>0</v>
          </cell>
          <cell r="X2936" t="str">
            <v>EST MESA JANTAR ECO (MADEIRA CANELA NATURAL) - 3,2x1,2x0,74H</v>
          </cell>
          <cell r="Y2936">
            <v>0</v>
          </cell>
          <cell r="Z2936">
            <v>0.5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2</v>
          </cell>
          <cell r="O2937">
            <v>318617</v>
          </cell>
          <cell r="P2937"/>
          <cell r="Q2937" t="str">
            <v>EST BANCO ATABAQUE (01 ASSENTO) (MADEIRA CANELA NATURAL)</v>
          </cell>
          <cell r="R2937"/>
          <cell r="S2937"/>
          <cell r="T2937">
            <v>0.55000000000000004</v>
          </cell>
          <cell r="U2937">
            <v>0.41</v>
          </cell>
          <cell r="V2937">
            <v>0.43</v>
          </cell>
          <cell r="W2937">
            <v>0</v>
          </cell>
          <cell r="X2937" t="str">
            <v>EST BANCO ATABAQUE (01 ASSENTO) (MADEIRA CANELA NATURAL) - 0,55x0,41x0,43H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318618</v>
          </cell>
          <cell r="P2938"/>
          <cell r="Q2938" t="str">
            <v>EST BANCO ATABAQUE (01 ASSENTO) (MADEIRA CANELA NATURAL)</v>
          </cell>
          <cell r="R2938"/>
          <cell r="S2938"/>
          <cell r="T2938">
            <v>0.55000000000000004</v>
          </cell>
          <cell r="U2938">
            <v>0.41</v>
          </cell>
          <cell r="V2938">
            <v>0.48</v>
          </cell>
          <cell r="W2938">
            <v>0</v>
          </cell>
          <cell r="X2938" t="str">
            <v>EST BANCO ATABAQUE (01 ASSENTO) (MADEIRA CANELA NATURAL) - 0,55x0,41x0,48H</v>
          </cell>
          <cell r="Y2938">
            <v>0</v>
          </cell>
          <cell r="Z2938">
            <v>0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1</v>
          </cell>
          <cell r="O2939">
            <v>318619</v>
          </cell>
          <cell r="P2939"/>
          <cell r="Q2939" t="str">
            <v>EST BANCO ATABAQUE (01 ASSENTO) (MADEIRA FREIJO NATURAL)</v>
          </cell>
          <cell r="R2939"/>
          <cell r="S2939"/>
          <cell r="T2939">
            <v>0.55000000000000004</v>
          </cell>
          <cell r="U2939">
            <v>0.41</v>
          </cell>
          <cell r="V2939">
            <v>0.43</v>
          </cell>
          <cell r="W2939">
            <v>0</v>
          </cell>
          <cell r="X2939" t="str">
            <v>EST BANCO ATABAQUE (01 ASSENTO) (MADEIRA FREIJO NATURAL) - 0,55x0,41x0,43H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318620</v>
          </cell>
          <cell r="P2940"/>
          <cell r="Q2940" t="str">
            <v>EST BANCO ATABAQUE (03 ASSENTOS) (MADEIRA CANELA NATURAL)</v>
          </cell>
          <cell r="R2940"/>
          <cell r="S2940"/>
          <cell r="T2940">
            <v>1.65</v>
          </cell>
          <cell r="U2940">
            <v>0.41</v>
          </cell>
          <cell r="V2940">
            <v>0.43</v>
          </cell>
          <cell r="W2940">
            <v>0</v>
          </cell>
          <cell r="X2940" t="str">
            <v>EST BANCO ATABAQUE (03 ASSENTOS) (MADEIRA CANELA NATURAL) - 1,65x0,41x0,43H</v>
          </cell>
          <cell r="Y2940">
            <v>0</v>
          </cell>
          <cell r="Z2940">
            <v>0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0</v>
          </cell>
          <cell r="O2941">
            <v>319811</v>
          </cell>
          <cell r="P2941"/>
          <cell r="Q2941" t="str">
            <v>EST SOFA FINO (BASE PRETA) TC EL RAVENNA 03 PLATINUM</v>
          </cell>
          <cell r="R2941"/>
          <cell r="S2941"/>
          <cell r="T2941">
            <v>3.15</v>
          </cell>
          <cell r="U2941">
            <v>0.95</v>
          </cell>
          <cell r="V2941">
            <v>0</v>
          </cell>
          <cell r="W2941">
            <v>0</v>
          </cell>
          <cell r="X2941" t="str">
            <v>EST SOFA FINO (BASE PRETA) TC EL RAVENNA 03 PLATINUM - 3,15x0,95x0H</v>
          </cell>
          <cell r="Y2941">
            <v>0</v>
          </cell>
          <cell r="Z2941">
            <v>0.5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6</v>
          </cell>
          <cell r="O2942">
            <v>319898</v>
          </cell>
          <cell r="P2942"/>
          <cell r="Q2942" t="str">
            <v>EST MESA LATERAL STAN JR (MARMORE NERO MARQUINA)</v>
          </cell>
          <cell r="R2942"/>
          <cell r="S2942"/>
          <cell r="T2942">
            <v>0.3</v>
          </cell>
          <cell r="U2942">
            <v>0</v>
          </cell>
          <cell r="V2942">
            <v>0.55000000000000004</v>
          </cell>
          <cell r="W2942">
            <v>0.3</v>
          </cell>
          <cell r="X2942" t="str">
            <v>EST MESA LATERAL STAN JR (MARMORE NERO MARQUINA) - Ø0,3x0,55H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1</v>
          </cell>
          <cell r="O2943">
            <v>319913</v>
          </cell>
          <cell r="P2943"/>
          <cell r="Q2943" t="str">
            <v>EST POLTRONA PITU (JEQ NT) (LONA OLIVA) (LONA OLIVA)</v>
          </cell>
          <cell r="R2943"/>
          <cell r="S2943"/>
          <cell r="T2943">
            <v>0.78</v>
          </cell>
          <cell r="U2943">
            <v>0.84</v>
          </cell>
          <cell r="V2943">
            <v>0.83</v>
          </cell>
          <cell r="W2943">
            <v>0</v>
          </cell>
          <cell r="X2943" t="str">
            <v>EST POLTRONA PITU (JEQ NT) (LONA OLIVA) (LONA OLIVA) - 0,78x0,84x0,83H</v>
          </cell>
          <cell r="Y2943">
            <v>0</v>
          </cell>
          <cell r="Z2943">
            <v>0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1</v>
          </cell>
          <cell r="O2944">
            <v>319914</v>
          </cell>
          <cell r="P2944"/>
          <cell r="Q2944" t="str">
            <v>EST BANQUETA PITU (JEQ NT) (LONA OLIVA) (LONA OLIVA)</v>
          </cell>
          <cell r="R2944"/>
          <cell r="S2944"/>
          <cell r="T2944">
            <v>0.72</v>
          </cell>
          <cell r="U2944">
            <v>0.46</v>
          </cell>
          <cell r="V2944">
            <v>0.47</v>
          </cell>
          <cell r="W2944">
            <v>0</v>
          </cell>
          <cell r="X2944" t="str">
            <v>EST BANQUETA PITU (JEQ NT) (LONA OLIVA) (LONA OLIVA) - 0,72x0,46x0,47H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2</v>
          </cell>
          <cell r="O2945">
            <v>320799</v>
          </cell>
          <cell r="P2945"/>
          <cell r="Q2945" t="str">
            <v>EST ALMOFADA DECORATIVA AIR II (M) TC VILLA OLMO NATURAL</v>
          </cell>
          <cell r="R2945"/>
          <cell r="S2945"/>
          <cell r="T2945">
            <v>0.62</v>
          </cell>
          <cell r="U2945">
            <v>0.62</v>
          </cell>
          <cell r="V2945">
            <v>0</v>
          </cell>
          <cell r="W2945">
            <v>0</v>
          </cell>
          <cell r="X2945" t="str">
            <v>EST ALMOFADA DECORATIVA AIR II (M) TC VILLA OLMO NATURAL - 0,62x0,62x0H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6</v>
          </cell>
          <cell r="O2946">
            <v>323906</v>
          </cell>
          <cell r="P2946"/>
          <cell r="Q2946" t="str">
            <v>EST MESA LATERAL STAN (MARMORE NERO MARQUINA)</v>
          </cell>
          <cell r="R2946"/>
          <cell r="S2946"/>
          <cell r="T2946">
            <v>0.4</v>
          </cell>
          <cell r="U2946">
            <v>0</v>
          </cell>
          <cell r="V2946">
            <v>0.6</v>
          </cell>
          <cell r="W2946">
            <v>0.4</v>
          </cell>
          <cell r="X2946" t="str">
            <v>EST MESA LATERAL STAN (MARMORE NERO MARQUINA) - Ø0,4x0,6H</v>
          </cell>
          <cell r="Y2946">
            <v>0</v>
          </cell>
          <cell r="Z2946">
            <v>0.5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1</v>
          </cell>
          <cell r="O2947">
            <v>323921</v>
          </cell>
          <cell r="P2947"/>
          <cell r="Q2947" t="str">
            <v>EST MESA LATERAL CAVA (G2 - VITTORIA LEVIGADO)</v>
          </cell>
          <cell r="R2947"/>
          <cell r="S2947"/>
          <cell r="T2947">
            <v>0.6</v>
          </cell>
          <cell r="U2947">
            <v>0</v>
          </cell>
          <cell r="V2947">
            <v>0.6</v>
          </cell>
          <cell r="W2947">
            <v>0.6</v>
          </cell>
          <cell r="X2947" t="str">
            <v>EST MESA LATERAL CAVA (G2 - VITTORIA LEVIGADO) - Ø0,6x0,6H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H2948">
            <v>0</v>
          </cell>
          <cell r="O2948">
            <v>324239</v>
          </cell>
          <cell r="P2948"/>
          <cell r="Q2948" t="str">
            <v>EST POLTRONA JOSEFA (IMBUIA) COURO NOBUCK VERDE</v>
          </cell>
          <cell r="R2948"/>
          <cell r="S2948"/>
          <cell r="T2948">
            <v>0.68</v>
          </cell>
          <cell r="U2948">
            <v>0.65</v>
          </cell>
          <cell r="V2948">
            <v>0.68</v>
          </cell>
          <cell r="W2948">
            <v>0</v>
          </cell>
          <cell r="X2948" t="str">
            <v>EST POLTRONA JOSEFA (IMBUIA) COURO NOBUCK VERDE - 0,68x0,65x0,68H</v>
          </cell>
          <cell r="Y2948">
            <v>0</v>
          </cell>
          <cell r="Z2948">
            <v>0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1</v>
          </cell>
          <cell r="O2949">
            <v>324240</v>
          </cell>
          <cell r="P2949"/>
          <cell r="Q2949" t="str">
            <v>EST BANQUETA JOSEFA (IMBUIA) COURO NOBUCK VERDE</v>
          </cell>
          <cell r="R2949"/>
          <cell r="S2949"/>
          <cell r="T2949">
            <v>0.68</v>
          </cell>
          <cell r="U2949">
            <v>0.52</v>
          </cell>
          <cell r="V2949">
            <v>0.39</v>
          </cell>
          <cell r="W2949">
            <v>0</v>
          </cell>
          <cell r="X2949" t="str">
            <v>EST BANQUETA JOSEFA (IMBUIA) COURO NOBUCK VERDE - 0,68x0,52x0,39H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324247</v>
          </cell>
          <cell r="P2950"/>
          <cell r="Q2950" t="str">
            <v>EST MESA LATERAL CAVA (G2 - RAFAELLO LEVIGADO)</v>
          </cell>
          <cell r="R2950"/>
          <cell r="S2950"/>
          <cell r="T2950">
            <v>0.6</v>
          </cell>
          <cell r="U2950">
            <v>0</v>
          </cell>
          <cell r="V2950">
            <v>0.6</v>
          </cell>
          <cell r="W2950">
            <v>0</v>
          </cell>
          <cell r="X2950" t="str">
            <v>EST MESA LATERAL CAVA (G2 - RAFAELLO LEVIGADO) - Ø0x0,6H</v>
          </cell>
          <cell r="Y2950">
            <v>0</v>
          </cell>
          <cell r="Z2950">
            <v>0.5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1</v>
          </cell>
          <cell r="O2951">
            <v>324517</v>
          </cell>
          <cell r="P2951"/>
          <cell r="Q2951" t="str">
            <v>EST MESA JANTAR DINA (FREIJO NATURAL)</v>
          </cell>
          <cell r="R2951"/>
          <cell r="S2951"/>
          <cell r="T2951">
            <v>3</v>
          </cell>
          <cell r="U2951">
            <v>1.2</v>
          </cell>
          <cell r="V2951">
            <v>0.75</v>
          </cell>
          <cell r="W2951">
            <v>0</v>
          </cell>
          <cell r="X2951" t="str">
            <v>EST MESA JANTAR DINA (FREIJO NATURAL) - 3x1,2x0,75H</v>
          </cell>
          <cell r="Y2951">
            <v>0</v>
          </cell>
          <cell r="Z2951">
            <v>0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1</v>
          </cell>
          <cell r="O2952">
            <v>324908</v>
          </cell>
          <cell r="P2952"/>
          <cell r="Q2952" t="str">
            <v>EST SOFA CONVERSADEIRA (IMBUIA) TC GALLIA NAT/SAFARARI NAT</v>
          </cell>
          <cell r="R2952"/>
          <cell r="S2952"/>
          <cell r="T2952">
            <v>2.4</v>
          </cell>
          <cell r="U2952">
            <v>0.79</v>
          </cell>
          <cell r="V2952">
            <v>0.74</v>
          </cell>
          <cell r="W2952">
            <v>0</v>
          </cell>
          <cell r="X2952" t="str">
            <v>EST SOFA CONVERSADEIRA (IMBUIA) TC GALLIA NAT/SAFARARI NAT - 2,4x0,79x0,74H</v>
          </cell>
          <cell r="Y2952">
            <v>0</v>
          </cell>
          <cell r="Z2952">
            <v>0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326753</v>
          </cell>
          <cell r="P2953"/>
          <cell r="Q2953" t="str">
            <v>EST TAMPO JANTAR LITORAL (G3-GREEN P LEVIG) (ARRED) (TRIP)</v>
          </cell>
          <cell r="R2953"/>
          <cell r="S2953"/>
          <cell r="T2953">
            <v>3.2</v>
          </cell>
          <cell r="U2953">
            <v>1.2</v>
          </cell>
          <cell r="V2953">
            <v>0.02</v>
          </cell>
          <cell r="W2953">
            <v>0</v>
          </cell>
          <cell r="X2953" t="str">
            <v>EST TAMPO JANTAR LITORAL (G3-GREEN P LEVIG) (ARRED) (TRIP) - 3,2x1,2x0,02H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326872</v>
          </cell>
          <cell r="P2954"/>
          <cell r="Q2954" t="str">
            <v>EST BUFFET PINHIM (FREIJO) VEIOS COR MADEIRA</v>
          </cell>
          <cell r="R2954"/>
          <cell r="S2954"/>
          <cell r="T2954">
            <v>2.5299999999999998</v>
          </cell>
          <cell r="U2954">
            <v>0.55000000000000004</v>
          </cell>
          <cell r="V2954">
            <v>0.8</v>
          </cell>
          <cell r="W2954">
            <v>0</v>
          </cell>
          <cell r="X2954" t="str">
            <v>EST BUFFET PINHIM (FREIJO) VEIOS COR MADEIRA - 2,53x0,55x0,8H</v>
          </cell>
          <cell r="Y2954">
            <v>0</v>
          </cell>
          <cell r="Z2954">
            <v>0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326873</v>
          </cell>
          <cell r="P2955"/>
          <cell r="Q2955" t="str">
            <v>EST BUFFET PINHIM (SUCUPIRA VEIOS COR MADEIRA)</v>
          </cell>
          <cell r="R2955"/>
          <cell r="S2955"/>
          <cell r="T2955">
            <v>2.5299999999999998</v>
          </cell>
          <cell r="U2955">
            <v>0.55000000000000004</v>
          </cell>
          <cell r="V2955">
            <v>0.8</v>
          </cell>
          <cell r="W2955">
            <v>0</v>
          </cell>
          <cell r="X2955" t="str">
            <v>EST BUFFET PINHIM (SUCUPIRA VEIOS COR MADEIRA) - 2,53x0,55x0,8H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326906</v>
          </cell>
          <cell r="P2956"/>
          <cell r="Q2956" t="str">
            <v>EST MESA LATERAL OBLONGO (PAU FERRO CLARO) DIAGONAL PT FSC</v>
          </cell>
          <cell r="R2956"/>
          <cell r="S2956"/>
          <cell r="T2956">
            <v>0.7</v>
          </cell>
          <cell r="U2956">
            <v>0.7</v>
          </cell>
          <cell r="V2956">
            <v>0.55000000000000004</v>
          </cell>
          <cell r="W2956">
            <v>0</v>
          </cell>
          <cell r="X2956" t="str">
            <v>EST MESA LATERAL OBLONGO (PAU FERRO CLARO) DIAGONAL PT FSC - 0,7x0,7x0,55H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1</v>
          </cell>
          <cell r="O2957">
            <v>327012</v>
          </cell>
          <cell r="P2957"/>
          <cell r="Q2957" t="str">
            <v>EST MESA JANTAR FLAT (MADEIRA C - FREIJO NATURAL)</v>
          </cell>
          <cell r="R2957"/>
          <cell r="S2957"/>
          <cell r="T2957">
            <v>3</v>
          </cell>
          <cell r="U2957">
            <v>1.1000000000000001</v>
          </cell>
          <cell r="V2957">
            <v>0.75</v>
          </cell>
          <cell r="W2957">
            <v>0</v>
          </cell>
          <cell r="X2957" t="str">
            <v>EST MESA JANTAR FLAT (MADEIRA C - FREIJO NATURAL) - 3x1,1x0,75H</v>
          </cell>
          <cell r="Y2957">
            <v>0</v>
          </cell>
          <cell r="Z2957">
            <v>0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327180</v>
          </cell>
          <cell r="P2958"/>
          <cell r="Q2958" t="str">
            <v>EST POLTRONA PREGUICA ALTA (GIR) (FREIJO NT) COURO FIRENZE12</v>
          </cell>
          <cell r="R2958"/>
          <cell r="S2958"/>
          <cell r="T2958">
            <v>0.66</v>
          </cell>
          <cell r="U2958">
            <v>0.94</v>
          </cell>
          <cell r="V2958">
            <v>0.96</v>
          </cell>
          <cell r="W2958">
            <v>0</v>
          </cell>
          <cell r="X2958" t="str">
            <v>EST POLTRONA PREGUICA ALTA (GIR) (FREIJO NT) COURO FIRENZE12 - 0,66x0,94x0,96H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0</v>
          </cell>
          <cell r="O2959">
            <v>327182</v>
          </cell>
          <cell r="P2959"/>
          <cell r="Q2959" t="str">
            <v>EST BANQUETA PREGUICA (PES EM X) (FREIJ NT) COURO FIRENZE 12</v>
          </cell>
          <cell r="R2959"/>
          <cell r="S2959"/>
          <cell r="T2959">
            <v>0.49</v>
          </cell>
          <cell r="U2959">
            <v>0.45</v>
          </cell>
          <cell r="V2959">
            <v>0.37</v>
          </cell>
          <cell r="W2959">
            <v>0</v>
          </cell>
          <cell r="X2959" t="str">
            <v>EST BANQUETA PREGUICA (PES EM X) (FREIJ NT) COURO FIRENZE 12 - 0,49x0,45x0,37H</v>
          </cell>
          <cell r="Y2959">
            <v>0</v>
          </cell>
          <cell r="Z2959">
            <v>0.5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327235</v>
          </cell>
          <cell r="P2960"/>
          <cell r="Q2960" t="str">
            <v>EST MESA JANTAR OBLONGO (PAU FERRO CLARO) ALTERNADO PTO FSC</v>
          </cell>
          <cell r="R2960"/>
          <cell r="S2960"/>
          <cell r="T2960">
            <v>3</v>
          </cell>
          <cell r="U2960">
            <v>1.1000000000000001</v>
          </cell>
          <cell r="V2960">
            <v>0.74</v>
          </cell>
          <cell r="W2960">
            <v>0</v>
          </cell>
          <cell r="X2960" t="str">
            <v>EST MESA JANTAR OBLONGO (PAU FERRO CLARO) ALTERNADO PTO FSC - 3x1,1x0,74H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2</v>
          </cell>
          <cell r="O2961">
            <v>327246</v>
          </cell>
          <cell r="P2961"/>
          <cell r="Q2961" t="str">
            <v>EST MESA LATERAL ALEX (FREIJO TONALIZADO 1)</v>
          </cell>
          <cell r="R2961"/>
          <cell r="S2961"/>
          <cell r="T2961">
            <v>0.7</v>
          </cell>
          <cell r="U2961">
            <v>0</v>
          </cell>
          <cell r="V2961">
            <v>0.5</v>
          </cell>
          <cell r="W2961">
            <v>0.7</v>
          </cell>
          <cell r="X2961" t="str">
            <v>EST MESA LATERAL ALEX (FREIJO TONALIZADO 1) - Ø0,7x0,5H</v>
          </cell>
          <cell r="Y2961">
            <v>0</v>
          </cell>
          <cell r="Z2961">
            <v>0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0</v>
          </cell>
          <cell r="O2962">
            <v>327392</v>
          </cell>
          <cell r="P2962"/>
          <cell r="Q2962" t="str">
            <v>EST SOFA FINO (BASE PRETA) COURO IMPORT 55</v>
          </cell>
          <cell r="R2962"/>
          <cell r="S2962"/>
          <cell r="T2962">
            <v>3.1</v>
          </cell>
          <cell r="U2962">
            <v>0.95</v>
          </cell>
          <cell r="V2962">
            <v>0.68</v>
          </cell>
          <cell r="W2962">
            <v>0</v>
          </cell>
          <cell r="X2962" t="str">
            <v>EST SOFA FINO (BASE PRETA) COURO IMPORT 55 - 3,1x0,95x0,68H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0</v>
          </cell>
          <cell r="O2963">
            <v>327394</v>
          </cell>
          <cell r="P2963"/>
          <cell r="Q2963" t="str">
            <v>EST ALMOFADA DECORATIVA FINO TC EL RAVENNA 03 PLATINUM</v>
          </cell>
          <cell r="R2963"/>
          <cell r="S2963"/>
          <cell r="T2963">
            <v>0.6</v>
          </cell>
          <cell r="U2963">
            <v>0.6</v>
          </cell>
          <cell r="V2963">
            <v>0</v>
          </cell>
          <cell r="W2963">
            <v>0</v>
          </cell>
          <cell r="X2963" t="str">
            <v>EST ALMOFADA DECORATIVA FINO TC EL RAVENNA 03 PLATINUM - 0,6x0,6x0H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0</v>
          </cell>
          <cell r="O2964">
            <v>327573</v>
          </cell>
          <cell r="P2964"/>
          <cell r="Q2964" t="str">
            <v>EST ALMOFADA DECORATIVA FINO COURO IMPORT 55</v>
          </cell>
          <cell r="R2964"/>
          <cell r="S2964"/>
          <cell r="T2964">
            <v>0.6</v>
          </cell>
          <cell r="U2964">
            <v>0.6</v>
          </cell>
          <cell r="V2964">
            <v>0</v>
          </cell>
          <cell r="W2964">
            <v>0</v>
          </cell>
          <cell r="X2964" t="str">
            <v>EST ALMOFADA DECORATIVA FINO COURO IMPORT 55 - 0,6x0,6x0H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6</v>
          </cell>
          <cell r="O2965">
            <v>327647</v>
          </cell>
          <cell r="P2965"/>
          <cell r="Q2965" t="str">
            <v>EST MESA LATERAL STAN (MARMORE GREEN PEACE)</v>
          </cell>
          <cell r="R2965"/>
          <cell r="S2965"/>
          <cell r="T2965">
            <v>0.4</v>
          </cell>
          <cell r="U2965">
            <v>0</v>
          </cell>
          <cell r="V2965">
            <v>0.6</v>
          </cell>
          <cell r="W2965">
            <v>0.4</v>
          </cell>
          <cell r="X2965" t="str">
            <v>EST MESA LATERAL STAN (MARMORE GREEN PEACE) - Ø0,4x0,6H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7</v>
          </cell>
          <cell r="O2966">
            <v>327648</v>
          </cell>
          <cell r="P2966"/>
          <cell r="Q2966" t="str">
            <v>EST MESA LATERAL STAN JR (MARMORE GREEN PEACE)</v>
          </cell>
          <cell r="R2966"/>
          <cell r="S2966"/>
          <cell r="T2966">
            <v>0.3</v>
          </cell>
          <cell r="U2966">
            <v>0</v>
          </cell>
          <cell r="V2966">
            <v>0.55000000000000004</v>
          </cell>
          <cell r="W2966">
            <v>0.3</v>
          </cell>
          <cell r="X2966" t="str">
            <v>EST MESA LATERAL STAN JR (MARMORE GREEN PEACE) - Ø0,3x0,55H</v>
          </cell>
          <cell r="Y2966">
            <v>0</v>
          </cell>
          <cell r="Z2966">
            <v>0.5</v>
          </cell>
          <cell r="AA2966">
            <v>0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5</v>
          </cell>
          <cell r="O2967">
            <v>327649</v>
          </cell>
          <cell r="P2967"/>
          <cell r="Q2967" t="str">
            <v>EST MESA LATERAL OLIVER (MARMORE GREEN PEACE)</v>
          </cell>
          <cell r="R2967"/>
          <cell r="S2967"/>
          <cell r="T2967">
            <v>0.5</v>
          </cell>
          <cell r="U2967">
            <v>0</v>
          </cell>
          <cell r="V2967">
            <v>0.45</v>
          </cell>
          <cell r="W2967">
            <v>0.5</v>
          </cell>
          <cell r="X2967" t="str">
            <v>EST MESA LATERAL OLIVER (MARMORE GREEN PEACE) - Ø0,5x0,45H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2</v>
          </cell>
          <cell r="O2968">
            <v>327825</v>
          </cell>
          <cell r="P2968"/>
          <cell r="Q2968" t="str">
            <v>EST LUMINARIA MINI PAU DE LUZ (INOX) (FREIJO NATURAL) BIVOLT</v>
          </cell>
          <cell r="R2968"/>
          <cell r="S2968"/>
          <cell r="T2968">
            <v>0.03</v>
          </cell>
          <cell r="U2968">
            <v>0.04</v>
          </cell>
          <cell r="V2968">
            <v>1.22</v>
          </cell>
          <cell r="W2968">
            <v>0</v>
          </cell>
          <cell r="X2968" t="str">
            <v>EST LUMINARIA MINI PAU DE LUZ (INOX) (FREIJO NATURAL) BIVOLT - 0,03x0,04x1,22H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327826</v>
          </cell>
          <cell r="P2969"/>
          <cell r="Q2969" t="str">
            <v>EST BUFFET MUXARABI (5 PORTAS) (FREIJO NATURAL)</v>
          </cell>
          <cell r="R2969"/>
          <cell r="S2969"/>
          <cell r="T2969">
            <v>2.81</v>
          </cell>
          <cell r="U2969">
            <v>0.55000000000000004</v>
          </cell>
          <cell r="V2969">
            <v>0.75</v>
          </cell>
          <cell r="W2969">
            <v>0</v>
          </cell>
          <cell r="X2969" t="str">
            <v>EST BUFFET MUXARABI (5 PORTAS) (FREIJO NATURAL) - 2,81x0,55x0,75H</v>
          </cell>
          <cell r="Y2969">
            <v>0</v>
          </cell>
          <cell r="Z2969">
            <v>0.5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2</v>
          </cell>
          <cell r="O2970">
            <v>327986</v>
          </cell>
          <cell r="P2970"/>
          <cell r="Q2970" t="str">
            <v>EST BANQUETA BAR GB MTF600 H63 TC VILLA OLMO NATURAL</v>
          </cell>
          <cell r="R2970"/>
          <cell r="S2970"/>
          <cell r="T2970">
            <v>0.35</v>
          </cell>
          <cell r="U2970">
            <v>0.4</v>
          </cell>
          <cell r="V2970">
            <v>0.73</v>
          </cell>
          <cell r="W2970">
            <v>0</v>
          </cell>
          <cell r="X2970" t="str">
            <v>EST BANQUETA BAR GB MTF600 H63 TC VILLA OLMO NATURAL - 0,35x0,4x0,73H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H2971">
            <v>5</v>
          </cell>
          <cell r="O2971">
            <v>327989</v>
          </cell>
          <cell r="P2971"/>
          <cell r="Q2971" t="str">
            <v>EST BANCO IRENE (FREIJO NATURAL)</v>
          </cell>
          <cell r="R2971"/>
          <cell r="S2971"/>
          <cell r="T2971">
            <v>0.38</v>
          </cell>
          <cell r="U2971">
            <v>0</v>
          </cell>
          <cell r="V2971">
            <v>0.51</v>
          </cell>
          <cell r="W2971">
            <v>0.38</v>
          </cell>
          <cell r="X2971" t="str">
            <v>EST BANCO IRENE (FREIJO NATURAL) - Ø0,38x0,51H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1</v>
          </cell>
          <cell r="O2972">
            <v>327990</v>
          </cell>
          <cell r="P2972"/>
          <cell r="Q2972" t="str">
            <v>EST POLTRONA CUIABA (FREIJO TONALIZ 01) CAMURCA CASTANHO</v>
          </cell>
          <cell r="R2972"/>
          <cell r="S2972"/>
          <cell r="T2972">
            <v>0.62</v>
          </cell>
          <cell r="U2972">
            <v>0.7</v>
          </cell>
          <cell r="V2972">
            <v>0.72</v>
          </cell>
          <cell r="W2972">
            <v>0</v>
          </cell>
          <cell r="X2972" t="str">
            <v>EST POLTRONA CUIABA (FREIJO TONALIZ 01) CAMURCA CASTANHO - 0,62x0,7x0,72H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1</v>
          </cell>
          <cell r="O2973">
            <v>327993</v>
          </cell>
          <cell r="P2973"/>
          <cell r="Q2973" t="str">
            <v>EST BANQUETA CUIABA (FREIJO TNZ 01) CAMURCA CASTANHO</v>
          </cell>
          <cell r="R2973"/>
          <cell r="S2973"/>
          <cell r="T2973">
            <v>0.54</v>
          </cell>
          <cell r="U2973">
            <v>0.47</v>
          </cell>
          <cell r="V2973">
            <v>0.4</v>
          </cell>
          <cell r="W2973">
            <v>0</v>
          </cell>
          <cell r="X2973" t="str">
            <v>EST BANQUETA CUIABA (FREIJO TNZ 01) CAMURCA CASTANHO - 0,54x0,47x0,4H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5</v>
          </cell>
          <cell r="O2974">
            <v>328006</v>
          </cell>
          <cell r="P2974"/>
          <cell r="Q2974" t="str">
            <v>EST LUMINARIA CURCUMA LIGHT (PEROBA ROSA) LINHO CRU</v>
          </cell>
          <cell r="R2974"/>
          <cell r="S2974"/>
          <cell r="T2974">
            <v>0.22</v>
          </cell>
          <cell r="U2974">
            <v>0</v>
          </cell>
          <cell r="V2974">
            <v>0.62</v>
          </cell>
          <cell r="W2974">
            <v>0.22</v>
          </cell>
          <cell r="X2974" t="str">
            <v>EST LUMINARIA CURCUMA LIGHT (PEROBA ROSA) LINHO CRU - Ø0,22x0,62H</v>
          </cell>
          <cell r="Y2974">
            <v>0</v>
          </cell>
          <cell r="Z2974">
            <v>0.5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4</v>
          </cell>
          <cell r="O2975">
            <v>328007</v>
          </cell>
          <cell r="P2975"/>
          <cell r="Q2975" t="str">
            <v>EST LUMINARIA CURCUMA MEDIA BAIXA (PEROBA ROSA) LINHO CRU</v>
          </cell>
          <cell r="R2975"/>
          <cell r="S2975"/>
          <cell r="T2975">
            <v>0.22</v>
          </cell>
          <cell r="U2975">
            <v>0</v>
          </cell>
          <cell r="V2975">
            <v>0.65</v>
          </cell>
          <cell r="W2975">
            <v>0.22</v>
          </cell>
          <cell r="X2975" t="str">
            <v>EST LUMINARIA CURCUMA MEDIA BAIXA (PEROBA ROSA) LINHO CRU - Ø0,22x0,65H</v>
          </cell>
          <cell r="Y2975">
            <v>0</v>
          </cell>
          <cell r="Z2975">
            <v>0.5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2</v>
          </cell>
          <cell r="O2976">
            <v>328008</v>
          </cell>
          <cell r="P2976"/>
          <cell r="Q2976" t="str">
            <v>EST LUMINARIA CURCUMA BOLD MAX (PEROBA ROSA) LINHO CRU</v>
          </cell>
          <cell r="R2976"/>
          <cell r="S2976"/>
          <cell r="T2976">
            <v>0.48</v>
          </cell>
          <cell r="U2976">
            <v>0</v>
          </cell>
          <cell r="V2976">
            <v>0.78</v>
          </cell>
          <cell r="W2976">
            <v>0.48</v>
          </cell>
          <cell r="X2976" t="str">
            <v>EST LUMINARIA CURCUMA BOLD MAX (PEROBA ROSA) LINHO CRU - Ø0,48x0,78H</v>
          </cell>
          <cell r="Y2976">
            <v>0</v>
          </cell>
          <cell r="Z2976">
            <v>0.5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2</v>
          </cell>
          <cell r="O2977">
            <v>328012</v>
          </cell>
          <cell r="P2977"/>
          <cell r="Q2977" t="str">
            <v>EST LUMINARIA CURCUMA BOLD (BRONZE) LINHO CRU</v>
          </cell>
          <cell r="R2977"/>
          <cell r="S2977"/>
          <cell r="T2977">
            <v>0.38</v>
          </cell>
          <cell r="U2977">
            <v>0</v>
          </cell>
          <cell r="V2977">
            <v>0.76</v>
          </cell>
          <cell r="W2977">
            <v>0.38</v>
          </cell>
          <cell r="X2977" t="str">
            <v>EST LUMINARIA CURCUMA BOLD (BRONZE) LINHO CRU - Ø0,38x0,76H</v>
          </cell>
          <cell r="Y2977">
            <v>0</v>
          </cell>
          <cell r="Z2977">
            <v>0.5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2</v>
          </cell>
          <cell r="O2978">
            <v>328013</v>
          </cell>
          <cell r="P2978"/>
          <cell r="Q2978" t="str">
            <v>EST LUMINARIA CURCUMA BOLD MAX (BRONZE) LINHO CRU</v>
          </cell>
          <cell r="R2978"/>
          <cell r="S2978"/>
          <cell r="T2978">
            <v>0.38</v>
          </cell>
          <cell r="U2978">
            <v>0</v>
          </cell>
          <cell r="V2978">
            <v>0.8</v>
          </cell>
          <cell r="W2978">
            <v>0.38</v>
          </cell>
          <cell r="X2978" t="str">
            <v>EST LUMINARIA CURCUMA BOLD MAX (BRONZE) LINHO CRU - Ø0,38x0,8H</v>
          </cell>
          <cell r="Y2978">
            <v>0</v>
          </cell>
          <cell r="Z2978">
            <v>0.5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2</v>
          </cell>
          <cell r="O2979">
            <v>328015</v>
          </cell>
          <cell r="P2979"/>
          <cell r="Q2979" t="str">
            <v>EST LUMINARIA CURCUMA LIGHT ALTA (BRONZE) LINHO CRU</v>
          </cell>
          <cell r="R2979"/>
          <cell r="S2979"/>
          <cell r="T2979">
            <v>0.32</v>
          </cell>
          <cell r="U2979">
            <v>0</v>
          </cell>
          <cell r="V2979">
            <v>0.74</v>
          </cell>
          <cell r="W2979">
            <v>0.32</v>
          </cell>
          <cell r="X2979" t="str">
            <v>EST LUMINARIA CURCUMA LIGHT ALTA (BRONZE) LINHO CRU - Ø0,32x0,74H</v>
          </cell>
          <cell r="Y2979">
            <v>0</v>
          </cell>
          <cell r="Z2979">
            <v>0.5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2</v>
          </cell>
          <cell r="O2980">
            <v>328016</v>
          </cell>
          <cell r="P2980"/>
          <cell r="Q2980" t="str">
            <v>EST LUMINARIA CURCUMA MEDIA BAIXA (BRONZE) LINHO CRU</v>
          </cell>
          <cell r="R2980"/>
          <cell r="S2980"/>
          <cell r="T2980">
            <v>0.22</v>
          </cell>
          <cell r="U2980">
            <v>0</v>
          </cell>
          <cell r="V2980">
            <v>0.65</v>
          </cell>
          <cell r="W2980">
            <v>0.22</v>
          </cell>
          <cell r="X2980" t="str">
            <v>EST LUMINARIA CURCUMA MEDIA BAIXA (BRONZE) LINHO CRU - Ø0,22x0,65H</v>
          </cell>
          <cell r="Y2980">
            <v>0</v>
          </cell>
          <cell r="Z2980">
            <v>0.5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2</v>
          </cell>
          <cell r="O2981">
            <v>328017</v>
          </cell>
          <cell r="P2981"/>
          <cell r="Q2981" t="str">
            <v>EST LUMINARIA CURCUMA MEDIA ALTA (BRONZE) LINHO CRU</v>
          </cell>
          <cell r="R2981"/>
          <cell r="S2981"/>
          <cell r="T2981">
            <v>0.32</v>
          </cell>
          <cell r="U2981">
            <v>0</v>
          </cell>
          <cell r="V2981">
            <v>0.74</v>
          </cell>
          <cell r="W2981">
            <v>0.32</v>
          </cell>
          <cell r="X2981" t="str">
            <v>EST LUMINARIA CURCUMA MEDIA ALTA (BRONZE) LINHO CRU - Ø0,32x0,74H</v>
          </cell>
          <cell r="Y2981">
            <v>0</v>
          </cell>
          <cell r="Z2981">
            <v>0.5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328018</v>
          </cell>
          <cell r="P2982"/>
          <cell r="Q2982" t="str">
            <v>EST MESA LATERAL CURCUMA BOLD MAX (BRONZE) (TP FOLHA AMEBA)</v>
          </cell>
          <cell r="R2982"/>
          <cell r="S2982"/>
          <cell r="T2982">
            <v>0.39</v>
          </cell>
          <cell r="U2982">
            <v>0</v>
          </cell>
          <cell r="V2982">
            <v>0.53</v>
          </cell>
          <cell r="W2982">
            <v>0.39</v>
          </cell>
          <cell r="X2982" t="str">
            <v>EST MESA LATERAL CURCUMA BOLD MAX (BRONZE) (TP FOLHA AMEBA) - Ø0,39x0,53H</v>
          </cell>
          <cell r="Y2982">
            <v>0</v>
          </cell>
          <cell r="Z2982">
            <v>0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2</v>
          </cell>
          <cell r="O2983">
            <v>328019</v>
          </cell>
          <cell r="P2983"/>
          <cell r="Q2983" t="str">
            <v>EST MESA LATERAL CURCUMA BOLD (BRONZE) (TP FOLHA AMEBA)</v>
          </cell>
          <cell r="R2983"/>
          <cell r="S2983"/>
          <cell r="T2983">
            <v>0.39</v>
          </cell>
          <cell r="U2983">
            <v>0</v>
          </cell>
          <cell r="V2983">
            <v>0.53</v>
          </cell>
          <cell r="W2983">
            <v>0.39</v>
          </cell>
          <cell r="X2983" t="str">
            <v>EST MESA LATERAL CURCUMA BOLD (BRONZE) (TP FOLHA AMEBA) - Ø0,39x0,53H</v>
          </cell>
          <cell r="Y2983">
            <v>0</v>
          </cell>
          <cell r="Z2983">
            <v>0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0</v>
          </cell>
          <cell r="O2984">
            <v>328043</v>
          </cell>
          <cell r="P2984"/>
          <cell r="Q2984" t="str">
            <v>EST POLTRONA DIZ (ESTOF S/FURO) (MAD IMBUIA) COURO IMPORT 51</v>
          </cell>
          <cell r="R2984"/>
          <cell r="S2984"/>
          <cell r="T2984">
            <v>0.78</v>
          </cell>
          <cell r="U2984">
            <v>0.89</v>
          </cell>
          <cell r="V2984">
            <v>0.71</v>
          </cell>
          <cell r="W2984">
            <v>0</v>
          </cell>
          <cell r="X2984" t="str">
            <v>EST POLTRONA DIZ (ESTOF S/FURO) (MAD IMBUIA) COURO IMPORT 51 - 0,78x0,89x0,71H</v>
          </cell>
          <cell r="Y2984">
            <v>0</v>
          </cell>
          <cell r="Z2984">
            <v>0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0</v>
          </cell>
          <cell r="O2985">
            <v>328441</v>
          </cell>
          <cell r="P2985"/>
          <cell r="Q2985" t="str">
            <v>EST MESA CENTRO JOALHERIA (PAU FERRO) BS PRETO FOSCO</v>
          </cell>
          <cell r="R2985"/>
          <cell r="S2985"/>
          <cell r="T2985">
            <v>1.61</v>
          </cell>
          <cell r="U2985">
            <v>0.52</v>
          </cell>
          <cell r="V2985">
            <v>0.37</v>
          </cell>
          <cell r="W2985">
            <v>0</v>
          </cell>
          <cell r="X2985" t="str">
            <v>EST MESA CENTRO JOALHERIA (PAU FERRO) BS PRETO FOSCO - 1,61x0,52x0,37H</v>
          </cell>
          <cell r="Y2985">
            <v>0</v>
          </cell>
          <cell r="Z2985">
            <v>0.5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0</v>
          </cell>
          <cell r="O2986">
            <v>328442</v>
          </cell>
          <cell r="P2986"/>
          <cell r="Q2986" t="str">
            <v>EST MESA CENTRO JOALHERIA (PAU FERRO) BS PRETO FOSCO</v>
          </cell>
          <cell r="R2986"/>
          <cell r="S2986"/>
          <cell r="T2986">
            <v>0.78</v>
          </cell>
          <cell r="U2986">
            <v>0.52</v>
          </cell>
          <cell r="V2986">
            <v>0.37</v>
          </cell>
          <cell r="W2986">
            <v>0</v>
          </cell>
          <cell r="X2986" t="str">
            <v>EST MESA CENTRO JOALHERIA (PAU FERRO) BS PRETO FOSCO - 0,78x0,52x0,37H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328443</v>
          </cell>
          <cell r="P2987"/>
          <cell r="Q2987" t="str">
            <v>EST MESA CENTRO JOALHERIA (PAU FERRO) BS PRETO FOSCO</v>
          </cell>
          <cell r="R2987"/>
          <cell r="S2987"/>
          <cell r="T2987">
            <v>0.82</v>
          </cell>
          <cell r="U2987">
            <v>0.69</v>
          </cell>
          <cell r="V2987">
            <v>0.37</v>
          </cell>
          <cell r="W2987">
            <v>0</v>
          </cell>
          <cell r="X2987" t="str">
            <v>EST MESA CENTRO JOALHERIA (PAU FERRO) BS PRETO FOSCO - 0,82x0,69x0,37H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1</v>
          </cell>
          <cell r="O2988">
            <v>328630</v>
          </cell>
          <cell r="P2988"/>
          <cell r="Q2988" t="str">
            <v>EST APARADOR GB 1013 (PORTAS BRANCAS) (PAU FERRO)</v>
          </cell>
          <cell r="R2988"/>
          <cell r="S2988"/>
          <cell r="T2988">
            <v>1.04</v>
          </cell>
          <cell r="U2988">
            <v>0.39</v>
          </cell>
          <cell r="V2988">
            <v>0.82</v>
          </cell>
          <cell r="W2988">
            <v>0</v>
          </cell>
          <cell r="X2988" t="str">
            <v>EST APARADOR GB 1013 (PORTAS BRANCAS) (PAU FERRO) - 1,04x0,39x0,82H</v>
          </cell>
          <cell r="Y2988">
            <v>0</v>
          </cell>
          <cell r="Z2988">
            <v>0.5</v>
          </cell>
          <cell r="AA2988">
            <v>0</v>
          </cell>
          <cell r="AB2988"/>
        </row>
        <row r="2989">
          <cell r="C2989" t="e">
            <v>#N/A</v>
          </cell>
          <cell r="D2989" t="e">
            <v>#N/A</v>
          </cell>
          <cell r="E2989" t="e">
            <v>#N/A</v>
          </cell>
          <cell r="F2989" t="e">
            <v>#N/A</v>
          </cell>
          <cell r="H2989" t="e">
            <v>#N/A</v>
          </cell>
          <cell r="O2989">
            <v>328634</v>
          </cell>
          <cell r="P2989"/>
          <cell r="Q2989" t="e">
            <v>#N/A</v>
          </cell>
          <cell r="R2989"/>
          <cell r="S2989"/>
          <cell r="T2989" t="e">
            <v>#N/A</v>
          </cell>
          <cell r="U2989" t="e">
            <v>#N/A</v>
          </cell>
          <cell r="V2989" t="e">
            <v>#N/A</v>
          </cell>
          <cell r="W2989" t="e">
            <v>#N/A</v>
          </cell>
          <cell r="X2989" t="e">
            <v>#N/A</v>
          </cell>
          <cell r="Y2989">
            <v>0</v>
          </cell>
          <cell r="Z2989">
            <v>0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0</v>
          </cell>
          <cell r="O2990">
            <v>328637</v>
          </cell>
          <cell r="P2990"/>
          <cell r="Q2990" t="str">
            <v>EST ESCRIVANINHA GB 1015 (PAU FERRO) (GAV ESQ LC BRANCA)</v>
          </cell>
          <cell r="R2990"/>
          <cell r="S2990"/>
          <cell r="T2990">
            <v>1.1000000000000001</v>
          </cell>
          <cell r="U2990">
            <v>0.53</v>
          </cell>
          <cell r="V2990">
            <v>0.75</v>
          </cell>
          <cell r="W2990">
            <v>0</v>
          </cell>
          <cell r="X2990" t="str">
            <v>EST ESCRIVANINHA GB 1015 (PAU FERRO) (GAV ESQ LC BRANCA) - 1,1x0,53x0,75H</v>
          </cell>
          <cell r="Y2990">
            <v>0</v>
          </cell>
          <cell r="Z2990">
            <v>0.5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3</v>
          </cell>
          <cell r="O2991">
            <v>328943</v>
          </cell>
          <cell r="P2991"/>
          <cell r="Q2991" t="str">
            <v>EST POLTRONA ESTICADA (PALANTI) (IMBUIA) (SOLETA MARROM)</v>
          </cell>
          <cell r="R2991"/>
          <cell r="S2991"/>
          <cell r="T2991">
            <v>0.55000000000000004</v>
          </cell>
          <cell r="U2991">
            <v>0.7</v>
          </cell>
          <cell r="V2991">
            <v>0.88</v>
          </cell>
          <cell r="W2991">
            <v>0</v>
          </cell>
          <cell r="X2991" t="str">
            <v>EST POLTRONA ESTICADA (PALANTI) (IMBUIA) (SOLETA MARROM) - 0,55x0,7x0,88H</v>
          </cell>
          <cell r="Y2991">
            <v>0</v>
          </cell>
          <cell r="Z2991">
            <v>0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3</v>
          </cell>
          <cell r="O2992">
            <v>328949</v>
          </cell>
          <cell r="P2992"/>
          <cell r="Q2992" t="str">
            <v>EST POLTRONA TUBIM (ACO PRETO TXT) COURO IMPORT 55</v>
          </cell>
          <cell r="R2992"/>
          <cell r="S2992"/>
          <cell r="T2992">
            <v>0.62</v>
          </cell>
          <cell r="U2992">
            <v>0.73</v>
          </cell>
          <cell r="V2992">
            <v>0.76</v>
          </cell>
          <cell r="W2992">
            <v>0</v>
          </cell>
          <cell r="X2992" t="str">
            <v>EST POLTRONA TUBIM (ACO PRETO TXT) COURO IMPORT 55 - 0,62x0,73x0,76H</v>
          </cell>
          <cell r="Y2992">
            <v>0</v>
          </cell>
          <cell r="Z2992">
            <v>0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328950</v>
          </cell>
          <cell r="P2993"/>
          <cell r="Q2993" t="str">
            <v>EST POLTRONA TUBIM (ACO PRETO TXT) COURO SOFT CARAMELO</v>
          </cell>
          <cell r="R2993"/>
          <cell r="S2993"/>
          <cell r="T2993">
            <v>0.62</v>
          </cell>
          <cell r="U2993">
            <v>0.73</v>
          </cell>
          <cell r="V2993">
            <v>0.76</v>
          </cell>
          <cell r="W2993">
            <v>0</v>
          </cell>
          <cell r="X2993" t="str">
            <v>EST POLTRONA TUBIM (ACO PRETO TXT) COURO SOFT CARAMELO - 0,62x0,73x0,76H</v>
          </cell>
          <cell r="Y2993">
            <v>0</v>
          </cell>
          <cell r="Z2993">
            <v>0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1</v>
          </cell>
          <cell r="O2994">
            <v>330545</v>
          </cell>
          <cell r="P2994"/>
          <cell r="Q2994" t="str">
            <v>EST MESA LATERAL STAN (MARMORE ROSA PARANA FOSCO)</v>
          </cell>
          <cell r="R2994"/>
          <cell r="S2994"/>
          <cell r="T2994">
            <v>0.4</v>
          </cell>
          <cell r="U2994">
            <v>0</v>
          </cell>
          <cell r="V2994">
            <v>0.6</v>
          </cell>
          <cell r="W2994">
            <v>0.4</v>
          </cell>
          <cell r="X2994" t="str">
            <v>EST MESA LATERAL STAN (MARMORE ROSA PARANA FOSCO) - Ø0,4x0,6H</v>
          </cell>
          <cell r="Y2994">
            <v>0</v>
          </cell>
          <cell r="Z2994">
            <v>0.5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1</v>
          </cell>
          <cell r="O2995">
            <v>330547</v>
          </cell>
          <cell r="P2995"/>
          <cell r="Q2995" t="str">
            <v>EST MESA LATERAL OLIVER (MARMORE ROSA PARANA FOSCO)</v>
          </cell>
          <cell r="R2995"/>
          <cell r="S2995"/>
          <cell r="T2995">
            <v>0.5</v>
          </cell>
          <cell r="U2995">
            <v>0</v>
          </cell>
          <cell r="V2995">
            <v>0.45</v>
          </cell>
          <cell r="W2995">
            <v>0.5</v>
          </cell>
          <cell r="X2995" t="str">
            <v>EST MESA LATERAL OLIVER (MARMORE ROSA PARANA FOSCO) - Ø0,5x0,45H</v>
          </cell>
          <cell r="Y2995">
            <v>0</v>
          </cell>
          <cell r="Z2995">
            <v>0.5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330550</v>
          </cell>
          <cell r="P2996"/>
          <cell r="Q2996" t="str">
            <v>EST MESA CENTRO JOA (MAD B LOURO ESPECIAL)</v>
          </cell>
          <cell r="R2996"/>
          <cell r="S2996"/>
          <cell r="T2996">
            <v>1.4</v>
          </cell>
          <cell r="U2996">
            <v>0</v>
          </cell>
          <cell r="V2996">
            <v>0.3</v>
          </cell>
          <cell r="W2996">
            <v>0</v>
          </cell>
          <cell r="X2996" t="str">
            <v>EST MESA CENTRO JOA (MAD B LOURO ESPECIAL) - Ø0x0,3H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2</v>
          </cell>
          <cell r="O2997">
            <v>330551</v>
          </cell>
          <cell r="P2997"/>
          <cell r="Q2997" t="str">
            <v>EST MESA LATERAL LEBLON (MAD B FREIJO NT)</v>
          </cell>
          <cell r="R2997"/>
          <cell r="S2997"/>
          <cell r="T2997">
            <v>0.71</v>
          </cell>
          <cell r="U2997">
            <v>0</v>
          </cell>
          <cell r="V2997">
            <v>0.56000000000000005</v>
          </cell>
          <cell r="W2997">
            <v>0</v>
          </cell>
          <cell r="X2997" t="str">
            <v>EST MESA LATERAL LEBLON (MAD B FREIJO NT) - Ø0x0,56H</v>
          </cell>
          <cell r="Y2997">
            <v>0</v>
          </cell>
          <cell r="Z2997">
            <v>0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332033</v>
          </cell>
          <cell r="P2998"/>
          <cell r="Q2998" t="str">
            <v>EST POLTRONA CARIOCA (SOLETA DPOT PINHAO) (MAD B LOURO ESP)</v>
          </cell>
          <cell r="R2998"/>
          <cell r="S2998"/>
          <cell r="T2998">
            <v>0.6</v>
          </cell>
          <cell r="U2998">
            <v>0.74</v>
          </cell>
          <cell r="V2998">
            <v>0.82</v>
          </cell>
          <cell r="W2998">
            <v>0</v>
          </cell>
          <cell r="X2998" t="str">
            <v>EST POLTRONA CARIOCA (SOLETA DPOT PINHAO) (MAD B LOURO ESP) - 0,6x0,74x0,82H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1</v>
          </cell>
          <cell r="O2999">
            <v>334696</v>
          </cell>
          <cell r="P2999"/>
          <cell r="Q2999" t="str">
            <v>EST BANQUETA BENJAMIN (FREIJO NATURAL) CAMURCA TABACO</v>
          </cell>
          <cell r="R2999"/>
          <cell r="S2999"/>
          <cell r="T2999">
            <v>0.8</v>
          </cell>
          <cell r="U2999">
            <v>0.6</v>
          </cell>
          <cell r="V2999">
            <v>0.38</v>
          </cell>
          <cell r="W2999">
            <v>0</v>
          </cell>
          <cell r="X2999" t="str">
            <v>EST BANQUETA BENJAMIN (FREIJO NATURAL) CAMURCA TABACO - 0,8x0,6x0,38H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335131</v>
          </cell>
          <cell r="P3000"/>
          <cell r="Q3000" t="str">
            <v>EST MESA CENTRO TAPI (SUCUPIRA NATURAL) (CAMURCA TAUPE)</v>
          </cell>
          <cell r="R3000"/>
          <cell r="S3000"/>
          <cell r="T3000">
            <v>1.8</v>
          </cell>
          <cell r="U3000">
            <v>0.9</v>
          </cell>
          <cell r="V3000">
            <v>0.3</v>
          </cell>
          <cell r="W3000">
            <v>0</v>
          </cell>
          <cell r="X3000" t="str">
            <v>EST MESA CENTRO TAPI (SUCUPIRA NATURAL) (CAMURCA TAUPE) - 1,8x0,9x0,3H</v>
          </cell>
          <cell r="Y3000">
            <v>0</v>
          </cell>
          <cell r="Z3000">
            <v>0.5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8</v>
          </cell>
          <cell r="O3001">
            <v>335240</v>
          </cell>
          <cell r="P3001"/>
          <cell r="Q3001" t="str">
            <v>EST CADEIRA PORTUGUESA S/BRACO (FREIJO) TC GALLIA NATURAL</v>
          </cell>
          <cell r="R3001"/>
          <cell r="S3001"/>
          <cell r="T3001">
            <v>0.53</v>
          </cell>
          <cell r="U3001">
            <v>0.56000000000000005</v>
          </cell>
          <cell r="V3001">
            <v>0.88</v>
          </cell>
          <cell r="W3001">
            <v>0</v>
          </cell>
          <cell r="X3001" t="str">
            <v>EST CADEIRA PORTUGUESA S/BRACO (FREIJO) TC GALLIA NATURAL - 0,53x0,56x0,88H</v>
          </cell>
          <cell r="Y3001">
            <v>0</v>
          </cell>
          <cell r="Z3001">
            <v>0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7</v>
          </cell>
          <cell r="O3002">
            <v>335241</v>
          </cell>
          <cell r="P3002"/>
          <cell r="Q3002" t="str">
            <v>EST CADEIRA PORTUGUESA S/BRACO (FREIJO) CAMURCA TAUPE</v>
          </cell>
          <cell r="R3002"/>
          <cell r="S3002"/>
          <cell r="T3002">
            <v>0.53</v>
          </cell>
          <cell r="U3002">
            <v>0.56000000000000005</v>
          </cell>
          <cell r="V3002">
            <v>0.88</v>
          </cell>
          <cell r="W3002">
            <v>0</v>
          </cell>
          <cell r="X3002" t="str">
            <v>EST CADEIRA PORTUGUESA S/BRACO (FREIJO) CAMURCA TAUPE - 0,53x0,56x0,88H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3</v>
          </cell>
          <cell r="O3003">
            <v>335245</v>
          </cell>
          <cell r="P3003"/>
          <cell r="Q3003" t="str">
            <v>EST CADEIRA PORTUGUESA C/BRACO (FREIJO) CAMURCA TAUPE</v>
          </cell>
          <cell r="R3003"/>
          <cell r="S3003"/>
          <cell r="T3003">
            <v>0.59</v>
          </cell>
          <cell r="U3003">
            <v>0.56000000000000005</v>
          </cell>
          <cell r="V3003">
            <v>0.88</v>
          </cell>
          <cell r="W3003">
            <v>0</v>
          </cell>
          <cell r="X3003" t="str">
            <v>EST CADEIRA PORTUGUESA C/BRACO (FREIJO) CAMURCA TAUPE - 0,59x0,56x0,88H</v>
          </cell>
          <cell r="Y3003">
            <v>0</v>
          </cell>
          <cell r="Z3003">
            <v>0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8</v>
          </cell>
          <cell r="O3004">
            <v>335249</v>
          </cell>
          <cell r="P3004"/>
          <cell r="Q3004" t="str">
            <v>EST CADEIRA PORTUGUESA S/BRACO (FREIJO) TC GALLIA MUSGO</v>
          </cell>
          <cell r="R3004"/>
          <cell r="S3004"/>
          <cell r="T3004">
            <v>0.53</v>
          </cell>
          <cell r="U3004">
            <v>0.56000000000000005</v>
          </cell>
          <cell r="V3004">
            <v>0.88</v>
          </cell>
          <cell r="W3004">
            <v>0</v>
          </cell>
          <cell r="X3004" t="str">
            <v>EST CADEIRA PORTUGUESA S/BRACO (FREIJO) TC GALLIA MUSGO - 0,53x0,56x0,88H</v>
          </cell>
          <cell r="Y3004">
            <v>0</v>
          </cell>
          <cell r="Z3004">
            <v>0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4</v>
          </cell>
          <cell r="O3005">
            <v>335252</v>
          </cell>
          <cell r="P3005"/>
          <cell r="Q3005" t="str">
            <v>EST CADEIRA PORTUGUESA C/BRACO (FREIJO) TC GALLIA NATURAL</v>
          </cell>
          <cell r="R3005"/>
          <cell r="S3005"/>
          <cell r="T3005">
            <v>0.59</v>
          </cell>
          <cell r="U3005">
            <v>0.56000000000000005</v>
          </cell>
          <cell r="V3005">
            <v>0.88</v>
          </cell>
          <cell r="W3005">
            <v>0</v>
          </cell>
          <cell r="X3005" t="str">
            <v>EST CADEIRA PORTUGUESA C/BRACO (FREIJO) TC GALLIA NATURAL - 0,59x0,56x0,88H</v>
          </cell>
          <cell r="Y3005">
            <v>0</v>
          </cell>
          <cell r="Z3005">
            <v>0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2</v>
          </cell>
          <cell r="O3006">
            <v>335262</v>
          </cell>
          <cell r="P3006"/>
          <cell r="Q3006" t="str">
            <v>EST CADEIRA ESSA (JEQ NATURAL) COURO FIRENZE AVESSO VERMELHO</v>
          </cell>
          <cell r="R3006"/>
          <cell r="S3006"/>
          <cell r="T3006">
            <v>0.56000000000000005</v>
          </cell>
          <cell r="U3006">
            <v>0.59</v>
          </cell>
          <cell r="V3006">
            <v>0.8</v>
          </cell>
          <cell r="W3006">
            <v>0</v>
          </cell>
          <cell r="X3006" t="str">
            <v>EST CADEIRA ESSA (JEQ NATURAL) COURO FIRENZE AVESSO VERMELHO - 0,56x0,59x0,8H</v>
          </cell>
          <cell r="Y3006">
            <v>0</v>
          </cell>
          <cell r="Z3006">
            <v>0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2</v>
          </cell>
          <cell r="O3007">
            <v>335263</v>
          </cell>
          <cell r="P3007"/>
          <cell r="Q3007" t="str">
            <v>EST CADEIRA GB F61 (C/B) (JANTAR) COURO NOBUCK 98/TC RED</v>
          </cell>
          <cell r="R3007"/>
          <cell r="S3007"/>
          <cell r="T3007">
            <v>0.59</v>
          </cell>
          <cell r="U3007">
            <v>0.54</v>
          </cell>
          <cell r="V3007">
            <v>0.85</v>
          </cell>
          <cell r="W3007">
            <v>0</v>
          </cell>
          <cell r="X3007" t="str">
            <v>EST CADEIRA GB F61 (C/B) (JANTAR) COURO NOBUCK 98/TC RED - 0,59x0,54x0,85H</v>
          </cell>
          <cell r="Y3007">
            <v>0</v>
          </cell>
          <cell r="Z3007">
            <v>0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2</v>
          </cell>
          <cell r="O3008">
            <v>335314</v>
          </cell>
          <cell r="P3008"/>
          <cell r="Q3008" t="str">
            <v>EST CADEIRA OMAR C/B ALT (MAD A CINAM NT) TC XENON BEIGE</v>
          </cell>
          <cell r="R3008"/>
          <cell r="S3008"/>
          <cell r="T3008">
            <v>0.55000000000000004</v>
          </cell>
          <cell r="U3008">
            <v>0.55000000000000004</v>
          </cell>
          <cell r="V3008">
            <v>0.83</v>
          </cell>
          <cell r="W3008">
            <v>0</v>
          </cell>
          <cell r="X3008" t="str">
            <v>EST CADEIRA OMAR C/B ALT (MAD A CINAM NT) TC XENON BEIGE - 0,55x0,55x0,83H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335943</v>
          </cell>
          <cell r="P3009"/>
          <cell r="Q3009" t="str">
            <v>EST SOFA DIANA TC GIRONA NEUTRO/ALMF FLORAL MIRAGE AZUL</v>
          </cell>
          <cell r="R3009"/>
          <cell r="S3009"/>
          <cell r="T3009">
            <v>3</v>
          </cell>
          <cell r="U3009">
            <v>1.03</v>
          </cell>
          <cell r="V3009">
            <v>0.63</v>
          </cell>
          <cell r="W3009">
            <v>0</v>
          </cell>
          <cell r="X3009" t="str">
            <v>EST SOFA DIANA TC GIRONA NEUTRO/ALMF FLORAL MIRAGE AZUL - 3x1,03x0,63H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1</v>
          </cell>
          <cell r="O3010">
            <v>336614</v>
          </cell>
          <cell r="P3010"/>
          <cell r="Q3010" t="str">
            <v>EST MESA CENTRO MAIS (S/ABAS) (CARVALHO NT)</v>
          </cell>
          <cell r="R3010"/>
          <cell r="S3010"/>
          <cell r="T3010">
            <v>1.67</v>
          </cell>
          <cell r="U3010">
            <v>1.67</v>
          </cell>
          <cell r="V3010">
            <v>0.27</v>
          </cell>
          <cell r="W3010">
            <v>0</v>
          </cell>
          <cell r="X3010" t="str">
            <v>EST MESA CENTRO MAIS (S/ABAS) (CARVALHO NT) - 1,67x1,67x0,27H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336709</v>
          </cell>
          <cell r="P3011"/>
          <cell r="Q3011" t="str">
            <v>EST MESA LATERAL STAN (MARMORE CARRARA)</v>
          </cell>
          <cell r="R3011"/>
          <cell r="S3011"/>
          <cell r="T3011">
            <v>0.4</v>
          </cell>
          <cell r="U3011">
            <v>0</v>
          </cell>
          <cell r="V3011">
            <v>0.6</v>
          </cell>
          <cell r="W3011">
            <v>0.4</v>
          </cell>
          <cell r="X3011" t="str">
            <v>EST MESA LATERAL STAN (MARMORE CARRARA) - Ø0,4x0,6H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336710</v>
          </cell>
          <cell r="P3012"/>
          <cell r="Q3012" t="str">
            <v>EST MESA LATERAL STAN JR (MARMORE CARRARA)</v>
          </cell>
          <cell r="R3012"/>
          <cell r="S3012"/>
          <cell r="T3012">
            <v>0.3</v>
          </cell>
          <cell r="U3012">
            <v>0</v>
          </cell>
          <cell r="V3012">
            <v>0.55000000000000004</v>
          </cell>
          <cell r="W3012">
            <v>0.3</v>
          </cell>
          <cell r="X3012" t="str">
            <v>EST MESA LATERAL STAN JR (MARMORE CARRARA) - Ø0,3x0,55H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 t="e">
            <v>#N/A</v>
          </cell>
          <cell r="D3013" t="e">
            <v>#N/A</v>
          </cell>
          <cell r="E3013" t="e">
            <v>#N/A</v>
          </cell>
          <cell r="F3013" t="e">
            <v>#N/A</v>
          </cell>
          <cell r="H3013" t="e">
            <v>#N/A</v>
          </cell>
          <cell r="O3013">
            <v>336724</v>
          </cell>
          <cell r="P3013"/>
          <cell r="Q3013" t="e">
            <v>#N/A</v>
          </cell>
          <cell r="R3013"/>
          <cell r="S3013"/>
          <cell r="T3013" t="e">
            <v>#N/A</v>
          </cell>
          <cell r="U3013" t="e">
            <v>#N/A</v>
          </cell>
          <cell r="V3013" t="e">
            <v>#N/A</v>
          </cell>
          <cell r="W3013" t="e">
            <v>#N/A</v>
          </cell>
          <cell r="X3013" t="e">
            <v>#N/A</v>
          </cell>
          <cell r="Y3013">
            <v>0</v>
          </cell>
          <cell r="Z3013">
            <v>0.5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336727</v>
          </cell>
          <cell r="P3014"/>
          <cell r="Q3014" t="str">
            <v>EST MESA LATERAL STAN JR HASTE PRETA (TP MARMORE VERDE ALPI)</v>
          </cell>
          <cell r="R3014"/>
          <cell r="S3014"/>
          <cell r="T3014">
            <v>0.3</v>
          </cell>
          <cell r="U3014">
            <v>0</v>
          </cell>
          <cell r="V3014">
            <v>0.55000000000000004</v>
          </cell>
          <cell r="W3014">
            <v>0.3</v>
          </cell>
          <cell r="X3014" t="str">
            <v>EST MESA LATERAL STAN JR HASTE PRETA (TP MARMORE VERDE ALPI) - Ø0,3x0,55H</v>
          </cell>
          <cell r="Y3014">
            <v>0</v>
          </cell>
          <cell r="Z3014">
            <v>0.5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10</v>
          </cell>
          <cell r="O3015">
            <v>337378</v>
          </cell>
          <cell r="P3015"/>
          <cell r="Q3015" t="str">
            <v>EST BANQUETA BAR GIRAFA H62 (CUMARU)</v>
          </cell>
          <cell r="R3015"/>
          <cell r="S3015"/>
          <cell r="T3015">
            <v>0.39</v>
          </cell>
          <cell r="U3015">
            <v>0.46</v>
          </cell>
          <cell r="V3015">
            <v>0.86</v>
          </cell>
          <cell r="W3015">
            <v>0</v>
          </cell>
          <cell r="X3015" t="str">
            <v>EST BANQUETA BAR GIRAFA H62 (CUMARU) - 0,39x0,46x0,86H</v>
          </cell>
          <cell r="Y3015">
            <v>0</v>
          </cell>
          <cell r="Z3015">
            <v>0.5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20</v>
          </cell>
          <cell r="O3016">
            <v>337379</v>
          </cell>
          <cell r="P3016"/>
          <cell r="Q3016" t="str">
            <v>EST BANQUETA BAR GIRAFA H76 (CUMARU)</v>
          </cell>
          <cell r="R3016"/>
          <cell r="S3016"/>
          <cell r="T3016">
            <v>0.39</v>
          </cell>
          <cell r="U3016">
            <v>0.46</v>
          </cell>
          <cell r="V3016">
            <v>1</v>
          </cell>
          <cell r="W3016">
            <v>0</v>
          </cell>
          <cell r="X3016" t="str">
            <v>EST BANQUETA BAR GIRAFA H76 (CUMARU) - 0,39x0,46x1H</v>
          </cell>
          <cell r="Y3016">
            <v>0</v>
          </cell>
          <cell r="Z3016">
            <v>0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19</v>
          </cell>
          <cell r="O3017">
            <v>337380</v>
          </cell>
          <cell r="P3017"/>
          <cell r="Q3017" t="str">
            <v>EST CADEIRA GIRAFA (CUMARU)</v>
          </cell>
          <cell r="R3017"/>
          <cell r="S3017"/>
          <cell r="T3017">
            <v>0.39</v>
          </cell>
          <cell r="U3017">
            <v>0.43</v>
          </cell>
          <cell r="V3017">
            <v>0.79</v>
          </cell>
          <cell r="W3017">
            <v>0</v>
          </cell>
          <cell r="X3017" t="str">
            <v>EST CADEIRA GIRAFA (CUMARU) - 0,39x0,43x0,79H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8</v>
          </cell>
          <cell r="O3018">
            <v>337395</v>
          </cell>
          <cell r="P3018"/>
          <cell r="Q3018" t="str">
            <v>EST BANCO GIRAFA (CUMARU)</v>
          </cell>
          <cell r="R3018"/>
          <cell r="S3018"/>
          <cell r="T3018">
            <v>0.38</v>
          </cell>
          <cell r="U3018">
            <v>0.34</v>
          </cell>
          <cell r="V3018">
            <v>0.48</v>
          </cell>
          <cell r="W3018">
            <v>0</v>
          </cell>
          <cell r="X3018" t="str">
            <v>EST BANCO GIRAFA (CUMARU) - 0,38x0,34x0,48H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5</v>
          </cell>
          <cell r="O3019">
            <v>337396</v>
          </cell>
          <cell r="P3019"/>
          <cell r="Q3019" t="str">
            <v>EST MESA JANTAR GIRAFA (CUMARU)</v>
          </cell>
          <cell r="R3019"/>
          <cell r="S3019"/>
          <cell r="T3019">
            <v>0.7</v>
          </cell>
          <cell r="U3019">
            <v>0</v>
          </cell>
          <cell r="V3019">
            <v>0.76</v>
          </cell>
          <cell r="W3019">
            <v>0</v>
          </cell>
          <cell r="X3019" t="str">
            <v>EST MESA JANTAR GIRAFA (CUMARU) - Ø0x0,76H</v>
          </cell>
          <cell r="Y3019">
            <v>0</v>
          </cell>
          <cell r="Z3019">
            <v>0.5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2</v>
          </cell>
          <cell r="O3020">
            <v>337397</v>
          </cell>
          <cell r="P3020"/>
          <cell r="Q3020" t="str">
            <v>EST CADEIRA GIRAFA BORDADEIRA (CUMARU)</v>
          </cell>
          <cell r="R3020"/>
          <cell r="S3020"/>
          <cell r="T3020">
            <v>0.39</v>
          </cell>
          <cell r="U3020">
            <v>0.42</v>
          </cell>
          <cell r="V3020">
            <v>0.65</v>
          </cell>
          <cell r="W3020">
            <v>0</v>
          </cell>
          <cell r="X3020" t="str">
            <v>EST CADEIRA GIRAFA BORDADEIRA (CUMARU) - 0,39x0,42x0,65H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1</v>
          </cell>
          <cell r="O3021">
            <v>337571</v>
          </cell>
          <cell r="P3021"/>
          <cell r="Q3021" t="str">
            <v>EST POLTRONA ZECA (FREIJO NATURAL) TC EL CLASSIC COR STONE</v>
          </cell>
          <cell r="R3021"/>
          <cell r="S3021"/>
          <cell r="T3021">
            <v>0.69</v>
          </cell>
          <cell r="U3021">
            <v>0.76</v>
          </cell>
          <cell r="V3021">
            <v>0.77</v>
          </cell>
          <cell r="W3021">
            <v>0</v>
          </cell>
          <cell r="X3021" t="str">
            <v>EST POLTRONA ZECA (FREIJO NATURAL) TC EL CLASSIC COR STONE - 0,69x0,76x0,77H</v>
          </cell>
          <cell r="Y3021">
            <v>0</v>
          </cell>
          <cell r="Z3021">
            <v>0.5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338024</v>
          </cell>
          <cell r="P3022"/>
          <cell r="Q3022" t="str">
            <v>EST MESA LATERAL STAN (TAMPO TAUARI TONALIZADO COR 02)</v>
          </cell>
          <cell r="R3022"/>
          <cell r="S3022"/>
          <cell r="T3022">
            <v>0.4</v>
          </cell>
          <cell r="U3022">
            <v>0</v>
          </cell>
          <cell r="V3022">
            <v>0.6</v>
          </cell>
          <cell r="W3022">
            <v>0.4</v>
          </cell>
          <cell r="X3022" t="str">
            <v>EST MESA LATERAL STAN (TAMPO TAUARI TONALIZADO COR 02) - Ø0,4x0,6H</v>
          </cell>
          <cell r="Y3022">
            <v>0</v>
          </cell>
          <cell r="Z3022">
            <v>0.5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2</v>
          </cell>
          <cell r="O3023">
            <v>338025</v>
          </cell>
          <cell r="P3023"/>
          <cell r="Q3023" t="str">
            <v>EST MESA LATERAL STAN JR (TAMPO TAUARI TONALIZADO COR 02)</v>
          </cell>
          <cell r="R3023"/>
          <cell r="S3023"/>
          <cell r="T3023">
            <v>0.3</v>
          </cell>
          <cell r="U3023">
            <v>0</v>
          </cell>
          <cell r="V3023">
            <v>0.55000000000000004</v>
          </cell>
          <cell r="W3023">
            <v>0.3</v>
          </cell>
          <cell r="X3023" t="str">
            <v>EST MESA LATERAL STAN JR (TAMPO TAUARI TONALIZADO COR 02) - Ø0,3x0,55H</v>
          </cell>
          <cell r="Y3023">
            <v>0</v>
          </cell>
          <cell r="Z3023">
            <v>0.5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4</v>
          </cell>
          <cell r="O3024">
            <v>338033</v>
          </cell>
          <cell r="P3024"/>
          <cell r="Q3024" t="str">
            <v>EST MESA LATERAL SOLO (MOD 1) (BASE TAIPA) (TP IMBUIA)</v>
          </cell>
          <cell r="R3024"/>
          <cell r="S3024"/>
          <cell r="T3024">
            <v>0.3</v>
          </cell>
          <cell r="U3024">
            <v>0.2</v>
          </cell>
          <cell r="V3024">
            <v>0.56000000000000005</v>
          </cell>
          <cell r="W3024">
            <v>0</v>
          </cell>
          <cell r="X3024" t="str">
            <v>EST MESA LATERAL SOLO (MOD 1) (BASE TAIPA) (TP IMBUIA) - 0,3x0,2x0,56H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4</v>
          </cell>
          <cell r="O3025">
            <v>338035</v>
          </cell>
          <cell r="P3025"/>
          <cell r="Q3025" t="str">
            <v>EST MESA LATERAL SOLO (MOD 2) (BASE TAIPA) (TP IMBUIA)</v>
          </cell>
          <cell r="R3025"/>
          <cell r="S3025"/>
          <cell r="T3025">
            <v>0.35</v>
          </cell>
          <cell r="U3025">
            <v>0.25</v>
          </cell>
          <cell r="V3025">
            <v>0.62</v>
          </cell>
          <cell r="W3025">
            <v>0</v>
          </cell>
          <cell r="X3025" t="str">
            <v>EST MESA LATERAL SOLO (MOD 2) (BASE TAIPA) (TP IMBUIA) - 0,35x0,25x0,62H</v>
          </cell>
          <cell r="Y3025">
            <v>0</v>
          </cell>
          <cell r="Z3025">
            <v>0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338119</v>
          </cell>
          <cell r="P3026"/>
          <cell r="Q3026" t="str">
            <v>EST MESA LATERAL OLIVER (TAMPO TAUARI TONALIZADO COR 02)</v>
          </cell>
          <cell r="R3026"/>
          <cell r="S3026"/>
          <cell r="T3026">
            <v>0.5</v>
          </cell>
          <cell r="U3026">
            <v>0</v>
          </cell>
          <cell r="V3026">
            <v>0.45</v>
          </cell>
          <cell r="W3026">
            <v>0.5</v>
          </cell>
          <cell r="X3026" t="str">
            <v>EST MESA LATERAL OLIVER (TAMPO TAUARI TONALIZADO COR 02) - Ø0,5x0,45H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339729</v>
          </cell>
          <cell r="P3027"/>
          <cell r="Q3027" t="str">
            <v>EST BUFFET GAFANHOTO (INFERIOR) (MADEIRA PEROBA CLARA)</v>
          </cell>
          <cell r="R3027"/>
          <cell r="S3027"/>
          <cell r="T3027">
            <v>2.7</v>
          </cell>
          <cell r="U3027">
            <v>0.5</v>
          </cell>
          <cell r="V3027">
            <v>0.67</v>
          </cell>
          <cell r="W3027">
            <v>0</v>
          </cell>
          <cell r="X3027" t="str">
            <v>EST BUFFET GAFANHOTO (INFERIOR) (MADEIRA PEROBA CLARA) - 2,7x0,5x0,67H</v>
          </cell>
          <cell r="Y3027">
            <v>0</v>
          </cell>
          <cell r="Z3027">
            <v>0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1</v>
          </cell>
          <cell r="O3028">
            <v>340574</v>
          </cell>
          <cell r="P3028"/>
          <cell r="Q3028" t="str">
            <v>EST LUMINARIA GUICO (LATAO CROMADO) (FREIJO NATURAL)</v>
          </cell>
          <cell r="R3028"/>
          <cell r="S3028"/>
          <cell r="T3028">
            <v>0.45</v>
          </cell>
          <cell r="U3028">
            <v>0</v>
          </cell>
          <cell r="V3028">
            <v>0.9</v>
          </cell>
          <cell r="W3028">
            <v>0.45</v>
          </cell>
          <cell r="X3028" t="str">
            <v>EST LUMINARIA GUICO (LATAO CROMADO) (FREIJO NATURAL) - Ø0,45x0,9H</v>
          </cell>
          <cell r="Y3028">
            <v>0</v>
          </cell>
          <cell r="Z3028">
            <v>0.5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1</v>
          </cell>
          <cell r="O3029">
            <v>341214</v>
          </cell>
          <cell r="P3029"/>
          <cell r="Q3029" t="str">
            <v>EST BANQUETA JOSEFA (NOGUEIRA) COURO IMPORT 300</v>
          </cell>
          <cell r="R3029"/>
          <cell r="S3029"/>
          <cell r="T3029">
            <v>0.68</v>
          </cell>
          <cell r="U3029">
            <v>0.52</v>
          </cell>
          <cell r="V3029">
            <v>0.39</v>
          </cell>
          <cell r="W3029">
            <v>0</v>
          </cell>
          <cell r="X3029" t="str">
            <v>EST BANQUETA JOSEFA (NOGUEIRA) COURO IMPORT 300 - 0,68x0,52x0,39H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341215</v>
          </cell>
          <cell r="P3030"/>
          <cell r="Q3030" t="str">
            <v>EST BANQUETA JOSEFA (FREIJO NATURAL) COURO NOBUCK 10</v>
          </cell>
          <cell r="R3030"/>
          <cell r="S3030"/>
          <cell r="T3030">
            <v>0.68</v>
          </cell>
          <cell r="U3030">
            <v>0.52</v>
          </cell>
          <cell r="V3030">
            <v>0.39</v>
          </cell>
          <cell r="W3030">
            <v>0</v>
          </cell>
          <cell r="X3030" t="str">
            <v>EST BANQUETA JOSEFA (FREIJO NATURAL) COURO NOBUCK 10 - 0,68x0,52x0,39H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 t="e">
            <v>#N/A</v>
          </cell>
          <cell r="D3031" t="e">
            <v>#N/A</v>
          </cell>
          <cell r="E3031" t="e">
            <v>#N/A</v>
          </cell>
          <cell r="F3031" t="e">
            <v>#N/A</v>
          </cell>
          <cell r="H3031" t="e">
            <v>#N/A</v>
          </cell>
          <cell r="O3031">
            <v>341235</v>
          </cell>
          <cell r="P3031"/>
          <cell r="Q3031" t="e">
            <v>#N/A</v>
          </cell>
          <cell r="R3031"/>
          <cell r="S3031"/>
          <cell r="T3031" t="e">
            <v>#N/A</v>
          </cell>
          <cell r="U3031" t="e">
            <v>#N/A</v>
          </cell>
          <cell r="V3031" t="e">
            <v>#N/A</v>
          </cell>
          <cell r="W3031" t="e">
            <v>#N/A</v>
          </cell>
          <cell r="X3031" t="e">
            <v>#N/A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0</v>
          </cell>
          <cell r="O3032">
            <v>349526</v>
          </cell>
          <cell r="P3032"/>
          <cell r="Q3032" t="str">
            <v>EST POLTRONA  JIMI (MAD A COR 01) TC ELB LUDA 129 COR GREY</v>
          </cell>
          <cell r="R3032"/>
          <cell r="S3032"/>
          <cell r="T3032">
            <v>0.71</v>
          </cell>
          <cell r="U3032">
            <v>0.8</v>
          </cell>
          <cell r="V3032">
            <v>0.75</v>
          </cell>
          <cell r="W3032">
            <v>0</v>
          </cell>
          <cell r="X3032" t="str">
            <v>EST POLTRONA  JIMI (MAD A COR 01) TC ELB LUDA 129 COR GREY - 0,71x0,8x0,75H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H3033">
            <v>2</v>
          </cell>
          <cell r="O3033">
            <v>349550</v>
          </cell>
          <cell r="P3033"/>
          <cell r="Q3033" t="str">
            <v>EST POLTRONA BESOURO (FREIJO NATURAL) COURO IMPORT 300</v>
          </cell>
          <cell r="R3033"/>
          <cell r="S3033"/>
          <cell r="T3033">
            <v>0.68</v>
          </cell>
          <cell r="U3033">
            <v>0.65</v>
          </cell>
          <cell r="V3033">
            <v>0.69</v>
          </cell>
          <cell r="W3033">
            <v>0</v>
          </cell>
          <cell r="X3033" t="str">
            <v>EST POLTRONA BESOURO (FREIJO NATURAL) COURO IMPORT 300 - 0,68x0,65x0,69H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349923</v>
          </cell>
          <cell r="P3034"/>
          <cell r="Q3034" t="str">
            <v>EST CADEIRA TAMBORIM (TELA SEXT NAT) (MAD B IMBUIA)</v>
          </cell>
          <cell r="R3034"/>
          <cell r="S3034"/>
          <cell r="T3034">
            <v>0.59</v>
          </cell>
          <cell r="U3034">
            <v>0.47</v>
          </cell>
          <cell r="V3034">
            <v>0.84</v>
          </cell>
          <cell r="W3034">
            <v>0</v>
          </cell>
          <cell r="X3034" t="str">
            <v>EST CADEIRA TAMBORIM (TELA SEXT NAT) (MAD B IMBUIA) - 0,59x0,47x0,84H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350019</v>
          </cell>
          <cell r="P3035"/>
          <cell r="Q3035" t="str">
            <v>EST POLTRONA JULIA JANTAR (TELA NATURAL) (MAD IMBUIA STAIN)</v>
          </cell>
          <cell r="R3035"/>
          <cell r="S3035"/>
          <cell r="T3035">
            <v>0.66</v>
          </cell>
          <cell r="U3035">
            <v>0.63</v>
          </cell>
          <cell r="V3035">
            <v>0.79</v>
          </cell>
          <cell r="W3035">
            <v>0</v>
          </cell>
          <cell r="X3035" t="str">
            <v>EST POLTRONA JULIA JANTAR (TELA NATURAL) (MAD IMBUIA STAIN) - 0,66x0,63x0,79H</v>
          </cell>
          <cell r="Y3035">
            <v>0</v>
          </cell>
          <cell r="Z3035">
            <v>0.5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351042</v>
          </cell>
          <cell r="P3036"/>
          <cell r="Q3036" t="str">
            <v>EST BASE JANTAR AERO (P/TP 3,00X1,40) (PRETO SOLIDO)</v>
          </cell>
          <cell r="R3036"/>
          <cell r="S3036"/>
          <cell r="T3036">
            <v>3</v>
          </cell>
          <cell r="U3036">
            <v>1.4</v>
          </cell>
          <cell r="V3036">
            <v>0.74</v>
          </cell>
          <cell r="W3036">
            <v>0</v>
          </cell>
          <cell r="X3036" t="str">
            <v>EST BASE JANTAR AERO (P/TP 3,00X1,40) (PRETO SOLIDO) - 3x1,4x0,74H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3</v>
          </cell>
          <cell r="O3037">
            <v>351178</v>
          </cell>
          <cell r="P3037"/>
          <cell r="Q3037" t="str">
            <v>EST CADEIRA ESSA C/BRACO (MAD A JEQ TABACO) TC HEART HUNTER</v>
          </cell>
          <cell r="R3037"/>
          <cell r="S3037"/>
          <cell r="T3037">
            <v>0.6</v>
          </cell>
          <cell r="U3037">
            <v>0.56999999999999995</v>
          </cell>
          <cell r="V3037">
            <v>0.81</v>
          </cell>
          <cell r="W3037">
            <v>0</v>
          </cell>
          <cell r="X3037" t="str">
            <v>EST CADEIRA ESSA C/BRACO (MAD A JEQ TABACO) TC HEART HUNTER - 0,6x0,57x0,81H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0</v>
          </cell>
          <cell r="O3038">
            <v>351206</v>
          </cell>
          <cell r="P3038"/>
          <cell r="Q3038" t="str">
            <v>EST MESA CENTRO ATLAS (C/AZULEJOS ALVORADA AZUL) (SUCUPIRA)</v>
          </cell>
          <cell r="R3038"/>
          <cell r="S3038"/>
          <cell r="T3038">
            <v>1.76</v>
          </cell>
          <cell r="U3038">
            <v>0.96</v>
          </cell>
          <cell r="V3038">
            <v>0.3</v>
          </cell>
          <cell r="W3038">
            <v>0</v>
          </cell>
          <cell r="X3038" t="str">
            <v>EST MESA CENTRO ATLAS (C/AZULEJOS ALVORADA AZUL) (SUCUPIRA) - 1,76x0,96x0,3H</v>
          </cell>
          <cell r="Y3038">
            <v>0</v>
          </cell>
          <cell r="Z3038">
            <v>0.5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351208</v>
          </cell>
          <cell r="P3039"/>
          <cell r="Q3039" t="str">
            <v>EST SOFA BOLD (BASE PRETA) TC EL ANGOLA BEIGE</v>
          </cell>
          <cell r="R3039"/>
          <cell r="S3039"/>
          <cell r="T3039">
            <v>3</v>
          </cell>
          <cell r="U3039">
            <v>1.05</v>
          </cell>
          <cell r="V3039">
            <v>0.7</v>
          </cell>
          <cell r="W3039">
            <v>0</v>
          </cell>
          <cell r="X3039" t="str">
            <v>EST SOFA BOLD (BASE PRETA) TC EL ANGOLA BEIGE - 3x1,05x0,7H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353146</v>
          </cell>
          <cell r="P3040"/>
          <cell r="Q3040" t="str">
            <v>EST BANCO DOMINO (6 LUG) (CILIN IPE) (CONC GOIABA) (CORTEN)</v>
          </cell>
          <cell r="R3040"/>
          <cell r="S3040"/>
          <cell r="T3040">
            <v>2.73</v>
          </cell>
          <cell r="U3040">
            <v>0.45</v>
          </cell>
          <cell r="V3040">
            <v>0.48</v>
          </cell>
          <cell r="W3040">
            <v>0</v>
          </cell>
          <cell r="X3040" t="str">
            <v>EST BANCO DOMINO (6 LUG) (CILIN IPE) (CONC GOIABA) (CORTEN) - 2,73x0,45x0,48H</v>
          </cell>
          <cell r="Y3040">
            <v>0</v>
          </cell>
          <cell r="Z3040">
            <v>0.5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0</v>
          </cell>
          <cell r="O3041">
            <v>353153</v>
          </cell>
          <cell r="P3041"/>
          <cell r="Q3041" t="str">
            <v>EST POLTRONA ESTICADA (PALANTI) (PAU MARFIM) (SOLETA PRETA)</v>
          </cell>
          <cell r="R3041"/>
          <cell r="S3041"/>
          <cell r="T3041">
            <v>0.55000000000000004</v>
          </cell>
          <cell r="U3041">
            <v>0.7</v>
          </cell>
          <cell r="V3041">
            <v>0.88</v>
          </cell>
          <cell r="W3041">
            <v>0</v>
          </cell>
          <cell r="X3041" t="str">
            <v>EST POLTRONA ESTICADA (PALANTI) (PAU MARFIM) (SOLETA PRETA) - 0,55x0,7x0,88H</v>
          </cell>
          <cell r="Y3041">
            <v>0</v>
          </cell>
          <cell r="Z3041">
            <v>0.5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353154</v>
          </cell>
          <cell r="P3042"/>
          <cell r="Q3042" t="str">
            <v>EST POLTRONA ESTICADA (PALANTI) (LOURO) (SOLETA MARROM)</v>
          </cell>
          <cell r="R3042"/>
          <cell r="S3042"/>
          <cell r="T3042">
            <v>0.55000000000000004</v>
          </cell>
          <cell r="U3042">
            <v>0.7</v>
          </cell>
          <cell r="V3042">
            <v>0.88</v>
          </cell>
          <cell r="W3042">
            <v>0</v>
          </cell>
          <cell r="X3042" t="str">
            <v>EST POLTRONA ESTICADA (PALANTI) (LOURO) (SOLETA MARROM) - 0,55x0,7x0,88H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353176</v>
          </cell>
          <cell r="P3043"/>
          <cell r="Q3043" t="str">
            <v>EST APARADOR MALHETADO (PES RECUADOS) (PINNUS)</v>
          </cell>
          <cell r="R3043"/>
          <cell r="S3043"/>
          <cell r="T3043">
            <v>1.8</v>
          </cell>
          <cell r="U3043">
            <v>0.91</v>
          </cell>
          <cell r="V3043">
            <v>0.75</v>
          </cell>
          <cell r="W3043">
            <v>0</v>
          </cell>
          <cell r="X3043" t="str">
            <v>EST APARADOR MALHETADO (PES RECUADOS) (PINNUS) - 1,8x0,91x0,75H</v>
          </cell>
          <cell r="Y3043">
            <v>0</v>
          </cell>
          <cell r="Z3043">
            <v>0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2</v>
          </cell>
          <cell r="O3044">
            <v>353604</v>
          </cell>
          <cell r="P3044"/>
          <cell r="Q3044" t="str">
            <v>EST MODULO BRACO LONA TC SUNBRELLA CINZA</v>
          </cell>
          <cell r="R3044"/>
          <cell r="S3044"/>
          <cell r="T3044">
            <v>0.45</v>
          </cell>
          <cell r="U3044">
            <v>0.5</v>
          </cell>
          <cell r="V3044">
            <v>0.6</v>
          </cell>
          <cell r="W3044">
            <v>0</v>
          </cell>
          <cell r="X3044" t="str">
            <v>EST MODULO BRACO LONA TC SUNBRELLA CINZA - 0,45x0,5x0,6H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3</v>
          </cell>
          <cell r="O3045">
            <v>353605</v>
          </cell>
          <cell r="P3045"/>
          <cell r="Q3045" t="str">
            <v>EST MODULO S/BRACO LONA (GARAPEIRA) TC SUNBRELLA CINZA</v>
          </cell>
          <cell r="R3045"/>
          <cell r="S3045"/>
          <cell r="T3045">
            <v>0.86</v>
          </cell>
          <cell r="U3045">
            <v>0.86</v>
          </cell>
          <cell r="V3045">
            <v>0.73</v>
          </cell>
          <cell r="W3045">
            <v>0</v>
          </cell>
          <cell r="X3045" t="str">
            <v>EST MODULO S/BRACO LONA (GARAPEIRA) TC SUNBRELLA CINZA - 0,86x0,86x0,73H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353613</v>
          </cell>
          <cell r="P3046"/>
          <cell r="Q3046" t="str">
            <v>EST MESA LATERAL 60 (TAUARI NOG) (VIDRO 12MM)</v>
          </cell>
          <cell r="R3046"/>
          <cell r="S3046"/>
          <cell r="T3046">
            <v>0.6</v>
          </cell>
          <cell r="U3046">
            <v>0.6</v>
          </cell>
          <cell r="V3046">
            <v>0.6</v>
          </cell>
          <cell r="W3046">
            <v>0</v>
          </cell>
          <cell r="X3046" t="str">
            <v>EST MESA LATERAL 60 (TAUARI NOG) (VIDRO 12MM) - 0,6x0,6x0,6H</v>
          </cell>
          <cell r="Y3046">
            <v>0</v>
          </cell>
          <cell r="Z3046">
            <v>0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6</v>
          </cell>
          <cell r="O3047">
            <v>353964</v>
          </cell>
          <cell r="P3047"/>
          <cell r="Q3047" t="str">
            <v>EST COMPONENTE PRATELEIRA GB 02 (TECA)</v>
          </cell>
          <cell r="R3047"/>
          <cell r="S3047"/>
          <cell r="T3047">
            <v>2.2000000000000002</v>
          </cell>
          <cell r="U3047">
            <v>0.35</v>
          </cell>
          <cell r="V3047">
            <v>0.03</v>
          </cell>
          <cell r="W3047">
            <v>0</v>
          </cell>
          <cell r="X3047" t="str">
            <v>EST COMPONENTE PRATELEIRA GB 02 (TECA) - 2,2x0,35x0,03H</v>
          </cell>
          <cell r="Y3047">
            <v>0</v>
          </cell>
          <cell r="Z3047">
            <v>0.5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2</v>
          </cell>
          <cell r="O3048">
            <v>354323</v>
          </cell>
          <cell r="P3048"/>
          <cell r="Q3048" t="str">
            <v>EST BANCO ATABAQUE (CORIAN BRANCO)</v>
          </cell>
          <cell r="R3048"/>
          <cell r="S3048"/>
          <cell r="T3048">
            <v>0.55000000000000004</v>
          </cell>
          <cell r="U3048">
            <v>0.41</v>
          </cell>
          <cell r="V3048">
            <v>0.43</v>
          </cell>
          <cell r="W3048">
            <v>0</v>
          </cell>
          <cell r="X3048" t="str">
            <v>EST BANCO ATABAQUE (CORIAN BRANCO) - 0,55x0,41x0,43H</v>
          </cell>
          <cell r="Y3048">
            <v>0</v>
          </cell>
          <cell r="Z3048">
            <v>0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1</v>
          </cell>
          <cell r="O3049">
            <v>354583</v>
          </cell>
          <cell r="P3049"/>
          <cell r="Q3049" t="str">
            <v>EST MESA CENTRO CAVA (G3 - GREEN PEACE LEVIGADO)</v>
          </cell>
          <cell r="R3049"/>
          <cell r="S3049"/>
          <cell r="T3049">
            <v>1.3</v>
          </cell>
          <cell r="U3049">
            <v>0</v>
          </cell>
          <cell r="V3049">
            <v>0.25</v>
          </cell>
          <cell r="W3049">
            <v>1.3</v>
          </cell>
          <cell r="X3049" t="str">
            <v>EST MESA CENTRO CAVA (G3 - GREEN PEACE LEVIGADO) - Ø1,3x0,25H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1</v>
          </cell>
          <cell r="O3050">
            <v>354757</v>
          </cell>
          <cell r="P3050"/>
          <cell r="Q3050" t="str">
            <v>EST CARRINHO GB (PAU FERRO) (FORMICA BRANCA)</v>
          </cell>
          <cell r="R3050"/>
          <cell r="S3050"/>
          <cell r="T3050">
            <v>0.73</v>
          </cell>
          <cell r="U3050">
            <v>0.48</v>
          </cell>
          <cell r="V3050">
            <v>0.8</v>
          </cell>
          <cell r="W3050">
            <v>0</v>
          </cell>
          <cell r="X3050" t="str">
            <v>EST CARRINHO GB (PAU FERRO) (FORMICA BRANCA) - 0,73x0,48x0,8H</v>
          </cell>
          <cell r="Y3050">
            <v>0</v>
          </cell>
          <cell r="Z3050">
            <v>0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0</v>
          </cell>
          <cell r="O3051">
            <v>354908</v>
          </cell>
          <cell r="P3051"/>
          <cell r="Q3051" t="str">
            <v>EST CADEIRA OMAR C/B BXO (MAD A CINAM ENV) COURO IMPO 300</v>
          </cell>
          <cell r="R3051"/>
          <cell r="S3051"/>
          <cell r="T3051">
            <v>0.55000000000000004</v>
          </cell>
          <cell r="U3051">
            <v>0.55000000000000004</v>
          </cell>
          <cell r="V3051">
            <v>0.83</v>
          </cell>
          <cell r="W3051">
            <v>0</v>
          </cell>
          <cell r="X3051" t="str">
            <v>EST CADEIRA OMAR C/B BXO (MAD A CINAM ENV) COURO IMPO 300 - 0,55x0,55x0,83H</v>
          </cell>
          <cell r="Y3051">
            <v>0</v>
          </cell>
          <cell r="Z3051">
            <v>0.5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354976</v>
          </cell>
          <cell r="P3052"/>
          <cell r="Q3052" t="str">
            <v>EST SOFA DECK (BIPARTIDO) (GARAPEIRA) TC GALLIA MARINHO</v>
          </cell>
          <cell r="R3052"/>
          <cell r="S3052"/>
          <cell r="T3052">
            <v>3</v>
          </cell>
          <cell r="U3052">
            <v>0.85</v>
          </cell>
          <cell r="V3052">
            <v>0.63</v>
          </cell>
          <cell r="W3052">
            <v>0</v>
          </cell>
          <cell r="X3052" t="str">
            <v>EST SOFA DECK (BIPARTIDO) (GARAPEIRA) TC GALLIA MARINHO - 3x0,85x0,63H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355669</v>
          </cell>
          <cell r="P3053"/>
          <cell r="Q3053" t="str">
            <v>EST MESA LATERAL JANETE (FREIJO NATURAL)</v>
          </cell>
          <cell r="R3053"/>
          <cell r="S3053"/>
          <cell r="T3053">
            <v>0.6</v>
          </cell>
          <cell r="U3053">
            <v>0</v>
          </cell>
          <cell r="V3053">
            <v>0.6</v>
          </cell>
          <cell r="W3053">
            <v>0.6</v>
          </cell>
          <cell r="X3053" t="str">
            <v>EST MESA LATERAL JANETE (FREIJO NATURAL) - Ø0,6x0,6H</v>
          </cell>
          <cell r="Y3053">
            <v>0</v>
          </cell>
          <cell r="Z3053">
            <v>0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2</v>
          </cell>
          <cell r="O3054">
            <v>356403</v>
          </cell>
          <cell r="P3054"/>
          <cell r="Q3054" t="str">
            <v>EST POLTRONA TETE (FREIJO NT) COURO IMPORT 53/ALM NOBUCK 10</v>
          </cell>
          <cell r="R3054"/>
          <cell r="S3054"/>
          <cell r="T3054">
            <v>0.86</v>
          </cell>
          <cell r="U3054">
            <v>0.84</v>
          </cell>
          <cell r="V3054">
            <v>0.75</v>
          </cell>
          <cell r="W3054">
            <v>0</v>
          </cell>
          <cell r="X3054" t="str">
            <v>EST POLTRONA TETE (FREIJO NT) COURO IMPORT 53/ALM NOBUCK 10 - 0,86x0,84x0,75H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5</v>
          </cell>
          <cell r="O3055">
            <v>357016</v>
          </cell>
          <cell r="P3055"/>
          <cell r="Q3055" t="str">
            <v>EST ALMOFADA DECORATIVA BOLD S/ABAS TC EL ANGOLA BEIGE</v>
          </cell>
          <cell r="R3055"/>
          <cell r="S3055"/>
          <cell r="T3055">
            <v>0.6</v>
          </cell>
          <cell r="U3055">
            <v>0.6</v>
          </cell>
          <cell r="V3055">
            <v>0</v>
          </cell>
          <cell r="W3055">
            <v>0</v>
          </cell>
          <cell r="X3055" t="str">
            <v>EST ALMOFADA DECORATIVA BOLD S/ABAS TC EL ANGOLA BEIGE - 0,6x0,6x0H</v>
          </cell>
          <cell r="Y3055">
            <v>0</v>
          </cell>
          <cell r="Z3055">
            <v>0.5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0</v>
          </cell>
          <cell r="O3056">
            <v>359544</v>
          </cell>
          <cell r="P3056"/>
          <cell r="Q3056" t="str">
            <v>EST BANCO KATINSKY (ACO CARB PRETO) COURO CH CASTOR</v>
          </cell>
          <cell r="R3056"/>
          <cell r="S3056"/>
          <cell r="T3056">
            <v>0.41</v>
          </cell>
          <cell r="U3056">
            <v>0.41</v>
          </cell>
          <cell r="V3056">
            <v>0.42</v>
          </cell>
          <cell r="W3056">
            <v>0</v>
          </cell>
          <cell r="X3056" t="str">
            <v>EST BANCO KATINSKY (ACO CARB PRETO) COURO CH CASTOR - 0,41x0,41x0,42H</v>
          </cell>
          <cell r="Y3056">
            <v>0</v>
          </cell>
          <cell r="Z3056">
            <v>0.5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2</v>
          </cell>
          <cell r="O3057">
            <v>359554</v>
          </cell>
          <cell r="P3057"/>
          <cell r="Q3057" t="str">
            <v>EST MESA CENTRO JOHN GRAZ (BS IMBUIA) (TRAV YELLOW POLIDO)</v>
          </cell>
          <cell r="R3057"/>
          <cell r="S3057"/>
          <cell r="T3057">
            <v>1.7</v>
          </cell>
          <cell r="U3057">
            <v>0.77</v>
          </cell>
          <cell r="V3057">
            <v>0.32</v>
          </cell>
          <cell r="W3057">
            <v>0</v>
          </cell>
          <cell r="X3057" t="str">
            <v>EST MESA CENTRO JOHN GRAZ (BS IMBUIA) (TRAV YELLOW POLIDO) - 1,7x0,77x0,32H</v>
          </cell>
          <cell r="Y3057">
            <v>0</v>
          </cell>
          <cell r="Z3057">
            <v>0.5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359565</v>
          </cell>
          <cell r="P3058"/>
          <cell r="Q3058" t="str">
            <v>EST CADEIRA GB01 TELA (QUADRIC NT) (JEQ 01)</v>
          </cell>
          <cell r="R3058"/>
          <cell r="S3058"/>
          <cell r="T3058">
            <v>0.45</v>
          </cell>
          <cell r="U3058">
            <v>0.48</v>
          </cell>
          <cell r="V3058">
            <v>0.85</v>
          </cell>
          <cell r="W3058">
            <v>0</v>
          </cell>
          <cell r="X3058" t="str">
            <v>EST CADEIRA GB01 TELA (QUADRIC NT) (JEQ 01) - 0,45x0,48x0,85H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2</v>
          </cell>
          <cell r="O3059">
            <v>359705</v>
          </cell>
          <cell r="P3059"/>
          <cell r="Q3059" t="str">
            <v>EST POLTRONA BESOURO (FREIJO NATURAL) COURO NOBUCK 10</v>
          </cell>
          <cell r="R3059"/>
          <cell r="S3059"/>
          <cell r="T3059">
            <v>0.68</v>
          </cell>
          <cell r="U3059">
            <v>0.65</v>
          </cell>
          <cell r="V3059">
            <v>0.69</v>
          </cell>
          <cell r="W3059">
            <v>0</v>
          </cell>
          <cell r="X3059" t="str">
            <v>EST POLTRONA BESOURO (FREIJO NATURAL) COURO NOBUCK 10 - 0,68x0,65x0,69H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359739</v>
          </cell>
          <cell r="P3060"/>
          <cell r="Q3060" t="str">
            <v>EST MESA LATERAL DAMA (FREIJO NATURAL)</v>
          </cell>
          <cell r="R3060"/>
          <cell r="S3060"/>
          <cell r="T3060">
            <v>0.5</v>
          </cell>
          <cell r="U3060">
            <v>0.3</v>
          </cell>
          <cell r="V3060">
            <v>0.45</v>
          </cell>
          <cell r="W3060">
            <v>0</v>
          </cell>
          <cell r="X3060" t="str">
            <v>EST MESA LATERAL DAMA (FREIJO NATURAL) - 0,5x0,3x0,45H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360310</v>
          </cell>
          <cell r="P3061"/>
          <cell r="Q3061" t="str">
            <v>EST BANQUETA BAR GB H62 (TELA NAT) (SUCUPIRA) (ACO PTO)</v>
          </cell>
          <cell r="R3061"/>
          <cell r="S3061"/>
          <cell r="T3061">
            <v>0.42</v>
          </cell>
          <cell r="U3061">
            <v>0.42</v>
          </cell>
          <cell r="V3061">
            <v>0.62</v>
          </cell>
          <cell r="W3061">
            <v>0</v>
          </cell>
          <cell r="X3061" t="str">
            <v>EST BANQUETA BAR GB H62 (TELA NAT) (SUCUPIRA) (ACO PTO) - 0,42x0,42x0,62H</v>
          </cell>
          <cell r="Y3061">
            <v>0</v>
          </cell>
          <cell r="Z3061">
            <v>0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1</v>
          </cell>
          <cell r="O3062">
            <v>361259</v>
          </cell>
          <cell r="P3062"/>
          <cell r="Q3062" t="str">
            <v>EST MESA LATERAL BRINCO (TRELICA CEDRO) (BS FREIJO) (ACO PT)</v>
          </cell>
          <cell r="R3062"/>
          <cell r="S3062"/>
          <cell r="T3062">
            <v>0.23</v>
          </cell>
          <cell r="U3062">
            <v>0</v>
          </cell>
          <cell r="V3062">
            <v>0.5</v>
          </cell>
          <cell r="W3062">
            <v>0.23</v>
          </cell>
          <cell r="X3062" t="str">
            <v>EST MESA LATERAL BRINCO (TRELICA CEDRO) (BS FREIJO) (ACO PT) - Ø0,23x0,5H</v>
          </cell>
          <cell r="Y3062">
            <v>0</v>
          </cell>
          <cell r="Z3062">
            <v>0.5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361573</v>
          </cell>
          <cell r="P3063"/>
          <cell r="Q3063" t="str">
            <v>EST CADEIRA JOHN GRAZ (PINHO DE RIGA) TC VERDE OLIVA</v>
          </cell>
          <cell r="R3063"/>
          <cell r="S3063"/>
          <cell r="T3063">
            <v>0.48</v>
          </cell>
          <cell r="U3063">
            <v>0.53</v>
          </cell>
          <cell r="V3063">
            <v>0.82</v>
          </cell>
          <cell r="W3063">
            <v>0</v>
          </cell>
          <cell r="X3063" t="str">
            <v>EST CADEIRA JOHN GRAZ (PINHO DE RIGA) TC VERDE OLIVA - 0,48x0,53x0,82H</v>
          </cell>
          <cell r="Y3063">
            <v>0</v>
          </cell>
          <cell r="Z3063">
            <v>0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0</v>
          </cell>
          <cell r="O3064">
            <v>361714</v>
          </cell>
          <cell r="P3064"/>
          <cell r="Q3064" t="str">
            <v>EST BASE CENTRO LITORAL (DAGUA) (MADEIRA FREIJO NATURAL)</v>
          </cell>
          <cell r="R3064"/>
          <cell r="S3064"/>
          <cell r="T3064">
            <v>1.3</v>
          </cell>
          <cell r="U3064">
            <v>1.17</v>
          </cell>
          <cell r="V3064">
            <v>0.28000000000000003</v>
          </cell>
          <cell r="W3064">
            <v>0</v>
          </cell>
          <cell r="X3064" t="str">
            <v>EST BASE CENTRO LITORAL (DAGUA) (MADEIRA FREIJO NATURAL) - 1,3x1,17x0,28H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0</v>
          </cell>
          <cell r="O3065">
            <v>361796</v>
          </cell>
          <cell r="P3065"/>
          <cell r="Q3065" t="str">
            <v>EST TAMPO CENTRO LITORAL (DAGUA) (MARMORE ROSA PARANA)</v>
          </cell>
          <cell r="R3065"/>
          <cell r="S3065"/>
          <cell r="T3065">
            <v>1.5</v>
          </cell>
          <cell r="U3065">
            <v>1.37</v>
          </cell>
          <cell r="V3065">
            <v>0.02</v>
          </cell>
          <cell r="W3065">
            <v>0</v>
          </cell>
          <cell r="X3065" t="str">
            <v>EST TAMPO CENTRO LITORAL (DAGUA) (MARMORE ROSA PARANA) - 1,5x1,37x0,02H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361819</v>
          </cell>
          <cell r="P3066"/>
          <cell r="Q3066" t="str">
            <v>EST POLTRONA CUCA (FREIJO ENVELHECIDO) COURO NOBUCK 75</v>
          </cell>
          <cell r="R3066"/>
          <cell r="S3066"/>
          <cell r="T3066">
            <v>0.63</v>
          </cell>
          <cell r="U3066">
            <v>0.9</v>
          </cell>
          <cell r="V3066">
            <v>0.89</v>
          </cell>
          <cell r="W3066">
            <v>0</v>
          </cell>
          <cell r="X3066" t="str">
            <v>EST POLTRONA CUCA (FREIJO ENVELHECIDO) COURO NOBUCK 75 - 0,63x0,9x0,89H</v>
          </cell>
          <cell r="Y3066">
            <v>0</v>
          </cell>
          <cell r="Z3066">
            <v>0.5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361820</v>
          </cell>
          <cell r="P3067"/>
          <cell r="Q3067" t="str">
            <v>EST BANQUETA CUCA (FREIJO ENVELHECIDO) COURO NOBUCK 75</v>
          </cell>
          <cell r="R3067"/>
          <cell r="S3067"/>
          <cell r="T3067">
            <v>0.51</v>
          </cell>
          <cell r="U3067">
            <v>0.4</v>
          </cell>
          <cell r="V3067">
            <v>0.39</v>
          </cell>
          <cell r="W3067">
            <v>0</v>
          </cell>
          <cell r="X3067" t="str">
            <v>EST BANQUETA CUCA (FREIJO ENVELHECIDO) COURO NOBUCK 75 - 0,51x0,4x0,39H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362396</v>
          </cell>
          <cell r="P3068"/>
          <cell r="Q3068" t="str">
            <v>EST MANCEBO STAND BY (CATUABA) (G2 - RAFAELLO)</v>
          </cell>
          <cell r="R3068"/>
          <cell r="S3068"/>
          <cell r="T3068">
            <v>0.2</v>
          </cell>
          <cell r="U3068">
            <v>0.33</v>
          </cell>
          <cell r="V3068">
            <v>1.75</v>
          </cell>
          <cell r="W3068">
            <v>0</v>
          </cell>
          <cell r="X3068" t="str">
            <v>EST MANCEBO STAND BY (CATUABA) (G2 - RAFAELLO) - 0,2x0,33x1,75H</v>
          </cell>
          <cell r="Y3068">
            <v>0</v>
          </cell>
          <cell r="Z3068">
            <v>0.5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0</v>
          </cell>
          <cell r="O3069">
            <v>362530</v>
          </cell>
          <cell r="P3069"/>
          <cell r="Q3069" t="str">
            <v>EST HOME THOMAS (FREIJO NATURAL)</v>
          </cell>
          <cell r="R3069"/>
          <cell r="S3069"/>
          <cell r="T3069">
            <v>2.7</v>
          </cell>
          <cell r="U3069">
            <v>0.45</v>
          </cell>
          <cell r="V3069">
            <v>0.63</v>
          </cell>
          <cell r="W3069">
            <v>0</v>
          </cell>
          <cell r="X3069" t="str">
            <v>EST HOME THOMAS (FREIJO NATURAL) - 2,7x0,45x0,63H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1</v>
          </cell>
          <cell r="O3070">
            <v>362531</v>
          </cell>
          <cell r="P3070"/>
          <cell r="Q3070" t="str">
            <v>EST MESA LATERAL VERAO (C/GAVETA) (FREIJO NATURAL)</v>
          </cell>
          <cell r="R3070"/>
          <cell r="S3070"/>
          <cell r="T3070">
            <v>0.6</v>
          </cell>
          <cell r="U3070">
            <v>0.6</v>
          </cell>
          <cell r="V3070">
            <v>0.55000000000000004</v>
          </cell>
          <cell r="W3070">
            <v>0</v>
          </cell>
          <cell r="X3070" t="str">
            <v>EST MESA LATERAL VERAO (C/GAVETA) (FREIJO NATURAL) - 0,6x0,6x0,55H</v>
          </cell>
          <cell r="Y3070">
            <v>0</v>
          </cell>
          <cell r="Z3070">
            <v>0.5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1</v>
          </cell>
          <cell r="O3071">
            <v>362532</v>
          </cell>
          <cell r="P3071"/>
          <cell r="Q3071" t="str">
            <v>EST MESA LATERAL INVERNO (FREIJO NATURAL)</v>
          </cell>
          <cell r="R3071"/>
          <cell r="S3071"/>
          <cell r="T3071">
            <v>0.4</v>
          </cell>
          <cell r="U3071">
            <v>0.4</v>
          </cell>
          <cell r="V3071">
            <v>0.4</v>
          </cell>
          <cell r="W3071">
            <v>0</v>
          </cell>
          <cell r="X3071" t="str">
            <v>EST MESA LATERAL INVERNO (FREIJO NATURAL) - 0,4x0,4x0,4H</v>
          </cell>
          <cell r="Y3071">
            <v>0</v>
          </cell>
          <cell r="Z3071">
            <v>0.5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362533</v>
          </cell>
          <cell r="P3072"/>
          <cell r="Q3072" t="str">
            <v>EST BUFFET ITA (4P/2G) (M2 V LACTEA) (P FERRO) (PTO MTZ FSC)</v>
          </cell>
          <cell r="R3072"/>
          <cell r="S3072"/>
          <cell r="T3072">
            <v>2.7</v>
          </cell>
          <cell r="U3072">
            <v>0.5</v>
          </cell>
          <cell r="V3072">
            <v>0.78</v>
          </cell>
          <cell r="W3072">
            <v>0</v>
          </cell>
          <cell r="X3072" t="str">
            <v>EST BUFFET ITA (4P/2G) (M2 V LACTEA) (P FERRO) (PTO MTZ FSC) - 2,7x0,5x0,78H</v>
          </cell>
          <cell r="Y3072">
            <v>0</v>
          </cell>
          <cell r="Z3072">
            <v>0.5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1</v>
          </cell>
          <cell r="O3073">
            <v>362535</v>
          </cell>
          <cell r="P3073"/>
          <cell r="Q3073" t="str">
            <v>EST MESA JANTAR ITA (B CIRCULAR) (M3 MATARAZZO/COBRE ANTIGO)</v>
          </cell>
          <cell r="R3073"/>
          <cell r="S3073"/>
          <cell r="T3073">
            <v>3</v>
          </cell>
          <cell r="U3073">
            <v>1.2</v>
          </cell>
          <cell r="V3073">
            <v>0.74</v>
          </cell>
          <cell r="W3073">
            <v>0</v>
          </cell>
          <cell r="X3073" t="str">
            <v>EST MESA JANTAR ITA (B CIRCULAR) (M3 MATARAZZO/COBRE ANTIGO) - 3x1,2x0,74H</v>
          </cell>
          <cell r="Y3073">
            <v>0</v>
          </cell>
          <cell r="Z3073">
            <v>0.5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362537</v>
          </cell>
          <cell r="P3074"/>
          <cell r="Q3074" t="str">
            <v>EST APARADOR ITA (M1 BC CHAMP) (FREIJO LAVADO/COBRE ANTIGO)</v>
          </cell>
          <cell r="R3074"/>
          <cell r="S3074"/>
          <cell r="T3074">
            <v>2.7</v>
          </cell>
          <cell r="U3074">
            <v>0.5</v>
          </cell>
          <cell r="V3074">
            <v>0.78</v>
          </cell>
          <cell r="W3074">
            <v>0</v>
          </cell>
          <cell r="X3074" t="str">
            <v>EST APARADOR ITA (M1 BC CHAMP) (FREIJO LAVADO/COBRE ANTIGO) - 2,7x0,5x0,78H</v>
          </cell>
          <cell r="Y3074">
            <v>0</v>
          </cell>
          <cell r="Z3074">
            <v>0.5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0</v>
          </cell>
          <cell r="O3075">
            <v>362538</v>
          </cell>
          <cell r="P3075"/>
          <cell r="Q3075" t="str">
            <v>EST ESCRIVANINHA ITA (1 GAV) (FREIJO/PTO MTZ FSC)</v>
          </cell>
          <cell r="R3075"/>
          <cell r="S3075"/>
          <cell r="T3075">
            <v>1.8</v>
          </cell>
          <cell r="U3075">
            <v>0.8</v>
          </cell>
          <cell r="V3075">
            <v>0.74</v>
          </cell>
          <cell r="W3075">
            <v>0</v>
          </cell>
          <cell r="X3075" t="str">
            <v>EST ESCRIVANINHA ITA (1 GAV) (FREIJO/PTO MTZ FSC) - 1,8x0,8x0,74H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362567</v>
          </cell>
          <cell r="P3076"/>
          <cell r="Q3076" t="str">
            <v>EST MESA JANTAR ITA (M3 MATARAZZO/COBRE ANTIGO) Ø</v>
          </cell>
          <cell r="R3076"/>
          <cell r="S3076"/>
          <cell r="T3076">
            <v>1.3</v>
          </cell>
          <cell r="U3076">
            <v>0</v>
          </cell>
          <cell r="V3076">
            <v>0.74</v>
          </cell>
          <cell r="W3076">
            <v>1.3</v>
          </cell>
          <cell r="X3076" t="str">
            <v>EST MESA JANTAR ITA (M3 MATARAZZO/COBRE ANTIGO) Ø - Ø1,3x0,74H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2</v>
          </cell>
          <cell r="O3077">
            <v>362569</v>
          </cell>
          <cell r="P3077"/>
          <cell r="Q3077" t="str">
            <v>EST CADEIRA MARESIAS C/B (NAUTICA AZUL) (CUMARU EPS)</v>
          </cell>
          <cell r="R3077"/>
          <cell r="S3077"/>
          <cell r="T3077">
            <v>0.59</v>
          </cell>
          <cell r="U3077">
            <v>0.55000000000000004</v>
          </cell>
          <cell r="V3077">
            <v>0.82</v>
          </cell>
          <cell r="W3077">
            <v>0</v>
          </cell>
          <cell r="X3077" t="str">
            <v>EST CADEIRA MARESIAS C/B (NAUTICA AZUL) (CUMARU EPS) - 0,59x0,55x0,82H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362687</v>
          </cell>
          <cell r="P3078"/>
          <cell r="Q3078" t="str">
            <v>EST POLTRONA SPOT (CUMARU)</v>
          </cell>
          <cell r="R3078"/>
          <cell r="S3078"/>
          <cell r="T3078">
            <v>0.7</v>
          </cell>
          <cell r="U3078">
            <v>0.64</v>
          </cell>
          <cell r="V3078">
            <v>0.74</v>
          </cell>
          <cell r="W3078">
            <v>0</v>
          </cell>
          <cell r="X3078" t="str">
            <v>EST POLTRONA SPOT (CUMARU) - 0,7x0,64x0,74H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363887</v>
          </cell>
          <cell r="P3079"/>
          <cell r="Q3079" t="str">
            <v>EST SOFA SO FAR (INTEIRO) (FREIJO NAT) TC VILLA OLMO NATURAL</v>
          </cell>
          <cell r="R3079"/>
          <cell r="S3079"/>
          <cell r="T3079">
            <v>3</v>
          </cell>
          <cell r="U3079">
            <v>0.95</v>
          </cell>
          <cell r="V3079">
            <v>0.7</v>
          </cell>
          <cell r="W3079">
            <v>0</v>
          </cell>
          <cell r="X3079" t="str">
            <v>EST SOFA SO FAR (INTEIRO) (FREIJO NAT) TC VILLA OLMO NATURAL - 3x0,95x0,7H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0</v>
          </cell>
          <cell r="O3080">
            <v>363888</v>
          </cell>
          <cell r="P3080"/>
          <cell r="Q3080" t="str">
            <v>EST ALMOFADA DECORATIVA SO FAR (C/ABAS) TC VILLA OLMO NT</v>
          </cell>
          <cell r="R3080"/>
          <cell r="S3080"/>
          <cell r="T3080">
            <v>0.65</v>
          </cell>
          <cell r="U3080">
            <v>0.65</v>
          </cell>
          <cell r="V3080">
            <v>0</v>
          </cell>
          <cell r="W3080">
            <v>0</v>
          </cell>
          <cell r="X3080" t="str">
            <v>EST ALMOFADA DECORATIVA SO FAR (C/ABAS) TC VILLA OLMO NT - 0,65x0,65x0H</v>
          </cell>
          <cell r="Y3080">
            <v>0</v>
          </cell>
          <cell r="Z3080">
            <v>0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3</v>
          </cell>
          <cell r="O3081">
            <v>364563</v>
          </cell>
          <cell r="P3081"/>
          <cell r="Q3081" t="str">
            <v>EST CADEIRA CORDA (PALANTI) (LAMINA FREIJO) (ALGODAO)</v>
          </cell>
          <cell r="R3081"/>
          <cell r="S3081"/>
          <cell r="T3081">
            <v>0.53</v>
          </cell>
          <cell r="U3081">
            <v>0.63</v>
          </cell>
          <cell r="V3081">
            <v>0.85</v>
          </cell>
          <cell r="W3081">
            <v>0</v>
          </cell>
          <cell r="X3081" t="str">
            <v>EST CADEIRA CORDA (PALANTI) (LAMINA FREIJO) (ALGODAO) - 0,53x0,63x0,85H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364706</v>
          </cell>
          <cell r="P3082"/>
          <cell r="Q3082" t="str">
            <v>EST CHAISE PITU (JEQ NT) (LONA PAPIRO) (COURO PAPIRO)</v>
          </cell>
          <cell r="R3082"/>
          <cell r="S3082"/>
          <cell r="T3082">
            <v>0.94</v>
          </cell>
          <cell r="U3082">
            <v>0.76</v>
          </cell>
          <cell r="V3082">
            <v>0.8</v>
          </cell>
          <cell r="W3082">
            <v>0</v>
          </cell>
          <cell r="X3082" t="str">
            <v>EST CHAISE PITU (JEQ NT) (LONA PAPIRO) (COURO PAPIRO) - 0,94x0,76x0,8H</v>
          </cell>
          <cell r="Y3082">
            <v>0</v>
          </cell>
          <cell r="Z3082">
            <v>0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0</v>
          </cell>
          <cell r="O3083">
            <v>364707</v>
          </cell>
          <cell r="P3083"/>
          <cell r="Q3083" t="str">
            <v>EST BANQUETA PITU (JEQ NT) (LONA PAPIRO) (COURO PAPIRO)</v>
          </cell>
          <cell r="R3083"/>
          <cell r="S3083"/>
          <cell r="T3083">
            <v>0.72</v>
          </cell>
          <cell r="U3083">
            <v>0.46</v>
          </cell>
          <cell r="V3083">
            <v>0.47</v>
          </cell>
          <cell r="W3083">
            <v>0</v>
          </cell>
          <cell r="X3083" t="str">
            <v>EST BANQUETA PITU (JEQ NT) (LONA PAPIRO) (COURO PAPIRO) - 0,72x0,46x0,47H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H3084">
            <v>0</v>
          </cell>
          <cell r="O3084">
            <v>365359</v>
          </cell>
          <cell r="P3084"/>
          <cell r="Q3084" t="str">
            <v>EST POLTRONA VAIVEM (FIXA) (IMBUIA) TC EL NOVE GREY</v>
          </cell>
          <cell r="R3084"/>
          <cell r="S3084"/>
          <cell r="T3084">
            <v>0.83</v>
          </cell>
          <cell r="U3084">
            <v>0.8</v>
          </cell>
          <cell r="V3084">
            <v>0.82</v>
          </cell>
          <cell r="W3084">
            <v>0</v>
          </cell>
          <cell r="X3084" t="str">
            <v>EST POLTRONA VAIVEM (FIXA) (IMBUIA) TC EL NOVE GREY - 0,83x0,8x0,82H</v>
          </cell>
          <cell r="Y3084">
            <v>0</v>
          </cell>
          <cell r="Z3084">
            <v>0.5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1</v>
          </cell>
          <cell r="O3085">
            <v>365363</v>
          </cell>
          <cell r="P3085"/>
          <cell r="Q3085" t="str">
            <v>EST BANQUETA VAIVEM (IMBUIA) TC EL NOVE GREY</v>
          </cell>
          <cell r="R3085"/>
          <cell r="S3085"/>
          <cell r="T3085">
            <v>0.74</v>
          </cell>
          <cell r="U3085">
            <v>0.48</v>
          </cell>
          <cell r="V3085">
            <v>0.37</v>
          </cell>
          <cell r="W3085">
            <v>0</v>
          </cell>
          <cell r="X3085" t="str">
            <v>EST BANQUETA VAIVEM (IMBUIA) TC EL NOVE GREY - 0,74x0,48x0,37H</v>
          </cell>
          <cell r="Y3085">
            <v>0</v>
          </cell>
          <cell r="Z3085">
            <v>0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1</v>
          </cell>
          <cell r="O3086">
            <v>365405</v>
          </cell>
          <cell r="P3086"/>
          <cell r="Q3086" t="str">
            <v>EST CADEIRA BOA C/B (C/ROD) (FREIJO) TC SAAG INDIGO</v>
          </cell>
          <cell r="R3086"/>
          <cell r="S3086"/>
          <cell r="T3086">
            <v>0.65</v>
          </cell>
          <cell r="U3086">
            <v>0.65</v>
          </cell>
          <cell r="V3086">
            <v>0.8</v>
          </cell>
          <cell r="W3086">
            <v>0</v>
          </cell>
          <cell r="X3086" t="str">
            <v>EST CADEIRA BOA C/B (C/ROD) (FREIJO) TC SAAG INDIGO - 0,65x0,65x0,8H</v>
          </cell>
          <cell r="Y3086">
            <v>0</v>
          </cell>
          <cell r="Z3086">
            <v>0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1</v>
          </cell>
          <cell r="O3087">
            <v>365416</v>
          </cell>
          <cell r="P3087"/>
          <cell r="Q3087" t="str">
            <v>EST POLTRONA CEGONHA (PRETO) (TAUARI NT) COURO IMPORT 300</v>
          </cell>
          <cell r="R3087"/>
          <cell r="S3087"/>
          <cell r="T3087">
            <v>0.71</v>
          </cell>
          <cell r="U3087">
            <v>0.88</v>
          </cell>
          <cell r="V3087">
            <v>0.94</v>
          </cell>
          <cell r="W3087">
            <v>0</v>
          </cell>
          <cell r="X3087" t="str">
            <v>EST POLTRONA CEGONHA (PRETO) (TAUARI NT) COURO IMPORT 300 - 0,71x0,88x0,94H</v>
          </cell>
          <cell r="Y3087">
            <v>0</v>
          </cell>
          <cell r="Z3087">
            <v>0.5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365452</v>
          </cell>
          <cell r="P3088"/>
          <cell r="Q3088" t="str">
            <v>EST CADEIRA JOHN GRAZ (NOGUEIRA) COURO IMPORT 300</v>
          </cell>
          <cell r="R3088"/>
          <cell r="S3088"/>
          <cell r="T3088">
            <v>0.48</v>
          </cell>
          <cell r="U3088">
            <v>0.53</v>
          </cell>
          <cell r="V3088">
            <v>0.82</v>
          </cell>
          <cell r="W3088">
            <v>0</v>
          </cell>
          <cell r="X3088" t="str">
            <v>EST CADEIRA JOHN GRAZ (NOGUEIRA) COURO IMPORT 300 - 0,48x0,53x0,82H</v>
          </cell>
          <cell r="Y3088">
            <v>0</v>
          </cell>
          <cell r="Z3088">
            <v>0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1</v>
          </cell>
          <cell r="O3089">
            <v>365703</v>
          </cell>
          <cell r="P3089"/>
          <cell r="Q3089" t="str">
            <v>EST MESA LATERAL CHEGA AQUI (LEQUE) (FREIJO) BS PRETA FSC</v>
          </cell>
          <cell r="R3089"/>
          <cell r="S3089"/>
          <cell r="T3089">
            <v>0.41</v>
          </cell>
          <cell r="U3089">
            <v>0</v>
          </cell>
          <cell r="V3089">
            <v>0.64</v>
          </cell>
          <cell r="W3089">
            <v>0.41</v>
          </cell>
          <cell r="X3089" t="str">
            <v>EST MESA LATERAL CHEGA AQUI (LEQUE) (FREIJO) BS PRETA FSC - Ø0,41x0,64H</v>
          </cell>
          <cell r="Y3089">
            <v>0</v>
          </cell>
          <cell r="Z3089">
            <v>0.5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1</v>
          </cell>
          <cell r="O3090">
            <v>365964</v>
          </cell>
          <cell r="P3090"/>
          <cell r="Q3090" t="str">
            <v>EST POLTRONA JOHN GRAZ (IMBUIA) TC MIKA CAMEL</v>
          </cell>
          <cell r="R3090"/>
          <cell r="S3090"/>
          <cell r="T3090">
            <v>0.8</v>
          </cell>
          <cell r="U3090">
            <v>0.83</v>
          </cell>
          <cell r="V3090">
            <v>0.74</v>
          </cell>
          <cell r="W3090">
            <v>0</v>
          </cell>
          <cell r="X3090" t="str">
            <v>EST POLTRONA JOHN GRAZ (IMBUIA) TC MIKA CAMEL - 0,8x0,83x0,74H</v>
          </cell>
          <cell r="Y3090">
            <v>0</v>
          </cell>
          <cell r="Z3090">
            <v>0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1</v>
          </cell>
          <cell r="O3091">
            <v>365965</v>
          </cell>
          <cell r="P3091"/>
          <cell r="Q3091" t="str">
            <v>EST BANQUETA JOHN GRAZ (IMBUIA) TC MIKA CAMEL</v>
          </cell>
          <cell r="R3091"/>
          <cell r="S3091"/>
          <cell r="T3091">
            <v>0.8</v>
          </cell>
          <cell r="U3091">
            <v>0.6</v>
          </cell>
          <cell r="V3091">
            <v>0.35</v>
          </cell>
          <cell r="W3091">
            <v>0</v>
          </cell>
          <cell r="X3091" t="str">
            <v>EST BANQUETA JOHN GRAZ (IMBUIA) TC MIKA CAMEL - 0,8x0,6x0,35H</v>
          </cell>
          <cell r="Y3091">
            <v>0</v>
          </cell>
          <cell r="Z3091">
            <v>0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365969</v>
          </cell>
          <cell r="P3092"/>
          <cell r="Q3092" t="str">
            <v>EST MESA CENTRO SAMBURA (TAMPO CIMENTICIO) BASE PRETA</v>
          </cell>
          <cell r="R3092"/>
          <cell r="S3092"/>
          <cell r="T3092">
            <v>1.2</v>
          </cell>
          <cell r="U3092">
            <v>0</v>
          </cell>
          <cell r="V3092">
            <v>0.3</v>
          </cell>
          <cell r="W3092">
            <v>1.2</v>
          </cell>
          <cell r="X3092" t="str">
            <v>EST MESA CENTRO SAMBURA (TAMPO CIMENTICIO) BASE PRETA - Ø1,2x0,3H</v>
          </cell>
          <cell r="Y3092">
            <v>0</v>
          </cell>
          <cell r="Z3092">
            <v>0.5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3</v>
          </cell>
          <cell r="O3093">
            <v>365980</v>
          </cell>
          <cell r="P3093"/>
          <cell r="Q3093" t="str">
            <v>EST CADEIRA ORQUIDEA (MAD B FREIJO NT) TC SAFARI SUM TELHA</v>
          </cell>
          <cell r="R3093"/>
          <cell r="S3093"/>
          <cell r="T3093">
            <v>0.47</v>
          </cell>
          <cell r="U3093">
            <v>0.55000000000000004</v>
          </cell>
          <cell r="V3093">
            <v>0.79</v>
          </cell>
          <cell r="W3093">
            <v>0</v>
          </cell>
          <cell r="X3093" t="str">
            <v>EST CADEIRA ORQUIDEA (MAD B FREIJO NT) TC SAFARI SUM TELHA - 0,47x0,55x0,79H</v>
          </cell>
          <cell r="Y3093">
            <v>0</v>
          </cell>
          <cell r="Z3093">
            <v>0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366432</v>
          </cell>
          <cell r="P3094"/>
          <cell r="Q3094" t="str">
            <v>EST BANQUETA MOLECA (MAD CEREJEIRA) TC VILLA OLMO NATURAL</v>
          </cell>
          <cell r="R3094"/>
          <cell r="S3094"/>
          <cell r="T3094">
            <v>0.81</v>
          </cell>
          <cell r="U3094">
            <v>0.52</v>
          </cell>
          <cell r="V3094">
            <v>0.43</v>
          </cell>
          <cell r="W3094">
            <v>0</v>
          </cell>
          <cell r="X3094" t="str">
            <v>EST BANQUETA MOLECA (MAD CEREJEIRA) TC VILLA OLMO NATURAL - 0,81x0,52x0,43H</v>
          </cell>
          <cell r="Y3094">
            <v>0</v>
          </cell>
          <cell r="Z3094">
            <v>0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366433</v>
          </cell>
          <cell r="P3095"/>
          <cell r="Q3095" t="str">
            <v>EST POLTRONA MOLECA (MAD CEREJEIRA) TC VILLA OLMO NATURAL</v>
          </cell>
          <cell r="R3095"/>
          <cell r="S3095"/>
          <cell r="T3095">
            <v>1.06</v>
          </cell>
          <cell r="U3095">
            <v>0.9</v>
          </cell>
          <cell r="V3095">
            <v>0.8</v>
          </cell>
          <cell r="W3095">
            <v>0</v>
          </cell>
          <cell r="X3095" t="str">
            <v>EST POLTRONA MOLECA (MAD CEREJEIRA) TC VILLA OLMO NATURAL - 1,06x0,9x0,8H</v>
          </cell>
          <cell r="Y3095">
            <v>0</v>
          </cell>
          <cell r="Z3095">
            <v>0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2</v>
          </cell>
          <cell r="O3096">
            <v>366434</v>
          </cell>
          <cell r="P3096"/>
          <cell r="Q3096" t="str">
            <v>EST CADEIRA GB F61 (C/B) (JANTAR) TC EL ANGOLA COOPER</v>
          </cell>
          <cell r="R3096"/>
          <cell r="S3096"/>
          <cell r="T3096">
            <v>0.59</v>
          </cell>
          <cell r="U3096">
            <v>0.54</v>
          </cell>
          <cell r="V3096">
            <v>0.85</v>
          </cell>
          <cell r="W3096">
            <v>0</v>
          </cell>
          <cell r="X3096" t="str">
            <v>EST CADEIRA GB F61 (C/B) (JANTAR) TC EL ANGOLA COOPER - 0,59x0,54x0,85H</v>
          </cell>
          <cell r="Y3096">
            <v>0</v>
          </cell>
          <cell r="Z3096">
            <v>0</v>
          </cell>
          <cell r="AA3096">
            <v>0</v>
          </cell>
          <cell r="AB3096"/>
        </row>
        <row r="3097">
          <cell r="C3097" t="e">
            <v>#N/A</v>
          </cell>
          <cell r="D3097" t="e">
            <v>#N/A</v>
          </cell>
          <cell r="E3097" t="e">
            <v>#N/A</v>
          </cell>
          <cell r="F3097" t="e">
            <v>#N/A</v>
          </cell>
          <cell r="H3097" t="e">
            <v>#N/A</v>
          </cell>
          <cell r="O3097">
            <v>366486</v>
          </cell>
          <cell r="P3097"/>
          <cell r="Q3097" t="e">
            <v>#N/A</v>
          </cell>
          <cell r="R3097"/>
          <cell r="S3097"/>
          <cell r="T3097" t="e">
            <v>#N/A</v>
          </cell>
          <cell r="U3097" t="e">
            <v>#N/A</v>
          </cell>
          <cell r="V3097" t="e">
            <v>#N/A</v>
          </cell>
          <cell r="W3097" t="e">
            <v>#N/A</v>
          </cell>
          <cell r="X3097" t="e">
            <v>#N/A</v>
          </cell>
          <cell r="Y3097">
            <v>0</v>
          </cell>
          <cell r="Z3097">
            <v>0.5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366489</v>
          </cell>
          <cell r="P3098"/>
          <cell r="Q3098" t="str">
            <v>EST MESA CENTRO JOHN GRAZ (LC FSC VERMELHA) (BRANCO PARANA)</v>
          </cell>
          <cell r="R3098"/>
          <cell r="S3098"/>
          <cell r="T3098">
            <v>1.7</v>
          </cell>
          <cell r="U3098">
            <v>0.77</v>
          </cell>
          <cell r="V3098">
            <v>0.32</v>
          </cell>
          <cell r="W3098">
            <v>0</v>
          </cell>
          <cell r="X3098" t="str">
            <v>EST MESA CENTRO JOHN GRAZ (LC FSC VERMELHA) (BRANCO PARANA) - 1,7x0,77x0,32H</v>
          </cell>
          <cell r="Y3098">
            <v>0</v>
          </cell>
          <cell r="Z3098">
            <v>0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1</v>
          </cell>
          <cell r="O3099">
            <v>366527</v>
          </cell>
          <cell r="P3099"/>
          <cell r="Q3099" t="str">
            <v>EST BANQUETA STELLA (MAD A COR 02) TC HEARTLAND COR HUNTER</v>
          </cell>
          <cell r="R3099"/>
          <cell r="S3099"/>
          <cell r="T3099">
            <v>0.62</v>
          </cell>
          <cell r="U3099">
            <v>0.48</v>
          </cell>
          <cell r="V3099">
            <v>0.39</v>
          </cell>
          <cell r="W3099">
            <v>0</v>
          </cell>
          <cell r="X3099" t="str">
            <v>EST BANQUETA STELLA (MAD A COR 02) TC HEARTLAND COR HUNTER - 0,62x0,48x0,39H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366528</v>
          </cell>
          <cell r="P3100"/>
          <cell r="Q3100" t="str">
            <v>EST POLTRONA STELLA (ALTA) (MAD A COR 02) TC HEART HUNTER</v>
          </cell>
          <cell r="R3100"/>
          <cell r="S3100"/>
          <cell r="T3100">
            <v>0.74</v>
          </cell>
          <cell r="U3100">
            <v>0.95</v>
          </cell>
          <cell r="V3100">
            <v>0.87</v>
          </cell>
          <cell r="W3100">
            <v>0</v>
          </cell>
          <cell r="X3100" t="str">
            <v>EST POLTRONA STELLA (ALTA) (MAD A COR 02) TC HEART HUNTER - 0,74x0,95x0,87H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0</v>
          </cell>
          <cell r="O3101">
            <v>366530</v>
          </cell>
          <cell r="P3101"/>
          <cell r="Q3101" t="str">
            <v>EST SOFA CACO (BRANQUILHO) TC MAURITIUS CB-279</v>
          </cell>
          <cell r="R3101"/>
          <cell r="S3101"/>
          <cell r="T3101">
            <v>4.1500000000000004</v>
          </cell>
          <cell r="U3101">
            <v>1.45</v>
          </cell>
          <cell r="V3101">
            <v>0.74</v>
          </cell>
          <cell r="W3101">
            <v>0</v>
          </cell>
          <cell r="X3101" t="str">
            <v>EST SOFA CACO (BRANQUILHO) TC MAURITIUS CB-279 - 4,15x1,45x0,74H</v>
          </cell>
          <cell r="Y3101">
            <v>0</v>
          </cell>
          <cell r="Z3101">
            <v>0.5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366802</v>
          </cell>
          <cell r="P3102"/>
          <cell r="Q3102" t="str">
            <v>EST MESA JANTAR TAL (AREA COBERTA) (IPE) CONCRETO GOIABA</v>
          </cell>
          <cell r="R3102"/>
          <cell r="S3102"/>
          <cell r="T3102">
            <v>3.2</v>
          </cell>
          <cell r="U3102">
            <v>1.1000000000000001</v>
          </cell>
          <cell r="V3102">
            <v>0.74</v>
          </cell>
          <cell r="W3102">
            <v>0</v>
          </cell>
          <cell r="X3102" t="str">
            <v>EST MESA JANTAR TAL (AREA COBERTA) (IPE) CONCRETO GOIABA - 3,2x1,1x0,74H</v>
          </cell>
          <cell r="Y3102">
            <v>0</v>
          </cell>
          <cell r="Z3102">
            <v>0.5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0</v>
          </cell>
          <cell r="O3103">
            <v>367087</v>
          </cell>
          <cell r="P3103"/>
          <cell r="Q3103" t="str">
            <v>EST POLTRONA SOBREIRO (CAMPANA) (CORTICA)</v>
          </cell>
          <cell r="R3103"/>
          <cell r="S3103"/>
          <cell r="T3103">
            <v>0.75</v>
          </cell>
          <cell r="U3103">
            <v>0.6</v>
          </cell>
          <cell r="V3103">
            <v>0.75</v>
          </cell>
          <cell r="W3103">
            <v>0</v>
          </cell>
          <cell r="X3103" t="str">
            <v>EST POLTRONA SOBREIRO (CAMPANA) (CORTICA) - 0,75x0,6x0,75H</v>
          </cell>
          <cell r="Y3103">
            <v>0</v>
          </cell>
          <cell r="Z3103">
            <v>0.5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0</v>
          </cell>
          <cell r="O3104">
            <v>369043</v>
          </cell>
          <cell r="P3104"/>
          <cell r="Q3104" t="str">
            <v>EST SOFA FINO (BASE PRETA) COURO NOBUCK VERDE</v>
          </cell>
          <cell r="R3104"/>
          <cell r="S3104"/>
          <cell r="T3104">
            <v>3.1</v>
          </cell>
          <cell r="U3104">
            <v>0.95</v>
          </cell>
          <cell r="V3104">
            <v>0.68</v>
          </cell>
          <cell r="W3104">
            <v>0</v>
          </cell>
          <cell r="X3104" t="str">
            <v>EST SOFA FINO (BASE PRETA) COURO NOBUCK VERDE - 3,1x0,95x0,68H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0</v>
          </cell>
          <cell r="O3105">
            <v>369136</v>
          </cell>
          <cell r="P3105"/>
          <cell r="Q3105" t="str">
            <v>EST ALMOFADA DECORATIVA FINO COURO NOBUCK VERDE</v>
          </cell>
          <cell r="R3105"/>
          <cell r="S3105"/>
          <cell r="T3105">
            <v>0.6</v>
          </cell>
          <cell r="U3105">
            <v>0.6</v>
          </cell>
          <cell r="V3105">
            <v>0</v>
          </cell>
          <cell r="W3105">
            <v>0</v>
          </cell>
          <cell r="X3105" t="str">
            <v>EST ALMOFADA DECORATIVA FINO COURO NOBUCK VERDE - 0,6x0,6x0H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0</v>
          </cell>
          <cell r="O3106">
            <v>370368</v>
          </cell>
          <cell r="P3106"/>
          <cell r="Q3106" t="str">
            <v>EST CADEIRA TAJA (TECA VRNZ FSC) (AREA COB) EMPARELHADA</v>
          </cell>
          <cell r="R3106"/>
          <cell r="S3106"/>
          <cell r="T3106">
            <v>0.43</v>
          </cell>
          <cell r="U3106">
            <v>0.46</v>
          </cell>
          <cell r="V3106">
            <v>0.73</v>
          </cell>
          <cell r="W3106">
            <v>0</v>
          </cell>
          <cell r="X3106" t="str">
            <v>EST CADEIRA TAJA (TECA VRNZ FSC) (AREA COB) EMPARELHADA - 0,43x0,46x0,73H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370369</v>
          </cell>
          <cell r="P3107"/>
          <cell r="Q3107" t="str">
            <v>EST BANQUETA BAR TAJA H70 (TECA VRNZ FSC) (AREA COB) EMP</v>
          </cell>
          <cell r="R3107"/>
          <cell r="S3107"/>
          <cell r="T3107">
            <v>0.48</v>
          </cell>
          <cell r="U3107">
            <v>0.46</v>
          </cell>
          <cell r="V3107">
            <v>0.98</v>
          </cell>
          <cell r="W3107">
            <v>0</v>
          </cell>
          <cell r="X3107" t="str">
            <v>EST BANQUETA BAR TAJA H70 (TECA VRNZ FSC) (AREA COB) EMP - 0,48x0,46x0,98H</v>
          </cell>
          <cell r="Y3107">
            <v>0</v>
          </cell>
          <cell r="Z3107">
            <v>0.5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1</v>
          </cell>
          <cell r="O3108">
            <v>370371</v>
          </cell>
          <cell r="P3108"/>
          <cell r="Q3108" t="str">
            <v>EST NAMORADEIRA TAJA (TECA VRNZ FSC) (AREA COB) EMPARELHADA</v>
          </cell>
          <cell r="R3108"/>
          <cell r="S3108"/>
          <cell r="T3108">
            <v>1.1299999999999999</v>
          </cell>
          <cell r="U3108">
            <v>0.66</v>
          </cell>
          <cell r="V3108">
            <v>0.75</v>
          </cell>
          <cell r="W3108">
            <v>0</v>
          </cell>
          <cell r="X3108" t="str">
            <v>EST NAMORADEIRA TAJA (TECA VRNZ FSC) (AREA COB) EMPARELHADA - 1,13x0,66x0,75H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1</v>
          </cell>
          <cell r="O3109">
            <v>370669</v>
          </cell>
          <cell r="P3109"/>
          <cell r="Q3109" t="str">
            <v>EST SOFA PLATAFORMA (SUCUPIRA) ELB LUDA LINEN/SILVER/GREY</v>
          </cell>
          <cell r="R3109"/>
          <cell r="S3109"/>
          <cell r="T3109">
            <v>2.7</v>
          </cell>
          <cell r="U3109">
            <v>0.9</v>
          </cell>
          <cell r="V3109">
            <v>0.8</v>
          </cell>
          <cell r="W3109">
            <v>0</v>
          </cell>
          <cell r="X3109" t="str">
            <v>EST SOFA PLATAFORMA (SUCUPIRA) ELB LUDA LINEN/SILVER/GREY - 2,7x0,9x0,8H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0</v>
          </cell>
          <cell r="O3110">
            <v>370670</v>
          </cell>
          <cell r="P3110"/>
          <cell r="Q3110" t="str">
            <v>EST SOFA PLATAFORMA (SUCUPIRA) ELB LUDA LINEN/SILVER/GREY</v>
          </cell>
          <cell r="R3110"/>
          <cell r="S3110"/>
          <cell r="T3110">
            <v>3.6</v>
          </cell>
          <cell r="U3110">
            <v>0.9</v>
          </cell>
          <cell r="V3110">
            <v>0.8</v>
          </cell>
          <cell r="W3110">
            <v>0</v>
          </cell>
          <cell r="X3110" t="str">
            <v>EST SOFA PLATAFORMA (SUCUPIRA) ELB LUDA LINEN/SILVER/GREY - 3,6x0,9x0,8H</v>
          </cell>
          <cell r="Y3110">
            <v>0</v>
          </cell>
          <cell r="Z3110">
            <v>0.5</v>
          </cell>
          <cell r="AA3110">
            <v>0</v>
          </cell>
          <cell r="AB3110"/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H3111">
            <v>2</v>
          </cell>
          <cell r="O3111">
            <v>370672</v>
          </cell>
          <cell r="P3111"/>
          <cell r="Q3111" t="str">
            <v>EST POLTRONA ESSA (MAD B TECA TING IMBUIA) TC ELB LUD AQUA</v>
          </cell>
          <cell r="R3111"/>
          <cell r="S3111"/>
          <cell r="T3111">
            <v>0.72</v>
          </cell>
          <cell r="U3111">
            <v>0.88</v>
          </cell>
          <cell r="V3111">
            <v>0.98</v>
          </cell>
          <cell r="W3111">
            <v>0</v>
          </cell>
          <cell r="X3111" t="str">
            <v>EST POLTRONA ESSA (MAD B TECA TING IMBUIA) TC ELB LUD AQUA - 0,72x0,88x0,98H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1</v>
          </cell>
          <cell r="O3112">
            <v>370673</v>
          </cell>
          <cell r="P3112"/>
          <cell r="Q3112" t="str">
            <v>EST POLTRONA ESSA (MAD B TECA TING IMBUIA) TC ELB LUD CHERRY</v>
          </cell>
          <cell r="R3112"/>
          <cell r="S3112"/>
          <cell r="T3112">
            <v>0.72</v>
          </cell>
          <cell r="U3112">
            <v>0.88</v>
          </cell>
          <cell r="V3112">
            <v>0.98</v>
          </cell>
          <cell r="W3112">
            <v>0</v>
          </cell>
          <cell r="X3112" t="str">
            <v>EST POLTRONA ESSA (MAD B TECA TING IMBUIA) TC ELB LUD CHERRY - 0,72x0,88x0,98H</v>
          </cell>
          <cell r="Y3112">
            <v>0</v>
          </cell>
          <cell r="Z3112">
            <v>0.5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370690</v>
          </cell>
          <cell r="P3113"/>
          <cell r="Q3113" t="str">
            <v>EST SOFA PLATAFORMA (SUCUPIRA) COURO NOBUCK VERDE</v>
          </cell>
          <cell r="R3113"/>
          <cell r="S3113"/>
          <cell r="T3113">
            <v>1.8</v>
          </cell>
          <cell r="U3113">
            <v>0.9</v>
          </cell>
          <cell r="V3113">
            <v>0.8</v>
          </cell>
          <cell r="W3113">
            <v>0</v>
          </cell>
          <cell r="X3113" t="str">
            <v>EST SOFA PLATAFORMA (SUCUPIRA) COURO NOBUCK VERDE - 1,8x0,9x0,8H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2</v>
          </cell>
          <cell r="O3114">
            <v>370716</v>
          </cell>
          <cell r="P3114"/>
          <cell r="Q3114" t="str">
            <v>EST BANQUETA ESSA (MAD B TECA TING IMBUIA) TC ELB LUDA AQUA</v>
          </cell>
          <cell r="R3114"/>
          <cell r="S3114"/>
          <cell r="T3114">
            <v>0.56000000000000005</v>
          </cell>
          <cell r="U3114">
            <v>0.46</v>
          </cell>
          <cell r="V3114">
            <v>0.38</v>
          </cell>
          <cell r="W3114">
            <v>0</v>
          </cell>
          <cell r="X3114" t="str">
            <v>EST BANQUETA ESSA (MAD B TECA TING IMBUIA) TC ELB LUDA AQUA - 0,56x0,46x0,38H</v>
          </cell>
          <cell r="Y3114">
            <v>0</v>
          </cell>
          <cell r="Z3114">
            <v>0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3</v>
          </cell>
          <cell r="O3115">
            <v>370760</v>
          </cell>
          <cell r="P3115"/>
          <cell r="Q3115" t="str">
            <v>EST CADEIRA BENJAMIN (IMBUIA) (TELA NATURAL)</v>
          </cell>
          <cell r="R3115"/>
          <cell r="S3115"/>
          <cell r="T3115">
            <v>0.62</v>
          </cell>
          <cell r="U3115">
            <v>0.54</v>
          </cell>
          <cell r="V3115">
            <v>0.78</v>
          </cell>
          <cell r="W3115">
            <v>0</v>
          </cell>
          <cell r="X3115" t="str">
            <v>EST CADEIRA BENJAMIN (IMBUIA) (TELA NATURAL) - 0,62x0,54x0,78H</v>
          </cell>
          <cell r="Y3115">
            <v>10928.66</v>
          </cell>
          <cell r="Z3115">
            <v>0</v>
          </cell>
          <cell r="AA3115">
            <v>10928.66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1</v>
          </cell>
          <cell r="O3116">
            <v>370775</v>
          </cell>
          <cell r="P3116"/>
          <cell r="Q3116" t="str">
            <v>EST BANQUETA ESSA (IMBUIA) TC ELB LUDA CHERRY</v>
          </cell>
          <cell r="R3116"/>
          <cell r="S3116"/>
          <cell r="T3116">
            <v>0.56000000000000005</v>
          </cell>
          <cell r="U3116">
            <v>0.46</v>
          </cell>
          <cell r="V3116">
            <v>0.38</v>
          </cell>
          <cell r="W3116">
            <v>0</v>
          </cell>
          <cell r="X3116" t="str">
            <v>EST BANQUETA ESSA (IMBUIA) TC ELB LUDA CHERRY - 0,56x0,46x0,38H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0</v>
          </cell>
          <cell r="O3117">
            <v>370777</v>
          </cell>
          <cell r="P3117"/>
          <cell r="Q3117" t="str">
            <v>EST CADEIRA RE (FREIJO) COURO CAMURCA VERDE</v>
          </cell>
          <cell r="R3117"/>
          <cell r="S3117"/>
          <cell r="T3117">
            <v>0.55000000000000004</v>
          </cell>
          <cell r="U3117">
            <v>0.5</v>
          </cell>
          <cell r="V3117">
            <v>0.78</v>
          </cell>
          <cell r="W3117">
            <v>0</v>
          </cell>
          <cell r="X3117" t="str">
            <v>EST CADEIRA RE (FREIJO) COURO CAMURCA VERDE - 0,55x0,5x0,78H</v>
          </cell>
          <cell r="Y3117">
            <v>0</v>
          </cell>
          <cell r="Z3117">
            <v>0.5</v>
          </cell>
          <cell r="AA3117">
            <v>0</v>
          </cell>
          <cell r="AB3117"/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0</v>
          </cell>
          <cell r="H3118">
            <v>0</v>
          </cell>
          <cell r="O3118">
            <v>370823</v>
          </cell>
          <cell r="P3118"/>
          <cell r="Q3118" t="str">
            <v>EST MESA CENTRO CAVA (G3 - NEGRONI LEVIGADO)</v>
          </cell>
          <cell r="R3118"/>
          <cell r="S3118"/>
          <cell r="T3118">
            <v>1.3</v>
          </cell>
          <cell r="U3118">
            <v>0</v>
          </cell>
          <cell r="V3118">
            <v>0.25</v>
          </cell>
          <cell r="W3118">
            <v>0</v>
          </cell>
          <cell r="X3118" t="str">
            <v>EST MESA CENTRO CAVA (G3 - NEGRONI LEVIGADO) - Ø0x0,25H</v>
          </cell>
          <cell r="Y3118">
            <v>0</v>
          </cell>
          <cell r="Z3118">
            <v>0</v>
          </cell>
          <cell r="AA3118">
            <v>0</v>
          </cell>
          <cell r="AB3118"/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H3119">
            <v>0</v>
          </cell>
          <cell r="O3119">
            <v>370824</v>
          </cell>
          <cell r="P3119"/>
          <cell r="Q3119" t="str">
            <v>EST MESA CENTRO CAVA (G3 - NEGRONI LEVIGADO)</v>
          </cell>
          <cell r="R3119"/>
          <cell r="S3119"/>
          <cell r="T3119">
            <v>0.8</v>
          </cell>
          <cell r="U3119">
            <v>0</v>
          </cell>
          <cell r="V3119">
            <v>0.3</v>
          </cell>
          <cell r="W3119">
            <v>0</v>
          </cell>
          <cell r="X3119" t="str">
            <v>EST MESA CENTRO CAVA (G3 - NEGRONI LEVIGADO) - Ø0x0,3H</v>
          </cell>
          <cell r="Y3119">
            <v>0</v>
          </cell>
          <cell r="Z3119">
            <v>0</v>
          </cell>
          <cell r="AA3119">
            <v>0</v>
          </cell>
          <cell r="AB3119"/>
        </row>
        <row r="3120">
          <cell r="C3120" t="e">
            <v>#N/A</v>
          </cell>
          <cell r="D3120" t="e">
            <v>#N/A</v>
          </cell>
          <cell r="E3120" t="e">
            <v>#N/A</v>
          </cell>
          <cell r="F3120" t="e">
            <v>#N/A</v>
          </cell>
          <cell r="H3120" t="e">
            <v>#N/A</v>
          </cell>
          <cell r="O3120">
            <v>370838</v>
          </cell>
          <cell r="P3120"/>
          <cell r="Q3120" t="e">
            <v>#N/A</v>
          </cell>
          <cell r="R3120"/>
          <cell r="S3120"/>
          <cell r="T3120" t="e">
            <v>#N/A</v>
          </cell>
          <cell r="U3120" t="e">
            <v>#N/A</v>
          </cell>
          <cell r="V3120" t="e">
            <v>#N/A</v>
          </cell>
          <cell r="W3120" t="e">
            <v>#N/A</v>
          </cell>
          <cell r="X3120" t="e">
            <v>#N/A</v>
          </cell>
          <cell r="Y3120">
            <v>0</v>
          </cell>
          <cell r="Z3120">
            <v>0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4</v>
          </cell>
          <cell r="O3121">
            <v>370843</v>
          </cell>
          <cell r="P3121"/>
          <cell r="Q3121" t="str">
            <v>EST POLTRONA RESGATE C/BRACO (PEROBA ROSA) (S/ALMOFADA)</v>
          </cell>
          <cell r="R3121"/>
          <cell r="S3121"/>
          <cell r="T3121">
            <v>1.1000000000000001</v>
          </cell>
          <cell r="U3121">
            <v>0.84</v>
          </cell>
          <cell r="V3121">
            <v>0.82</v>
          </cell>
          <cell r="W3121">
            <v>0</v>
          </cell>
          <cell r="X3121" t="str">
            <v>EST POLTRONA RESGATE C/BRACO (PEROBA ROSA) (S/ALMOFADA) - 1,1x0,84x0,82H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2</v>
          </cell>
          <cell r="O3122">
            <v>370844</v>
          </cell>
          <cell r="P3122"/>
          <cell r="Q3122" t="str">
            <v>EST POLTRONA RESGATE S/BRACO (JATOBA) (S/ALMOFADA)</v>
          </cell>
          <cell r="R3122"/>
          <cell r="S3122"/>
          <cell r="T3122">
            <v>1.1000000000000001</v>
          </cell>
          <cell r="U3122">
            <v>0.84</v>
          </cell>
          <cell r="V3122">
            <v>0.82</v>
          </cell>
          <cell r="W3122">
            <v>0</v>
          </cell>
          <cell r="X3122" t="str">
            <v>EST POLTRONA RESGATE S/BRACO (JATOBA) (S/ALMOFADA) - 1,1x0,84x0,82H</v>
          </cell>
          <cell r="Y3122">
            <v>0</v>
          </cell>
          <cell r="Z3122">
            <v>0.5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370973</v>
          </cell>
          <cell r="P3123"/>
          <cell r="Q3123" t="str">
            <v>EST LUMINARIA LICEU (1) (PINHO DE RIGA)</v>
          </cell>
          <cell r="R3123"/>
          <cell r="S3123"/>
          <cell r="T3123">
            <v>0.22</v>
          </cell>
          <cell r="U3123">
            <v>0.28999999999999998</v>
          </cell>
          <cell r="V3123">
            <v>1.57</v>
          </cell>
          <cell r="W3123">
            <v>0</v>
          </cell>
          <cell r="X3123" t="str">
            <v>EST LUMINARIA LICEU (1) (PINHO DE RIGA) - 0,22x0,29x1,57H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370975</v>
          </cell>
          <cell r="P3124"/>
          <cell r="Q3124" t="str">
            <v>EST LUMINARIA LICEU (3) (PINHO DE RIGA)</v>
          </cell>
          <cell r="R3124"/>
          <cell r="S3124"/>
          <cell r="T3124">
            <v>0.22</v>
          </cell>
          <cell r="U3124">
            <v>0.28999999999999998</v>
          </cell>
          <cell r="V3124">
            <v>1.57</v>
          </cell>
          <cell r="W3124">
            <v>0</v>
          </cell>
          <cell r="X3124" t="str">
            <v>EST LUMINARIA LICEU (3) (PINHO DE RIGA) - 0,22x0,29x1,57H</v>
          </cell>
          <cell r="Y3124">
            <v>0</v>
          </cell>
          <cell r="Z3124">
            <v>0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370976</v>
          </cell>
          <cell r="P3125"/>
          <cell r="Q3125" t="str">
            <v>EST LUMINARIA LICEU (4) (PINHO DE RIGA)</v>
          </cell>
          <cell r="R3125"/>
          <cell r="S3125"/>
          <cell r="T3125">
            <v>0.22</v>
          </cell>
          <cell r="U3125">
            <v>0.28999999999999998</v>
          </cell>
          <cell r="V3125">
            <v>1.57</v>
          </cell>
          <cell r="W3125">
            <v>0</v>
          </cell>
          <cell r="X3125" t="str">
            <v>EST LUMINARIA LICEU (4) (PINHO DE RIGA) - 0,22x0,29x1,57H</v>
          </cell>
          <cell r="Y3125">
            <v>0</v>
          </cell>
          <cell r="Z3125">
            <v>0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1</v>
          </cell>
          <cell r="O3126">
            <v>370977</v>
          </cell>
          <cell r="P3126"/>
          <cell r="Q3126" t="str">
            <v>EST LUMINARIA LICEU (5) (PINHO DE RIGA)</v>
          </cell>
          <cell r="R3126"/>
          <cell r="S3126"/>
          <cell r="T3126">
            <v>0.22</v>
          </cell>
          <cell r="U3126">
            <v>0.38</v>
          </cell>
          <cell r="V3126">
            <v>1.55</v>
          </cell>
          <cell r="W3126">
            <v>0</v>
          </cell>
          <cell r="X3126" t="str">
            <v>EST LUMINARIA LICEU (5) (PINHO DE RIGA) - 0,22x0,38x1,55H</v>
          </cell>
          <cell r="Y3126">
            <v>0</v>
          </cell>
          <cell r="Z3126">
            <v>0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</v>
          </cell>
          <cell r="O3127">
            <v>370978</v>
          </cell>
          <cell r="P3127"/>
          <cell r="Q3127" t="str">
            <v>EST LUMINARIA LICEU (6) (PINHO DE RIGA)</v>
          </cell>
          <cell r="R3127"/>
          <cell r="S3127"/>
          <cell r="T3127">
            <v>0.22</v>
          </cell>
          <cell r="U3127">
            <v>0.38</v>
          </cell>
          <cell r="V3127">
            <v>1.55</v>
          </cell>
          <cell r="W3127">
            <v>0</v>
          </cell>
          <cell r="X3127" t="str">
            <v>EST LUMINARIA LICEU (6) (PINHO DE RIGA) - 0,22x0,38x1,55H</v>
          </cell>
          <cell r="Y3127">
            <v>0</v>
          </cell>
          <cell r="Z3127">
            <v>0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1</v>
          </cell>
          <cell r="O3128">
            <v>370979</v>
          </cell>
          <cell r="P3128"/>
          <cell r="Q3128" t="str">
            <v>EST LUMINARIA LICEU (7) (PINHO DE RIGA)</v>
          </cell>
          <cell r="R3128"/>
          <cell r="S3128"/>
          <cell r="T3128">
            <v>0.22</v>
          </cell>
          <cell r="U3128">
            <v>0.38</v>
          </cell>
          <cell r="V3128">
            <v>1.55</v>
          </cell>
          <cell r="W3128">
            <v>0</v>
          </cell>
          <cell r="X3128" t="str">
            <v>EST LUMINARIA LICEU (7) (PINHO DE RIGA) - 0,22x0,38x1,55H</v>
          </cell>
          <cell r="Y3128">
            <v>0</v>
          </cell>
          <cell r="Z3128">
            <v>0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370981</v>
          </cell>
          <cell r="P3129"/>
          <cell r="Q3129" t="str">
            <v>EST LUMINARIA LICEU (10) (PINHO DE RIGA)</v>
          </cell>
          <cell r="R3129"/>
          <cell r="S3129"/>
          <cell r="T3129">
            <v>0.22</v>
          </cell>
          <cell r="U3129">
            <v>0.38</v>
          </cell>
          <cell r="V3129">
            <v>1.55</v>
          </cell>
          <cell r="W3129">
            <v>0</v>
          </cell>
          <cell r="X3129" t="str">
            <v>EST LUMINARIA LICEU (10) (PINHO DE RIGA) - 0,22x0,38x1,55H</v>
          </cell>
          <cell r="Y3129">
            <v>0</v>
          </cell>
          <cell r="Z3129">
            <v>0.35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370982</v>
          </cell>
          <cell r="P3130"/>
          <cell r="Q3130" t="str">
            <v>EST LUMINARIA LICEU (11) (PINHO DE RIGA)</v>
          </cell>
          <cell r="R3130"/>
          <cell r="S3130"/>
          <cell r="T3130">
            <v>0.22</v>
          </cell>
          <cell r="U3130">
            <v>0.38</v>
          </cell>
          <cell r="V3130">
            <v>1.55</v>
          </cell>
          <cell r="W3130">
            <v>0</v>
          </cell>
          <cell r="X3130" t="str">
            <v>EST LUMINARIA LICEU (11) (PINHO DE RIGA) - 0,22x0,38x1,55H</v>
          </cell>
          <cell r="Y3130">
            <v>0</v>
          </cell>
          <cell r="Z3130">
            <v>0.35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1</v>
          </cell>
          <cell r="O3131">
            <v>370983</v>
          </cell>
          <cell r="P3131"/>
          <cell r="Q3131" t="str">
            <v>EST LUMINARIA LICEU (12) (PINHO DE RIGA)</v>
          </cell>
          <cell r="R3131"/>
          <cell r="S3131"/>
          <cell r="T3131">
            <v>0.22</v>
          </cell>
          <cell r="U3131">
            <v>0.38</v>
          </cell>
          <cell r="V3131">
            <v>1.55</v>
          </cell>
          <cell r="W3131">
            <v>0</v>
          </cell>
          <cell r="X3131" t="str">
            <v>EST LUMINARIA LICEU (12) (PINHO DE RIGA) - 0,22x0,38x1,55H</v>
          </cell>
          <cell r="Y3131">
            <v>0</v>
          </cell>
          <cell r="Z3131">
            <v>0.35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1</v>
          </cell>
          <cell r="O3132">
            <v>370985</v>
          </cell>
          <cell r="P3132"/>
          <cell r="Q3132" t="str">
            <v>EST LUMINARIA LICEU (9) (PINHO DE RIGA)</v>
          </cell>
          <cell r="R3132"/>
          <cell r="S3132"/>
          <cell r="T3132">
            <v>0.22</v>
          </cell>
          <cell r="U3132">
            <v>0.38</v>
          </cell>
          <cell r="V3132">
            <v>1.55</v>
          </cell>
          <cell r="W3132">
            <v>0</v>
          </cell>
          <cell r="X3132" t="str">
            <v>EST LUMINARIA LICEU (9) (PINHO DE RIGA) - 0,22x0,38x1,55H</v>
          </cell>
          <cell r="Y3132">
            <v>0</v>
          </cell>
          <cell r="Z3132">
            <v>0.35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2</v>
          </cell>
          <cell r="O3133">
            <v>371299</v>
          </cell>
          <cell r="P3133"/>
          <cell r="Q3133" t="str">
            <v>EST POLTRONA KILIN (SOLETA PRETA) (MAD A COR1)</v>
          </cell>
          <cell r="R3133"/>
          <cell r="S3133"/>
          <cell r="T3133">
            <v>0.68</v>
          </cell>
          <cell r="U3133">
            <v>0.63</v>
          </cell>
          <cell r="V3133">
            <v>0.69</v>
          </cell>
          <cell r="W3133">
            <v>0</v>
          </cell>
          <cell r="X3133" t="str">
            <v>EST POLTRONA KILIN (SOLETA PRETA) (MAD A COR1) - 0,68x0,63x0,69H</v>
          </cell>
          <cell r="Y3133">
            <v>0</v>
          </cell>
          <cell r="Z3133">
            <v>0.35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1</v>
          </cell>
          <cell r="O3134">
            <v>371379</v>
          </cell>
          <cell r="P3134"/>
          <cell r="Q3134" t="str">
            <v>EST MESA LATERAL LEVE (BASE ACO INOX) (TPO AZULEJO COLORIDO)</v>
          </cell>
          <cell r="R3134"/>
          <cell r="S3134"/>
          <cell r="T3134">
            <v>0.62</v>
          </cell>
          <cell r="U3134">
            <v>0.62</v>
          </cell>
          <cell r="V3134">
            <v>0.6</v>
          </cell>
          <cell r="W3134">
            <v>0</v>
          </cell>
          <cell r="X3134" t="str">
            <v>EST MESA LATERAL LEVE (BASE ACO INOX) (TPO AZULEJO COLORIDO) - 0,62x0,62x0,6H</v>
          </cell>
          <cell r="Y3134">
            <v>0</v>
          </cell>
          <cell r="Z3134">
            <v>0.35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371380</v>
          </cell>
          <cell r="P3135"/>
          <cell r="Q3135" t="str">
            <v>EST MESA LATERAL LEVE (BASE ACO INOX) (TPO AZULEJO COLORIDO)</v>
          </cell>
          <cell r="R3135"/>
          <cell r="S3135"/>
          <cell r="T3135">
            <v>0.47</v>
          </cell>
          <cell r="U3135">
            <v>0.47</v>
          </cell>
          <cell r="V3135">
            <v>0.5</v>
          </cell>
          <cell r="W3135">
            <v>0</v>
          </cell>
          <cell r="X3135" t="str">
            <v>EST MESA LATERAL LEVE (BASE ACO INOX) (TPO AZULEJO COLORIDO) - 0,47x0,47x0,5H</v>
          </cell>
          <cell r="Y3135">
            <v>0</v>
          </cell>
          <cell r="Z3135">
            <v>0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371381</v>
          </cell>
          <cell r="P3136"/>
          <cell r="Q3136" t="str">
            <v>EST CADEIRA ANGELA ESTAR (TELA NATURAL) (FREIJO NATURAL)</v>
          </cell>
          <cell r="R3136"/>
          <cell r="S3136"/>
          <cell r="T3136">
            <v>0.54</v>
          </cell>
          <cell r="U3136">
            <v>0.56000000000000005</v>
          </cell>
          <cell r="V3136">
            <v>0.84</v>
          </cell>
          <cell r="W3136">
            <v>0</v>
          </cell>
          <cell r="X3136" t="str">
            <v>EST CADEIRA ANGELA ESTAR (TELA NATURAL) (FREIJO NATURAL) - 0,54x0,56x0,84H</v>
          </cell>
          <cell r="Y3136">
            <v>0</v>
          </cell>
          <cell r="Z3136">
            <v>0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0</v>
          </cell>
          <cell r="O3137">
            <v>371404</v>
          </cell>
          <cell r="P3137"/>
          <cell r="Q3137" t="str">
            <v>EST CHAISE TIMBO (ESTRUTURA) (CUMARU VERNIZ EPS)</v>
          </cell>
          <cell r="R3137"/>
          <cell r="S3137"/>
          <cell r="T3137">
            <v>2.02</v>
          </cell>
          <cell r="U3137">
            <v>0.9</v>
          </cell>
          <cell r="V3137">
            <v>0.25</v>
          </cell>
          <cell r="W3137">
            <v>0</v>
          </cell>
          <cell r="X3137" t="str">
            <v>EST CHAISE TIMBO (ESTRUTURA) (CUMARU VERNIZ EPS) - 2,02x0,9x0,25H</v>
          </cell>
          <cell r="Y3137">
            <v>0</v>
          </cell>
          <cell r="Z3137">
            <v>0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0</v>
          </cell>
          <cell r="O3138">
            <v>371405</v>
          </cell>
          <cell r="P3138"/>
          <cell r="Q3138" t="str">
            <v>EST CHAISE MARESIAS (NAUTICA PRETA) (CUMARU VERNIZ EPS)</v>
          </cell>
          <cell r="R3138"/>
          <cell r="S3138"/>
          <cell r="T3138">
            <v>2.0299999999999998</v>
          </cell>
          <cell r="U3138">
            <v>0.65</v>
          </cell>
          <cell r="V3138">
            <v>0.93</v>
          </cell>
          <cell r="W3138">
            <v>0</v>
          </cell>
          <cell r="X3138" t="str">
            <v>EST CHAISE MARESIAS (NAUTICA PRETA) (CUMARU VERNIZ EPS) - 2,03x0,65x0,93H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1</v>
          </cell>
          <cell r="O3139">
            <v>371421</v>
          </cell>
          <cell r="P3139"/>
          <cell r="Q3139" t="str">
            <v>EST POLTRONA VAIVEM (BALANCO) (IMBUIA) (EL NOVE GREY)</v>
          </cell>
          <cell r="R3139"/>
          <cell r="S3139"/>
          <cell r="T3139">
            <v>0.83</v>
          </cell>
          <cell r="U3139">
            <v>0.85</v>
          </cell>
          <cell r="V3139">
            <v>0.79</v>
          </cell>
          <cell r="W3139">
            <v>0</v>
          </cell>
          <cell r="X3139" t="str">
            <v>EST POLTRONA VAIVEM (BALANCO) (IMBUIA) (EL NOVE GREY) - 0,83x0,85x0,79H</v>
          </cell>
          <cell r="Y3139">
            <v>0</v>
          </cell>
          <cell r="Z3139">
            <v>0.35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371554</v>
          </cell>
          <cell r="P3140"/>
          <cell r="Q3140" t="str">
            <v>EST MESA JANTAR VENTURA (IMBUIA)</v>
          </cell>
          <cell r="R3140"/>
          <cell r="S3140"/>
          <cell r="T3140">
            <v>1.5</v>
          </cell>
          <cell r="U3140">
            <v>0</v>
          </cell>
          <cell r="V3140">
            <v>0.75</v>
          </cell>
          <cell r="W3140">
            <v>1.5</v>
          </cell>
          <cell r="X3140" t="str">
            <v>EST MESA JANTAR VENTURA (IMBUIA) - Ø1,5x0,75H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0</v>
          </cell>
          <cell r="O3141">
            <v>371555</v>
          </cell>
          <cell r="P3141"/>
          <cell r="Q3141" t="str">
            <v>EST MESA CENTRO VENTURA (PEROBA)</v>
          </cell>
          <cell r="R3141"/>
          <cell r="S3141"/>
          <cell r="T3141">
            <v>1.2</v>
          </cell>
          <cell r="U3141">
            <v>1.2</v>
          </cell>
          <cell r="V3141">
            <v>0.28000000000000003</v>
          </cell>
          <cell r="W3141">
            <v>0</v>
          </cell>
          <cell r="X3141" t="str">
            <v>EST MESA CENTRO VENTURA (PEROBA) - 1,2x1,2x0,28H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1</v>
          </cell>
          <cell r="O3142">
            <v>371556</v>
          </cell>
          <cell r="P3142"/>
          <cell r="Q3142" t="str">
            <v>EST MESA CENTRO VENTURA (IMBUIA)</v>
          </cell>
          <cell r="R3142"/>
          <cell r="S3142"/>
          <cell r="T3142">
            <v>1.6</v>
          </cell>
          <cell r="U3142">
            <v>0</v>
          </cell>
          <cell r="V3142">
            <v>0.35</v>
          </cell>
          <cell r="W3142">
            <v>1.6</v>
          </cell>
          <cell r="X3142" t="str">
            <v>EST MESA CENTRO VENTURA (IMBUIA) - Ø1,6x0,35H</v>
          </cell>
          <cell r="Y3142">
            <v>0</v>
          </cell>
          <cell r="Z3142">
            <v>0.35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2</v>
          </cell>
          <cell r="O3143">
            <v>371558</v>
          </cell>
          <cell r="P3143"/>
          <cell r="Q3143" t="str">
            <v>EST MESA LATERAL ORELHA DE PAU (IMBUIA) (PEROBA DO CAMPO)</v>
          </cell>
          <cell r="R3143"/>
          <cell r="S3143"/>
          <cell r="T3143">
            <v>0.5</v>
          </cell>
          <cell r="U3143">
            <v>0.5</v>
          </cell>
          <cell r="V3143">
            <v>0.7</v>
          </cell>
          <cell r="W3143">
            <v>0</v>
          </cell>
          <cell r="X3143" t="str">
            <v>EST MESA LATERAL ORELHA DE PAU (IMBUIA) (PEROBA DO CAMPO) - 0,5x0,5x0,7H</v>
          </cell>
          <cell r="Y3143">
            <v>0</v>
          </cell>
          <cell r="Z3143">
            <v>0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371722</v>
          </cell>
          <cell r="P3144"/>
          <cell r="Q3144" t="str">
            <v>EST CADEIRA RE (PEROBA DO CAMPO) COURO CAMURCA VERDE</v>
          </cell>
          <cell r="R3144"/>
          <cell r="S3144"/>
          <cell r="T3144">
            <v>0.55000000000000004</v>
          </cell>
          <cell r="U3144">
            <v>0.5</v>
          </cell>
          <cell r="V3144">
            <v>0.78</v>
          </cell>
          <cell r="W3144">
            <v>0</v>
          </cell>
          <cell r="X3144" t="str">
            <v>EST CADEIRA RE (PEROBA DO CAMPO) COURO CAMURCA VERDE - 0,55x0,5x0,78H</v>
          </cell>
          <cell r="Y3144">
            <v>0</v>
          </cell>
          <cell r="Z3144">
            <v>0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371724</v>
          </cell>
          <cell r="P3145"/>
          <cell r="Q3145" t="str">
            <v>EST POLTRONA DINA (FREIJO NATURAL) COURO CAMURCA VERDE</v>
          </cell>
          <cell r="R3145"/>
          <cell r="S3145"/>
          <cell r="T3145">
            <v>0.65</v>
          </cell>
          <cell r="U3145">
            <v>0.75</v>
          </cell>
          <cell r="V3145">
            <v>0.67</v>
          </cell>
          <cell r="W3145">
            <v>0</v>
          </cell>
          <cell r="X3145" t="str">
            <v>EST POLTRONA DINA (FREIJO NATURAL) COURO CAMURCA VERDE - 0,65x0,75x0,67H</v>
          </cell>
          <cell r="Y3145">
            <v>0</v>
          </cell>
          <cell r="Z3145">
            <v>0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4</v>
          </cell>
          <cell r="O3146">
            <v>371727</v>
          </cell>
          <cell r="P3146"/>
          <cell r="Q3146" t="str">
            <v>EST CADEIRA PATIO (MAD B IMBUIA) COURO IMPORT 55</v>
          </cell>
          <cell r="R3146"/>
          <cell r="S3146"/>
          <cell r="T3146">
            <v>0.51</v>
          </cell>
          <cell r="U3146">
            <v>0.46</v>
          </cell>
          <cell r="V3146">
            <v>0.78</v>
          </cell>
          <cell r="W3146">
            <v>0</v>
          </cell>
          <cell r="X3146" t="str">
            <v>EST CADEIRA PATIO (MAD B IMBUIA) COURO IMPORT 55 - 0,51x0,46x0,78H</v>
          </cell>
          <cell r="Y3146">
            <v>0</v>
          </cell>
          <cell r="Z3146">
            <v>0.5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4</v>
          </cell>
          <cell r="O3147">
            <v>371728</v>
          </cell>
          <cell r="P3147"/>
          <cell r="Q3147" t="str">
            <v>EST CADEIRA PRIMA (MAD A TAUARI POA) COURO CAMURCA CASTANHO</v>
          </cell>
          <cell r="R3147"/>
          <cell r="S3147"/>
          <cell r="T3147">
            <v>0.53</v>
          </cell>
          <cell r="U3147">
            <v>0.59</v>
          </cell>
          <cell r="V3147">
            <v>0.63</v>
          </cell>
          <cell r="W3147">
            <v>0</v>
          </cell>
          <cell r="X3147" t="str">
            <v>EST CADEIRA PRIMA (MAD A TAUARI POA) COURO CAMURCA CASTANHO - 0,53x0,59x0,63H</v>
          </cell>
          <cell r="Y3147">
            <v>0</v>
          </cell>
          <cell r="Z3147">
            <v>0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372491</v>
          </cell>
          <cell r="P3148"/>
          <cell r="Q3148" t="str">
            <v>EST TAMPO GELSOMINA OVAL (G3-YUMA LEVIG) (BORDA DUP)</v>
          </cell>
          <cell r="R3148"/>
          <cell r="S3148"/>
          <cell r="T3148">
            <v>2.6</v>
          </cell>
          <cell r="U3148">
            <v>1.2</v>
          </cell>
          <cell r="V3148">
            <v>0.02</v>
          </cell>
          <cell r="W3148">
            <v>0</v>
          </cell>
          <cell r="X3148" t="str">
            <v>EST TAMPO GELSOMINA OVAL (G3-YUMA LEVIG) (BORDA DUP) - 2,6x1,2x0,02H</v>
          </cell>
          <cell r="Y3148">
            <v>0</v>
          </cell>
          <cell r="Z3148">
            <v>0</v>
          </cell>
          <cell r="AA3148">
            <v>0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372570</v>
          </cell>
          <cell r="P3149"/>
          <cell r="Q3149" t="str">
            <v>EST BANCO OTTO (PRETO FOSCO) (FREIJO) TC EL LUDA 09 LINEN</v>
          </cell>
          <cell r="R3149"/>
          <cell r="S3149"/>
          <cell r="T3149">
            <v>1.81</v>
          </cell>
          <cell r="U3149">
            <v>0.62</v>
          </cell>
          <cell r="V3149">
            <v>0.4</v>
          </cell>
          <cell r="W3149">
            <v>0</v>
          </cell>
          <cell r="X3149" t="str">
            <v>EST BANCO OTTO (PRETO FOSCO) (FREIJO) TC EL LUDA 09 LINEN - 1,81x0,62x0,4H</v>
          </cell>
          <cell r="Y3149">
            <v>0</v>
          </cell>
          <cell r="Z3149">
            <v>0</v>
          </cell>
          <cell r="AA3149">
            <v>0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0</v>
          </cell>
          <cell r="O3150">
            <v>372587</v>
          </cell>
          <cell r="P3150"/>
          <cell r="Q3150" t="str">
            <v>EST TAMPO CRISTAL LAPIDADO (10MM) INCOLOR RETILINEO</v>
          </cell>
          <cell r="R3150"/>
          <cell r="S3150"/>
          <cell r="T3150">
            <v>1.6</v>
          </cell>
          <cell r="U3150">
            <v>0.8</v>
          </cell>
          <cell r="V3150">
            <v>0.01</v>
          </cell>
          <cell r="W3150">
            <v>0</v>
          </cell>
          <cell r="X3150" t="str">
            <v>EST TAMPO CRISTAL LAPIDADO (10MM) INCOLOR RETILINEO - 1,6x0,8x0,01H</v>
          </cell>
          <cell r="Y3150">
            <v>0</v>
          </cell>
          <cell r="Z3150">
            <v>0.5</v>
          </cell>
          <cell r="AA3150">
            <v>0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2</v>
          </cell>
          <cell r="O3151">
            <v>372918</v>
          </cell>
          <cell r="P3151"/>
          <cell r="Q3151" t="str">
            <v>EST POLTRONA DODO BAIXA (FREIJO NATURAL) (COURO IMPORT 68)</v>
          </cell>
          <cell r="R3151"/>
          <cell r="S3151"/>
          <cell r="T3151">
            <v>0.72</v>
          </cell>
          <cell r="U3151">
            <v>0.96</v>
          </cell>
          <cell r="V3151">
            <v>0.75</v>
          </cell>
          <cell r="W3151">
            <v>0</v>
          </cell>
          <cell r="X3151" t="str">
            <v>EST POLTRONA DODO BAIXA (FREIJO NATURAL) (COURO IMPORT 68) - 0,72x0,96x0,75H</v>
          </cell>
          <cell r="Y3151">
            <v>0</v>
          </cell>
          <cell r="Z3151">
            <v>0</v>
          </cell>
          <cell r="AA3151">
            <v>0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373242</v>
          </cell>
          <cell r="P3152"/>
          <cell r="Q3152" t="str">
            <v>EST MODULO MESA LATERAL PLATAFORMA (PT FSC) BC 15CM</v>
          </cell>
          <cell r="R3152"/>
          <cell r="S3152"/>
          <cell r="T3152">
            <v>0.45</v>
          </cell>
          <cell r="U3152">
            <v>0</v>
          </cell>
          <cell r="V3152">
            <v>0.56000000000000005</v>
          </cell>
          <cell r="W3152">
            <v>0.45</v>
          </cell>
          <cell r="X3152" t="str">
            <v>EST MODULO MESA LATERAL PLATAFORMA (PT FSC) BC 15CM - Ø0,45x0,56H</v>
          </cell>
          <cell r="Y3152">
            <v>0</v>
          </cell>
          <cell r="Z3152">
            <v>0.5</v>
          </cell>
          <cell r="AA3152">
            <v>0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2</v>
          </cell>
          <cell r="O3153">
            <v>373243</v>
          </cell>
          <cell r="P3153"/>
          <cell r="Q3153" t="str">
            <v>EST MODULO MESA LATERAL PLATAFORMA (PT FSC) BC 20CM</v>
          </cell>
          <cell r="R3153"/>
          <cell r="S3153"/>
          <cell r="T3153">
            <v>0.45</v>
          </cell>
          <cell r="U3153">
            <v>0</v>
          </cell>
          <cell r="V3153">
            <v>0.56000000000000005</v>
          </cell>
          <cell r="W3153">
            <v>0.45</v>
          </cell>
          <cell r="X3153" t="str">
            <v>EST MODULO MESA LATERAL PLATAFORMA (PT FSC) BC 20CM - Ø0,45x0,56H</v>
          </cell>
          <cell r="Y3153">
            <v>0</v>
          </cell>
          <cell r="Z3153">
            <v>0.5</v>
          </cell>
          <cell r="AA3153">
            <v>0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3</v>
          </cell>
          <cell r="O3154">
            <v>373244</v>
          </cell>
          <cell r="P3154"/>
          <cell r="Q3154" t="str">
            <v>EST MODULO LUMINARIA PLATAFORMA (PT FSC) (GLOBO JATEADO)</v>
          </cell>
          <cell r="R3154"/>
          <cell r="S3154"/>
          <cell r="T3154">
            <v>0.32</v>
          </cell>
          <cell r="U3154">
            <v>0.2</v>
          </cell>
          <cell r="V3154">
            <v>1.65</v>
          </cell>
          <cell r="W3154">
            <v>0</v>
          </cell>
          <cell r="X3154" t="str">
            <v>EST MODULO LUMINARIA PLATAFORMA (PT FSC) (GLOBO JATEADO) - 0,32x0,2x1,65H</v>
          </cell>
          <cell r="Y3154">
            <v>0</v>
          </cell>
          <cell r="Z3154">
            <v>0.5</v>
          </cell>
          <cell r="AA3154">
            <v>0</v>
          </cell>
          <cell r="AB3154"/>
        </row>
        <row r="3155">
          <cell r="C3155">
            <v>0</v>
          </cell>
          <cell r="D3155">
            <v>0</v>
          </cell>
          <cell r="E3155">
            <v>0</v>
          </cell>
          <cell r="F3155">
            <v>0</v>
          </cell>
          <cell r="H3155">
            <v>1</v>
          </cell>
          <cell r="O3155">
            <v>373415</v>
          </cell>
          <cell r="P3155"/>
          <cell r="Q3155" t="str">
            <v>EST SOFA OLIVO (ACO PRETO) TC EL INDIAN VELVET TEAL</v>
          </cell>
          <cell r="R3155"/>
          <cell r="S3155"/>
          <cell r="T3155">
            <v>1.25</v>
          </cell>
          <cell r="U3155">
            <v>0.84</v>
          </cell>
          <cell r="V3155">
            <v>0.7</v>
          </cell>
          <cell r="W3155">
            <v>0</v>
          </cell>
          <cell r="X3155" t="str">
            <v>EST SOFA OLIVO (ACO PRETO) TC EL INDIAN VELVET TEAL - 1,25x0,84x0,7H</v>
          </cell>
          <cell r="Y3155">
            <v>0</v>
          </cell>
          <cell r="Z3155">
            <v>0.35</v>
          </cell>
          <cell r="AA3155">
            <v>0</v>
          </cell>
          <cell r="AB3155"/>
        </row>
        <row r="3156">
          <cell r="C3156">
            <v>0</v>
          </cell>
          <cell r="D3156">
            <v>0</v>
          </cell>
          <cell r="E3156">
            <v>0</v>
          </cell>
          <cell r="F3156">
            <v>0</v>
          </cell>
          <cell r="H3156">
            <v>1</v>
          </cell>
          <cell r="O3156">
            <v>373416</v>
          </cell>
          <cell r="P3156"/>
          <cell r="Q3156" t="str">
            <v>EST SOFA OLIVO (ACO PRETO) TC EL INDIAN VELVET TEAL</v>
          </cell>
          <cell r="R3156"/>
          <cell r="S3156"/>
          <cell r="T3156">
            <v>1.85</v>
          </cell>
          <cell r="U3156">
            <v>0.84</v>
          </cell>
          <cell r="V3156">
            <v>0.7</v>
          </cell>
          <cell r="W3156">
            <v>0</v>
          </cell>
          <cell r="X3156" t="str">
            <v>EST SOFA OLIVO (ACO PRETO) TC EL INDIAN VELVET TEAL - 1,85x0,84x0,7H</v>
          </cell>
          <cell r="Y3156">
            <v>0</v>
          </cell>
          <cell r="Z3156">
            <v>0.35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373443</v>
          </cell>
          <cell r="P3157"/>
          <cell r="Q3157" t="str">
            <v>EST POLTRONA VENTURA (PEROBA DO CAMPO) COURO FIRENZE ALECRIM</v>
          </cell>
          <cell r="R3157"/>
          <cell r="S3157"/>
          <cell r="T3157">
            <v>0.8</v>
          </cell>
          <cell r="U3157">
            <v>0.65</v>
          </cell>
          <cell r="V3157">
            <v>0.73</v>
          </cell>
          <cell r="W3157">
            <v>0</v>
          </cell>
          <cell r="X3157" t="str">
            <v>EST POLTRONA VENTURA (PEROBA DO CAMPO) COURO FIRENZE ALECRIM - 0,8x0,65x0,73H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2</v>
          </cell>
          <cell r="O3158">
            <v>373601</v>
          </cell>
          <cell r="P3158"/>
          <cell r="Q3158" t="str">
            <v>EST COMPONENTE ESTOFADO POLTRONA RESGATE (TC ENIS INDIGO)</v>
          </cell>
          <cell r="R3158"/>
          <cell r="S3158"/>
          <cell r="T3158">
            <v>0</v>
          </cell>
          <cell r="U3158">
            <v>0</v>
          </cell>
          <cell r="V3158">
            <v>0</v>
          </cell>
          <cell r="W3158">
            <v>0</v>
          </cell>
          <cell r="X3158" t="str">
            <v>EST COMPONENTE ESTOFADO POLTRONA RESGATE (TC ENIS INDIGO) - Ø0x0H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0</v>
          </cell>
          <cell r="O3159">
            <v>373850</v>
          </cell>
          <cell r="P3159"/>
          <cell r="Q3159" t="str">
            <v>EST CADEIRA IC01 (POLIETILENO) (PRETA)</v>
          </cell>
          <cell r="R3159"/>
          <cell r="S3159"/>
          <cell r="T3159">
            <v>0.56000000000000005</v>
          </cell>
          <cell r="U3159">
            <v>0.46</v>
          </cell>
          <cell r="V3159">
            <v>0.78</v>
          </cell>
          <cell r="W3159">
            <v>0</v>
          </cell>
          <cell r="X3159" t="str">
            <v>EST CADEIRA IC01 (POLIETILENO) (PRETA) - 0,56x0,46x0,78H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0</v>
          </cell>
          <cell r="O3160">
            <v>374099</v>
          </cell>
          <cell r="P3160"/>
          <cell r="Q3160" t="str">
            <v>EST CADEIRA OMAR OFFICE C/R (MAD B FREIJO BROWN) IMPORT 300</v>
          </cell>
          <cell r="R3160"/>
          <cell r="S3160"/>
          <cell r="T3160">
            <v>0.54</v>
          </cell>
          <cell r="U3160">
            <v>0.56999999999999995</v>
          </cell>
          <cell r="V3160">
            <v>0.83</v>
          </cell>
          <cell r="W3160">
            <v>0</v>
          </cell>
          <cell r="X3160" t="str">
            <v>EST CADEIRA OMAR OFFICE C/R (MAD B FREIJO BROWN) IMPORT 300 - 0,54x0,57x0,83H</v>
          </cell>
          <cell r="Y3160">
            <v>0</v>
          </cell>
          <cell r="Z3160">
            <v>0.5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0</v>
          </cell>
          <cell r="O3161">
            <v>374262</v>
          </cell>
          <cell r="P3161"/>
          <cell r="Q3161" t="str">
            <v>EST COMPONENTE ESTOFADO POLTRONA RESGATE (TC NAPLES MOSS)</v>
          </cell>
          <cell r="R3161"/>
          <cell r="S3161"/>
          <cell r="T3161">
            <v>0</v>
          </cell>
          <cell r="U3161">
            <v>0</v>
          </cell>
          <cell r="V3161">
            <v>0</v>
          </cell>
          <cell r="W3161">
            <v>0</v>
          </cell>
          <cell r="X3161" t="str">
            <v>EST COMPONENTE ESTOFADO POLTRONA RESGATE (TC NAPLES MOSS) - Ø0x0H</v>
          </cell>
          <cell r="Y3161">
            <v>0</v>
          </cell>
          <cell r="Z3161">
            <v>0.5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1</v>
          </cell>
          <cell r="O3162">
            <v>374343</v>
          </cell>
          <cell r="P3162"/>
          <cell r="Q3162" t="str">
            <v>EST CADEIRA CA-02 (MAD A JEQ TABACO) COURO IMPORT 300</v>
          </cell>
          <cell r="R3162"/>
          <cell r="S3162"/>
          <cell r="T3162">
            <v>0.47</v>
          </cell>
          <cell r="U3162">
            <v>0.49</v>
          </cell>
          <cell r="V3162">
            <v>0.83</v>
          </cell>
          <cell r="W3162">
            <v>0</v>
          </cell>
          <cell r="X3162" t="str">
            <v>EST CADEIRA CA-02 (MAD A JEQ TABACO) COURO IMPORT 300 - 0,47x0,49x0,83H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377211</v>
          </cell>
          <cell r="P3163"/>
          <cell r="Q3163" t="str">
            <v>EST CHAISE LUIZA FREIJO (1362 LO202 CRU) (ALM 1575 CB279 33)</v>
          </cell>
          <cell r="R3163"/>
          <cell r="S3163"/>
          <cell r="T3163">
            <v>0.67</v>
          </cell>
          <cell r="U3163">
            <v>1.1000000000000001</v>
          </cell>
          <cell r="V3163">
            <v>0.85</v>
          </cell>
          <cell r="W3163">
            <v>0</v>
          </cell>
          <cell r="X3163" t="str">
            <v>EST CHAISE LUIZA FREIJO (1362 LO202 CRU) (ALM 1575 CB279 33) - 0,67x1,1x0,85H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377213</v>
          </cell>
          <cell r="P3164"/>
          <cell r="Q3164" t="str">
            <v>EST BANQUETA LUIZA FREIJO (1362 LO202 CRU-ALM 1575CB279 33)</v>
          </cell>
          <cell r="R3164"/>
          <cell r="S3164"/>
          <cell r="T3164">
            <v>0.64</v>
          </cell>
          <cell r="U3164">
            <v>0.5</v>
          </cell>
          <cell r="V3164">
            <v>0.37</v>
          </cell>
          <cell r="W3164">
            <v>0</v>
          </cell>
          <cell r="X3164" t="str">
            <v>EST BANQUETA LUIZA FREIJO (1362 LO202 CRU-ALM 1575CB279 33) - 0,64x0,5x0,37H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0</v>
          </cell>
          <cell r="O3165">
            <v>377215</v>
          </cell>
          <cell r="P3165"/>
          <cell r="Q3165" t="str">
            <v>EST POLTRONA ARBATAX C/B (FREIJO NT) (BEGE) TC GALLIA MUSGO</v>
          </cell>
          <cell r="R3165"/>
          <cell r="S3165"/>
          <cell r="T3165">
            <v>0.74</v>
          </cell>
          <cell r="U3165">
            <v>0.72</v>
          </cell>
          <cell r="V3165">
            <v>0.7</v>
          </cell>
          <cell r="W3165">
            <v>0</v>
          </cell>
          <cell r="X3165" t="str">
            <v>EST POLTRONA ARBATAX C/B (FREIJO NT) (BEGE) TC GALLIA MUSGO - 0,74x0,72x0,7H</v>
          </cell>
          <cell r="Y3165">
            <v>0</v>
          </cell>
          <cell r="Z3165">
            <v>0.5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0</v>
          </cell>
          <cell r="O3166">
            <v>377265</v>
          </cell>
          <cell r="P3166"/>
          <cell r="Q3166" t="str">
            <v>EST POLTRONA DUDA (FREIJO NT) COURO NOBUCK VERDE</v>
          </cell>
          <cell r="R3166"/>
          <cell r="S3166"/>
          <cell r="T3166">
            <v>0.84</v>
          </cell>
          <cell r="U3166">
            <v>0.84</v>
          </cell>
          <cell r="V3166">
            <v>0.73</v>
          </cell>
          <cell r="W3166">
            <v>0</v>
          </cell>
          <cell r="X3166" t="str">
            <v>EST POLTRONA DUDA (FREIJO NT) COURO NOBUCK VERDE - 0,84x0,84x0,73H</v>
          </cell>
          <cell r="Y3166">
            <v>0</v>
          </cell>
          <cell r="Z3166">
            <v>0.5</v>
          </cell>
          <cell r="AA3166">
            <v>0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2</v>
          </cell>
          <cell r="O3167">
            <v>377267</v>
          </cell>
          <cell r="P3167"/>
          <cell r="Q3167" t="str">
            <v>EST BANQUETA BAR GILDA H60 (FREIJO NATURAL)</v>
          </cell>
          <cell r="R3167"/>
          <cell r="S3167"/>
          <cell r="T3167">
            <v>0.4</v>
          </cell>
          <cell r="U3167">
            <v>0.45</v>
          </cell>
          <cell r="V3167">
            <v>0.62</v>
          </cell>
          <cell r="W3167">
            <v>0</v>
          </cell>
          <cell r="X3167" t="str">
            <v>EST BANQUETA BAR GILDA H60 (FREIJO NATURAL) - 0,4x0,45x0,62H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377269</v>
          </cell>
          <cell r="P3168"/>
          <cell r="Q3168" t="str">
            <v>EST BANCO VALENTE (PEROBA DO CAMPO)</v>
          </cell>
          <cell r="R3168"/>
          <cell r="S3168"/>
          <cell r="T3168">
            <v>2.5</v>
          </cell>
          <cell r="U3168">
            <v>0.45</v>
          </cell>
          <cell r="V3168">
            <v>0.38</v>
          </cell>
          <cell r="W3168">
            <v>0</v>
          </cell>
          <cell r="X3168" t="str">
            <v>EST BANCO VALENTE (PEROBA DO CAMPO) - 2,5x0,45x0,38H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3</v>
          </cell>
          <cell r="O3169">
            <v>377272</v>
          </cell>
          <cell r="P3169"/>
          <cell r="Q3169" t="str">
            <v>EST CADEIRA PEDRO (FREIJO NT) TC LINHO GALLIA NATURAL</v>
          </cell>
          <cell r="R3169"/>
          <cell r="S3169"/>
          <cell r="T3169">
            <v>0.5</v>
          </cell>
          <cell r="U3169">
            <v>0.45</v>
          </cell>
          <cell r="V3169">
            <v>0.73</v>
          </cell>
          <cell r="W3169">
            <v>0</v>
          </cell>
          <cell r="X3169" t="str">
            <v>EST CADEIRA PEDRO (FREIJO NT) TC LINHO GALLIA NATURAL - 0,5x0,45x0,73H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2</v>
          </cell>
          <cell r="O3170">
            <v>377273</v>
          </cell>
          <cell r="P3170"/>
          <cell r="Q3170" t="str">
            <v>EST BANQUETA BAR PEDRO H62 (FREIJO NAT) TC GALLIA CAFE</v>
          </cell>
          <cell r="R3170"/>
          <cell r="S3170"/>
          <cell r="T3170">
            <v>0.45</v>
          </cell>
          <cell r="U3170">
            <v>0.5</v>
          </cell>
          <cell r="V3170">
            <v>0.9</v>
          </cell>
          <cell r="W3170">
            <v>0</v>
          </cell>
          <cell r="X3170" t="str">
            <v>EST BANQUETA BAR PEDRO H62 (FREIJO NAT) TC GALLIA CAFE - 0,45x0,5x0,9H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377275</v>
          </cell>
          <cell r="P3171"/>
          <cell r="Q3171" t="str">
            <v>EST POLTRONA ARBATAX SB FREIJO NT SOLETA BEGE/CAMURCA VERDE</v>
          </cell>
          <cell r="R3171"/>
          <cell r="S3171"/>
          <cell r="T3171">
            <v>0.72</v>
          </cell>
          <cell r="U3171">
            <v>0.74</v>
          </cell>
          <cell r="V3171">
            <v>0.7</v>
          </cell>
          <cell r="W3171">
            <v>0</v>
          </cell>
          <cell r="X3171" t="str">
            <v>EST POLTRONA ARBATAX SB FREIJO NT SOLETA BEGE/CAMURCA VERDE - 0,72x0,74x0,7H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377277</v>
          </cell>
          <cell r="P3172"/>
          <cell r="Q3172" t="str">
            <v>EST POLTRONA AVIADOR (FREIJO NT) COURO FIRENZE ALECRIM</v>
          </cell>
          <cell r="R3172"/>
          <cell r="S3172"/>
          <cell r="T3172">
            <v>0.65</v>
          </cell>
          <cell r="U3172">
            <v>0.66</v>
          </cell>
          <cell r="V3172">
            <v>0.68</v>
          </cell>
          <cell r="W3172">
            <v>0</v>
          </cell>
          <cell r="X3172" t="str">
            <v>EST POLTRONA AVIADOR (FREIJO NT) COURO FIRENZE ALECRIM - 0,65x0,66x0,68H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1</v>
          </cell>
          <cell r="O3173">
            <v>377279</v>
          </cell>
          <cell r="P3173"/>
          <cell r="Q3173" t="str">
            <v>EST POLTRONA SANTOS DUMONT (TELA NATURAL) (FREIJO NATURAL)</v>
          </cell>
          <cell r="R3173"/>
          <cell r="S3173"/>
          <cell r="T3173">
            <v>0.65</v>
          </cell>
          <cell r="U3173">
            <v>0.72</v>
          </cell>
          <cell r="V3173">
            <v>0.64</v>
          </cell>
          <cell r="W3173">
            <v>0</v>
          </cell>
          <cell r="X3173" t="str">
            <v>EST POLTRONA SANTOS DUMONT (TELA NATURAL) (FREIJO NATURAL) - 0,65x0,72x0,64H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377520</v>
          </cell>
          <cell r="P3174"/>
          <cell r="Q3174" t="str">
            <v>EST POLTRONA POLTRONINHA (L.COSTA) (IMBUIA) TC MARCEL CEDRO</v>
          </cell>
          <cell r="R3174"/>
          <cell r="S3174"/>
          <cell r="T3174">
            <v>0.71</v>
          </cell>
          <cell r="U3174">
            <v>0.65</v>
          </cell>
          <cell r="V3174">
            <v>0.71</v>
          </cell>
          <cell r="W3174">
            <v>0</v>
          </cell>
          <cell r="X3174" t="str">
            <v>EST POLTRONA POLTRONINHA (L.COSTA) (IMBUIA) TC MARCEL CEDRO - 0,71x0,65x0,71H</v>
          </cell>
          <cell r="Y3174">
            <v>0</v>
          </cell>
          <cell r="Z3174">
            <v>0.5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0</v>
          </cell>
          <cell r="O3175">
            <v>377521</v>
          </cell>
          <cell r="P3175"/>
          <cell r="Q3175" t="str">
            <v>EST BANQUETA BAR GB MTF600 H59 TC BOUCLE SUP TERRACOTA</v>
          </cell>
          <cell r="R3175"/>
          <cell r="S3175"/>
          <cell r="T3175">
            <v>0.35</v>
          </cell>
          <cell r="U3175">
            <v>0.4</v>
          </cell>
          <cell r="V3175">
            <v>0.7</v>
          </cell>
          <cell r="W3175">
            <v>0</v>
          </cell>
          <cell r="X3175" t="str">
            <v>EST BANQUETA BAR GB MTF600 H59 TC BOUCLE SUP TERRACOTA - 0,35x0,4x0,7H</v>
          </cell>
          <cell r="Y3175">
            <v>0</v>
          </cell>
          <cell r="Z3175">
            <v>0.5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377527</v>
          </cell>
          <cell r="P3176"/>
          <cell r="Q3176" t="str">
            <v>EST POLTRONA POLTRONINHA (L.COSTA) (IMBUIA) COURO CH 16 VERD</v>
          </cell>
          <cell r="R3176"/>
          <cell r="S3176"/>
          <cell r="T3176">
            <v>0.71</v>
          </cell>
          <cell r="U3176">
            <v>0.65</v>
          </cell>
          <cell r="V3176">
            <v>0.71</v>
          </cell>
          <cell r="W3176">
            <v>0</v>
          </cell>
          <cell r="X3176" t="str">
            <v>EST POLTRONA POLTRONINHA (L.COSTA) (IMBUIA) COURO CH 16 VERD - 0,71x0,65x0,71H</v>
          </cell>
          <cell r="Y3176">
            <v>0</v>
          </cell>
          <cell r="Z3176">
            <v>0.5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0</v>
          </cell>
          <cell r="O3177">
            <v>377570</v>
          </cell>
          <cell r="P3177"/>
          <cell r="Q3177" t="str">
            <v>EST POLTRONA POLTRONINHA (L.COSTA) (PROB TZ) COURO W HORTELA</v>
          </cell>
          <cell r="R3177"/>
          <cell r="S3177"/>
          <cell r="T3177">
            <v>0.71</v>
          </cell>
          <cell r="U3177">
            <v>0.65</v>
          </cell>
          <cell r="V3177">
            <v>0.71</v>
          </cell>
          <cell r="W3177">
            <v>0</v>
          </cell>
          <cell r="X3177" t="str">
            <v>EST POLTRONA POLTRONINHA (L.COSTA) (PROB TZ) COURO W HORTELA - 0,71x0,65x0,71H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0</v>
          </cell>
          <cell r="O3178">
            <v>377650</v>
          </cell>
          <cell r="P3178"/>
          <cell r="Q3178" t="str">
            <v>EST POLTRONA TETE (FREIJO TONALIZADO) COURO CAMURCA VERDE</v>
          </cell>
          <cell r="R3178"/>
          <cell r="S3178"/>
          <cell r="T3178">
            <v>0.86</v>
          </cell>
          <cell r="U3178">
            <v>0.84</v>
          </cell>
          <cell r="V3178">
            <v>0.75</v>
          </cell>
          <cell r="W3178">
            <v>0</v>
          </cell>
          <cell r="X3178" t="str">
            <v>EST POLTRONA TETE (FREIJO TONALIZADO) COURO CAMURCA VERDE - 0,86x0,84x0,75H</v>
          </cell>
          <cell r="Y3178">
            <v>0</v>
          </cell>
          <cell r="Z3178">
            <v>0.5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377660</v>
          </cell>
          <cell r="P3179"/>
          <cell r="Q3179" t="str">
            <v>EST BASE JANTAR CANELA (CIRCULAR) (FREIJO AQUARIUS)</v>
          </cell>
          <cell r="R3179"/>
          <cell r="S3179"/>
          <cell r="T3179">
            <v>1</v>
          </cell>
          <cell r="U3179">
            <v>0</v>
          </cell>
          <cell r="V3179">
            <v>0.73</v>
          </cell>
          <cell r="W3179">
            <v>1</v>
          </cell>
          <cell r="X3179" t="str">
            <v>EST BASE JANTAR CANELA (CIRCULAR) (FREIJO AQUARIUS) - Ø1x0,73H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0</v>
          </cell>
          <cell r="O3180">
            <v>377681</v>
          </cell>
          <cell r="P3180"/>
          <cell r="Q3180" t="str">
            <v>EST MESA LATERAL SOLO (MOD 1) (G2 - RAFAELLO) (TP FREIJO)</v>
          </cell>
          <cell r="R3180"/>
          <cell r="S3180"/>
          <cell r="T3180">
            <v>0.3</v>
          </cell>
          <cell r="U3180">
            <v>0.2</v>
          </cell>
          <cell r="V3180">
            <v>0.56000000000000005</v>
          </cell>
          <cell r="W3180">
            <v>0</v>
          </cell>
          <cell r="X3180" t="str">
            <v>EST MESA LATERAL SOLO (MOD 1) (G2 - RAFAELLO) (TP FREIJO) - 0,3x0,2x0,56H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377682</v>
          </cell>
          <cell r="P3181"/>
          <cell r="Q3181" t="str">
            <v>EST MESA LATERAL SOLO (MOD 2) (G2 - RAFAELLO) (TP FREIJO)</v>
          </cell>
          <cell r="R3181"/>
          <cell r="S3181"/>
          <cell r="T3181">
            <v>0.35</v>
          </cell>
          <cell r="U3181">
            <v>0.25</v>
          </cell>
          <cell r="V3181">
            <v>0.62</v>
          </cell>
          <cell r="W3181">
            <v>0</v>
          </cell>
          <cell r="X3181" t="str">
            <v>EST MESA LATERAL SOLO (MOD 2) (G2 - RAFAELLO) (TP FREIJO) - 0,35x0,25x0,62H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 t="e">
            <v>#N/A</v>
          </cell>
          <cell r="D3182" t="e">
            <v>#N/A</v>
          </cell>
          <cell r="E3182" t="e">
            <v>#N/A</v>
          </cell>
          <cell r="F3182" t="e">
            <v>#N/A</v>
          </cell>
          <cell r="H3182" t="e">
            <v>#N/A</v>
          </cell>
          <cell r="O3182">
            <v>377683</v>
          </cell>
          <cell r="P3182"/>
          <cell r="Q3182" t="e">
            <v>#N/A</v>
          </cell>
          <cell r="R3182"/>
          <cell r="S3182"/>
          <cell r="T3182" t="e">
            <v>#N/A</v>
          </cell>
          <cell r="U3182" t="e">
            <v>#N/A</v>
          </cell>
          <cell r="V3182" t="e">
            <v>#N/A</v>
          </cell>
          <cell r="W3182" t="e">
            <v>#N/A</v>
          </cell>
          <cell r="X3182" t="e">
            <v>#N/A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377685</v>
          </cell>
          <cell r="P3183"/>
          <cell r="Q3183" t="str">
            <v>EST MESA LATERAL SOLO (MOD 1) (G2 - RAFAELLO) (TP IMBUIA)</v>
          </cell>
          <cell r="R3183"/>
          <cell r="S3183"/>
          <cell r="T3183">
            <v>0.3</v>
          </cell>
          <cell r="U3183">
            <v>0.2</v>
          </cell>
          <cell r="V3183">
            <v>0.56000000000000005</v>
          </cell>
          <cell r="W3183">
            <v>0</v>
          </cell>
          <cell r="X3183" t="str">
            <v>EST MESA LATERAL SOLO (MOD 1) (G2 - RAFAELLO) (TP IMBUIA) - 0,3x0,2x0,56H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2</v>
          </cell>
          <cell r="O3184">
            <v>377686</v>
          </cell>
          <cell r="P3184"/>
          <cell r="Q3184" t="str">
            <v>EST MESA LATERAL SOLO (MOD 2) (G2 - RAFAELLO) (TP IMBUIA)</v>
          </cell>
          <cell r="R3184"/>
          <cell r="S3184"/>
          <cell r="T3184">
            <v>0.35</v>
          </cell>
          <cell r="U3184">
            <v>0.25</v>
          </cell>
          <cell r="V3184">
            <v>0.62</v>
          </cell>
          <cell r="W3184">
            <v>0</v>
          </cell>
          <cell r="X3184" t="str">
            <v>EST MESA LATERAL SOLO (MOD 2) (G2 - RAFAELLO) (TP IMBUIA) - 0,35x0,25x0,62H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378063</v>
          </cell>
          <cell r="P3185"/>
          <cell r="Q3185" t="str">
            <v>EST POLTRONA POLTRONINHA (L.COSTA) (IMBUIA) TC EL NOVE GREY</v>
          </cell>
          <cell r="R3185"/>
          <cell r="S3185"/>
          <cell r="T3185">
            <v>0.71</v>
          </cell>
          <cell r="U3185">
            <v>0.65</v>
          </cell>
          <cell r="V3185">
            <v>0.71</v>
          </cell>
          <cell r="W3185">
            <v>0</v>
          </cell>
          <cell r="X3185" t="str">
            <v>EST POLTRONA POLTRONINHA (L.COSTA) (IMBUIA) TC EL NOVE GREY - 0,71x0,65x0,71H</v>
          </cell>
          <cell r="Y3185">
            <v>0</v>
          </cell>
          <cell r="Z3185">
            <v>0.5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378064</v>
          </cell>
          <cell r="P3186"/>
          <cell r="Q3186" t="str">
            <v>EST CADEIRA PATIO (MAD A JEQU 03) COURO CAMURCA VERDE</v>
          </cell>
          <cell r="R3186"/>
          <cell r="S3186"/>
          <cell r="T3186">
            <v>0.51</v>
          </cell>
          <cell r="U3186">
            <v>0.46</v>
          </cell>
          <cell r="V3186">
            <v>0.78</v>
          </cell>
          <cell r="W3186">
            <v>0</v>
          </cell>
          <cell r="X3186" t="str">
            <v>EST CADEIRA PATIO (MAD A JEQU 03) COURO CAMURCA VERDE - 0,51x0,46x0,78H</v>
          </cell>
          <cell r="Y3186">
            <v>0</v>
          </cell>
          <cell r="Z3186">
            <v>0</v>
          </cell>
          <cell r="AA3186">
            <v>0</v>
          </cell>
          <cell r="AB3186"/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H3187">
            <v>2</v>
          </cell>
          <cell r="O3187">
            <v>378067</v>
          </cell>
          <cell r="P3187"/>
          <cell r="Q3187" t="str">
            <v>EST BANQUETA DODO (FREIJO NATURAL) (COURO IMPORT 68)</v>
          </cell>
          <cell r="R3187"/>
          <cell r="S3187"/>
          <cell r="T3187">
            <v>0.7</v>
          </cell>
          <cell r="U3187">
            <v>0.55000000000000004</v>
          </cell>
          <cell r="V3187">
            <v>0.42</v>
          </cell>
          <cell r="W3187">
            <v>0</v>
          </cell>
          <cell r="X3187" t="str">
            <v>EST BANQUETA DODO (FREIJO NATURAL) (COURO IMPORT 68) - 0,7x0,55x0,42H</v>
          </cell>
          <cell r="Y3187">
            <v>0</v>
          </cell>
          <cell r="Z3187">
            <v>0</v>
          </cell>
          <cell r="AA3187">
            <v>0</v>
          </cell>
          <cell r="AB3187"/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H3188">
            <v>1</v>
          </cell>
          <cell r="O3188">
            <v>378220</v>
          </cell>
          <cell r="P3188"/>
          <cell r="Q3188" t="str">
            <v>EST POLTRONA JOHN GRAZ (IMBUIA) TC VINAMALA 01 MULTI</v>
          </cell>
          <cell r="R3188"/>
          <cell r="S3188"/>
          <cell r="T3188">
            <v>0.8</v>
          </cell>
          <cell r="U3188">
            <v>0.83</v>
          </cell>
          <cell r="V3188">
            <v>0.74</v>
          </cell>
          <cell r="W3188">
            <v>0</v>
          </cell>
          <cell r="X3188" t="str">
            <v>EST POLTRONA JOHN GRAZ (IMBUIA) TC VINAMALA 01 MULTI - 0,8x0,83x0,74H</v>
          </cell>
          <cell r="Y3188">
            <v>0</v>
          </cell>
          <cell r="Z3188">
            <v>0.5</v>
          </cell>
          <cell r="AA3188">
            <v>0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0</v>
          </cell>
          <cell r="O3189">
            <v>378222</v>
          </cell>
          <cell r="P3189"/>
          <cell r="Q3189" t="str">
            <v>EST POLTRONA DUDA (FREIJO TNZ 1) COURO IMPORT 300</v>
          </cell>
          <cell r="R3189"/>
          <cell r="S3189"/>
          <cell r="T3189">
            <v>0.84</v>
          </cell>
          <cell r="U3189">
            <v>0.84</v>
          </cell>
          <cell r="V3189">
            <v>0.73</v>
          </cell>
          <cell r="W3189">
            <v>0</v>
          </cell>
          <cell r="X3189" t="str">
            <v>EST POLTRONA DUDA (FREIJO TNZ 1) COURO IMPORT 300 - 0,84x0,84x0,73H</v>
          </cell>
          <cell r="Y3189">
            <v>0</v>
          </cell>
          <cell r="Z3189">
            <v>0</v>
          </cell>
          <cell r="AA3189">
            <v>0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1</v>
          </cell>
          <cell r="O3190">
            <v>378713</v>
          </cell>
          <cell r="P3190"/>
          <cell r="Q3190" t="str">
            <v>EST BANCO SONIA (MAD A COR 02) (BOTOES COR 03/PES COR 03)</v>
          </cell>
          <cell r="R3190"/>
          <cell r="S3190"/>
          <cell r="T3190">
            <v>0.4</v>
          </cell>
          <cell r="U3190">
            <v>0.42</v>
          </cell>
          <cell r="V3190">
            <v>0.39</v>
          </cell>
          <cell r="W3190">
            <v>0</v>
          </cell>
          <cell r="X3190" t="str">
            <v>EST BANCO SONIA (MAD A COR 02) (BOTOES COR 03/PES COR 03) - 0,4x0,42x0,39H</v>
          </cell>
          <cell r="Y3190">
            <v>0</v>
          </cell>
          <cell r="Z3190">
            <v>0</v>
          </cell>
          <cell r="AA3190">
            <v>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1</v>
          </cell>
          <cell r="O3191">
            <v>378719</v>
          </cell>
          <cell r="P3191"/>
          <cell r="Q3191" t="str">
            <v>EST BASE CENTRO JOHN GRAZ (IMBUIA)</v>
          </cell>
          <cell r="R3191"/>
          <cell r="S3191"/>
          <cell r="T3191">
            <v>1.5</v>
          </cell>
          <cell r="U3191">
            <v>0.77</v>
          </cell>
          <cell r="V3191">
            <v>0.3</v>
          </cell>
          <cell r="W3191">
            <v>0</v>
          </cell>
          <cell r="X3191" t="str">
            <v>EST BASE CENTRO JOHN GRAZ (IMBUIA) - 1,5x0,77x0,3H</v>
          </cell>
          <cell r="Y3191">
            <v>0</v>
          </cell>
          <cell r="Z3191">
            <v>0.5</v>
          </cell>
          <cell r="AA3191">
            <v>0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1</v>
          </cell>
          <cell r="O3192">
            <v>378724</v>
          </cell>
          <cell r="P3192"/>
          <cell r="Q3192" t="str">
            <v>EST MESA CENTRO JOHN GRAZ (IMBUIA)</v>
          </cell>
          <cell r="R3192"/>
          <cell r="S3192"/>
          <cell r="T3192">
            <v>1.5</v>
          </cell>
          <cell r="U3192">
            <v>0.77</v>
          </cell>
          <cell r="V3192">
            <v>0.31</v>
          </cell>
          <cell r="W3192">
            <v>0</v>
          </cell>
          <cell r="X3192" t="str">
            <v>EST MESA CENTRO JOHN GRAZ (IMBUIA) - 1,5x0,77x0,31H</v>
          </cell>
          <cell r="Y3192">
            <v>0</v>
          </cell>
          <cell r="Z3192">
            <v>0.5</v>
          </cell>
          <cell r="AA3192">
            <v>0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378830</v>
          </cell>
          <cell r="P3193"/>
          <cell r="Q3193" t="str">
            <v>EST CAPA PROTECAO CHAISE MARESIAS (BAGUM-GRAFITE)</v>
          </cell>
          <cell r="R3193"/>
          <cell r="S3193"/>
          <cell r="T3193">
            <v>0</v>
          </cell>
          <cell r="U3193">
            <v>0</v>
          </cell>
          <cell r="V3193">
            <v>0</v>
          </cell>
          <cell r="W3193">
            <v>0</v>
          </cell>
          <cell r="X3193" t="str">
            <v>EST CAPA PROTECAO CHAISE MARESIAS (BAGUM-GRAFITE) - Ø0x0H</v>
          </cell>
          <cell r="Y3193">
            <v>0</v>
          </cell>
          <cell r="Z3193">
            <v>0</v>
          </cell>
          <cell r="AA3193">
            <v>0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6</v>
          </cell>
          <cell r="O3194">
            <v>379074</v>
          </cell>
          <cell r="P3194"/>
          <cell r="Q3194" t="str">
            <v>EST CADEIRA GB01 TELA (QUADRIC NT) (JEQ 03)</v>
          </cell>
          <cell r="R3194"/>
          <cell r="S3194"/>
          <cell r="T3194">
            <v>0.45</v>
          </cell>
          <cell r="U3194">
            <v>0.48</v>
          </cell>
          <cell r="V3194">
            <v>0.85</v>
          </cell>
          <cell r="W3194">
            <v>0</v>
          </cell>
          <cell r="X3194" t="str">
            <v>EST CADEIRA GB01 TELA (QUADRIC NT) (JEQ 03) - 0,45x0,48x0,85H</v>
          </cell>
          <cell r="Y3194">
            <v>0</v>
          </cell>
          <cell r="Z3194">
            <v>0</v>
          </cell>
          <cell r="AA3194">
            <v>0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1</v>
          </cell>
          <cell r="O3195">
            <v>379082</v>
          </cell>
          <cell r="P3195"/>
          <cell r="Q3195" t="str">
            <v>EST TAMPO JOHN GRAZ (SAIA 30MM) (TRAVERTINO YELLOW)</v>
          </cell>
          <cell r="R3195"/>
          <cell r="S3195"/>
          <cell r="T3195">
            <v>1.5</v>
          </cell>
          <cell r="U3195">
            <v>0.77</v>
          </cell>
          <cell r="V3195">
            <v>0.02</v>
          </cell>
          <cell r="W3195">
            <v>0</v>
          </cell>
          <cell r="X3195" t="str">
            <v>EST TAMPO JOHN GRAZ (SAIA 30MM) (TRAVERTINO YELLOW) - 1,5x0,77x0,02H</v>
          </cell>
          <cell r="Y3195">
            <v>0</v>
          </cell>
          <cell r="Z3195">
            <v>0.5</v>
          </cell>
          <cell r="AA3195">
            <v>0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1</v>
          </cell>
          <cell r="O3196">
            <v>379266</v>
          </cell>
          <cell r="P3196"/>
          <cell r="Q3196" t="str">
            <v>EST MESA CENTRO JOHN GRAZ (FREIJO)</v>
          </cell>
          <cell r="R3196"/>
          <cell r="S3196"/>
          <cell r="T3196">
            <v>1.7</v>
          </cell>
          <cell r="U3196">
            <v>0.77</v>
          </cell>
          <cell r="V3196">
            <v>0.31</v>
          </cell>
          <cell r="W3196">
            <v>0</v>
          </cell>
          <cell r="X3196" t="str">
            <v>EST MESA CENTRO JOHN GRAZ (FREIJO) - 1,7x0,77x0,31H</v>
          </cell>
          <cell r="Y3196">
            <v>0</v>
          </cell>
          <cell r="Z3196">
            <v>0</v>
          </cell>
          <cell r="AA3196">
            <v>0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379469</v>
          </cell>
          <cell r="P3197"/>
          <cell r="Q3197" t="str">
            <v>EST POLTRONA GIO (FREIJO TNZ 02) TC MIKA CHIVE VERDE (28)</v>
          </cell>
          <cell r="R3197"/>
          <cell r="S3197"/>
          <cell r="T3197">
            <v>0.85</v>
          </cell>
          <cell r="U3197">
            <v>0.7</v>
          </cell>
          <cell r="V3197">
            <v>1.1000000000000001</v>
          </cell>
          <cell r="W3197">
            <v>0</v>
          </cell>
          <cell r="X3197" t="str">
            <v>EST POLTRONA GIO (FREIJO TNZ 02) TC MIKA CHIVE VERDE (28) - 0,85x0,7x1,1H</v>
          </cell>
          <cell r="Y3197">
            <v>0</v>
          </cell>
          <cell r="Z3197">
            <v>0.5</v>
          </cell>
          <cell r="AA3197">
            <v>0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379546</v>
          </cell>
          <cell r="P3198"/>
          <cell r="Q3198" t="str">
            <v>EST MESA CENTRO JOHN GRAZ (BS FREIJO) (PEDRA G2 RAFAELLO)</v>
          </cell>
          <cell r="R3198"/>
          <cell r="S3198"/>
          <cell r="T3198">
            <v>1.7</v>
          </cell>
          <cell r="U3198">
            <v>0.77</v>
          </cell>
          <cell r="V3198">
            <v>0.31</v>
          </cell>
          <cell r="W3198">
            <v>0</v>
          </cell>
          <cell r="X3198" t="str">
            <v>EST MESA CENTRO JOHN GRAZ (BS FREIJO) (PEDRA G2 RAFAELLO) - 1,7x0,77x0,31H</v>
          </cell>
          <cell r="Y3198">
            <v>0</v>
          </cell>
          <cell r="Z3198">
            <v>0.5</v>
          </cell>
          <cell r="AA3198">
            <v>0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379860</v>
          </cell>
          <cell r="P3199"/>
          <cell r="Q3199" t="str">
            <v>EST POLTRONA GB UL19 (METAL) IMBUIA) TC EL ANGOLA GREEN</v>
          </cell>
          <cell r="R3199"/>
          <cell r="S3199"/>
          <cell r="T3199">
            <v>0</v>
          </cell>
          <cell r="U3199">
            <v>0</v>
          </cell>
          <cell r="V3199">
            <v>0</v>
          </cell>
          <cell r="W3199">
            <v>0</v>
          </cell>
          <cell r="X3199" t="str">
            <v>EST POLTRONA GB UL19 (METAL) IMBUIA) TC EL ANGOLA GREEN - Ø0x0H</v>
          </cell>
          <cell r="Y3199">
            <v>0</v>
          </cell>
          <cell r="Z3199">
            <v>0.35</v>
          </cell>
          <cell r="AA3199">
            <v>0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3</v>
          </cell>
          <cell r="O3200">
            <v>380274</v>
          </cell>
          <cell r="P3200"/>
          <cell r="Q3200" t="str">
            <v>EST CADEIRA IC01 (POLIETILENO) (MARSHMALLOW BRANCA)</v>
          </cell>
          <cell r="R3200"/>
          <cell r="S3200"/>
          <cell r="T3200">
            <v>0.56000000000000005</v>
          </cell>
          <cell r="U3200">
            <v>0.46</v>
          </cell>
          <cell r="V3200">
            <v>0.78</v>
          </cell>
          <cell r="W3200">
            <v>0</v>
          </cell>
          <cell r="X3200" t="str">
            <v>EST CADEIRA IC01 (POLIETILENO) (MARSHMALLOW BRANCA) - 0,56x0,46x0,78H</v>
          </cell>
          <cell r="Y3200">
            <v>0</v>
          </cell>
          <cell r="Z3200">
            <v>0</v>
          </cell>
          <cell r="AA3200">
            <v>0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1</v>
          </cell>
          <cell r="O3201">
            <v>380282</v>
          </cell>
          <cell r="P3201"/>
          <cell r="Q3201" t="str">
            <v>EST POLTRONA GIO (FREIJO TNZ 01) TC BOUCLE7859/COURO PIG 712</v>
          </cell>
          <cell r="R3201"/>
          <cell r="S3201"/>
          <cell r="T3201">
            <v>0.85</v>
          </cell>
          <cell r="U3201">
            <v>0.95</v>
          </cell>
          <cell r="V3201">
            <v>0.9</v>
          </cell>
          <cell r="W3201">
            <v>0</v>
          </cell>
          <cell r="X3201" t="str">
            <v>EST POLTRONA GIO (FREIJO TNZ 01) TC BOUCLE7859/COURO PIG 712 - 0,85x0,95x0,9H</v>
          </cell>
          <cell r="Y3201">
            <v>0</v>
          </cell>
          <cell r="Z3201">
            <v>0</v>
          </cell>
          <cell r="AA3201">
            <v>0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1</v>
          </cell>
          <cell r="O3202">
            <v>380283</v>
          </cell>
          <cell r="P3202"/>
          <cell r="Q3202" t="str">
            <v>EST BANQUETA GIO (FREIJO TNZ 01) COURO PIG 712</v>
          </cell>
          <cell r="R3202"/>
          <cell r="S3202"/>
          <cell r="T3202">
            <v>0.75</v>
          </cell>
          <cell r="U3202">
            <v>0.55000000000000004</v>
          </cell>
          <cell r="V3202">
            <v>0.37</v>
          </cell>
          <cell r="W3202">
            <v>0</v>
          </cell>
          <cell r="X3202" t="str">
            <v>EST BANQUETA GIO (FREIJO TNZ 01) COURO PIG 712 - 0,75x0,55x0,37H</v>
          </cell>
          <cell r="Y3202">
            <v>0</v>
          </cell>
          <cell r="Z3202">
            <v>0.5</v>
          </cell>
          <cell r="AA3202">
            <v>0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380284</v>
          </cell>
          <cell r="P3203"/>
          <cell r="Q3203" t="str">
            <v>EST POLTRONA STELLA (BAIXA) (MAD A NOG) CAMURCA MOSTARDA/TC</v>
          </cell>
          <cell r="R3203"/>
          <cell r="S3203"/>
          <cell r="T3203">
            <v>0.74</v>
          </cell>
          <cell r="U3203">
            <v>0.92</v>
          </cell>
          <cell r="V3203">
            <v>0.69</v>
          </cell>
          <cell r="W3203">
            <v>0</v>
          </cell>
          <cell r="X3203" t="str">
            <v>EST POLTRONA STELLA (BAIXA) (MAD A NOG) CAMURCA MOSTARDA/TC - 0,74x0,92x0,69H</v>
          </cell>
          <cell r="Y3203">
            <v>0</v>
          </cell>
          <cell r="Z3203">
            <v>0</v>
          </cell>
          <cell r="AA3203">
            <v>0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1</v>
          </cell>
          <cell r="O3204">
            <v>380285</v>
          </cell>
          <cell r="P3204"/>
          <cell r="Q3204" t="str">
            <v>EST POLTRONA STELLA (BAIXA) (MAD A NOG) COURO PIG 149/TC ESP</v>
          </cell>
          <cell r="R3204"/>
          <cell r="S3204"/>
          <cell r="T3204">
            <v>0.74</v>
          </cell>
          <cell r="U3204">
            <v>0.92</v>
          </cell>
          <cell r="V3204">
            <v>0.69</v>
          </cell>
          <cell r="W3204">
            <v>0</v>
          </cell>
          <cell r="X3204" t="str">
            <v>EST POLTRONA STELLA (BAIXA) (MAD A NOG) COURO PIG 149/TC ESP - 0,74x0,92x0,69H</v>
          </cell>
          <cell r="Y3204">
            <v>0</v>
          </cell>
          <cell r="Z3204">
            <v>0</v>
          </cell>
          <cell r="AA3204">
            <v>0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1</v>
          </cell>
          <cell r="O3205">
            <v>380287</v>
          </cell>
          <cell r="P3205"/>
          <cell r="Q3205" t="str">
            <v>EST POLTRONA SAPAO (FREIJO TNZ 01) COURO PIG 712</v>
          </cell>
          <cell r="R3205"/>
          <cell r="S3205"/>
          <cell r="T3205">
            <v>0.75</v>
          </cell>
          <cell r="U3205">
            <v>0.72</v>
          </cell>
          <cell r="V3205">
            <v>0.6</v>
          </cell>
          <cell r="W3205">
            <v>0</v>
          </cell>
          <cell r="X3205" t="str">
            <v>EST POLTRONA SAPAO (FREIJO TNZ 01) COURO PIG 712 - 0,75x0,72x0,6H</v>
          </cell>
          <cell r="Y3205">
            <v>0</v>
          </cell>
          <cell r="Z3205">
            <v>0</v>
          </cell>
          <cell r="AA3205">
            <v>0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1</v>
          </cell>
          <cell r="O3206">
            <v>380291</v>
          </cell>
          <cell r="P3206"/>
          <cell r="Q3206" t="str">
            <v>EST APARADOR TESOURA (FREIJO NT)</v>
          </cell>
          <cell r="R3206"/>
          <cell r="S3206"/>
          <cell r="T3206">
            <v>1.8</v>
          </cell>
          <cell r="U3206">
            <v>0.7</v>
          </cell>
          <cell r="V3206">
            <v>0.75</v>
          </cell>
          <cell r="W3206">
            <v>0</v>
          </cell>
          <cell r="X3206" t="str">
            <v>EST APARADOR TESOURA (FREIJO NT) - 1,8x0,7x0,75H</v>
          </cell>
          <cell r="Y3206">
            <v>0</v>
          </cell>
          <cell r="Z3206">
            <v>0.35</v>
          </cell>
          <cell r="AA3206">
            <v>0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1</v>
          </cell>
          <cell r="O3207">
            <v>380311</v>
          </cell>
          <cell r="P3207"/>
          <cell r="Q3207" t="str">
            <v>EST CADEIRA DAAV (INOX PTO) (IMBUIA STAIN) TC TRAMADO CRU/PT</v>
          </cell>
          <cell r="R3207"/>
          <cell r="S3207"/>
          <cell r="T3207">
            <v>0.63</v>
          </cell>
          <cell r="U3207">
            <v>0.54</v>
          </cell>
          <cell r="V3207">
            <v>0.8</v>
          </cell>
          <cell r="W3207">
            <v>0</v>
          </cell>
          <cell r="X3207" t="str">
            <v>EST CADEIRA DAAV (INOX PTO) (IMBUIA STAIN) TC TRAMADO CRU/PT - 0,63x0,54x0,8H</v>
          </cell>
          <cell r="Y3207">
            <v>0</v>
          </cell>
          <cell r="Z3207">
            <v>0</v>
          </cell>
          <cell r="AA3207">
            <v>0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1</v>
          </cell>
          <cell r="O3208">
            <v>380313</v>
          </cell>
          <cell r="P3208"/>
          <cell r="Q3208" t="str">
            <v>EST POLTRONA PREGUICA BAIXA (GIR) (FREIJO NT) TC PIED POULE</v>
          </cell>
          <cell r="R3208"/>
          <cell r="S3208"/>
          <cell r="T3208">
            <v>0.66</v>
          </cell>
          <cell r="U3208">
            <v>0.9</v>
          </cell>
          <cell r="V3208">
            <v>0.78</v>
          </cell>
          <cell r="W3208">
            <v>0</v>
          </cell>
          <cell r="X3208" t="str">
            <v>EST POLTRONA PREGUICA BAIXA (GIR) (FREIJO NT) TC PIED POULE - 0,66x0,9x0,78H</v>
          </cell>
          <cell r="Y3208">
            <v>0</v>
          </cell>
          <cell r="Z3208">
            <v>0</v>
          </cell>
          <cell r="AA3208">
            <v>0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1</v>
          </cell>
          <cell r="O3209">
            <v>380314</v>
          </cell>
          <cell r="P3209"/>
          <cell r="Q3209" t="str">
            <v>EST BANQUETA PREGUICA (PES EM X) (FREIJO NT) TC PIED POULE</v>
          </cell>
          <cell r="R3209"/>
          <cell r="S3209"/>
          <cell r="T3209">
            <v>0.49</v>
          </cell>
          <cell r="U3209">
            <v>0.45</v>
          </cell>
          <cell r="V3209">
            <v>0.37</v>
          </cell>
          <cell r="W3209">
            <v>0</v>
          </cell>
          <cell r="X3209" t="str">
            <v>EST BANQUETA PREGUICA (PES EM X) (FREIJO NT) TC PIED POULE - 0,49x0,45x0,37H</v>
          </cell>
          <cell r="Y3209">
            <v>0</v>
          </cell>
          <cell r="Z3209">
            <v>0</v>
          </cell>
          <cell r="AA3209">
            <v>0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1</v>
          </cell>
          <cell r="O3210">
            <v>380335</v>
          </cell>
          <cell r="P3210"/>
          <cell r="Q3210" t="str">
            <v>EST MESA JANTAR ALEX (FREIJO TONALIZADO 1)</v>
          </cell>
          <cell r="R3210"/>
          <cell r="S3210"/>
          <cell r="T3210">
            <v>1.2</v>
          </cell>
          <cell r="U3210">
            <v>0</v>
          </cell>
          <cell r="V3210">
            <v>0.75</v>
          </cell>
          <cell r="W3210">
            <v>0</v>
          </cell>
          <cell r="X3210" t="str">
            <v>EST MESA JANTAR ALEX (FREIJO TONALIZADO 1) - Ø0x0,75H</v>
          </cell>
          <cell r="Y3210">
            <v>0</v>
          </cell>
          <cell r="Z3210">
            <v>0.5</v>
          </cell>
          <cell r="AA3210">
            <v>0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380408</v>
          </cell>
          <cell r="P3211"/>
          <cell r="Q3211" t="str">
            <v>EST MESA LATERAL CONINHA ACO (ANGELIN) (BASE CONCRETO)</v>
          </cell>
          <cell r="R3211"/>
          <cell r="S3211"/>
          <cell r="T3211">
            <v>0.4</v>
          </cell>
          <cell r="U3211">
            <v>0</v>
          </cell>
          <cell r="V3211">
            <v>0.48</v>
          </cell>
          <cell r="W3211">
            <v>0.4</v>
          </cell>
          <cell r="X3211" t="str">
            <v>EST MESA LATERAL CONINHA ACO (ANGELIN) (BASE CONCRETO) - Ø0,4x0,48H</v>
          </cell>
          <cell r="Y3211">
            <v>0</v>
          </cell>
          <cell r="Z3211">
            <v>0</v>
          </cell>
          <cell r="AA3211">
            <v>0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1</v>
          </cell>
          <cell r="O3212">
            <v>380446</v>
          </cell>
          <cell r="P3212"/>
          <cell r="Q3212" t="str">
            <v>EST CADEIRA CHANCELARIA (FREIJO TNZ 1) COURO IMPORT 300</v>
          </cell>
          <cell r="R3212"/>
          <cell r="S3212"/>
          <cell r="T3212">
            <v>0.5</v>
          </cell>
          <cell r="U3212">
            <v>0.6</v>
          </cell>
          <cell r="V3212">
            <v>0.78</v>
          </cell>
          <cell r="W3212">
            <v>0</v>
          </cell>
          <cell r="X3212" t="str">
            <v>EST CADEIRA CHANCELARIA (FREIJO TNZ 1) COURO IMPORT 300 - 0,5x0,6x0,78H</v>
          </cell>
          <cell r="Y3212">
            <v>0</v>
          </cell>
          <cell r="Z3212">
            <v>0.5</v>
          </cell>
          <cell r="AA3212">
            <v>0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2</v>
          </cell>
          <cell r="O3213">
            <v>381899</v>
          </cell>
          <cell r="P3213"/>
          <cell r="Q3213" t="str">
            <v>EST POLTRONA ESSA (FREIJO NT) TC ELB LUDA 129 CHERRY</v>
          </cell>
          <cell r="R3213"/>
          <cell r="S3213"/>
          <cell r="T3213">
            <v>0.72</v>
          </cell>
          <cell r="U3213">
            <v>0.88</v>
          </cell>
          <cell r="V3213">
            <v>0.98</v>
          </cell>
          <cell r="W3213">
            <v>0</v>
          </cell>
          <cell r="X3213" t="str">
            <v>EST POLTRONA ESSA (FREIJO NT) TC ELB LUDA 129 CHERRY - 0,72x0,88x0,98H</v>
          </cell>
          <cell r="Y3213">
            <v>0</v>
          </cell>
          <cell r="Z3213">
            <v>0.5</v>
          </cell>
          <cell r="AA3213">
            <v>0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2</v>
          </cell>
          <cell r="O3214">
            <v>381910</v>
          </cell>
          <cell r="P3214"/>
          <cell r="Q3214" t="str">
            <v>EST BANQUETA BAR ESTRIBO H62 (ACO PT FREIJO NT) TC 24403045</v>
          </cell>
          <cell r="R3214"/>
          <cell r="S3214"/>
          <cell r="T3214">
            <v>0.44</v>
          </cell>
          <cell r="U3214">
            <v>0.57999999999999996</v>
          </cell>
          <cell r="V3214">
            <v>0.96</v>
          </cell>
          <cell r="W3214">
            <v>0</v>
          </cell>
          <cell r="X3214" t="str">
            <v>EST BANQUETA BAR ESTRIBO H62 (ACO PT FREIJO NT) TC 24403045 - 0,44x0,58x0,96H</v>
          </cell>
          <cell r="Y3214">
            <v>0</v>
          </cell>
          <cell r="Z3214">
            <v>0.5</v>
          </cell>
          <cell r="AA3214">
            <v>0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383976</v>
          </cell>
          <cell r="P3215"/>
          <cell r="Q3215" t="str">
            <v>EST CADEIRA ESSA C/BRACO (MAD A TAUARI POA) CAMURCA TABACO</v>
          </cell>
          <cell r="R3215"/>
          <cell r="S3215"/>
          <cell r="T3215">
            <v>0</v>
          </cell>
          <cell r="U3215">
            <v>0</v>
          </cell>
          <cell r="V3215">
            <v>0</v>
          </cell>
          <cell r="W3215">
            <v>0</v>
          </cell>
          <cell r="X3215" t="str">
            <v>EST CADEIRA ESSA C/BRACO (MAD A TAUARI POA) CAMURCA TABACO - Ø0x0H</v>
          </cell>
          <cell r="Y3215">
            <v>0</v>
          </cell>
          <cell r="Z3215">
            <v>0</v>
          </cell>
          <cell r="AA3215">
            <v>0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385864</v>
          </cell>
          <cell r="P3216"/>
          <cell r="Q3216" t="str">
            <v>EST BANQUETA BAR TIAO H61 (MAD A NOG) COURO FIRENZE 99</v>
          </cell>
          <cell r="R3216"/>
          <cell r="S3216"/>
          <cell r="T3216">
            <v>0.48</v>
          </cell>
          <cell r="U3216">
            <v>0.52</v>
          </cell>
          <cell r="V3216">
            <v>0.91</v>
          </cell>
          <cell r="W3216">
            <v>0</v>
          </cell>
          <cell r="X3216" t="str">
            <v>EST BANQUETA BAR TIAO H61 (MAD A NOG) COURO FIRENZE 99 - 0,48x0,52x0,91H</v>
          </cell>
          <cell r="Y3216">
            <v>0</v>
          </cell>
          <cell r="Z3216">
            <v>0.5</v>
          </cell>
          <cell r="AA3216">
            <v>0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1</v>
          </cell>
          <cell r="O3217">
            <v>385890</v>
          </cell>
          <cell r="P3217"/>
          <cell r="Q3217" t="str">
            <v>EST POLTRONA ESTOFADA (PALANTI) (IMBUIA) TC EARTHWILD STRAWB</v>
          </cell>
          <cell r="R3217"/>
          <cell r="S3217"/>
          <cell r="T3217">
            <v>0.62</v>
          </cell>
          <cell r="U3217">
            <v>0.84</v>
          </cell>
          <cell r="V3217">
            <v>0.9</v>
          </cell>
          <cell r="W3217">
            <v>0</v>
          </cell>
          <cell r="X3217" t="str">
            <v>EST POLTRONA ESTOFADA (PALANTI) (IMBUIA) TC EARTHWILD STRAWB - 0,62x0,84x0,9H</v>
          </cell>
          <cell r="Y3217">
            <v>0</v>
          </cell>
          <cell r="Z3217">
            <v>0</v>
          </cell>
          <cell r="AA3217">
            <v>0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4</v>
          </cell>
          <cell r="O3218">
            <v>386015</v>
          </cell>
          <cell r="P3218"/>
          <cell r="Q3218" t="str">
            <v>EST CADEIRA GB F61 (C/B) (JANTAR) TC EL ANGOLA GREEN</v>
          </cell>
          <cell r="R3218"/>
          <cell r="S3218"/>
          <cell r="T3218">
            <v>0.59</v>
          </cell>
          <cell r="U3218">
            <v>0.54</v>
          </cell>
          <cell r="V3218">
            <v>0.85</v>
          </cell>
          <cell r="W3218">
            <v>0</v>
          </cell>
          <cell r="X3218" t="str">
            <v>EST CADEIRA GB F61 (C/B) (JANTAR) TC EL ANGOLA GREEN - 0,59x0,54x0,85H</v>
          </cell>
          <cell r="Y3218">
            <v>0</v>
          </cell>
          <cell r="Z3218">
            <v>0</v>
          </cell>
          <cell r="AA3218">
            <v>0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4</v>
          </cell>
          <cell r="O3219">
            <v>386126</v>
          </cell>
          <cell r="P3219"/>
          <cell r="Q3219" t="str">
            <v>EST COMPONENTE ALMOFADA CADEIRA CORDA (PALANTI) (LISTA JUTA)</v>
          </cell>
          <cell r="R3219"/>
          <cell r="S3219"/>
          <cell r="T3219">
            <v>0.41</v>
          </cell>
          <cell r="U3219">
            <v>0.43</v>
          </cell>
          <cell r="V3219">
            <v>0.06</v>
          </cell>
          <cell r="W3219">
            <v>0</v>
          </cell>
          <cell r="X3219" t="str">
            <v>EST COMPONENTE ALMOFADA CADEIRA CORDA (PALANTI) (LISTA JUTA) - 0,41x0,43x0,06H</v>
          </cell>
          <cell r="Y3219">
            <v>0</v>
          </cell>
          <cell r="Z3219">
            <v>0</v>
          </cell>
          <cell r="AA3219">
            <v>0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386128</v>
          </cell>
          <cell r="P3220"/>
          <cell r="Q3220" t="str">
            <v>EST POLTRONA MOLE (MAD A COR 02) COURO NOBUCK 75</v>
          </cell>
          <cell r="R3220"/>
          <cell r="S3220"/>
          <cell r="T3220">
            <v>1.2</v>
          </cell>
          <cell r="U3220">
            <v>1.05</v>
          </cell>
          <cell r="V3220">
            <v>0.82</v>
          </cell>
          <cell r="W3220">
            <v>0</v>
          </cell>
          <cell r="X3220" t="str">
            <v>EST POLTRONA MOLE (MAD A COR 02) COURO NOBUCK 75 - 1,2x1,05x0,82H</v>
          </cell>
          <cell r="Y3220">
            <v>0</v>
          </cell>
          <cell r="Z3220">
            <v>0</v>
          </cell>
          <cell r="AA3220">
            <v>0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386129</v>
          </cell>
          <cell r="P3221"/>
          <cell r="Q3221" t="str">
            <v>EST BANQUETA MOLE (MAD A COR 02) COURO NOBUCK 75</v>
          </cell>
          <cell r="R3221"/>
          <cell r="S3221"/>
          <cell r="T3221">
            <v>0.82</v>
          </cell>
          <cell r="U3221">
            <v>0.59</v>
          </cell>
          <cell r="V3221">
            <v>0.45</v>
          </cell>
          <cell r="W3221">
            <v>0</v>
          </cell>
          <cell r="X3221" t="str">
            <v>EST BANQUETA MOLE (MAD A COR 02) COURO NOBUCK 75 - 0,82x0,59x0,45H</v>
          </cell>
          <cell r="Y3221">
            <v>0</v>
          </cell>
          <cell r="Z3221">
            <v>0</v>
          </cell>
          <cell r="AA3221">
            <v>0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4</v>
          </cell>
          <cell r="O3222">
            <v>386134</v>
          </cell>
          <cell r="P3222"/>
          <cell r="Q3222" t="str">
            <v>EST COMPONENTE ALMOFADA CADEIRA CORDA (PALANTI) (XADREZ)</v>
          </cell>
          <cell r="R3222"/>
          <cell r="S3222"/>
          <cell r="T3222">
            <v>0.41</v>
          </cell>
          <cell r="U3222">
            <v>0.43</v>
          </cell>
          <cell r="V3222">
            <v>0.06</v>
          </cell>
          <cell r="W3222">
            <v>0</v>
          </cell>
          <cell r="X3222" t="str">
            <v>EST COMPONENTE ALMOFADA CADEIRA CORDA (PALANTI) (XADREZ) - 0,41x0,43x0,06H</v>
          </cell>
          <cell r="Y3222">
            <v>0</v>
          </cell>
          <cell r="Z3222">
            <v>0</v>
          </cell>
          <cell r="AA3222">
            <v>0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1</v>
          </cell>
          <cell r="O3223">
            <v>386272</v>
          </cell>
          <cell r="P3223"/>
          <cell r="Q3223" t="str">
            <v>EST SOFA OLIVO (ACO PRETO) TC LISTA LARGA (BLUE)</v>
          </cell>
          <cell r="R3223"/>
          <cell r="S3223"/>
          <cell r="T3223">
            <v>1.25</v>
          </cell>
          <cell r="U3223">
            <v>0.84</v>
          </cell>
          <cell r="V3223">
            <v>0.7</v>
          </cell>
          <cell r="W3223">
            <v>0</v>
          </cell>
          <cell r="X3223" t="str">
            <v>EST SOFA OLIVO (ACO PRETO) TC LISTA LARGA (BLUE) - 1,25x0,84x0,7H</v>
          </cell>
          <cell r="Y3223">
            <v>0</v>
          </cell>
          <cell r="Z3223">
            <v>0</v>
          </cell>
          <cell r="AA3223">
            <v>0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1</v>
          </cell>
          <cell r="O3224">
            <v>386669</v>
          </cell>
          <cell r="P3224"/>
          <cell r="Q3224" t="str">
            <v>EST POLTRONA ESTOFADA (PALANTI) (IMBUIA) TC AQUATIC CANNYON</v>
          </cell>
          <cell r="R3224"/>
          <cell r="S3224"/>
          <cell r="T3224">
            <v>0.62</v>
          </cell>
          <cell r="U3224">
            <v>0.84</v>
          </cell>
          <cell r="V3224">
            <v>0.9</v>
          </cell>
          <cell r="W3224">
            <v>0</v>
          </cell>
          <cell r="X3224" t="str">
            <v>EST POLTRONA ESTOFADA (PALANTI) (IMBUIA) TC AQUATIC CANNYON - 0,62x0,84x0,9H</v>
          </cell>
          <cell r="Y3224">
            <v>0</v>
          </cell>
          <cell r="Z3224">
            <v>0</v>
          </cell>
          <cell r="AA3224">
            <v>0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386679</v>
          </cell>
          <cell r="P3225"/>
          <cell r="Q3225" t="str">
            <v>EST POLTRONA VIVI (FREIJO NT) TRAMADO 24402582/IMPORT300</v>
          </cell>
          <cell r="R3225"/>
          <cell r="S3225"/>
          <cell r="T3225">
            <v>0.85</v>
          </cell>
          <cell r="U3225">
            <v>0.9</v>
          </cell>
          <cell r="V3225">
            <v>0.92</v>
          </cell>
          <cell r="W3225">
            <v>0</v>
          </cell>
          <cell r="X3225" t="str">
            <v>EST POLTRONA VIVI (FREIJO NT) TRAMADO 24402582/IMPORT300 - 0,85x0,9x0,92H</v>
          </cell>
          <cell r="Y3225">
            <v>0</v>
          </cell>
          <cell r="Z3225">
            <v>0.5</v>
          </cell>
          <cell r="AA3225">
            <v>0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386682</v>
          </cell>
          <cell r="P3226"/>
          <cell r="Q3226" t="str">
            <v>EST BANQUETA VIVI (FREIJO NT) TRAMADO 24402582/IMPORT300</v>
          </cell>
          <cell r="R3226"/>
          <cell r="S3226"/>
          <cell r="T3226">
            <v>0.6</v>
          </cell>
          <cell r="U3226">
            <v>0.6</v>
          </cell>
          <cell r="V3226">
            <v>0.38</v>
          </cell>
          <cell r="W3226">
            <v>0</v>
          </cell>
          <cell r="X3226" t="str">
            <v>EST BANQUETA VIVI (FREIJO NT) TRAMADO 24402582/IMPORT300 - 0,6x0,6x0,38H</v>
          </cell>
          <cell r="Y3226">
            <v>0</v>
          </cell>
          <cell r="Z3226">
            <v>0.5</v>
          </cell>
          <cell r="AA3226">
            <v>0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386784</v>
          </cell>
          <cell r="P3227"/>
          <cell r="Q3227" t="str">
            <v>EST CADEIRA OMAR OFFICE C/R (MAD A CINAM NT) FIRENZE ALECRIM</v>
          </cell>
          <cell r="R3227"/>
          <cell r="S3227"/>
          <cell r="T3227">
            <v>0.54</v>
          </cell>
          <cell r="U3227">
            <v>0.56999999999999995</v>
          </cell>
          <cell r="V3227">
            <v>0.83</v>
          </cell>
          <cell r="W3227">
            <v>0</v>
          </cell>
          <cell r="X3227" t="str">
            <v>EST CADEIRA OMAR OFFICE C/R (MAD A CINAM NT) FIRENZE ALECRIM - 0,54x0,57x0,83H</v>
          </cell>
          <cell r="Y3227">
            <v>0</v>
          </cell>
          <cell r="Z3227">
            <v>0</v>
          </cell>
          <cell r="AA3227">
            <v>0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386845</v>
          </cell>
          <cell r="P3228"/>
          <cell r="Q3228" t="str">
            <v>EST SOFA COZY (C/CP) (IMB) (BIP) TC LINHO 409 TERRACOTA</v>
          </cell>
          <cell r="R3228"/>
          <cell r="S3228"/>
          <cell r="T3228">
            <v>3</v>
          </cell>
          <cell r="U3228">
            <v>1.03</v>
          </cell>
          <cell r="V3228">
            <v>0.89</v>
          </cell>
          <cell r="W3228">
            <v>0</v>
          </cell>
          <cell r="X3228" t="str">
            <v>EST SOFA COZY (C/CP) (IMB) (BIP) TC LINHO 409 TERRACOTA - 3x1,03x0,89H</v>
          </cell>
          <cell r="Y3228">
            <v>0</v>
          </cell>
          <cell r="Z3228">
            <v>0</v>
          </cell>
          <cell r="AA3228">
            <v>0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2</v>
          </cell>
          <cell r="O3229">
            <v>386924</v>
          </cell>
          <cell r="P3229"/>
          <cell r="Q3229" t="str">
            <v>EST BASE JANTAR GELSOMINA (FREIJO NATURAL)</v>
          </cell>
          <cell r="R3229"/>
          <cell r="S3229"/>
          <cell r="T3229">
            <v>0.9</v>
          </cell>
          <cell r="U3229">
            <v>0.9</v>
          </cell>
          <cell r="V3229">
            <v>0.73</v>
          </cell>
          <cell r="W3229">
            <v>0</v>
          </cell>
          <cell r="X3229" t="str">
            <v>EST BASE JANTAR GELSOMINA (FREIJO NATURAL) - 0,9x0,9x0,73H</v>
          </cell>
          <cell r="Y3229">
            <v>0</v>
          </cell>
          <cell r="Z3229">
            <v>0.5</v>
          </cell>
          <cell r="AA3229">
            <v>0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1</v>
          </cell>
          <cell r="O3230">
            <v>386927</v>
          </cell>
          <cell r="P3230"/>
          <cell r="Q3230" t="str">
            <v>EST TAMPO GELSOMINA (CIRCULAR) (G3-GREEN P LEVIG BORDA DUP)</v>
          </cell>
          <cell r="R3230"/>
          <cell r="S3230"/>
          <cell r="T3230">
            <v>1.2</v>
          </cell>
          <cell r="U3230">
            <v>0</v>
          </cell>
          <cell r="V3230">
            <v>0.02</v>
          </cell>
          <cell r="W3230">
            <v>1.2</v>
          </cell>
          <cell r="X3230" t="str">
            <v>EST TAMPO GELSOMINA (CIRCULAR) (G3-GREEN P LEVIG BORDA DUP) - Ø1,2x0,02H</v>
          </cell>
          <cell r="Y3230">
            <v>0</v>
          </cell>
          <cell r="Z3230">
            <v>0</v>
          </cell>
          <cell r="AA3230">
            <v>0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387060</v>
          </cell>
          <cell r="P3231"/>
          <cell r="Q3231" t="str">
            <v>EST DAYBED LUXOR (3 ALMF) (MAD IMBUIA STAIN) TC MIKA CAMEL</v>
          </cell>
          <cell r="R3231"/>
          <cell r="S3231"/>
          <cell r="T3231">
            <v>2</v>
          </cell>
          <cell r="U3231">
            <v>0.7</v>
          </cell>
          <cell r="V3231">
            <v>0.4</v>
          </cell>
          <cell r="W3231">
            <v>0</v>
          </cell>
          <cell r="X3231" t="str">
            <v>EST DAYBED LUXOR (3 ALMF) (MAD IMBUIA STAIN) TC MIKA CAMEL - 2x0,7x0,4H</v>
          </cell>
          <cell r="Y3231">
            <v>0</v>
          </cell>
          <cell r="Z3231">
            <v>0.35</v>
          </cell>
          <cell r="AA3231">
            <v>0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1</v>
          </cell>
          <cell r="O3232">
            <v>387202</v>
          </cell>
          <cell r="P3232"/>
          <cell r="Q3232" t="str">
            <v>EST CADEIRA GB M110 (TELA NAT) (FREIJO COR IMBUIA) (ACO PTO)</v>
          </cell>
          <cell r="R3232"/>
          <cell r="S3232"/>
          <cell r="T3232">
            <v>0.45</v>
          </cell>
          <cell r="U3232">
            <v>0.5</v>
          </cell>
          <cell r="V3232">
            <v>0.84</v>
          </cell>
          <cell r="W3232">
            <v>0</v>
          </cell>
          <cell r="X3232" t="str">
            <v>EST CADEIRA GB M110 (TELA NAT) (FREIJO COR IMBUIA) (ACO PTO) - 0,45x0,5x0,84H</v>
          </cell>
          <cell r="Y3232">
            <v>0</v>
          </cell>
          <cell r="Z3232">
            <v>0</v>
          </cell>
          <cell r="AA3232">
            <v>0</v>
          </cell>
          <cell r="AB3232"/>
        </row>
        <row r="3233">
          <cell r="C3233" t="e">
            <v>#N/A</v>
          </cell>
          <cell r="D3233" t="e">
            <v>#N/A</v>
          </cell>
          <cell r="E3233" t="e">
            <v>#N/A</v>
          </cell>
          <cell r="F3233" t="e">
            <v>#N/A</v>
          </cell>
          <cell r="H3233" t="e">
            <v>#N/A</v>
          </cell>
          <cell r="O3233">
            <v>387259</v>
          </cell>
          <cell r="P3233"/>
          <cell r="Q3233" t="e">
            <v>#N/A</v>
          </cell>
          <cell r="R3233"/>
          <cell r="S3233"/>
          <cell r="T3233" t="e">
            <v>#N/A</v>
          </cell>
          <cell r="U3233" t="e">
            <v>#N/A</v>
          </cell>
          <cell r="V3233" t="e">
            <v>#N/A</v>
          </cell>
          <cell r="W3233" t="e">
            <v>#N/A</v>
          </cell>
          <cell r="X3233" t="e">
            <v>#N/A</v>
          </cell>
          <cell r="Y3233">
            <v>0</v>
          </cell>
          <cell r="Z3233">
            <v>0</v>
          </cell>
          <cell r="AA3233">
            <v>0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387483</v>
          </cell>
          <cell r="P3234"/>
          <cell r="Q3234" t="str">
            <v>EST POLTRONA DODO ALTA (FREIJO NATURAL) COURO IMPORT 68</v>
          </cell>
          <cell r="R3234"/>
          <cell r="S3234"/>
          <cell r="T3234">
            <v>0.72</v>
          </cell>
          <cell r="U3234">
            <v>0.96</v>
          </cell>
          <cell r="V3234">
            <v>0.9</v>
          </cell>
          <cell r="W3234">
            <v>0</v>
          </cell>
          <cell r="X3234" t="str">
            <v>EST POLTRONA DODO ALTA (FREIJO NATURAL) COURO IMPORT 68 - 0,72x0,96x0,9H</v>
          </cell>
          <cell r="Y3234">
            <v>0</v>
          </cell>
          <cell r="Z3234">
            <v>0.5</v>
          </cell>
          <cell r="AA3234">
            <v>0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387497</v>
          </cell>
          <cell r="P3235" t="str">
            <v>2024/137-0004-01</v>
          </cell>
          <cell r="Q3235" t="str">
            <v>EST PRATELEIRA ESTANTE AJUSTAVEL (FREIJO NT)</v>
          </cell>
          <cell r="R3235"/>
          <cell r="S3235"/>
          <cell r="T3235">
            <v>0.76</v>
          </cell>
          <cell r="U3235">
            <v>0.28999999999999998</v>
          </cell>
          <cell r="V3235">
            <v>0.14000000000000001</v>
          </cell>
          <cell r="W3235">
            <v>0</v>
          </cell>
          <cell r="X3235" t="str">
            <v>EST PRATELEIRA ESTANTE AJUSTAVEL (FREIJO NT) - 0,76x0,29x0,14H</v>
          </cell>
          <cell r="Y3235">
            <v>0</v>
          </cell>
          <cell r="Z3235">
            <v>0.35</v>
          </cell>
          <cell r="AA3235">
            <v>0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387497</v>
          </cell>
          <cell r="P3236" t="str">
            <v>2024/137-0005-01</v>
          </cell>
          <cell r="Q3236" t="str">
            <v>EST PRATELEIRA ESTANTE AJUSTAVEL (FREIJO NT)</v>
          </cell>
          <cell r="R3236"/>
          <cell r="S3236"/>
          <cell r="T3236">
            <v>0.76</v>
          </cell>
          <cell r="U3236">
            <v>0.28999999999999998</v>
          </cell>
          <cell r="V3236">
            <v>0.14000000000000001</v>
          </cell>
          <cell r="W3236">
            <v>0</v>
          </cell>
          <cell r="X3236" t="str">
            <v>EST PRATELEIRA ESTANTE AJUSTAVEL (FREIJO NT) - 0,76x0,29x0,14H</v>
          </cell>
          <cell r="Y3236">
            <v>0</v>
          </cell>
          <cell r="Z3236">
            <v>0.35</v>
          </cell>
          <cell r="AA3236">
            <v>0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387497</v>
          </cell>
          <cell r="P3237" t="str">
            <v>2024/137-0006-01</v>
          </cell>
          <cell r="Q3237" t="str">
            <v>EST PRATELEIRA ESTANTE AJUSTAVEL (FREIJO NT)</v>
          </cell>
          <cell r="R3237"/>
          <cell r="S3237"/>
          <cell r="T3237">
            <v>0.76</v>
          </cell>
          <cell r="U3237">
            <v>0.28999999999999998</v>
          </cell>
          <cell r="V3237">
            <v>0.14000000000000001</v>
          </cell>
          <cell r="W3237">
            <v>0</v>
          </cell>
          <cell r="X3237" t="str">
            <v>EST PRATELEIRA ESTANTE AJUSTAVEL (FREIJO NT) - 0,76x0,29x0,14H</v>
          </cell>
          <cell r="Y3237">
            <v>0</v>
          </cell>
          <cell r="Z3237">
            <v>0.35</v>
          </cell>
          <cell r="AA3237">
            <v>0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387497</v>
          </cell>
          <cell r="P3238" t="str">
            <v>2024/137-0007-01</v>
          </cell>
          <cell r="Q3238" t="str">
            <v>EST PRATELEIRA ESTANTE AJUSTAVEL (FREIJO NT)</v>
          </cell>
          <cell r="R3238"/>
          <cell r="S3238"/>
          <cell r="T3238">
            <v>0.76</v>
          </cell>
          <cell r="U3238">
            <v>0.28999999999999998</v>
          </cell>
          <cell r="V3238">
            <v>0.14000000000000001</v>
          </cell>
          <cell r="W3238">
            <v>0</v>
          </cell>
          <cell r="X3238" t="str">
            <v>EST PRATELEIRA ESTANTE AJUSTAVEL (FREIJO NT) - 0,76x0,29x0,14H</v>
          </cell>
          <cell r="Y3238">
            <v>0</v>
          </cell>
          <cell r="Z3238">
            <v>0.35</v>
          </cell>
          <cell r="AA3238">
            <v>0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387497</v>
          </cell>
          <cell r="P3239" t="str">
            <v>2024/137-0008-01</v>
          </cell>
          <cell r="Q3239" t="str">
            <v>EST PRATELEIRA ESTANTE AJUSTAVEL (FREIJO NT)</v>
          </cell>
          <cell r="R3239"/>
          <cell r="S3239"/>
          <cell r="T3239">
            <v>0.76</v>
          </cell>
          <cell r="U3239">
            <v>0.28999999999999998</v>
          </cell>
          <cell r="V3239">
            <v>0.14000000000000001</v>
          </cell>
          <cell r="W3239">
            <v>0</v>
          </cell>
          <cell r="X3239" t="str">
            <v>EST PRATELEIRA ESTANTE AJUSTAVEL (FREIJO NT) - 0,76x0,29x0,14H</v>
          </cell>
          <cell r="Y3239">
            <v>0</v>
          </cell>
          <cell r="Z3239">
            <v>0.35</v>
          </cell>
          <cell r="AA3239">
            <v>0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387497</v>
          </cell>
          <cell r="P3240" t="str">
            <v>2024/137-0009-01</v>
          </cell>
          <cell r="Q3240" t="str">
            <v>EST PRATELEIRA ESTANTE AJUSTAVEL (FREIJO NT)</v>
          </cell>
          <cell r="R3240"/>
          <cell r="S3240"/>
          <cell r="T3240">
            <v>0.76</v>
          </cell>
          <cell r="U3240">
            <v>0.28999999999999998</v>
          </cell>
          <cell r="V3240">
            <v>0.14000000000000001</v>
          </cell>
          <cell r="W3240">
            <v>0</v>
          </cell>
          <cell r="X3240" t="str">
            <v>EST PRATELEIRA ESTANTE AJUSTAVEL (FREIJO NT) - 0,76x0,29x0,14H</v>
          </cell>
          <cell r="Y3240">
            <v>0</v>
          </cell>
          <cell r="Z3240">
            <v>0.35</v>
          </cell>
          <cell r="AA3240">
            <v>0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387497</v>
          </cell>
          <cell r="P3241" t="str">
            <v>2024/137-0010-01</v>
          </cell>
          <cell r="Q3241" t="str">
            <v>EST PRATELEIRA ESTANTE AJUSTAVEL (FREIJO NT)</v>
          </cell>
          <cell r="R3241"/>
          <cell r="S3241"/>
          <cell r="T3241">
            <v>0.76</v>
          </cell>
          <cell r="U3241">
            <v>0.28999999999999998</v>
          </cell>
          <cell r="V3241">
            <v>0.14000000000000001</v>
          </cell>
          <cell r="W3241">
            <v>0</v>
          </cell>
          <cell r="X3241" t="str">
            <v>EST PRATELEIRA ESTANTE AJUSTAVEL (FREIJO NT) - 0,76x0,29x0,14H</v>
          </cell>
          <cell r="Y3241">
            <v>0</v>
          </cell>
          <cell r="Z3241">
            <v>0.35</v>
          </cell>
          <cell r="AA3241">
            <v>0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387498</v>
          </cell>
          <cell r="P3242" t="str">
            <v>2024/137-0011-01</v>
          </cell>
          <cell r="Q3242" t="str">
            <v>EST PRATELEIRA ESTANTE AJUSTAVEL (FREIJO NT)</v>
          </cell>
          <cell r="R3242"/>
          <cell r="S3242"/>
          <cell r="T3242">
            <v>0.76</v>
          </cell>
          <cell r="U3242">
            <v>0.38</v>
          </cell>
          <cell r="V3242">
            <v>0.14000000000000001</v>
          </cell>
          <cell r="W3242">
            <v>0</v>
          </cell>
          <cell r="X3242" t="str">
            <v>EST PRATELEIRA ESTANTE AJUSTAVEL (FREIJO NT) - 0,76x0,38x0,14H</v>
          </cell>
          <cell r="Y3242">
            <v>0</v>
          </cell>
          <cell r="Z3242">
            <v>0.35</v>
          </cell>
          <cell r="AA3242">
            <v>0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387498</v>
          </cell>
          <cell r="P3243" t="str">
            <v>2024/137-0012-01</v>
          </cell>
          <cell r="Q3243" t="str">
            <v>EST PRATELEIRA ESTANTE AJUSTAVEL (FREIJO NT)</v>
          </cell>
          <cell r="R3243"/>
          <cell r="S3243"/>
          <cell r="T3243">
            <v>0.76</v>
          </cell>
          <cell r="U3243">
            <v>0.38</v>
          </cell>
          <cell r="V3243">
            <v>0.14000000000000001</v>
          </cell>
          <cell r="W3243">
            <v>0</v>
          </cell>
          <cell r="X3243" t="str">
            <v>EST PRATELEIRA ESTANTE AJUSTAVEL (FREIJO NT) - 0,76x0,38x0,14H</v>
          </cell>
          <cell r="Y3243">
            <v>0</v>
          </cell>
          <cell r="Z3243">
            <v>0.35</v>
          </cell>
          <cell r="AA3243">
            <v>0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387500</v>
          </cell>
          <cell r="P3244" t="str">
            <v>2024/137-0013-01</v>
          </cell>
          <cell r="Q3244" t="str">
            <v>EST COLUNA ESTANTE AJUSTAVEL (P) (FREIJO NATURAL)</v>
          </cell>
          <cell r="R3244"/>
          <cell r="S3244"/>
          <cell r="T3244">
            <v>0.12</v>
          </cell>
          <cell r="U3244">
            <v>0.03</v>
          </cell>
          <cell r="V3244">
            <v>2.1</v>
          </cell>
          <cell r="W3244">
            <v>0</v>
          </cell>
          <cell r="X3244" t="str">
            <v>EST COLUNA ESTANTE AJUSTAVEL (P) (FREIJO NATURAL) - 0,12x0,03x2,1H</v>
          </cell>
          <cell r="Y3244">
            <v>0</v>
          </cell>
          <cell r="Z3244">
            <v>0.35</v>
          </cell>
          <cell r="AA3244">
            <v>0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387500</v>
          </cell>
          <cell r="P3245" t="str">
            <v>2024/137-0014-01</v>
          </cell>
          <cell r="Q3245" t="str">
            <v>EST COLUNA ESTANTE AJUSTAVEL (P) (FREIJO NATURAL)</v>
          </cell>
          <cell r="R3245"/>
          <cell r="S3245"/>
          <cell r="T3245">
            <v>0.12</v>
          </cell>
          <cell r="U3245">
            <v>0.03</v>
          </cell>
          <cell r="V3245">
            <v>2.1</v>
          </cell>
          <cell r="W3245">
            <v>0</v>
          </cell>
          <cell r="X3245" t="str">
            <v>EST COLUNA ESTANTE AJUSTAVEL (P) (FREIJO NATURAL) - 0,12x0,03x2,1H</v>
          </cell>
          <cell r="Y3245">
            <v>0</v>
          </cell>
          <cell r="Z3245">
            <v>0.35</v>
          </cell>
          <cell r="AA3245">
            <v>0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387500</v>
          </cell>
          <cell r="P3246" t="str">
            <v>2024/137-0015-01</v>
          </cell>
          <cell r="Q3246" t="str">
            <v>EST COLUNA ESTANTE AJUSTAVEL (P) (FREIJO NATURAL)</v>
          </cell>
          <cell r="R3246"/>
          <cell r="S3246"/>
          <cell r="T3246">
            <v>0.12</v>
          </cell>
          <cell r="U3246">
            <v>0.03</v>
          </cell>
          <cell r="V3246">
            <v>2.1</v>
          </cell>
          <cell r="W3246">
            <v>0</v>
          </cell>
          <cell r="X3246" t="str">
            <v>EST COLUNA ESTANTE AJUSTAVEL (P) (FREIJO NATURAL) - 0,12x0,03x2,1H</v>
          </cell>
          <cell r="Y3246">
            <v>0</v>
          </cell>
          <cell r="Z3246">
            <v>0.35</v>
          </cell>
          <cell r="AA3246">
            <v>0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387652</v>
          </cell>
          <cell r="P3247"/>
          <cell r="Q3247" t="str">
            <v>EST POLTRONA ZECA (FREIJO ENV) TC MIKA CHIVE</v>
          </cell>
          <cell r="R3247"/>
          <cell r="S3247"/>
          <cell r="T3247">
            <v>0.69</v>
          </cell>
          <cell r="U3247">
            <v>0.76</v>
          </cell>
          <cell r="V3247">
            <v>0.77</v>
          </cell>
          <cell r="W3247">
            <v>0</v>
          </cell>
          <cell r="X3247" t="str">
            <v>EST POLTRONA ZECA (FREIJO ENV) TC MIKA CHIVE - 0,69x0,76x0,77H</v>
          </cell>
          <cell r="Y3247">
            <v>0</v>
          </cell>
          <cell r="Z3247">
            <v>0.35</v>
          </cell>
          <cell r="AA3247">
            <v>0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387654</v>
          </cell>
          <cell r="P3248"/>
          <cell r="Q3248" t="str">
            <v>EST MESA JANTAR MAC (LAM ESPECIAL) (MAD A TAUARI NOGUEIRA)</v>
          </cell>
          <cell r="R3248"/>
          <cell r="S3248"/>
          <cell r="T3248">
            <v>1.2</v>
          </cell>
          <cell r="U3248">
            <v>0</v>
          </cell>
          <cell r="V3248">
            <v>0.75</v>
          </cell>
          <cell r="W3248">
            <v>1.2</v>
          </cell>
          <cell r="X3248" t="str">
            <v>EST MESA JANTAR MAC (LAM ESPECIAL) (MAD A TAUARI NOGUEIRA) - Ø1,2x0,75H</v>
          </cell>
          <cell r="Y3248">
            <v>0</v>
          </cell>
          <cell r="Z3248">
            <v>0</v>
          </cell>
          <cell r="AA3248">
            <v>0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387678</v>
          </cell>
          <cell r="P3249"/>
          <cell r="Q3249" t="str">
            <v>EST BANQUETA DODO (FREIJO NATURAL) COURO IMPORT 68</v>
          </cell>
          <cell r="R3249"/>
          <cell r="S3249"/>
          <cell r="T3249">
            <v>0.7</v>
          </cell>
          <cell r="U3249">
            <v>0.55000000000000004</v>
          </cell>
          <cell r="V3249">
            <v>0.42</v>
          </cell>
          <cell r="W3249">
            <v>0</v>
          </cell>
          <cell r="X3249" t="str">
            <v>EST BANQUETA DODO (FREIJO NATURAL) COURO IMPORT 68 - 0,7x0,55x0,42H</v>
          </cell>
          <cell r="Y3249">
            <v>0</v>
          </cell>
          <cell r="Z3249">
            <v>0.5</v>
          </cell>
          <cell r="AA3249">
            <v>0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5</v>
          </cell>
          <cell r="O3250">
            <v>387911</v>
          </cell>
          <cell r="P3250"/>
          <cell r="Q3250" t="str">
            <v>EST CADEIRA GB MTF600 (S/B) TC TERRACOTA</v>
          </cell>
          <cell r="R3250"/>
          <cell r="S3250"/>
          <cell r="T3250">
            <v>0.4</v>
          </cell>
          <cell r="U3250">
            <v>0.48</v>
          </cell>
          <cell r="V3250">
            <v>0.82</v>
          </cell>
          <cell r="W3250">
            <v>0</v>
          </cell>
          <cell r="X3250" t="str">
            <v>EST CADEIRA GB MTF600 (S/B) TC TERRACOTA - 0,4x0,48x0,82H</v>
          </cell>
          <cell r="Y3250">
            <v>0</v>
          </cell>
          <cell r="Z3250">
            <v>0</v>
          </cell>
          <cell r="AA3250">
            <v>0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387918</v>
          </cell>
          <cell r="P3251"/>
          <cell r="Q3251" t="str">
            <v>EST SOFA NAVONA (FREIJO TONALIZADO COR 1) (CAMURCA CASTANHO)</v>
          </cell>
          <cell r="R3251"/>
          <cell r="S3251"/>
          <cell r="T3251">
            <v>1.7</v>
          </cell>
          <cell r="U3251">
            <v>0.86</v>
          </cell>
          <cell r="V3251">
            <v>0.7</v>
          </cell>
          <cell r="W3251">
            <v>0</v>
          </cell>
          <cell r="X3251" t="str">
            <v>EST SOFA NAVONA (FREIJO TONALIZADO COR 1) (CAMURCA CASTANHO) - 1,7x0,86x0,7H</v>
          </cell>
          <cell r="Y3251">
            <v>0</v>
          </cell>
          <cell r="Z3251">
            <v>0.35</v>
          </cell>
          <cell r="AA3251">
            <v>0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5</v>
          </cell>
          <cell r="O3252">
            <v>388068</v>
          </cell>
          <cell r="P3252"/>
          <cell r="Q3252" t="str">
            <v>EST CADEIRA GB01 RIPADA (JEQ 03) TC GALLIA MUSGO</v>
          </cell>
          <cell r="R3252"/>
          <cell r="S3252"/>
          <cell r="T3252">
            <v>0.45</v>
          </cell>
          <cell r="U3252">
            <v>0.48</v>
          </cell>
          <cell r="V3252">
            <v>0.85</v>
          </cell>
          <cell r="W3252">
            <v>0</v>
          </cell>
          <cell r="X3252" t="str">
            <v>EST CADEIRA GB01 RIPADA (JEQ 03) TC GALLIA MUSGO - 0,45x0,48x0,85H</v>
          </cell>
          <cell r="Y3252">
            <v>0</v>
          </cell>
          <cell r="Z3252">
            <v>0</v>
          </cell>
          <cell r="AA3252">
            <v>0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388492</v>
          </cell>
          <cell r="P3253"/>
          <cell r="Q3253" t="str">
            <v>EST CADEIRA AARE (CINAMOMO ENV) COURO IMPORT 57 AREIA</v>
          </cell>
          <cell r="R3253"/>
          <cell r="S3253"/>
          <cell r="T3253">
            <v>0.57999999999999996</v>
          </cell>
          <cell r="U3253">
            <v>0.54</v>
          </cell>
          <cell r="V3253">
            <v>0.82</v>
          </cell>
          <cell r="W3253">
            <v>0</v>
          </cell>
          <cell r="X3253" t="str">
            <v>EST CADEIRA AARE (CINAMOMO ENV) COURO IMPORT 57 AREIA - 0,58x0,54x0,82H</v>
          </cell>
          <cell r="Y3253">
            <v>0</v>
          </cell>
          <cell r="Z3253">
            <v>0.5</v>
          </cell>
          <cell r="AA3253">
            <v>0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3</v>
          </cell>
          <cell r="O3254">
            <v>388511</v>
          </cell>
          <cell r="P3254"/>
          <cell r="Q3254" t="str">
            <v>EST CADEIRA AARE (FREIJO NATURAL) COURO NOBUCK VERDE</v>
          </cell>
          <cell r="R3254"/>
          <cell r="S3254"/>
          <cell r="T3254">
            <v>0.57999999999999996</v>
          </cell>
          <cell r="U3254">
            <v>0.54</v>
          </cell>
          <cell r="V3254">
            <v>0.82</v>
          </cell>
          <cell r="W3254">
            <v>0</v>
          </cell>
          <cell r="X3254" t="str">
            <v>EST CADEIRA AARE (FREIJO NATURAL) COURO NOBUCK VERDE - 0,58x0,54x0,82H</v>
          </cell>
          <cell r="Y3254">
            <v>0</v>
          </cell>
          <cell r="Z3254">
            <v>0.5</v>
          </cell>
          <cell r="AA3254">
            <v>0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4</v>
          </cell>
          <cell r="O3255">
            <v>388512</v>
          </cell>
          <cell r="P3255"/>
          <cell r="Q3255" t="str">
            <v>EST CADEIRA AARE (IMBUIA) CAMURCA CASTANHO</v>
          </cell>
          <cell r="R3255"/>
          <cell r="S3255"/>
          <cell r="T3255">
            <v>0.57999999999999996</v>
          </cell>
          <cell r="U3255">
            <v>0.54</v>
          </cell>
          <cell r="V3255">
            <v>0.82</v>
          </cell>
          <cell r="W3255">
            <v>0</v>
          </cell>
          <cell r="X3255" t="str">
            <v>EST CADEIRA AARE (IMBUIA) CAMURCA CASTANHO - 0,58x0,54x0,82H</v>
          </cell>
          <cell r="Y3255">
            <v>0</v>
          </cell>
          <cell r="Z3255">
            <v>0.5</v>
          </cell>
          <cell r="AA3255">
            <v>0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388700</v>
          </cell>
          <cell r="P3256"/>
          <cell r="Q3256" t="str">
            <v>EST MANCEBO STAND BY (FREIJO) (G1 - GREEN SAVANA)</v>
          </cell>
          <cell r="R3256"/>
          <cell r="S3256"/>
          <cell r="T3256">
            <v>0.2</v>
          </cell>
          <cell r="U3256">
            <v>0.33</v>
          </cell>
          <cell r="V3256">
            <v>1.75</v>
          </cell>
          <cell r="W3256">
            <v>0</v>
          </cell>
          <cell r="X3256" t="str">
            <v>EST MANCEBO STAND BY (FREIJO) (G1 - GREEN SAVANA) - 0,2x0,33x1,75H</v>
          </cell>
          <cell r="Y3256">
            <v>0</v>
          </cell>
          <cell r="Z3256">
            <v>0</v>
          </cell>
          <cell r="AA3256">
            <v>0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2</v>
          </cell>
          <cell r="O3257">
            <v>388978</v>
          </cell>
          <cell r="P3257"/>
          <cell r="Q3257" t="str">
            <v>EST BANQUETA BAR GB H62 (TELA) (FREIJO NATURAL) (ACO PRETO)</v>
          </cell>
          <cell r="R3257"/>
          <cell r="S3257"/>
          <cell r="T3257">
            <v>0.42</v>
          </cell>
          <cell r="U3257">
            <v>0.42</v>
          </cell>
          <cell r="V3257">
            <v>0.62</v>
          </cell>
          <cell r="W3257">
            <v>0</v>
          </cell>
          <cell r="X3257" t="str">
            <v>EST BANQUETA BAR GB H62 (TELA) (FREIJO NATURAL) (ACO PRETO) - 0,42x0,42x0,62H</v>
          </cell>
          <cell r="Y3257">
            <v>0</v>
          </cell>
          <cell r="Z3257">
            <v>0</v>
          </cell>
          <cell r="AA3257">
            <v>0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389091</v>
          </cell>
          <cell r="P3258"/>
          <cell r="Q3258" t="str">
            <v>EST POLTRONA ESTOFADA (PALANTI) (IMBUIA) COURO NOBUCK 50</v>
          </cell>
          <cell r="R3258"/>
          <cell r="S3258"/>
          <cell r="T3258">
            <v>0.62</v>
          </cell>
          <cell r="U3258">
            <v>0.84</v>
          </cell>
          <cell r="V3258">
            <v>0.9</v>
          </cell>
          <cell r="W3258">
            <v>0</v>
          </cell>
          <cell r="X3258" t="str">
            <v>EST POLTRONA ESTOFADA (PALANTI) (IMBUIA) COURO NOBUCK 50 - 0,62x0,84x0,9H</v>
          </cell>
          <cell r="Y3258">
            <v>0</v>
          </cell>
          <cell r="Z3258">
            <v>0</v>
          </cell>
          <cell r="AA3258">
            <v>0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2</v>
          </cell>
          <cell r="O3259">
            <v>389092</v>
          </cell>
          <cell r="P3259"/>
          <cell r="Q3259" t="str">
            <v>EST POLTRONA ESTOFADA (PALANTI) (FREIJO) COURO NOBUCK 90</v>
          </cell>
          <cell r="R3259"/>
          <cell r="S3259"/>
          <cell r="T3259">
            <v>0.62</v>
          </cell>
          <cell r="U3259">
            <v>0.84</v>
          </cell>
          <cell r="V3259">
            <v>0.9</v>
          </cell>
          <cell r="W3259">
            <v>0</v>
          </cell>
          <cell r="X3259" t="str">
            <v>EST POLTRONA ESTOFADA (PALANTI) (FREIJO) COURO NOBUCK 90 - 0,62x0,84x0,9H</v>
          </cell>
          <cell r="Y3259">
            <v>0</v>
          </cell>
          <cell r="Z3259">
            <v>0</v>
          </cell>
          <cell r="AA3259">
            <v>0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2</v>
          </cell>
          <cell r="O3260">
            <v>389143</v>
          </cell>
          <cell r="P3260"/>
          <cell r="Q3260" t="str">
            <v>EST POLTRONA ZANINE N (FREIJO NATURAL) TC EARTHWILD CAMEL</v>
          </cell>
          <cell r="R3260"/>
          <cell r="S3260"/>
          <cell r="T3260">
            <v>0.71</v>
          </cell>
          <cell r="U3260">
            <v>0.67</v>
          </cell>
          <cell r="V3260">
            <v>0.7</v>
          </cell>
          <cell r="W3260">
            <v>0</v>
          </cell>
          <cell r="X3260" t="str">
            <v>EST POLTRONA ZANINE N (FREIJO NATURAL) TC EARTHWILD CAMEL - 0,71x0,67x0,7H</v>
          </cell>
          <cell r="Y3260">
            <v>0</v>
          </cell>
          <cell r="Z3260">
            <v>0</v>
          </cell>
          <cell r="AA3260">
            <v>0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389343</v>
          </cell>
          <cell r="P3261"/>
          <cell r="Q3261" t="str">
            <v>EST CADEIRA DOS ARCOS BAIXA (IMBUIA) COURO IMPORT 300</v>
          </cell>
          <cell r="R3261"/>
          <cell r="S3261"/>
          <cell r="T3261">
            <v>0.49</v>
          </cell>
          <cell r="U3261">
            <v>0.59</v>
          </cell>
          <cell r="V3261">
            <v>0.88</v>
          </cell>
          <cell r="W3261">
            <v>0</v>
          </cell>
          <cell r="X3261" t="str">
            <v>EST CADEIRA DOS ARCOS BAIXA (IMBUIA) COURO IMPORT 300 - 0,49x0,59x0,88H</v>
          </cell>
          <cell r="Y3261">
            <v>0</v>
          </cell>
          <cell r="Z3261">
            <v>0</v>
          </cell>
          <cell r="AA3261">
            <v>0</v>
          </cell>
          <cell r="AB3261"/>
        </row>
        <row r="3262">
          <cell r="C3262">
            <v>0</v>
          </cell>
          <cell r="D3262">
            <v>0</v>
          </cell>
          <cell r="E3262">
            <v>0</v>
          </cell>
          <cell r="F3262">
            <v>0</v>
          </cell>
          <cell r="H3262">
            <v>1</v>
          </cell>
          <cell r="O3262">
            <v>389344</v>
          </cell>
          <cell r="P3262"/>
          <cell r="Q3262" t="str">
            <v>EST CADEIRA DOS ARCOS BAIXA (IMBUIA) COURO NOBUCK 75</v>
          </cell>
          <cell r="R3262"/>
          <cell r="S3262"/>
          <cell r="T3262">
            <v>0.49</v>
          </cell>
          <cell r="U3262">
            <v>0.59</v>
          </cell>
          <cell r="V3262">
            <v>0.88</v>
          </cell>
          <cell r="W3262">
            <v>0</v>
          </cell>
          <cell r="X3262" t="str">
            <v>EST CADEIRA DOS ARCOS BAIXA (IMBUIA) COURO NOBUCK 75 - 0,49x0,59x0,88H</v>
          </cell>
          <cell r="Y3262">
            <v>0</v>
          </cell>
          <cell r="Z3262">
            <v>0</v>
          </cell>
          <cell r="AA3262">
            <v>0</v>
          </cell>
          <cell r="AB3262"/>
        </row>
        <row r="3263"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H3263">
            <v>0</v>
          </cell>
          <cell r="O3263">
            <v>389768</v>
          </cell>
          <cell r="P3263"/>
          <cell r="Q3263" t="str">
            <v>EST LUMINARIA ITAMARATY (HASTE PTO FOSCO) (SUCUPIRA)</v>
          </cell>
          <cell r="R3263"/>
          <cell r="S3263"/>
          <cell r="T3263">
            <v>0.6</v>
          </cell>
          <cell r="U3263">
            <v>0</v>
          </cell>
          <cell r="V3263">
            <v>1.41</v>
          </cell>
          <cell r="W3263">
            <v>0</v>
          </cell>
          <cell r="X3263" t="str">
            <v>EST LUMINARIA ITAMARATY (HASTE PTO FOSCO) (SUCUPIRA) - Ø0x1,41H</v>
          </cell>
          <cell r="Y3263">
            <v>0</v>
          </cell>
          <cell r="Z3263">
            <v>0.5</v>
          </cell>
          <cell r="AA3263">
            <v>0</v>
          </cell>
          <cell r="AB3263"/>
        </row>
        <row r="3264"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H3264">
            <v>0</v>
          </cell>
          <cell r="O3264">
            <v>389804</v>
          </cell>
          <cell r="P3264"/>
          <cell r="Q3264" t="str">
            <v>EST POLTRONA BENJAMIN (IMBUIA MEL) NOBUCK VERDE</v>
          </cell>
          <cell r="R3264"/>
          <cell r="S3264"/>
          <cell r="T3264">
            <v>0.92</v>
          </cell>
          <cell r="U3264">
            <v>0.9</v>
          </cell>
          <cell r="V3264">
            <v>0.92</v>
          </cell>
          <cell r="W3264">
            <v>0</v>
          </cell>
          <cell r="X3264" t="str">
            <v>EST POLTRONA BENJAMIN (IMBUIA MEL) NOBUCK VERDE - 0,92x0,9x0,92H</v>
          </cell>
          <cell r="Y3264">
            <v>0</v>
          </cell>
          <cell r="Z3264">
            <v>0.5</v>
          </cell>
          <cell r="AA3264">
            <v>0</v>
          </cell>
          <cell r="AB3264"/>
        </row>
        <row r="3265"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H3265">
            <v>0</v>
          </cell>
          <cell r="O3265">
            <v>389805</v>
          </cell>
          <cell r="P3265"/>
          <cell r="Q3265" t="str">
            <v>EST BANQUETA BENJAMIN (IMBUIA MEL) NOBUCK VERDE</v>
          </cell>
          <cell r="R3265"/>
          <cell r="S3265"/>
          <cell r="T3265">
            <v>0.8</v>
          </cell>
          <cell r="U3265">
            <v>0.6</v>
          </cell>
          <cell r="V3265">
            <v>0.38</v>
          </cell>
          <cell r="W3265">
            <v>0</v>
          </cell>
          <cell r="X3265" t="str">
            <v>EST BANQUETA BENJAMIN (IMBUIA MEL) NOBUCK VERDE - 0,8x0,6x0,38H</v>
          </cell>
          <cell r="Y3265">
            <v>0</v>
          </cell>
          <cell r="Z3265">
            <v>0.5</v>
          </cell>
          <cell r="AA3265">
            <v>0</v>
          </cell>
          <cell r="AB3265"/>
        </row>
        <row r="3266"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H3266">
            <v>1</v>
          </cell>
          <cell r="O3266">
            <v>389842</v>
          </cell>
          <cell r="P3266"/>
          <cell r="Q3266" t="str">
            <v>EST SOFA DECK (GARAPEIRA) TC O'UMBRELLA DUCK TAUPE</v>
          </cell>
          <cell r="R3266"/>
          <cell r="S3266"/>
          <cell r="T3266">
            <v>1.48</v>
          </cell>
          <cell r="U3266">
            <v>0.85</v>
          </cell>
          <cell r="V3266">
            <v>0.63</v>
          </cell>
          <cell r="W3266">
            <v>0</v>
          </cell>
          <cell r="X3266" t="str">
            <v>EST SOFA DECK (GARAPEIRA) TC O'UMBRELLA DUCK TAUPE - 1,48x0,85x0,63H</v>
          </cell>
          <cell r="Y3266">
            <v>0</v>
          </cell>
          <cell r="Z3266">
            <v>0</v>
          </cell>
          <cell r="AA3266">
            <v>0</v>
          </cell>
          <cell r="AB3266"/>
        </row>
        <row r="3267">
          <cell r="C3267" t="e">
            <v>#N/A</v>
          </cell>
          <cell r="D3267" t="e">
            <v>#N/A</v>
          </cell>
          <cell r="E3267" t="e">
            <v>#N/A</v>
          </cell>
          <cell r="F3267" t="e">
            <v>#N/A</v>
          </cell>
          <cell r="H3267" t="e">
            <v>#N/A</v>
          </cell>
          <cell r="O3267">
            <v>389926</v>
          </cell>
          <cell r="P3267"/>
          <cell r="Q3267" t="e">
            <v>#N/A</v>
          </cell>
          <cell r="R3267"/>
          <cell r="S3267"/>
          <cell r="T3267" t="e">
            <v>#N/A</v>
          </cell>
          <cell r="U3267" t="e">
            <v>#N/A</v>
          </cell>
          <cell r="V3267" t="e">
            <v>#N/A</v>
          </cell>
          <cell r="W3267" t="e">
            <v>#N/A</v>
          </cell>
          <cell r="X3267" t="e">
            <v>#N/A</v>
          </cell>
          <cell r="Y3267">
            <v>0</v>
          </cell>
          <cell r="Z3267">
            <v>0.5</v>
          </cell>
          <cell r="AA3267">
            <v>0</v>
          </cell>
          <cell r="AB3267"/>
        </row>
        <row r="3268">
          <cell r="C3268" t="e">
            <v>#N/A</v>
          </cell>
          <cell r="D3268" t="e">
            <v>#N/A</v>
          </cell>
          <cell r="E3268" t="e">
            <v>#N/A</v>
          </cell>
          <cell r="F3268" t="e">
            <v>#N/A</v>
          </cell>
          <cell r="H3268" t="e">
            <v>#N/A</v>
          </cell>
          <cell r="O3268">
            <v>389927</v>
          </cell>
          <cell r="P3268"/>
          <cell r="Q3268" t="e">
            <v>#N/A</v>
          </cell>
          <cell r="R3268"/>
          <cell r="S3268"/>
          <cell r="T3268" t="e">
            <v>#N/A</v>
          </cell>
          <cell r="U3268" t="e">
            <v>#N/A</v>
          </cell>
          <cell r="V3268" t="e">
            <v>#N/A</v>
          </cell>
          <cell r="W3268" t="e">
            <v>#N/A</v>
          </cell>
          <cell r="X3268" t="e">
            <v>#N/A</v>
          </cell>
          <cell r="Y3268">
            <v>0</v>
          </cell>
          <cell r="Z3268">
            <v>0.5</v>
          </cell>
          <cell r="AA3268">
            <v>0</v>
          </cell>
          <cell r="AB3268"/>
        </row>
        <row r="3269"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H3269">
            <v>1</v>
          </cell>
          <cell r="O3269">
            <v>390140</v>
          </cell>
          <cell r="P3269"/>
          <cell r="Q3269" t="str">
            <v>EST CADEIRA BOA C/B (C/ROD/REG ALT) (FREIJO) TC MIKA CHIVE</v>
          </cell>
          <cell r="R3269"/>
          <cell r="S3269"/>
          <cell r="T3269">
            <v>0.65</v>
          </cell>
          <cell r="U3269">
            <v>0.65</v>
          </cell>
          <cell r="V3269">
            <v>0.8</v>
          </cell>
          <cell r="W3269">
            <v>0</v>
          </cell>
          <cell r="X3269" t="str">
            <v>EST CADEIRA BOA C/B (C/ROD/REG ALT) (FREIJO) TC MIKA CHIVE - 0,65x0,65x0,8H</v>
          </cell>
          <cell r="Y3269">
            <v>0</v>
          </cell>
          <cell r="Z3269">
            <v>0.5</v>
          </cell>
          <cell r="AA3269">
            <v>0</v>
          </cell>
          <cell r="AB3269"/>
        </row>
        <row r="3270"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H3270">
            <v>1</v>
          </cell>
          <cell r="O3270">
            <v>390302</v>
          </cell>
          <cell r="P3270"/>
          <cell r="Q3270" t="str">
            <v>EST TAMPO CANELA (CIRCULAR) (G3-GREEN P LEVIG) (BORD DUP)</v>
          </cell>
          <cell r="R3270"/>
          <cell r="S3270"/>
          <cell r="T3270">
            <v>1.3</v>
          </cell>
          <cell r="U3270">
            <v>0</v>
          </cell>
          <cell r="V3270">
            <v>0.02</v>
          </cell>
          <cell r="W3270">
            <v>1.3</v>
          </cell>
          <cell r="X3270" t="str">
            <v>EST TAMPO CANELA (CIRCULAR) (G3-GREEN P LEVIG) (BORD DUP) - Ø1,3x0,02H</v>
          </cell>
          <cell r="Y3270">
            <v>0</v>
          </cell>
          <cell r="Z3270">
            <v>0.5</v>
          </cell>
          <cell r="AA3270">
            <v>0</v>
          </cell>
          <cell r="AB3270"/>
        </row>
        <row r="3271"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H3271">
            <v>0</v>
          </cell>
          <cell r="O3271">
            <v>390741</v>
          </cell>
          <cell r="P3271"/>
          <cell r="Q3271" t="str">
            <v>EST LUMINARIA TCHEKO (LATAO CROMADO) (FREIJO)</v>
          </cell>
          <cell r="R3271"/>
          <cell r="S3271"/>
          <cell r="T3271">
            <v>0.4</v>
          </cell>
          <cell r="U3271">
            <v>0.4</v>
          </cell>
          <cell r="V3271">
            <v>0.9</v>
          </cell>
          <cell r="W3271">
            <v>0</v>
          </cell>
          <cell r="X3271" t="str">
            <v>EST LUMINARIA TCHEKO (LATAO CROMADO) (FREIJO) - 0,4x0,4x0,9H</v>
          </cell>
          <cell r="Y3271">
            <v>0</v>
          </cell>
          <cell r="Z3271">
            <v>0</v>
          </cell>
          <cell r="AA3271">
            <v>0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H3272">
            <v>1</v>
          </cell>
          <cell r="O3272">
            <v>390884</v>
          </cell>
          <cell r="P3272"/>
          <cell r="Q3272" t="str">
            <v>EST MESA JANTAR OBLONGO (PAU FERRO CLARO) ALTERNADO PTO FSC</v>
          </cell>
          <cell r="R3272"/>
          <cell r="S3272"/>
          <cell r="T3272">
            <v>3.5</v>
          </cell>
          <cell r="U3272">
            <v>1.2</v>
          </cell>
          <cell r="V3272">
            <v>0.74</v>
          </cell>
          <cell r="W3272">
            <v>0</v>
          </cell>
          <cell r="X3272" t="str">
            <v>EST MESA JANTAR OBLONGO (PAU FERRO CLARO) ALTERNADO PTO FSC - 3,5x1,2x0,74H</v>
          </cell>
          <cell r="Y3272">
            <v>0</v>
          </cell>
          <cell r="Z3272">
            <v>0</v>
          </cell>
          <cell r="AA3272">
            <v>0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H3273">
            <v>0</v>
          </cell>
          <cell r="O3273">
            <v>390886</v>
          </cell>
          <cell r="P3273"/>
          <cell r="Q3273" t="str">
            <v>EST SOFA DIANA (C/CAPA) TC GALLIA (STON) (7826) MUSGO</v>
          </cell>
          <cell r="R3273"/>
          <cell r="S3273"/>
          <cell r="T3273">
            <v>3</v>
          </cell>
          <cell r="U3273">
            <v>1.03</v>
          </cell>
          <cell r="V3273">
            <v>0.63</v>
          </cell>
          <cell r="W3273">
            <v>0</v>
          </cell>
          <cell r="X3273" t="str">
            <v>EST SOFA DIANA (C/CAPA) TC GALLIA (STON) (7826) MUSGO - 3x1,03x0,63H</v>
          </cell>
          <cell r="Y3273">
            <v>0</v>
          </cell>
          <cell r="Z3273">
            <v>0.5</v>
          </cell>
          <cell r="AA3273">
            <v>0</v>
          </cell>
          <cell r="AB3273"/>
        </row>
        <row r="3274"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H3274">
            <v>1</v>
          </cell>
          <cell r="O3274">
            <v>390894</v>
          </cell>
          <cell r="P3274"/>
          <cell r="Q3274" t="str">
            <v>EST BANCO DOMINO (4 LUG) (FREIJO) (INOX)</v>
          </cell>
          <cell r="R3274"/>
          <cell r="S3274"/>
          <cell r="T3274">
            <v>1.9</v>
          </cell>
          <cell r="U3274">
            <v>0.45</v>
          </cell>
          <cell r="V3274">
            <v>0.48</v>
          </cell>
          <cell r="W3274">
            <v>0</v>
          </cell>
          <cell r="X3274" t="str">
            <v>EST BANCO DOMINO (4 LUG) (FREIJO) (INOX) - 1,9x0,45x0,48H</v>
          </cell>
          <cell r="Y3274">
            <v>0</v>
          </cell>
          <cell r="Z3274">
            <v>0.5</v>
          </cell>
          <cell r="AA3274">
            <v>0</v>
          </cell>
          <cell r="AB3274"/>
        </row>
        <row r="3275"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H3275">
            <v>0</v>
          </cell>
          <cell r="O3275">
            <v>390895</v>
          </cell>
          <cell r="P3275"/>
          <cell r="Q3275" t="str">
            <v>EST BANCO DOMINO (4 LUG) (IMBUIA) (INOX)</v>
          </cell>
          <cell r="R3275"/>
          <cell r="S3275"/>
          <cell r="T3275">
            <v>1.9</v>
          </cell>
          <cell r="U3275">
            <v>0.45</v>
          </cell>
          <cell r="V3275">
            <v>0.48</v>
          </cell>
          <cell r="W3275">
            <v>0</v>
          </cell>
          <cell r="X3275" t="str">
            <v>EST BANCO DOMINO (4 LUG) (IMBUIA) (INOX) - 1,9x0,45x0,48H</v>
          </cell>
          <cell r="Y3275">
            <v>0</v>
          </cell>
          <cell r="Z3275">
            <v>0.5</v>
          </cell>
          <cell r="AA3275">
            <v>0</v>
          </cell>
          <cell r="AB3275"/>
        </row>
        <row r="3276">
          <cell r="C3276">
            <v>0</v>
          </cell>
          <cell r="D3276">
            <v>0</v>
          </cell>
          <cell r="E3276">
            <v>0</v>
          </cell>
          <cell r="F3276">
            <v>0</v>
          </cell>
          <cell r="H3276">
            <v>11</v>
          </cell>
          <cell r="O3276">
            <v>391051</v>
          </cell>
          <cell r="P3276"/>
          <cell r="Q3276" t="str">
            <v>EST MESA LATERAL STAN (MARMORE PARANA LOTUS</v>
          </cell>
          <cell r="R3276"/>
          <cell r="S3276"/>
          <cell r="T3276">
            <v>0.4</v>
          </cell>
          <cell r="U3276">
            <v>0</v>
          </cell>
          <cell r="V3276">
            <v>0.6</v>
          </cell>
          <cell r="W3276">
            <v>0.4</v>
          </cell>
          <cell r="X3276" t="str">
            <v>EST MESA LATERAL STAN (MARMORE PARANA LOTUS - Ø0,4x0,6H</v>
          </cell>
          <cell r="Y3276">
            <v>0</v>
          </cell>
          <cell r="Z3276">
            <v>0.5</v>
          </cell>
          <cell r="AA3276">
            <v>0</v>
          </cell>
          <cell r="AB3276"/>
        </row>
        <row r="3277">
          <cell r="C3277">
            <v>0</v>
          </cell>
          <cell r="D3277">
            <v>0</v>
          </cell>
          <cell r="E3277">
            <v>0</v>
          </cell>
          <cell r="F3277">
            <v>0</v>
          </cell>
          <cell r="H3277">
            <v>3</v>
          </cell>
          <cell r="O3277">
            <v>391054</v>
          </cell>
          <cell r="P3277"/>
          <cell r="Q3277" t="str">
            <v>EST MESA LATERAL STAN JR (MARMORE PARANA LOTUS)</v>
          </cell>
          <cell r="R3277"/>
          <cell r="S3277"/>
          <cell r="T3277">
            <v>0.3</v>
          </cell>
          <cell r="U3277">
            <v>0</v>
          </cell>
          <cell r="V3277">
            <v>0.55000000000000004</v>
          </cell>
          <cell r="W3277">
            <v>0.3</v>
          </cell>
          <cell r="X3277" t="str">
            <v>EST MESA LATERAL STAN JR (MARMORE PARANA LOTUS) - Ø0,3x0,55H</v>
          </cell>
          <cell r="Y3277">
            <v>0</v>
          </cell>
          <cell r="Z3277">
            <v>0.5</v>
          </cell>
          <cell r="AA3277">
            <v>0</v>
          </cell>
          <cell r="AB3277"/>
        </row>
        <row r="3278">
          <cell r="C3278">
            <v>0</v>
          </cell>
          <cell r="D3278">
            <v>0</v>
          </cell>
          <cell r="E3278">
            <v>0</v>
          </cell>
          <cell r="F3278">
            <v>0</v>
          </cell>
          <cell r="H3278">
            <v>1</v>
          </cell>
          <cell r="O3278">
            <v>391293</v>
          </cell>
          <cell r="P3278"/>
          <cell r="Q3278" t="str">
            <v>EST POLTRONA STELLA (ALTA) (MAD A NOG) TC EL ANGOLA CARAMEL</v>
          </cell>
          <cell r="R3278"/>
          <cell r="S3278"/>
          <cell r="T3278">
            <v>0.74</v>
          </cell>
          <cell r="U3278">
            <v>0.95</v>
          </cell>
          <cell r="V3278">
            <v>0.87</v>
          </cell>
          <cell r="W3278">
            <v>0</v>
          </cell>
          <cell r="X3278" t="str">
            <v>EST POLTRONA STELLA (ALTA) (MAD A NOG) TC EL ANGOLA CARAMEL - 0,74x0,95x0,87H</v>
          </cell>
          <cell r="Y3278">
            <v>0</v>
          </cell>
          <cell r="Z3278">
            <v>0.5</v>
          </cell>
          <cell r="AA3278">
            <v>0</v>
          </cell>
          <cell r="AB3278"/>
        </row>
        <row r="3279"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H3279">
            <v>1</v>
          </cell>
          <cell r="O3279">
            <v>391294</v>
          </cell>
          <cell r="P3279"/>
          <cell r="Q3279" t="str">
            <v>EST BANQUETA STELLA (MAD A COR NOG) TC EL ANGOLA CARAMEL</v>
          </cell>
          <cell r="R3279"/>
          <cell r="S3279"/>
          <cell r="T3279">
            <v>0.62</v>
          </cell>
          <cell r="U3279">
            <v>0.48</v>
          </cell>
          <cell r="V3279">
            <v>0.39</v>
          </cell>
          <cell r="W3279">
            <v>0</v>
          </cell>
          <cell r="X3279" t="str">
            <v>EST BANQUETA STELLA (MAD A COR NOG) TC EL ANGOLA CARAMEL - 0,62x0,48x0,39H</v>
          </cell>
          <cell r="Y3279">
            <v>0</v>
          </cell>
          <cell r="Z3279">
            <v>0.5</v>
          </cell>
          <cell r="AA3279">
            <v>0</v>
          </cell>
          <cell r="AB3279"/>
        </row>
        <row r="3280">
          <cell r="C3280">
            <v>0</v>
          </cell>
          <cell r="D3280">
            <v>0</v>
          </cell>
          <cell r="E3280">
            <v>0</v>
          </cell>
          <cell r="F3280">
            <v>0</v>
          </cell>
          <cell r="H3280">
            <v>6</v>
          </cell>
          <cell r="O3280">
            <v>391295</v>
          </cell>
          <cell r="P3280"/>
          <cell r="Q3280" t="str">
            <v>EST CADEIRA JOHN GRAZ (IMBUIA) COURO CAMURCA VERMELHO</v>
          </cell>
          <cell r="R3280"/>
          <cell r="S3280"/>
          <cell r="T3280">
            <v>0.48</v>
          </cell>
          <cell r="U3280">
            <v>0.53</v>
          </cell>
          <cell r="V3280">
            <v>0.82</v>
          </cell>
          <cell r="W3280">
            <v>0</v>
          </cell>
          <cell r="X3280" t="str">
            <v>EST CADEIRA JOHN GRAZ (IMBUIA) COURO CAMURCA VERMELHO - 0,48x0,53x0,82H</v>
          </cell>
          <cell r="Y3280">
            <v>0</v>
          </cell>
          <cell r="Z3280">
            <v>0.5</v>
          </cell>
          <cell r="AA3280">
            <v>0</v>
          </cell>
          <cell r="AB3280"/>
        </row>
        <row r="3281"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H3281">
            <v>2</v>
          </cell>
          <cell r="O3281">
            <v>391629</v>
          </cell>
          <cell r="P3281"/>
          <cell r="Q3281" t="str">
            <v>EST TAMPO CRISTAL LAPIDADO (15MM) INCOLOR (CIRCULAR)</v>
          </cell>
          <cell r="R3281"/>
          <cell r="S3281"/>
          <cell r="T3281">
            <v>1.3</v>
          </cell>
          <cell r="U3281">
            <v>0</v>
          </cell>
          <cell r="V3281">
            <v>0.01</v>
          </cell>
          <cell r="W3281">
            <v>1.3</v>
          </cell>
          <cell r="X3281" t="str">
            <v>EST TAMPO CRISTAL LAPIDADO (15MM) INCOLOR (CIRCULAR) - Ø1,3x0,01H</v>
          </cell>
          <cell r="Y3281">
            <v>0</v>
          </cell>
          <cell r="Z3281">
            <v>0.5</v>
          </cell>
          <cell r="AA3281">
            <v>0</v>
          </cell>
          <cell r="AB3281"/>
        </row>
        <row r="3282"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H3282">
            <v>1</v>
          </cell>
          <cell r="O3282">
            <v>391809</v>
          </cell>
          <cell r="P3282"/>
          <cell r="Q3282" t="str">
            <v>EST HOME THOMAS (SUCUPIRA)</v>
          </cell>
          <cell r="R3282"/>
          <cell r="S3282"/>
          <cell r="T3282">
            <v>2.7</v>
          </cell>
          <cell r="U3282">
            <v>0.45</v>
          </cell>
          <cell r="V3282">
            <v>0.63</v>
          </cell>
          <cell r="W3282">
            <v>0</v>
          </cell>
          <cell r="X3282" t="str">
            <v>EST HOME THOMAS (SUCUPIRA) - 2,7x0,45x0,63H</v>
          </cell>
          <cell r="Y3282">
            <v>0</v>
          </cell>
          <cell r="Z3282">
            <v>0.5</v>
          </cell>
          <cell r="AA3282">
            <v>0</v>
          </cell>
          <cell r="AB3282"/>
        </row>
        <row r="3283"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H3283">
            <v>6</v>
          </cell>
          <cell r="O3283">
            <v>395032</v>
          </cell>
          <cell r="P3283"/>
          <cell r="Q3283" t="str">
            <v>EST CADEIRA OMAR C/B BXO (MAD B FREIJO NT) CAMURCA CASTANHO</v>
          </cell>
          <cell r="R3283"/>
          <cell r="S3283"/>
          <cell r="T3283">
            <v>0.55000000000000004</v>
          </cell>
          <cell r="U3283">
            <v>0.55000000000000004</v>
          </cell>
          <cell r="V3283">
            <v>0.83</v>
          </cell>
          <cell r="W3283">
            <v>0</v>
          </cell>
          <cell r="X3283" t="str">
            <v>EST CADEIRA OMAR C/B BXO (MAD B FREIJO NT) CAMURCA CASTANHO - 0,55x0,55x0,83H</v>
          </cell>
          <cell r="Y3283">
            <v>0</v>
          </cell>
          <cell r="Z3283">
            <v>0.5</v>
          </cell>
          <cell r="AA3283">
            <v>0</v>
          </cell>
          <cell r="AB3283"/>
        </row>
        <row r="3284"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H3284">
            <v>1</v>
          </cell>
          <cell r="O3284">
            <v>395058</v>
          </cell>
          <cell r="P3284"/>
          <cell r="Q3284" t="str">
            <v>EST SOFA OLIVO (ACO PT) TC EL MONA RD WINE/TC STAUNCH AZALEA</v>
          </cell>
          <cell r="R3284"/>
          <cell r="S3284"/>
          <cell r="T3284">
            <v>2.4500000000000002</v>
          </cell>
          <cell r="U3284">
            <v>0.84</v>
          </cell>
          <cell r="V3284">
            <v>0.7</v>
          </cell>
          <cell r="W3284">
            <v>0</v>
          </cell>
          <cell r="X3284" t="str">
            <v>EST SOFA OLIVO (ACO PT) TC EL MONA RD WINE/TC STAUNCH AZALEA - 2,45x0,84x0,7H</v>
          </cell>
          <cell r="Y3284">
            <v>0</v>
          </cell>
          <cell r="Z3284">
            <v>0.5</v>
          </cell>
          <cell r="AA3284">
            <v>0</v>
          </cell>
          <cell r="AB3284"/>
        </row>
        <row r="3285"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H3285">
            <v>1</v>
          </cell>
          <cell r="O3285">
            <v>395070</v>
          </cell>
          <cell r="P3285"/>
          <cell r="Q3285" t="str">
            <v>EST HOME LINDO (SEM NICHO) SAYERLACK N027/PTO MTZ FSC</v>
          </cell>
          <cell r="R3285"/>
          <cell r="S3285"/>
          <cell r="T3285">
            <v>2.6</v>
          </cell>
          <cell r="U3285">
            <v>0.49</v>
          </cell>
          <cell r="V3285">
            <v>0.6</v>
          </cell>
          <cell r="W3285">
            <v>0</v>
          </cell>
          <cell r="X3285" t="str">
            <v>EST HOME LINDO (SEM NICHO) SAYERLACK N027/PTO MTZ FSC - 2,6x0,49x0,6H</v>
          </cell>
          <cell r="Y3285">
            <v>0</v>
          </cell>
          <cell r="Z3285">
            <v>0.5</v>
          </cell>
          <cell r="AA3285">
            <v>0</v>
          </cell>
          <cell r="AB3285"/>
        </row>
        <row r="3286"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H3286">
            <v>8</v>
          </cell>
          <cell r="O3286">
            <v>395072</v>
          </cell>
          <cell r="P3286"/>
          <cell r="Q3286" t="str">
            <v>EST CADEIRA OMAR C/B BXO (MAD A JEQ TABACO) COURO IMPORT 69</v>
          </cell>
          <cell r="R3286"/>
          <cell r="S3286"/>
          <cell r="T3286">
            <v>0.55000000000000004</v>
          </cell>
          <cell r="U3286">
            <v>0.55000000000000004</v>
          </cell>
          <cell r="V3286">
            <v>0.83</v>
          </cell>
          <cell r="W3286">
            <v>0</v>
          </cell>
          <cell r="X3286" t="str">
            <v>EST CADEIRA OMAR C/B BXO (MAD A JEQ TABACO) COURO IMPORT 69 - 0,55x0,55x0,83H</v>
          </cell>
          <cell r="Y3286">
            <v>0</v>
          </cell>
          <cell r="Z3286">
            <v>0.5</v>
          </cell>
          <cell r="AA3286">
            <v>0</v>
          </cell>
          <cell r="AB3286"/>
        </row>
        <row r="3287"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H3287">
            <v>1</v>
          </cell>
          <cell r="O3287">
            <v>398519</v>
          </cell>
          <cell r="P3287"/>
          <cell r="Q3287" t="str">
            <v>EST MESA JANTAR FIO (MADEIRA CANELA ESCURA)</v>
          </cell>
          <cell r="R3287"/>
          <cell r="S3287"/>
          <cell r="T3287">
            <v>3</v>
          </cell>
          <cell r="U3287">
            <v>1.2</v>
          </cell>
          <cell r="V3287">
            <v>0.74</v>
          </cell>
          <cell r="W3287">
            <v>0</v>
          </cell>
          <cell r="X3287" t="str">
            <v>EST MESA JANTAR FIO (MADEIRA CANELA ESCURA) - 3x1,2x0,74H</v>
          </cell>
          <cell r="Y3287">
            <v>0</v>
          </cell>
          <cell r="Z3287">
            <v>0.5</v>
          </cell>
          <cell r="AA3287">
            <v>0</v>
          </cell>
          <cell r="AB3287"/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H3288">
            <v>2</v>
          </cell>
          <cell r="O3288">
            <v>399047</v>
          </cell>
          <cell r="P3288"/>
          <cell r="Q3288" t="str">
            <v>EST PUFF AIR II TC VILLA OLMO NATURAL</v>
          </cell>
          <cell r="R3288"/>
          <cell r="S3288"/>
          <cell r="T3288">
            <v>0.9</v>
          </cell>
          <cell r="U3288">
            <v>0.9</v>
          </cell>
          <cell r="V3288">
            <v>0.4</v>
          </cell>
          <cell r="W3288">
            <v>0</v>
          </cell>
          <cell r="X3288" t="str">
            <v>EST PUFF AIR II TC VILLA OLMO NATURAL - 0,9x0,9x0,4H</v>
          </cell>
          <cell r="Y3288">
            <v>0</v>
          </cell>
          <cell r="Z3288">
            <v>0.5</v>
          </cell>
          <cell r="AA3288">
            <v>0</v>
          </cell>
          <cell r="AB3288"/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0</v>
          </cell>
          <cell r="H3289">
            <v>1</v>
          </cell>
          <cell r="O3289">
            <v>399201</v>
          </cell>
          <cell r="P3289" t="str">
            <v>2025/021-0046-01</v>
          </cell>
          <cell r="Q3289" t="str">
            <v>EST COMPONENTE ALMOFADAO POLTRONA MOLECA COURO IMPORT 300</v>
          </cell>
          <cell r="R3289"/>
          <cell r="S3289"/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 t="str">
            <v>EST COMPONENTE ALMOFADAO POLTRONA MOLECA COURO IMPORT 300 - Ø0x0H</v>
          </cell>
          <cell r="Y3289">
            <v>0</v>
          </cell>
          <cell r="Z3289">
            <v>0.35</v>
          </cell>
          <cell r="AA3289">
            <v>0</v>
          </cell>
          <cell r="AB3289"/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H3290">
            <v>1</v>
          </cell>
          <cell r="O3290">
            <v>399202</v>
          </cell>
          <cell r="P3290" t="str">
            <v>2025/021-0047-01</v>
          </cell>
          <cell r="Q3290" t="str">
            <v>EST COMPONENTE ALMOFADAO BANQUETA MOLECA COURO IMPORT 300</v>
          </cell>
          <cell r="R3290"/>
          <cell r="S3290"/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 t="str">
            <v>EST COMPONENTE ALMOFADAO BANQUETA MOLECA COURO IMPORT 300 - Ø0x0H</v>
          </cell>
          <cell r="Y3290">
            <v>0</v>
          </cell>
          <cell r="Z3290">
            <v>0.35</v>
          </cell>
          <cell r="AA3290">
            <v>0</v>
          </cell>
          <cell r="AB3290"/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H3291">
            <v>0</v>
          </cell>
          <cell r="O3291">
            <v>399257</v>
          </cell>
          <cell r="P3291"/>
          <cell r="Q3291" t="str">
            <v>EST POLTRONA CARMEL (FREIJO NT) COURO IMPORT 69/LONA CRU</v>
          </cell>
          <cell r="R3291"/>
          <cell r="S3291"/>
          <cell r="T3291">
            <v>1.1000000000000001</v>
          </cell>
          <cell r="U3291">
            <v>0.86</v>
          </cell>
          <cell r="V3291">
            <v>1.05</v>
          </cell>
          <cell r="W3291">
            <v>0</v>
          </cell>
          <cell r="X3291" t="str">
            <v>EST POLTRONA CARMEL (FREIJO NT) COURO IMPORT 69/LONA CRU - 1,1x0,86x1,05H</v>
          </cell>
          <cell r="Y3291">
            <v>0</v>
          </cell>
          <cell r="Z3291">
            <v>0.5</v>
          </cell>
          <cell r="AA3291">
            <v>0</v>
          </cell>
          <cell r="AB3291"/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0</v>
          </cell>
          <cell r="H3292">
            <v>0</v>
          </cell>
          <cell r="O3292">
            <v>399339</v>
          </cell>
          <cell r="P3292"/>
          <cell r="Q3292" t="str">
            <v>EST MESA CENTRO JOHN GRAZ (LC FSC VERMELHA) (BRANCO PARANA)</v>
          </cell>
          <cell r="R3292"/>
          <cell r="S3292"/>
          <cell r="T3292">
            <v>1.7</v>
          </cell>
          <cell r="U3292">
            <v>0.77</v>
          </cell>
          <cell r="V3292">
            <v>0.32</v>
          </cell>
          <cell r="W3292">
            <v>0</v>
          </cell>
          <cell r="X3292" t="str">
            <v>EST MESA CENTRO JOHN GRAZ (LC FSC VERMELHA) (BRANCO PARANA) - 1,7x0,77x0,32H</v>
          </cell>
          <cell r="Y3292">
            <v>0</v>
          </cell>
          <cell r="Z3292">
            <v>0.5</v>
          </cell>
          <cell r="AA3292">
            <v>0</v>
          </cell>
          <cell r="AB3292"/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0</v>
          </cell>
          <cell r="H3293">
            <v>0</v>
          </cell>
          <cell r="O3293">
            <v>399424</v>
          </cell>
          <cell r="P3293"/>
          <cell r="Q3293" t="str">
            <v>EST POLTRONA JG (MAD A JEQ 03) (TELA SEXTAVADA NATURAL)</v>
          </cell>
          <cell r="R3293"/>
          <cell r="S3293"/>
          <cell r="T3293">
            <v>0.54</v>
          </cell>
          <cell r="U3293">
            <v>0.57999999999999996</v>
          </cell>
          <cell r="V3293">
            <v>0.7</v>
          </cell>
          <cell r="W3293">
            <v>0</v>
          </cell>
          <cell r="X3293" t="str">
            <v>EST POLTRONA JG (MAD A JEQ 03) (TELA SEXTAVADA NATURAL) - 0,54x0,58x0,7H</v>
          </cell>
          <cell r="Y3293">
            <v>0</v>
          </cell>
          <cell r="Z3293">
            <v>0.5</v>
          </cell>
          <cell r="AA3293">
            <v>0</v>
          </cell>
          <cell r="AB3293"/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H3294">
            <v>1</v>
          </cell>
          <cell r="O3294">
            <v>400386</v>
          </cell>
          <cell r="P3294"/>
          <cell r="Q3294" t="str">
            <v>EST POLTRONA MOLECA (MAD A COR 02) COURO CAMURCA TABACO</v>
          </cell>
          <cell r="R3294"/>
          <cell r="S3294"/>
          <cell r="T3294">
            <v>1.06</v>
          </cell>
          <cell r="U3294">
            <v>0.9</v>
          </cell>
          <cell r="V3294">
            <v>0.8</v>
          </cell>
          <cell r="W3294">
            <v>0</v>
          </cell>
          <cell r="X3294" t="str">
            <v>EST POLTRONA MOLECA (MAD A COR 02) COURO CAMURCA TABACO - 1,06x0,9x0,8H</v>
          </cell>
          <cell r="Y3294">
            <v>0</v>
          </cell>
          <cell r="Z3294">
            <v>0.35</v>
          </cell>
          <cell r="AA3294">
            <v>0</v>
          </cell>
          <cell r="AB3294"/>
        </row>
        <row r="3295">
          <cell r="C3295">
            <v>0</v>
          </cell>
          <cell r="D3295">
            <v>0</v>
          </cell>
          <cell r="E3295">
            <v>0</v>
          </cell>
          <cell r="F3295">
            <v>0</v>
          </cell>
          <cell r="H3295">
            <v>2</v>
          </cell>
          <cell r="O3295">
            <v>400486</v>
          </cell>
          <cell r="P3295" t="str">
            <v>2025/015-0001-01</v>
          </cell>
          <cell r="Q3295" t="str">
            <v>EST POLTRONA DIZ (ESTOF S/FURO) (MAD A COR 2) COURO CH 05</v>
          </cell>
          <cell r="R3295"/>
          <cell r="S3295"/>
          <cell r="T3295">
            <v>0.78</v>
          </cell>
          <cell r="U3295">
            <v>0.89</v>
          </cell>
          <cell r="V3295">
            <v>0.71</v>
          </cell>
          <cell r="W3295">
            <v>0</v>
          </cell>
          <cell r="X3295" t="str">
            <v>EST POLTRONA DIZ (ESTOF S/FURO) (MAD A COR 2) COURO CH 05 - 0,78x0,89x0,71H</v>
          </cell>
          <cell r="Y3295">
            <v>0</v>
          </cell>
          <cell r="Z3295">
            <v>0.35</v>
          </cell>
          <cell r="AA3295">
            <v>0</v>
          </cell>
          <cell r="AB3295"/>
        </row>
        <row r="3296"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H3296">
            <v>2</v>
          </cell>
          <cell r="O3296">
            <v>400486</v>
          </cell>
          <cell r="P3296" t="str">
            <v>2025/015-0002-01</v>
          </cell>
          <cell r="Q3296" t="str">
            <v>EST POLTRONA DIZ (ESTOF S/FURO) (MAD A COR 2) COURO CH 05</v>
          </cell>
          <cell r="R3296"/>
          <cell r="S3296"/>
          <cell r="T3296">
            <v>0.78</v>
          </cell>
          <cell r="U3296">
            <v>0.89</v>
          </cell>
          <cell r="V3296">
            <v>0.71</v>
          </cell>
          <cell r="W3296">
            <v>0</v>
          </cell>
          <cell r="X3296" t="str">
            <v>EST POLTRONA DIZ (ESTOF S/FURO) (MAD A COR 2) COURO CH 05 - 0,78x0,89x0,71H</v>
          </cell>
          <cell r="Y3296">
            <v>0</v>
          </cell>
          <cell r="Z3296">
            <v>0.35</v>
          </cell>
          <cell r="AA3296">
            <v>0</v>
          </cell>
          <cell r="AB3296"/>
        </row>
        <row r="3297"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H3297">
            <v>0</v>
          </cell>
          <cell r="O3297">
            <v>402213</v>
          </cell>
          <cell r="P3297" t="str">
            <v>2025/072-0056-01</v>
          </cell>
          <cell r="Q3297" t="str">
            <v>EST SOFA COZY (C/CP) (IMB) (BIP) TC LINHO GALLIA NATURAL</v>
          </cell>
          <cell r="R3297"/>
          <cell r="S3297"/>
          <cell r="T3297">
            <v>3</v>
          </cell>
          <cell r="U3297">
            <v>1.03</v>
          </cell>
          <cell r="V3297">
            <v>0.89</v>
          </cell>
          <cell r="W3297">
            <v>0</v>
          </cell>
          <cell r="X3297" t="str">
            <v>EST SOFA COZY (C/CP) (IMB) (BIP) TC LINHO GALLIA NATURAL - 3x1,03x0,89H</v>
          </cell>
          <cell r="Y3297">
            <v>31556.49</v>
          </cell>
          <cell r="Z3297">
            <v>0.35</v>
          </cell>
          <cell r="AA3297">
            <v>20511.718500000003</v>
          </cell>
          <cell r="AB3297"/>
        </row>
        <row r="3298"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H3298">
            <v>0</v>
          </cell>
          <cell r="O3298">
            <v>402213</v>
          </cell>
          <cell r="P3298" t="str">
            <v>2025/084-0106-01</v>
          </cell>
          <cell r="Q3298" t="str">
            <v>EST SOFA COZY (C/CP) (IMB) (BIP) TC LINHO GALLIA NATURAL</v>
          </cell>
          <cell r="R3298"/>
          <cell r="S3298"/>
          <cell r="T3298">
            <v>3</v>
          </cell>
          <cell r="U3298">
            <v>1.03</v>
          </cell>
          <cell r="V3298">
            <v>0.89</v>
          </cell>
          <cell r="W3298">
            <v>0</v>
          </cell>
          <cell r="X3298" t="str">
            <v>EST SOFA COZY (C/CP) (IMB) (BIP) TC LINHO GALLIA NATURAL - 3x1,03x0,89H</v>
          </cell>
          <cell r="Y3298">
            <v>31556.49</v>
          </cell>
          <cell r="Z3298">
            <v>0.35</v>
          </cell>
          <cell r="AA3298">
            <v>20511.718500000003</v>
          </cell>
          <cell r="AB3298"/>
        </row>
        <row r="3299"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H3299">
            <v>1</v>
          </cell>
          <cell r="O3299">
            <v>402438</v>
          </cell>
          <cell r="P3299"/>
          <cell r="Q3299" t="str">
            <v>EST POLTRONA POLTRONINHA (L.COSTA) (IMBUIA) COURO IMPORT300</v>
          </cell>
          <cell r="R3299"/>
          <cell r="S3299"/>
          <cell r="T3299">
            <v>0.71</v>
          </cell>
          <cell r="U3299">
            <v>0.65</v>
          </cell>
          <cell r="V3299">
            <v>0.71</v>
          </cell>
          <cell r="W3299">
            <v>0</v>
          </cell>
          <cell r="X3299" t="str">
            <v>EST POLTRONA POLTRONINHA (L.COSTA) (IMBUIA) COURO IMPORT300 - 0,71x0,65x0,71H</v>
          </cell>
          <cell r="Y3299" t="e">
            <v>#VALUE!</v>
          </cell>
          <cell r="Z3299">
            <v>0.35</v>
          </cell>
          <cell r="AA3299" t="e">
            <v>#VALUE!</v>
          </cell>
          <cell r="AB3299"/>
        </row>
        <row r="3300"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H3300">
            <v>1</v>
          </cell>
          <cell r="O3300">
            <v>402500</v>
          </cell>
          <cell r="P3300"/>
          <cell r="Q3300" t="str">
            <v>EST POLTRONA POLTRONINHA (L.COSTA) (IMBUIA) COURO CH ENV 21</v>
          </cell>
          <cell r="R3300"/>
          <cell r="S3300"/>
          <cell r="T3300">
            <v>0.71</v>
          </cell>
          <cell r="U3300">
            <v>0.65</v>
          </cell>
          <cell r="V3300">
            <v>0.71</v>
          </cell>
          <cell r="W3300">
            <v>0</v>
          </cell>
          <cell r="X3300" t="str">
            <v>EST POLTRONA POLTRONINHA (L.COSTA) (IMBUIA) COURO CH ENV 21 - 0,71x0,65x0,71H</v>
          </cell>
          <cell r="Y3300" t="e">
            <v>#VALUE!</v>
          </cell>
          <cell r="Z3300">
            <v>0.35</v>
          </cell>
          <cell r="AA3300" t="e">
            <v>#VALUE!</v>
          </cell>
          <cell r="AB3300"/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0</v>
          </cell>
          <cell r="H3301">
            <v>1</v>
          </cell>
          <cell r="O3301">
            <v>402581</v>
          </cell>
          <cell r="P3301"/>
          <cell r="Q3301" t="str">
            <v>EST PUFF COZY (C/CAPA) (IMBUIA) TC LINHO 409 MOSTARDA</v>
          </cell>
          <cell r="R3301"/>
          <cell r="S3301"/>
          <cell r="T3301">
            <v>0.9</v>
          </cell>
          <cell r="U3301">
            <v>0.6</v>
          </cell>
          <cell r="V3301">
            <v>0.52</v>
          </cell>
          <cell r="W3301">
            <v>0</v>
          </cell>
          <cell r="X3301" t="str">
            <v>EST PUFF COZY (C/CAPA) (IMBUIA) TC LINHO 409 MOSTARDA - 0,9x0,6x0,52H</v>
          </cell>
          <cell r="Y3301" t="e">
            <v>#VALUE!</v>
          </cell>
          <cell r="Z3301">
            <v>0.35</v>
          </cell>
          <cell r="AA3301" t="e">
            <v>#VALUE!</v>
          </cell>
          <cell r="AB3301"/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0</v>
          </cell>
          <cell r="H3302">
            <v>1</v>
          </cell>
          <cell r="O3302">
            <v>406179</v>
          </cell>
          <cell r="P3302"/>
          <cell r="Q3302" t="str">
            <v>EST ESTANTE GB 02 (DUPLA) (PINHO DEMOLICAO)</v>
          </cell>
          <cell r="R3302"/>
          <cell r="S3302"/>
          <cell r="T3302">
            <v>3</v>
          </cell>
          <cell r="U3302">
            <v>0.45</v>
          </cell>
          <cell r="V3302">
            <v>2.15</v>
          </cell>
          <cell r="W3302">
            <v>0</v>
          </cell>
          <cell r="X3302" t="str">
            <v>EST ESTANTE GB 02 (DUPLA) (PINHO DEMOLICAO) - 3x0,45x2,15H</v>
          </cell>
          <cell r="Y3302" t="e">
            <v>#VALUE!</v>
          </cell>
          <cell r="Z3302">
            <v>0.35</v>
          </cell>
          <cell r="AA3302" t="e">
            <v>#VALUE!</v>
          </cell>
          <cell r="AB3302"/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H3303">
            <v>0</v>
          </cell>
          <cell r="O3303">
            <v>62690</v>
          </cell>
          <cell r="P3303"/>
          <cell r="Q3303" t="str">
            <v>EST ML FINN 50X32X48 RESINA DE POLIESTER PRETO</v>
          </cell>
          <cell r="R3303"/>
          <cell r="S3303"/>
          <cell r="T3303">
            <v>0</v>
          </cell>
          <cell r="U3303">
            <v>0</v>
          </cell>
          <cell r="V3303">
            <v>0</v>
          </cell>
          <cell r="W3303">
            <v>0</v>
          </cell>
          <cell r="X3303" t="str">
            <v>EST ML FINN 50X32X48 RESINA DE POLIESTER PRETO - Ø0x0H</v>
          </cell>
          <cell r="Y3303">
            <v>0</v>
          </cell>
          <cell r="Z3303">
            <v>0</v>
          </cell>
          <cell r="AA3303">
            <v>0</v>
          </cell>
          <cell r="AB3303"/>
        </row>
        <row r="3304">
          <cell r="C3304" t="e">
            <v>#N/A</v>
          </cell>
          <cell r="D3304" t="e">
            <v>#N/A</v>
          </cell>
          <cell r="E3304" t="e">
            <v>#N/A</v>
          </cell>
          <cell r="F3304" t="e">
            <v>#N/A</v>
          </cell>
          <cell r="H3304" t="e">
            <v>#N/A</v>
          </cell>
          <cell r="O3304">
            <v>62714</v>
          </cell>
          <cell r="P3304"/>
          <cell r="Q3304" t="e">
            <v>#N/A</v>
          </cell>
          <cell r="R3304"/>
          <cell r="S3304"/>
          <cell r="T3304" t="e">
            <v>#N/A</v>
          </cell>
          <cell r="U3304" t="e">
            <v>#N/A</v>
          </cell>
          <cell r="V3304" t="e">
            <v>#N/A</v>
          </cell>
          <cell r="W3304" t="e">
            <v>#N/A</v>
          </cell>
          <cell r="X3304" t="e">
            <v>#N/A</v>
          </cell>
          <cell r="Y3304">
            <v>0</v>
          </cell>
          <cell r="Z3304">
            <v>0</v>
          </cell>
          <cell r="AA3304">
            <v>0</v>
          </cell>
          <cell r="AB3304"/>
        </row>
        <row r="3305">
          <cell r="C3305" t="e">
            <v>#N/A</v>
          </cell>
          <cell r="D3305" t="e">
            <v>#N/A</v>
          </cell>
          <cell r="E3305" t="e">
            <v>#N/A</v>
          </cell>
          <cell r="F3305" t="e">
            <v>#N/A</v>
          </cell>
          <cell r="H3305" t="e">
            <v>#N/A</v>
          </cell>
          <cell r="O3305">
            <v>62715</v>
          </cell>
          <cell r="P3305"/>
          <cell r="Q3305" t="e">
            <v>#N/A</v>
          </cell>
          <cell r="R3305"/>
          <cell r="S3305"/>
          <cell r="T3305" t="e">
            <v>#N/A</v>
          </cell>
          <cell r="U3305" t="e">
            <v>#N/A</v>
          </cell>
          <cell r="V3305" t="e">
            <v>#N/A</v>
          </cell>
          <cell r="W3305" t="e">
            <v>#N/A</v>
          </cell>
          <cell r="X3305" t="e">
            <v>#N/A</v>
          </cell>
          <cell r="Y3305">
            <v>0</v>
          </cell>
          <cell r="Z3305">
            <v>0</v>
          </cell>
          <cell r="AA3305">
            <v>0</v>
          </cell>
          <cell r="AB3305"/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0</v>
          </cell>
          <cell r="H3306">
            <v>1</v>
          </cell>
          <cell r="O3306">
            <v>63081</v>
          </cell>
          <cell r="P3306"/>
          <cell r="Q3306" t="str">
            <v>EST BANCO ZANINE X (EBANIZADO) TC SINTETICO PRETO</v>
          </cell>
          <cell r="R3306"/>
          <cell r="S3306"/>
          <cell r="T3306">
            <v>0.46</v>
          </cell>
          <cell r="U3306">
            <v>0.46</v>
          </cell>
          <cell r="V3306">
            <v>0.45</v>
          </cell>
          <cell r="W3306">
            <v>0</v>
          </cell>
          <cell r="X3306" t="str">
            <v>EST BANCO ZANINE X (EBANIZADO) TC SINTETICO PRETO - 0,46x0,46x0,45H</v>
          </cell>
          <cell r="Y3306">
            <v>0</v>
          </cell>
          <cell r="Z3306">
            <v>0</v>
          </cell>
          <cell r="AA3306">
            <v>0</v>
          </cell>
          <cell r="AB3306"/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0</v>
          </cell>
          <cell r="H3307">
            <v>10</v>
          </cell>
          <cell r="O3307">
            <v>63189</v>
          </cell>
          <cell r="P3307"/>
          <cell r="Q3307" t="str">
            <v>EST CADEIRA IPANEMA C/BRACO (DEMOLICAO)</v>
          </cell>
          <cell r="R3307"/>
          <cell r="S3307"/>
          <cell r="T3307">
            <v>0.57999999999999996</v>
          </cell>
          <cell r="U3307">
            <v>0.48</v>
          </cell>
          <cell r="V3307">
            <v>0.8</v>
          </cell>
          <cell r="W3307">
            <v>0</v>
          </cell>
          <cell r="X3307" t="str">
            <v>EST CADEIRA IPANEMA C/BRACO (DEMOLICAO) - 0,58x0,48x0,8H</v>
          </cell>
          <cell r="Y3307">
            <v>0</v>
          </cell>
          <cell r="Z3307">
            <v>0</v>
          </cell>
          <cell r="AA3307">
            <v>0</v>
          </cell>
          <cell r="AB3307"/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0</v>
          </cell>
          <cell r="H3308">
            <v>1</v>
          </cell>
          <cell r="O3308">
            <v>63190</v>
          </cell>
          <cell r="P3308"/>
          <cell r="Q3308" t="str">
            <v>EST CADEIRA IPANEMA C/BRACO (LACA NEGRA GLOSS)</v>
          </cell>
          <cell r="R3308"/>
          <cell r="S3308"/>
          <cell r="T3308">
            <v>0.57999999999999996</v>
          </cell>
          <cell r="U3308">
            <v>0.48</v>
          </cell>
          <cell r="V3308">
            <v>0.8</v>
          </cell>
          <cell r="W3308">
            <v>0</v>
          </cell>
          <cell r="X3308" t="str">
            <v>EST CADEIRA IPANEMA C/BRACO (LACA NEGRA GLOSS) - 0,58x0,48x0,8H</v>
          </cell>
          <cell r="Y3308">
            <v>0</v>
          </cell>
          <cell r="Z3308">
            <v>0</v>
          </cell>
          <cell r="AA3308">
            <v>0</v>
          </cell>
          <cell r="AB3308"/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H3309">
            <v>2</v>
          </cell>
          <cell r="O3309">
            <v>63191</v>
          </cell>
          <cell r="P3309"/>
          <cell r="Q3309" t="str">
            <v>EST CADEIRA IPANEMA C/BRACO (LACA PRETA)</v>
          </cell>
          <cell r="R3309"/>
          <cell r="S3309"/>
          <cell r="T3309">
            <v>0.57999999999999996</v>
          </cell>
          <cell r="U3309">
            <v>0.48</v>
          </cell>
          <cell r="V3309">
            <v>0.8</v>
          </cell>
          <cell r="W3309">
            <v>0</v>
          </cell>
          <cell r="X3309" t="str">
            <v>EST CADEIRA IPANEMA C/BRACO (LACA PRETA) - 0,58x0,48x0,8H</v>
          </cell>
          <cell r="Y3309">
            <v>0</v>
          </cell>
          <cell r="Z3309">
            <v>0</v>
          </cell>
          <cell r="AA3309">
            <v>0</v>
          </cell>
          <cell r="AB3309"/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H3310">
            <v>1</v>
          </cell>
          <cell r="O3310">
            <v>63192</v>
          </cell>
          <cell r="P3310"/>
          <cell r="Q3310" t="str">
            <v>EST CADEIRA IPANEMA C/BRACO (LYPTUS) (ASSENTO PIQUI)</v>
          </cell>
          <cell r="R3310"/>
          <cell r="S3310"/>
          <cell r="T3310">
            <v>0.57999999999999996</v>
          </cell>
          <cell r="U3310">
            <v>0.48</v>
          </cell>
          <cell r="V3310">
            <v>0.8</v>
          </cell>
          <cell r="W3310">
            <v>0</v>
          </cell>
          <cell r="X3310" t="str">
            <v>EST CADEIRA IPANEMA C/BRACO (LYPTUS) (ASSENTO PIQUI) - 0,58x0,48x0,8H</v>
          </cell>
          <cell r="Y3310">
            <v>0</v>
          </cell>
          <cell r="Z3310">
            <v>0</v>
          </cell>
          <cell r="AA3310">
            <v>0</v>
          </cell>
          <cell r="AB3310"/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63196</v>
          </cell>
          <cell r="P3311"/>
          <cell r="Q3311" t="str">
            <v>EST CADEIRA JAZZY (PAU VIOLETA)</v>
          </cell>
          <cell r="R3311"/>
          <cell r="S3311"/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 t="str">
            <v>EST CADEIRA JAZZY (PAU VIOLETA) - Ø0x0H</v>
          </cell>
          <cell r="Y3311">
            <v>0</v>
          </cell>
          <cell r="Z3311">
            <v>0</v>
          </cell>
          <cell r="AA3311">
            <v>0</v>
          </cell>
          <cell r="AB3311"/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0</v>
          </cell>
          <cell r="H3312">
            <v>1</v>
          </cell>
          <cell r="O3312">
            <v>63313</v>
          </cell>
          <cell r="P3312"/>
          <cell r="Q3312" t="str">
            <v>EST MESA LATERAL ESPECIAL (TAUARI COR 02)</v>
          </cell>
          <cell r="R3312"/>
          <cell r="S3312"/>
          <cell r="T3312">
            <v>0.85</v>
          </cell>
          <cell r="U3312">
            <v>0.85</v>
          </cell>
          <cell r="V3312">
            <v>0.75</v>
          </cell>
          <cell r="W3312">
            <v>0</v>
          </cell>
          <cell r="X3312" t="str">
            <v>EST MESA LATERAL ESPECIAL (TAUARI COR 02) - 0,85x0,85x0,75H</v>
          </cell>
          <cell r="Y3312">
            <v>0</v>
          </cell>
          <cell r="Z3312">
            <v>0</v>
          </cell>
          <cell r="AA3312">
            <v>0</v>
          </cell>
          <cell r="AB3312"/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0</v>
          </cell>
          <cell r="H3313">
            <v>1</v>
          </cell>
          <cell r="O3313">
            <v>63363</v>
          </cell>
          <cell r="P3313"/>
          <cell r="Q3313" t="str">
            <v>EST POLTRONA FENDA REDONDA (INOX) (PVC EXPANDIDO BRANCO)</v>
          </cell>
          <cell r="R3313"/>
          <cell r="S3313"/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 t="str">
            <v>EST POLTRONA FENDA REDONDA (INOX) (PVC EXPANDIDO BRANCO) - Ø0x0H</v>
          </cell>
          <cell r="Y3313">
            <v>0</v>
          </cell>
          <cell r="Z3313">
            <v>0</v>
          </cell>
          <cell r="AA3313">
            <v>0</v>
          </cell>
          <cell r="AB3313"/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0</v>
          </cell>
          <cell r="H3314">
            <v>1</v>
          </cell>
          <cell r="O3314">
            <v>63394</v>
          </cell>
          <cell r="P3314"/>
          <cell r="Q3314" t="str">
            <v>EST POLTRONA ZANINE BUM TC LONA LISTRA</v>
          </cell>
          <cell r="R3314"/>
          <cell r="S3314"/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 t="str">
            <v>EST POLTRONA ZANINE BUM TC LONA LISTRA - Ø0x0H</v>
          </cell>
          <cell r="Y3314">
            <v>0</v>
          </cell>
          <cell r="Z3314">
            <v>0</v>
          </cell>
          <cell r="AA3314">
            <v>0</v>
          </cell>
          <cell r="AB3314"/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0</v>
          </cell>
          <cell r="H3315">
            <v>1</v>
          </cell>
          <cell r="O3315">
            <v>88011</v>
          </cell>
          <cell r="P3315"/>
          <cell r="Q3315" t="str">
            <v>EST POLTRONA 6X6 (LACA ROSA S138) TC LISTRA</v>
          </cell>
          <cell r="R3315"/>
          <cell r="S3315"/>
          <cell r="T3315">
            <v>1.02</v>
          </cell>
          <cell r="U3315">
            <v>0.75</v>
          </cell>
          <cell r="V3315">
            <v>0.72</v>
          </cell>
          <cell r="W3315">
            <v>0</v>
          </cell>
          <cell r="X3315" t="str">
            <v>EST POLTRONA 6X6 (LACA ROSA S138) TC LISTRA - 1,02x0,75x0,72H</v>
          </cell>
          <cell r="Y3315" t="str">
            <v>EST</v>
          </cell>
          <cell r="Z3315">
            <v>0</v>
          </cell>
          <cell r="AA3315" t="e">
            <v>#VALUE!</v>
          </cell>
          <cell r="AB3315"/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H3316">
            <v>0</v>
          </cell>
          <cell r="O3316">
            <v>91338</v>
          </cell>
          <cell r="P3316"/>
          <cell r="Q3316" t="str">
            <v>EST CADEIRA AC (INOX) (PRETO)</v>
          </cell>
          <cell r="R3316"/>
          <cell r="S3316"/>
          <cell r="T3316">
            <v>0.48</v>
          </cell>
          <cell r="U3316">
            <v>0.54</v>
          </cell>
          <cell r="V3316">
            <v>0.87</v>
          </cell>
          <cell r="W3316">
            <v>0</v>
          </cell>
          <cell r="X3316" t="str">
            <v>EST CADEIRA AC (INOX) (PRETO) - 0,48x0,54x0,87H</v>
          </cell>
          <cell r="Y3316">
            <v>0</v>
          </cell>
          <cell r="Z3316">
            <v>0</v>
          </cell>
          <cell r="AA3316">
            <v>0</v>
          </cell>
          <cell r="AB3316"/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H3317">
            <v>1</v>
          </cell>
          <cell r="O3317">
            <v>93977</v>
          </cell>
          <cell r="P3317"/>
          <cell r="Q3317" t="str">
            <v>EST POLTRONA ATHOS (LACA K157) TC SEDA OURO</v>
          </cell>
          <cell r="R3317"/>
          <cell r="S3317"/>
          <cell r="T3317">
            <v>0.6</v>
          </cell>
          <cell r="U3317">
            <v>0.8</v>
          </cell>
          <cell r="V3317">
            <v>0.8</v>
          </cell>
          <cell r="W3317">
            <v>0</v>
          </cell>
          <cell r="X3317" t="str">
            <v>EST POLTRONA ATHOS (LACA K157) TC SEDA OURO - 0,6x0,8x0,8H</v>
          </cell>
          <cell r="Y3317">
            <v>0</v>
          </cell>
          <cell r="Z3317">
            <v>0</v>
          </cell>
          <cell r="AA3317">
            <v>0</v>
          </cell>
          <cell r="AB3317"/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H3318">
            <v>1</v>
          </cell>
          <cell r="O3318">
            <v>118567</v>
          </cell>
          <cell r="P3318"/>
          <cell r="Q3318" t="str">
            <v>EST POLTRONA VIRA VIRA COURO BEGE</v>
          </cell>
          <cell r="R3318"/>
          <cell r="S3318"/>
          <cell r="T3318">
            <v>0.84</v>
          </cell>
          <cell r="U3318">
            <v>0.92</v>
          </cell>
          <cell r="V3318">
            <v>1</v>
          </cell>
          <cell r="W3318">
            <v>0</v>
          </cell>
          <cell r="X3318" t="str">
            <v>EST POLTRONA VIRA VIRA COURO BEGE - 0,84x0,92x1H</v>
          </cell>
          <cell r="Y3318">
            <v>0</v>
          </cell>
          <cell r="Z3318">
            <v>0</v>
          </cell>
          <cell r="AA3318">
            <v>0</v>
          </cell>
          <cell r="AB3318"/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0</v>
          </cell>
          <cell r="H3319">
            <v>1</v>
          </cell>
          <cell r="O3319">
            <v>121856</v>
          </cell>
          <cell r="P3319"/>
          <cell r="Q3319" t="str">
            <v>EST POLTRONA PANTOSH (LACA BRILHO J141 PINK)</v>
          </cell>
          <cell r="R3319"/>
          <cell r="S3319"/>
          <cell r="T3319">
            <v>0.66</v>
          </cell>
          <cell r="U3319">
            <v>0.66</v>
          </cell>
          <cell r="V3319">
            <v>0.78</v>
          </cell>
          <cell r="W3319">
            <v>0</v>
          </cell>
          <cell r="X3319" t="str">
            <v>EST POLTRONA PANTOSH (LACA BRILHO J141 PINK) - 0,66x0,66x0,78H</v>
          </cell>
          <cell r="Y3319">
            <v>0</v>
          </cell>
          <cell r="Z3319">
            <v>0</v>
          </cell>
          <cell r="AA3319">
            <v>0</v>
          </cell>
          <cell r="AB3319"/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H3320">
            <v>1</v>
          </cell>
          <cell r="O3320">
            <v>123516</v>
          </cell>
          <cell r="P3320"/>
          <cell r="Q3320" t="str">
            <v>EST POLTRONA SUITE (BASE INOX) TC 11031/508</v>
          </cell>
          <cell r="R3320"/>
          <cell r="S3320"/>
          <cell r="T3320">
            <v>1.1000000000000001</v>
          </cell>
          <cell r="U3320">
            <v>0.9</v>
          </cell>
          <cell r="V3320">
            <v>0.7</v>
          </cell>
          <cell r="W3320">
            <v>0</v>
          </cell>
          <cell r="X3320" t="str">
            <v>EST POLTRONA SUITE (BASE INOX) TC 11031/508 - 1,1x0,9x0,7H</v>
          </cell>
          <cell r="Y3320">
            <v>0</v>
          </cell>
          <cell r="Z3320">
            <v>0</v>
          </cell>
          <cell r="AA3320">
            <v>0</v>
          </cell>
          <cell r="AB3320"/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0</v>
          </cell>
          <cell r="H3321">
            <v>1</v>
          </cell>
          <cell r="O3321">
            <v>124938</v>
          </cell>
          <cell r="P3321"/>
          <cell r="Q3321" t="str">
            <v>EST POLTRONA KATINSKY (ACO CARBONO PRETO) COURO CARAMELO</v>
          </cell>
          <cell r="R3321"/>
          <cell r="S3321"/>
          <cell r="T3321">
            <v>0.56999999999999995</v>
          </cell>
          <cell r="U3321">
            <v>0.62</v>
          </cell>
          <cell r="V3321">
            <v>0.61</v>
          </cell>
          <cell r="W3321">
            <v>0</v>
          </cell>
          <cell r="X3321" t="str">
            <v>EST POLTRONA KATINSKY (ACO CARBONO PRETO) COURO CARAMELO - 0,57x0,62x0,61H</v>
          </cell>
          <cell r="Y3321">
            <v>0</v>
          </cell>
          <cell r="Z3321">
            <v>0</v>
          </cell>
          <cell r="AA3321">
            <v>0</v>
          </cell>
          <cell r="AB3321"/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H3322">
            <v>2</v>
          </cell>
          <cell r="O3322">
            <v>137843</v>
          </cell>
          <cell r="P3322"/>
          <cell r="Q3322" t="str">
            <v>EST POLTRONA GAIVOTA ESTOFADA (PRETA) (COURO FIRENZE 04)</v>
          </cell>
          <cell r="R3322"/>
          <cell r="S3322"/>
          <cell r="T3322">
            <v>1</v>
          </cell>
          <cell r="U3322">
            <v>1</v>
          </cell>
          <cell r="V3322">
            <v>0.75</v>
          </cell>
          <cell r="W3322">
            <v>0</v>
          </cell>
          <cell r="X3322" t="str">
            <v>EST POLTRONA GAIVOTA ESTOFADA (PRETA) (COURO FIRENZE 04) - 1x1x0,75H</v>
          </cell>
          <cell r="Y3322">
            <v>0</v>
          </cell>
          <cell r="Z3322">
            <v>0</v>
          </cell>
          <cell r="AA3322">
            <v>0</v>
          </cell>
          <cell r="AB3322"/>
        </row>
        <row r="3323"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H3323">
            <v>1</v>
          </cell>
          <cell r="O3323">
            <v>138563</v>
          </cell>
          <cell r="P3323"/>
          <cell r="Q3323" t="str">
            <v>EST POLTRONA MARIAH BAIXA (ALUMINIO POLIDO) COURO CH CASTOR</v>
          </cell>
          <cell r="R3323"/>
          <cell r="S3323"/>
          <cell r="T3323">
            <v>0.76</v>
          </cell>
          <cell r="U3323">
            <v>0.8</v>
          </cell>
          <cell r="V3323">
            <v>0.8</v>
          </cell>
          <cell r="W3323">
            <v>0</v>
          </cell>
          <cell r="X3323" t="str">
            <v>EST POLTRONA MARIAH BAIXA (ALUMINIO POLIDO) COURO CH CASTOR - 0,76x0,8x0,8H</v>
          </cell>
          <cell r="Y3323">
            <v>0</v>
          </cell>
          <cell r="Z3323">
            <v>0</v>
          </cell>
          <cell r="AA3323">
            <v>0</v>
          </cell>
          <cell r="AB3323"/>
        </row>
        <row r="3324"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H3324">
            <v>1</v>
          </cell>
          <cell r="O3324">
            <v>142124</v>
          </cell>
          <cell r="P3324"/>
          <cell r="Q3324" t="str">
            <v>EST POLTRONA SOPRO (CONCHA FIBRA MMDT)</v>
          </cell>
          <cell r="R3324"/>
          <cell r="S3324"/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 t="str">
            <v>EST POLTRONA SOPRO (CONCHA FIBRA MMDT) - Ø0x0H</v>
          </cell>
          <cell r="Y3324">
            <v>0</v>
          </cell>
          <cell r="Z3324">
            <v>0</v>
          </cell>
          <cell r="AA3324">
            <v>0</v>
          </cell>
          <cell r="AB3324"/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H3325">
            <v>1</v>
          </cell>
          <cell r="O3325">
            <v>158895</v>
          </cell>
          <cell r="P3325"/>
          <cell r="Q3325" t="str">
            <v>EST POLTRONA ANDRE MARX (TECA NATURAL) TC LINHO 501 DUBLADO</v>
          </cell>
          <cell r="R3325"/>
          <cell r="S3325"/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 t="str">
            <v>EST POLTRONA ANDRE MARX (TECA NATURAL) TC LINHO 501 DUBLADO - Ø0x0H</v>
          </cell>
          <cell r="Y3325">
            <v>0</v>
          </cell>
          <cell r="Z3325">
            <v>0</v>
          </cell>
          <cell r="AA3325">
            <v>0</v>
          </cell>
          <cell r="AB3325"/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H3326">
            <v>1</v>
          </cell>
          <cell r="O3326">
            <v>164403</v>
          </cell>
          <cell r="P3326"/>
          <cell r="Q3326" t="str">
            <v>EST MESA JANTAR JACARAIPE (FREIJO NATURAL)</v>
          </cell>
          <cell r="R3326"/>
          <cell r="S3326"/>
          <cell r="T3326">
            <v>2.2000000000000002</v>
          </cell>
          <cell r="U3326">
            <v>1.07</v>
          </cell>
          <cell r="V3326">
            <v>0.75</v>
          </cell>
          <cell r="W3326">
            <v>0</v>
          </cell>
          <cell r="X3326" t="str">
            <v>EST MESA JANTAR JACARAIPE (FREIJO NATURAL) - 2,2x1,07x0,75H</v>
          </cell>
          <cell r="Y3326">
            <v>0</v>
          </cell>
          <cell r="Z3326">
            <v>0</v>
          </cell>
          <cell r="AA3326">
            <v>0</v>
          </cell>
          <cell r="AB3326"/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0</v>
          </cell>
          <cell r="H3327">
            <v>1</v>
          </cell>
          <cell r="O3327">
            <v>166756</v>
          </cell>
          <cell r="P3327"/>
          <cell r="Q3327" t="str">
            <v>EST CADEIRA BASICA (ROCCO)</v>
          </cell>
          <cell r="R3327"/>
          <cell r="S3327"/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 t="str">
            <v>EST CADEIRA BASICA (ROCCO) - Ø0x0H</v>
          </cell>
          <cell r="Y3327">
            <v>0</v>
          </cell>
          <cell r="Z3327">
            <v>0</v>
          </cell>
          <cell r="AA3327">
            <v>0</v>
          </cell>
          <cell r="AB3327"/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0</v>
          </cell>
          <cell r="H3328">
            <v>1</v>
          </cell>
          <cell r="O3328">
            <v>174031</v>
          </cell>
          <cell r="P3328"/>
          <cell r="Q3328" t="str">
            <v>EST POLTRONA BOSCOLI (CATUABA) COURO PINHAO</v>
          </cell>
          <cell r="R3328"/>
          <cell r="S3328"/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 t="str">
            <v>EST POLTRONA BOSCOLI (CATUABA) COURO PINHAO - Ø0x0H</v>
          </cell>
          <cell r="Y3328">
            <v>0</v>
          </cell>
          <cell r="Z3328">
            <v>0</v>
          </cell>
          <cell r="AA3328">
            <v>0</v>
          </cell>
          <cell r="AB3328"/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H3329">
            <v>1</v>
          </cell>
          <cell r="O3329">
            <v>195623</v>
          </cell>
          <cell r="P3329"/>
          <cell r="Q3329" t="str">
            <v>EST MESA LATERAL ZE (FREIJO NATURAL)</v>
          </cell>
          <cell r="R3329"/>
          <cell r="S3329"/>
          <cell r="T3329">
            <v>0.6</v>
          </cell>
          <cell r="U3329">
            <v>0.6</v>
          </cell>
          <cell r="V3329">
            <v>0.57999999999999996</v>
          </cell>
          <cell r="W3329">
            <v>0</v>
          </cell>
          <cell r="X3329" t="str">
            <v>EST MESA LATERAL ZE (FREIJO NATURAL) - 0,6x0,6x0,58H</v>
          </cell>
          <cell r="Y3329">
            <v>0</v>
          </cell>
          <cell r="Z3329">
            <v>0</v>
          </cell>
          <cell r="AA3329">
            <v>0</v>
          </cell>
          <cell r="AB3329"/>
        </row>
        <row r="3330"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H3330">
            <v>1</v>
          </cell>
          <cell r="O3330">
            <v>195630</v>
          </cell>
          <cell r="P3330"/>
          <cell r="Q3330" t="str">
            <v>EST REVISTEIRO NINI (FREIJO EBANIZADO)</v>
          </cell>
          <cell r="R3330"/>
          <cell r="S3330"/>
          <cell r="T3330">
            <v>0.43</v>
          </cell>
          <cell r="U3330">
            <v>0.5</v>
          </cell>
          <cell r="V3330">
            <v>0.5</v>
          </cell>
          <cell r="W3330">
            <v>0</v>
          </cell>
          <cell r="X3330" t="str">
            <v>EST REVISTEIRO NINI (FREIJO EBANIZADO) - 0,43x0,5x0,5H</v>
          </cell>
          <cell r="Y3330">
            <v>0</v>
          </cell>
          <cell r="Z3330">
            <v>0</v>
          </cell>
          <cell r="AA3330">
            <v>0</v>
          </cell>
          <cell r="AB3330"/>
        </row>
        <row r="3331">
          <cell r="C3331">
            <v>0</v>
          </cell>
          <cell r="D3331">
            <v>0</v>
          </cell>
          <cell r="E3331">
            <v>0</v>
          </cell>
          <cell r="F3331">
            <v>0</v>
          </cell>
          <cell r="H3331">
            <v>1</v>
          </cell>
          <cell r="O3331">
            <v>200615</v>
          </cell>
          <cell r="P3331"/>
          <cell r="Q3331" t="str">
            <v>EST MESA JANTAR MAIS (JEQUITIBA NT) (CENTRO EBANIZADO)</v>
          </cell>
          <cell r="R3331"/>
          <cell r="S3331"/>
          <cell r="T3331">
            <v>3.05</v>
          </cell>
          <cell r="U3331">
            <v>1</v>
          </cell>
          <cell r="V3331">
            <v>0.75</v>
          </cell>
          <cell r="W3331">
            <v>0</v>
          </cell>
          <cell r="X3331" t="str">
            <v>EST MESA JANTAR MAIS (JEQUITIBA NT) (CENTRO EBANIZADO) - 3,05x1x0,75H</v>
          </cell>
          <cell r="Y3331">
            <v>0</v>
          </cell>
          <cell r="Z3331">
            <v>0</v>
          </cell>
          <cell r="AA3331">
            <v>0</v>
          </cell>
          <cell r="AB3331"/>
        </row>
        <row r="3332"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H3332">
            <v>1</v>
          </cell>
          <cell r="O3332">
            <v>206959</v>
          </cell>
          <cell r="P3332"/>
          <cell r="Q3332" t="str">
            <v>EST BANQUETA ANA (JEQUITIBA) COURO CAMURCA VANILLA</v>
          </cell>
          <cell r="R3332"/>
          <cell r="S3332"/>
          <cell r="T3332">
            <v>0.66</v>
          </cell>
          <cell r="U3332">
            <v>0.43</v>
          </cell>
          <cell r="V3332">
            <v>0.47</v>
          </cell>
          <cell r="W3332">
            <v>0</v>
          </cell>
          <cell r="X3332" t="str">
            <v>EST BANQUETA ANA (JEQUITIBA) COURO CAMURCA VANILLA - 0,66x0,43x0,47H</v>
          </cell>
          <cell r="Y3332">
            <v>0</v>
          </cell>
          <cell r="Z3332">
            <v>0</v>
          </cell>
          <cell r="AA3332">
            <v>0</v>
          </cell>
          <cell r="AB3332"/>
        </row>
        <row r="3333"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H3333">
            <v>1</v>
          </cell>
          <cell r="O3333">
            <v>217632</v>
          </cell>
          <cell r="P3333"/>
          <cell r="Q3333" t="str">
            <v>EST MESA LATERAL MAIS (C/ABAS) (FREIJO ESC) (GRANITO VERDE)</v>
          </cell>
          <cell r="R3333"/>
          <cell r="S3333"/>
          <cell r="T3333">
            <v>0.83</v>
          </cell>
          <cell r="U3333">
            <v>0.49</v>
          </cell>
          <cell r="V3333">
            <v>0.5</v>
          </cell>
          <cell r="W3333">
            <v>0</v>
          </cell>
          <cell r="X3333" t="str">
            <v>EST MESA LATERAL MAIS (C/ABAS) (FREIJO ESC) (GRANITO VERDE) - 0,83x0,49x0,5H</v>
          </cell>
          <cell r="Y3333">
            <v>0</v>
          </cell>
          <cell r="Z3333">
            <v>0</v>
          </cell>
          <cell r="AA3333">
            <v>0</v>
          </cell>
          <cell r="AB3333"/>
        </row>
        <row r="3334"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H3334">
            <v>1</v>
          </cell>
          <cell r="O3334">
            <v>266069</v>
          </cell>
          <cell r="P3334"/>
          <cell r="Q3334" t="str">
            <v>EST POLTRONA SUITE (BASE INOX) TC GAVEA 306</v>
          </cell>
          <cell r="R3334"/>
          <cell r="S3334"/>
          <cell r="T3334">
            <v>1.1000000000000001</v>
          </cell>
          <cell r="U3334">
            <v>0.9</v>
          </cell>
          <cell r="V3334">
            <v>0.7</v>
          </cell>
          <cell r="W3334">
            <v>0</v>
          </cell>
          <cell r="X3334" t="str">
            <v>EST POLTRONA SUITE (BASE INOX) TC GAVEA 306 - 1,1x0,9x0,7H</v>
          </cell>
          <cell r="Y3334">
            <v>0</v>
          </cell>
          <cell r="Z3334">
            <v>0</v>
          </cell>
          <cell r="AA3334">
            <v>0</v>
          </cell>
          <cell r="AB3334"/>
        </row>
        <row r="3335">
          <cell r="C3335">
            <v>0</v>
          </cell>
          <cell r="D3335">
            <v>0</v>
          </cell>
          <cell r="E3335">
            <v>0</v>
          </cell>
          <cell r="F3335">
            <v>0</v>
          </cell>
          <cell r="H3335">
            <v>1</v>
          </cell>
          <cell r="O3335">
            <v>132240</v>
          </cell>
          <cell r="P3335" t="str">
            <v>2014/086-0037-01</v>
          </cell>
          <cell r="Q3335" t="str">
            <v>EST CADEIRA ANGELA JANTAR (TELA NATURAL) (FREIJO NATURAL)</v>
          </cell>
          <cell r="R3335"/>
          <cell r="S3335"/>
          <cell r="T3335">
            <v>0.56000000000000005</v>
          </cell>
          <cell r="U3335">
            <v>0.54</v>
          </cell>
          <cell r="V3335">
            <v>0.87</v>
          </cell>
          <cell r="W3335">
            <v>0</v>
          </cell>
          <cell r="X3335" t="str">
            <v>EST CADEIRA ANGELA JANTAR (TELA NATURAL) (FREIJO NATURAL) - 0,56x0,54x0,87H</v>
          </cell>
          <cell r="Y3335">
            <v>18992.400000000001</v>
          </cell>
          <cell r="Z3335">
            <v>0.5</v>
          </cell>
          <cell r="AA3335">
            <v>9496.2000000000007</v>
          </cell>
          <cell r="AB3335"/>
        </row>
        <row r="3336">
          <cell r="C3336" t="e">
            <v>#N/A</v>
          </cell>
          <cell r="D3336" t="e">
            <v>#N/A</v>
          </cell>
          <cell r="E3336" t="e">
            <v>#N/A</v>
          </cell>
          <cell r="F3336" t="e">
            <v>#N/A</v>
          </cell>
          <cell r="H3336" t="e">
            <v>#N/A</v>
          </cell>
          <cell r="O3336">
            <v>145071</v>
          </cell>
          <cell r="P3336" t="str">
            <v>2014/066-0061-01</v>
          </cell>
          <cell r="Q3336" t="e">
            <v>#N/A</v>
          </cell>
          <cell r="R3336"/>
          <cell r="S3336"/>
          <cell r="T3336" t="e">
            <v>#N/A</v>
          </cell>
          <cell r="U3336" t="e">
            <v>#N/A</v>
          </cell>
          <cell r="V3336" t="e">
            <v>#N/A</v>
          </cell>
          <cell r="W3336" t="e">
            <v>#N/A</v>
          </cell>
          <cell r="X3336" t="e">
            <v>#N/A</v>
          </cell>
          <cell r="Y3336">
            <v>7862.4</v>
          </cell>
          <cell r="Z3336">
            <v>0.5</v>
          </cell>
          <cell r="AA3336">
            <v>3931.2</v>
          </cell>
          <cell r="AB3336"/>
        </row>
        <row r="3337">
          <cell r="C3337" t="e">
            <v>#N/A</v>
          </cell>
          <cell r="D3337" t="e">
            <v>#N/A</v>
          </cell>
          <cell r="E3337" t="e">
            <v>#N/A</v>
          </cell>
          <cell r="F3337" t="e">
            <v>#N/A</v>
          </cell>
          <cell r="H3337" t="e">
            <v>#N/A</v>
          </cell>
          <cell r="O3337">
            <v>145071</v>
          </cell>
          <cell r="P3337" t="str">
            <v>2014/066-0059-01</v>
          </cell>
          <cell r="Q3337" t="e">
            <v>#N/A</v>
          </cell>
          <cell r="R3337"/>
          <cell r="S3337"/>
          <cell r="T3337" t="e">
            <v>#N/A</v>
          </cell>
          <cell r="U3337" t="e">
            <v>#N/A</v>
          </cell>
          <cell r="V3337" t="e">
            <v>#N/A</v>
          </cell>
          <cell r="W3337" t="e">
            <v>#N/A</v>
          </cell>
          <cell r="X3337" t="e">
            <v>#N/A</v>
          </cell>
          <cell r="Y3337">
            <v>7862.4</v>
          </cell>
          <cell r="Z3337">
            <v>0.5</v>
          </cell>
          <cell r="AA3337">
            <v>3931.2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176882</v>
          </cell>
          <cell r="P3338" t="str">
            <v>2015/295-0017-01</v>
          </cell>
          <cell r="Q3338" t="str">
            <v>EST POLTRONA LIA (MAD B COR 03) TC FLOR VELVET</v>
          </cell>
          <cell r="R3338"/>
          <cell r="S3338"/>
          <cell r="T3338">
            <v>0.74</v>
          </cell>
          <cell r="U3338">
            <v>0.73</v>
          </cell>
          <cell r="V3338">
            <v>0.71</v>
          </cell>
          <cell r="W3338">
            <v>0</v>
          </cell>
          <cell r="X3338" t="str">
            <v>EST POLTRONA LIA (MAD B COR 03) TC FLOR VELVET - 0,74x0,73x0,71H</v>
          </cell>
          <cell r="Y3338">
            <v>24433.29</v>
          </cell>
          <cell r="Z3338">
            <v>0.4</v>
          </cell>
          <cell r="AA3338">
            <v>14659.974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0</v>
          </cell>
          <cell r="O3339">
            <v>182429</v>
          </cell>
          <cell r="P3339" t="str">
            <v>2015/348-0181-01</v>
          </cell>
          <cell r="Q3339" t="str">
            <v>EST POLTRONA SOFT TC LINHO 409 (ESTONADO) LI-161 MARFIM</v>
          </cell>
          <cell r="R3339"/>
          <cell r="S3339"/>
          <cell r="T3339">
            <v>0.87</v>
          </cell>
          <cell r="U3339">
            <v>1.02</v>
          </cell>
          <cell r="V3339">
            <v>0.8</v>
          </cell>
          <cell r="W3339">
            <v>0</v>
          </cell>
          <cell r="X3339" t="str">
            <v>EST POLTRONA SOFT TC LINHO 409 (ESTONADO) LI-161 MARFIM - 0,87x1,02x0,8H</v>
          </cell>
          <cell r="Y3339">
            <v>25500</v>
          </cell>
          <cell r="Z3339">
            <v>0.5</v>
          </cell>
          <cell r="AA3339">
            <v>12750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206298</v>
          </cell>
          <cell r="P3340" t="str">
            <v>2017/093-0074-01</v>
          </cell>
          <cell r="Q3340" t="str">
            <v>EST CADEIRA ANGELA JANTAR (TELA NATURAL) (FREIJO NATURAL)</v>
          </cell>
          <cell r="R3340"/>
          <cell r="S3340"/>
          <cell r="T3340">
            <v>0.56000000000000005</v>
          </cell>
          <cell r="U3340">
            <v>0.54</v>
          </cell>
          <cell r="V3340">
            <v>0.89</v>
          </cell>
          <cell r="W3340">
            <v>0</v>
          </cell>
          <cell r="X3340" t="str">
            <v>EST CADEIRA ANGELA JANTAR (TELA NATURAL) (FREIJO NATURAL) - 0,56x0,54x0,89H</v>
          </cell>
          <cell r="Y3340">
            <v>18992.400000000001</v>
          </cell>
          <cell r="Z3340">
            <v>0.5</v>
          </cell>
          <cell r="AA3340">
            <v>9496.2000000000007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206298</v>
          </cell>
          <cell r="P3341" t="str">
            <v>2017/093-0075-01</v>
          </cell>
          <cell r="Q3341" t="str">
            <v>EST CADEIRA ANGELA JANTAR (TELA NATURAL) (FREIJO NATURAL)</v>
          </cell>
          <cell r="R3341"/>
          <cell r="S3341"/>
          <cell r="T3341">
            <v>0.56000000000000005</v>
          </cell>
          <cell r="U3341">
            <v>0.54</v>
          </cell>
          <cell r="V3341">
            <v>0.89</v>
          </cell>
          <cell r="W3341">
            <v>0</v>
          </cell>
          <cell r="X3341" t="str">
            <v>EST CADEIRA ANGELA JANTAR (TELA NATURAL) (FREIJO NATURAL) - 0,56x0,54x0,89H</v>
          </cell>
          <cell r="Y3341">
            <v>18992.400000000001</v>
          </cell>
          <cell r="Z3341">
            <v>0.5</v>
          </cell>
          <cell r="AA3341">
            <v>9496.2000000000007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3</v>
          </cell>
          <cell r="O3342">
            <v>206298</v>
          </cell>
          <cell r="P3342" t="str">
            <v>2017/093-0076-01</v>
          </cell>
          <cell r="Q3342" t="str">
            <v>EST CADEIRA ANGELA JANTAR (TELA NATURAL) (FREIJO NATURAL)</v>
          </cell>
          <cell r="R3342"/>
          <cell r="S3342"/>
          <cell r="T3342">
            <v>0.56000000000000005</v>
          </cell>
          <cell r="U3342">
            <v>0.54</v>
          </cell>
          <cell r="V3342">
            <v>0.89</v>
          </cell>
          <cell r="W3342">
            <v>0</v>
          </cell>
          <cell r="X3342" t="str">
            <v>EST CADEIRA ANGELA JANTAR (TELA NATURAL) (FREIJO NATURAL) - 0,56x0,54x0,89H</v>
          </cell>
          <cell r="Y3342">
            <v>18992.400000000001</v>
          </cell>
          <cell r="Z3342">
            <v>0.5</v>
          </cell>
          <cell r="AA3342">
            <v>9496.2000000000007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273064</v>
          </cell>
          <cell r="P3343" t="str">
            <v>2020/324-0001-01</v>
          </cell>
          <cell r="Q3343" t="str">
            <v>EST POLTRONA ATOMO TC CAMURCA SINTETICA AP002</v>
          </cell>
          <cell r="R3343"/>
          <cell r="S3343"/>
          <cell r="T3343">
            <v>0.7</v>
          </cell>
          <cell r="U3343">
            <v>0.76</v>
          </cell>
          <cell r="V3343">
            <v>0.82</v>
          </cell>
          <cell r="W3343">
            <v>0</v>
          </cell>
          <cell r="X3343" t="str">
            <v>EST POLTRONA ATOMO TC CAMURCA SINTETICA AP002 - 0,7x0,76x0,82H</v>
          </cell>
          <cell r="Y3343">
            <v>25925</v>
          </cell>
          <cell r="Z3343">
            <v>0.5</v>
          </cell>
          <cell r="AA3343">
            <v>12962.5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1</v>
          </cell>
          <cell r="H3344">
            <v>0</v>
          </cell>
          <cell r="O3344">
            <v>389922</v>
          </cell>
          <cell r="P3344" t="str">
            <v>2024/219-0064-01</v>
          </cell>
          <cell r="Q3344" t="str">
            <v>EST SOFA IZADORA (CAPA/PENA) (BIPARTIDO) TC 01-26</v>
          </cell>
          <cell r="R3344"/>
          <cell r="S3344"/>
          <cell r="T3344">
            <v>2.8</v>
          </cell>
          <cell r="U3344">
            <v>1.04</v>
          </cell>
          <cell r="V3344">
            <v>0.89</v>
          </cell>
          <cell r="W3344">
            <v>0</v>
          </cell>
          <cell r="X3344" t="str">
            <v>EST SOFA IZADORA (CAPA/PENA) (BIPARTIDO) TC 01-26 - 2,8x1,04x0,89H</v>
          </cell>
          <cell r="Y3344">
            <v>30888.66</v>
          </cell>
          <cell r="Z3344">
            <v>0.35</v>
          </cell>
          <cell r="AA3344">
            <v>20077.629000000001</v>
          </cell>
          <cell r="AB3344"/>
        </row>
        <row r="3345">
          <cell r="C3345">
            <v>0</v>
          </cell>
          <cell r="D3345">
            <v>2</v>
          </cell>
          <cell r="E3345">
            <v>0</v>
          </cell>
          <cell r="F3345">
            <v>0</v>
          </cell>
          <cell r="H3345">
            <v>0</v>
          </cell>
          <cell r="O3345">
            <v>410921</v>
          </cell>
          <cell r="P3345" t="str">
            <v>2025/272-0044-01</v>
          </cell>
          <cell r="Q3345" t="str">
            <v>EST MODULO PUFF IZADORA (CAPA/FIBRA) (TC DEVA 08)</v>
          </cell>
          <cell r="R3345"/>
          <cell r="S3345"/>
          <cell r="T3345">
            <v>0.9</v>
          </cell>
          <cell r="U3345">
            <v>0.6</v>
          </cell>
          <cell r="V3345">
            <v>0.47</v>
          </cell>
          <cell r="W3345">
            <v>0</v>
          </cell>
          <cell r="X3345" t="str">
            <v>EST MODULO PUFF IZADORA (CAPA/FIBRA) (TC DEVA 08) - 0,9x0,6x0,47H</v>
          </cell>
          <cell r="Y3345">
            <v>7063.52</v>
          </cell>
          <cell r="Z3345">
            <v>0.35</v>
          </cell>
          <cell r="AA3345">
            <v>4591.2880000000005</v>
          </cell>
          <cell r="AB3345"/>
        </row>
        <row r="3346">
          <cell r="C3346">
            <v>0</v>
          </cell>
          <cell r="D3346">
            <v>2</v>
          </cell>
          <cell r="E3346">
            <v>0</v>
          </cell>
          <cell r="F3346">
            <v>0</v>
          </cell>
          <cell r="H3346">
            <v>0</v>
          </cell>
          <cell r="O3346">
            <v>410921</v>
          </cell>
          <cell r="P3346" t="str">
            <v>2025/272-0045-01</v>
          </cell>
          <cell r="Q3346" t="str">
            <v>EST MODULO PUFF IZADORA (CAPA/FIBRA) (TC DEVA 08)</v>
          </cell>
          <cell r="R3346"/>
          <cell r="S3346"/>
          <cell r="T3346">
            <v>0.9</v>
          </cell>
          <cell r="U3346">
            <v>0.6</v>
          </cell>
          <cell r="V3346">
            <v>0.47</v>
          </cell>
          <cell r="W3346">
            <v>0</v>
          </cell>
          <cell r="X3346" t="str">
            <v>EST MODULO PUFF IZADORA (CAPA/FIBRA) (TC DEVA 08) - 0,9x0,6x0,47H</v>
          </cell>
          <cell r="Y3346">
            <v>7063.52</v>
          </cell>
          <cell r="Z3346">
            <v>0.35</v>
          </cell>
          <cell r="AA3346">
            <v>4591.2880000000005</v>
          </cell>
          <cell r="AB3346"/>
        </row>
        <row r="3347">
          <cell r="C3347">
            <v>1</v>
          </cell>
          <cell r="D3347">
            <v>0</v>
          </cell>
          <cell r="E3347">
            <v>0</v>
          </cell>
          <cell r="F3347">
            <v>0</v>
          </cell>
          <cell r="H3347">
            <v>0</v>
          </cell>
          <cell r="O3347">
            <v>389921</v>
          </cell>
          <cell r="P3347" t="str">
            <v>2024/219-0063-01</v>
          </cell>
          <cell r="Q3347" t="str">
            <v>EST SOFA IZADORA (CAPA/FIBRA) (BIPARTIDO) TC 01-28</v>
          </cell>
          <cell r="R3347"/>
          <cell r="S3347"/>
          <cell r="T3347">
            <v>3</v>
          </cell>
          <cell r="U3347">
            <v>1.04</v>
          </cell>
          <cell r="V3347">
            <v>0.89</v>
          </cell>
          <cell r="W3347">
            <v>0</v>
          </cell>
          <cell r="X3347" t="str">
            <v>EST SOFA IZADORA (CAPA/FIBRA) (BIPARTIDO) TC 01-28 - 3x1,04x0,89H</v>
          </cell>
          <cell r="Y3347">
            <v>28926.82</v>
          </cell>
          <cell r="Z3347">
            <v>0.35</v>
          </cell>
          <cell r="AA3347">
            <v>18802.433000000001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0</v>
          </cell>
          <cell r="O3348">
            <v>402519</v>
          </cell>
          <cell r="P3348" t="str">
            <v>(LOTE 001)</v>
          </cell>
          <cell r="Q3348" t="str">
            <v>ROLO TECIDO EL ANGOLA 04 - (BEIGE) -</v>
          </cell>
          <cell r="R3348"/>
          <cell r="S3348"/>
          <cell r="T3348">
            <v>2.25</v>
          </cell>
          <cell r="U3348">
            <v>1.4</v>
          </cell>
          <cell r="V3348">
            <v>0</v>
          </cell>
          <cell r="W3348">
            <v>0</v>
          </cell>
          <cell r="X3348" t="str">
            <v>ROLO TECIDO EL ANGOLA 04 - (BEIGE) - - 2,25x1,4x0H</v>
          </cell>
          <cell r="Y3348">
            <v>2128.9500000000003</v>
          </cell>
          <cell r="Z3348">
            <v>0.35</v>
          </cell>
          <cell r="AA3348">
            <v>1383.8175000000001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0</v>
          </cell>
          <cell r="O3349">
            <v>402520</v>
          </cell>
          <cell r="P3349" t="str">
            <v>(LOTE 001)</v>
          </cell>
          <cell r="Q3349" t="str">
            <v>ROLO TECIDO CASUAL - (TRUFFLE) -</v>
          </cell>
          <cell r="R3349"/>
          <cell r="S3349"/>
          <cell r="T3349">
            <v>3.38</v>
          </cell>
          <cell r="U3349">
            <v>1.4</v>
          </cell>
          <cell r="V3349">
            <v>0</v>
          </cell>
          <cell r="W3349">
            <v>0</v>
          </cell>
          <cell r="X3349" t="str">
            <v>ROLO TECIDO CASUAL - (TRUFFLE) - - 3,38x1,4x0H</v>
          </cell>
          <cell r="Y3349">
            <v>1878.4349999999999</v>
          </cell>
          <cell r="Z3349">
            <v>0.35</v>
          </cell>
          <cell r="AA3349">
            <v>1220.9827500000001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0</v>
          </cell>
          <cell r="O3350">
            <v>402521</v>
          </cell>
          <cell r="P3350" t="str">
            <v>(LOTE 001)</v>
          </cell>
          <cell r="Q3350" t="str">
            <v>ROLO TECIDO CASUAL - (WHISPER) -</v>
          </cell>
          <cell r="R3350"/>
          <cell r="S3350"/>
          <cell r="T3350">
            <v>1.08</v>
          </cell>
          <cell r="U3350">
            <v>1.4</v>
          </cell>
          <cell r="V3350">
            <v>0</v>
          </cell>
          <cell r="W3350">
            <v>0</v>
          </cell>
          <cell r="X3350" t="str">
            <v>ROLO TECIDO CASUAL - (WHISPER) - - 1,08x1,4x0H</v>
          </cell>
          <cell r="Y3350">
            <v>600.21</v>
          </cell>
          <cell r="Z3350">
            <v>0.35</v>
          </cell>
          <cell r="AA3350">
            <v>390.13650000000007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0</v>
          </cell>
          <cell r="O3351">
            <v>402522</v>
          </cell>
          <cell r="P3351" t="str">
            <v>(LOTE 001)</v>
          </cell>
          <cell r="Q3351" t="str">
            <v>ROLO TECIDO EL ANGOLA 04 - (BLUE) -</v>
          </cell>
          <cell r="R3351"/>
          <cell r="S3351"/>
          <cell r="T3351">
            <v>4.05</v>
          </cell>
          <cell r="U3351">
            <v>1.4</v>
          </cell>
          <cell r="V3351">
            <v>0</v>
          </cell>
          <cell r="W3351">
            <v>0</v>
          </cell>
          <cell r="X3351" t="str">
            <v>ROLO TECIDO EL ANGOLA 04 - (BLUE) - - 4,05x1,4x0H</v>
          </cell>
          <cell r="Y3351">
            <v>3832.11</v>
          </cell>
          <cell r="Z3351">
            <v>0.35</v>
          </cell>
          <cell r="AA3351">
            <v>2490.8715000000002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0</v>
          </cell>
          <cell r="O3352">
            <v>402523</v>
          </cell>
          <cell r="P3352" t="str">
            <v>(LOTE 001)</v>
          </cell>
          <cell r="Q3352" t="str">
            <v>ROLO TECIDO EL LUDA 09 - (JEANS V) -</v>
          </cell>
          <cell r="R3352"/>
          <cell r="S3352"/>
          <cell r="T3352">
            <v>5.35</v>
          </cell>
          <cell r="U3352">
            <v>1.4</v>
          </cell>
          <cell r="V3352">
            <v>0</v>
          </cell>
          <cell r="W3352">
            <v>0</v>
          </cell>
          <cell r="X3352" t="str">
            <v>ROLO TECIDO EL LUDA 09 - (JEANS V) - - 5,35x1,4x0H</v>
          </cell>
          <cell r="Y3352">
            <v>3720.3899999999994</v>
          </cell>
          <cell r="Z3352">
            <v>0.35</v>
          </cell>
          <cell r="AA3352">
            <v>2418.2534999999998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0</v>
          </cell>
          <cell r="O3353">
            <v>402524</v>
          </cell>
          <cell r="P3353" t="str">
            <v>(LOTE 001)</v>
          </cell>
          <cell r="Q3353" t="str">
            <v>ROLO TECIDO EL MALIBU VELVET - (OCRHE) -</v>
          </cell>
          <cell r="R3353"/>
          <cell r="S3353"/>
          <cell r="T3353">
            <v>2.5</v>
          </cell>
          <cell r="U3353">
            <v>1.4</v>
          </cell>
          <cell r="V3353">
            <v>0</v>
          </cell>
          <cell r="W3353">
            <v>0</v>
          </cell>
          <cell r="X3353" t="str">
            <v>ROLO TECIDO EL MALIBU VELVET - (OCRHE) - - 2,5x1,4x0H</v>
          </cell>
          <cell r="Y3353">
            <v>2365.5</v>
          </cell>
          <cell r="Z3353">
            <v>0.35</v>
          </cell>
          <cell r="AA3353">
            <v>1537.575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0</v>
          </cell>
          <cell r="O3354">
            <v>402526</v>
          </cell>
          <cell r="P3354" t="str">
            <v>(LOTE 001)</v>
          </cell>
          <cell r="Q3354" t="str">
            <v>ROLO TECIDO MIKA - (CHIVE) -</v>
          </cell>
          <cell r="R3354"/>
          <cell r="S3354"/>
          <cell r="T3354">
            <v>5.4</v>
          </cell>
          <cell r="U3354">
            <v>1.4</v>
          </cell>
          <cell r="V3354">
            <v>0</v>
          </cell>
          <cell r="W3354">
            <v>0</v>
          </cell>
          <cell r="X3354" t="str">
            <v>ROLO TECIDO MIKA - (CHIVE) - - 5,4x1,4x0H</v>
          </cell>
          <cell r="Y3354">
            <v>5525.01</v>
          </cell>
          <cell r="Z3354">
            <v>0.35</v>
          </cell>
          <cell r="AA3354">
            <v>3591.2565000000004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0</v>
          </cell>
          <cell r="O3355">
            <v>402527</v>
          </cell>
          <cell r="P3355" t="str">
            <v>(LOTE 001)</v>
          </cell>
          <cell r="Q3355" t="str">
            <v>ROLO TECIDO POKER - (PERSIMMON) -</v>
          </cell>
          <cell r="R3355"/>
          <cell r="S3355"/>
          <cell r="T3355">
            <v>1.9</v>
          </cell>
          <cell r="U3355">
            <v>1.4</v>
          </cell>
          <cell r="V3355">
            <v>0</v>
          </cell>
          <cell r="W3355">
            <v>0</v>
          </cell>
          <cell r="X3355" t="str">
            <v>ROLO TECIDO POKER - (PERSIMMON) - - 1,9x1,4x0H</v>
          </cell>
          <cell r="Y3355">
            <v>1169.6400000000001</v>
          </cell>
          <cell r="Z3355">
            <v>0.35</v>
          </cell>
          <cell r="AA3355">
            <v>760.26600000000008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0</v>
          </cell>
          <cell r="O3356">
            <v>402528</v>
          </cell>
          <cell r="P3356" t="str">
            <v>(LOTE 001)</v>
          </cell>
          <cell r="Q3356" t="str">
            <v>ROLO TECIDO TAURUS - (BRIGTHWHITE) -</v>
          </cell>
          <cell r="R3356"/>
          <cell r="S3356"/>
          <cell r="T3356">
            <v>3.2</v>
          </cell>
          <cell r="U3356">
            <v>1.4</v>
          </cell>
          <cell r="V3356">
            <v>0</v>
          </cell>
          <cell r="W3356">
            <v>0</v>
          </cell>
          <cell r="X3356" t="str">
            <v>ROLO TECIDO TAURUS - (BRIGTHWHITE) - - 3,2x1,4x0H</v>
          </cell>
          <cell r="Y3356">
            <v>2362.08</v>
          </cell>
          <cell r="Z3356">
            <v>0.35</v>
          </cell>
          <cell r="AA3356">
            <v>1535.3519999999999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0</v>
          </cell>
          <cell r="O3357">
            <v>402529</v>
          </cell>
          <cell r="P3357" t="str">
            <v>(LOTE 001)</v>
          </cell>
          <cell r="Q3357" t="str">
            <v>ROLO TECIDO TRAILS - (FLAX) -</v>
          </cell>
          <cell r="R3357"/>
          <cell r="S3357"/>
          <cell r="T3357">
            <v>2.1</v>
          </cell>
          <cell r="U3357">
            <v>1.4</v>
          </cell>
          <cell r="V3357">
            <v>0</v>
          </cell>
          <cell r="W3357">
            <v>0</v>
          </cell>
          <cell r="X3357" t="str">
            <v>ROLO TECIDO TRAILS - (FLAX) - - 2,1x1,4x0H</v>
          </cell>
          <cell r="Y3357">
            <v>1262.835</v>
          </cell>
          <cell r="Z3357">
            <v>0.35</v>
          </cell>
          <cell r="AA3357">
            <v>820.84275000000002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402530</v>
          </cell>
          <cell r="P3358" t="str">
            <v>(LOTE 001)</v>
          </cell>
          <cell r="Q3358" t="str">
            <v>ROLO TECIDO VILLA OLMO - (UMBER) -</v>
          </cell>
          <cell r="R3358"/>
          <cell r="S3358"/>
          <cell r="T3358">
            <v>2.75</v>
          </cell>
          <cell r="U3358">
            <v>1.4</v>
          </cell>
          <cell r="V3358">
            <v>0</v>
          </cell>
          <cell r="W3358">
            <v>0</v>
          </cell>
          <cell r="X3358" t="str">
            <v>ROLO TECIDO VILLA OLMO - (UMBER) - - 2,75x1,4x0H</v>
          </cell>
          <cell r="Y3358">
            <v>2139.6374999999998</v>
          </cell>
          <cell r="Z3358">
            <v>0.35</v>
          </cell>
          <cell r="AA3358">
            <v>1390.764375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0</v>
          </cell>
          <cell r="O3359">
            <v>402531</v>
          </cell>
          <cell r="P3359" t="str">
            <v>(LOTE 001)</v>
          </cell>
          <cell r="Q3359" t="str">
            <v>ROLO TECIDO ZAR - (LIGHT GREEN) -</v>
          </cell>
          <cell r="R3359"/>
          <cell r="S3359"/>
          <cell r="T3359">
            <v>3.65</v>
          </cell>
          <cell r="U3359">
            <v>1.4</v>
          </cell>
          <cell r="V3359">
            <v>0</v>
          </cell>
          <cell r="W3359">
            <v>0</v>
          </cell>
          <cell r="X3359" t="str">
            <v>ROLO TECIDO ZAR - (LIGHT GREEN) - - 3,65x1,4x0H</v>
          </cell>
          <cell r="Y3359">
            <v>3131.1525000000001</v>
          </cell>
          <cell r="Z3359">
            <v>0.35</v>
          </cell>
          <cell r="AA3359">
            <v>2035.2491250000003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402555</v>
          </cell>
          <cell r="P3360" t="str">
            <v>(LOTE 001)</v>
          </cell>
          <cell r="Q3360" t="str">
            <v>ROLO TECIDO O'BUFFY - (NATURAL) -</v>
          </cell>
          <cell r="R3360"/>
          <cell r="S3360"/>
          <cell r="T3360">
            <v>5.6</v>
          </cell>
          <cell r="U3360">
            <v>1.4</v>
          </cell>
          <cell r="V3360">
            <v>0</v>
          </cell>
          <cell r="W3360">
            <v>0</v>
          </cell>
          <cell r="X3360" t="str">
            <v>ROLO TECIDO O'BUFFY - (NATURAL) - - 5,6x1,4x0H</v>
          </cell>
          <cell r="Y3360">
            <v>2601.48</v>
          </cell>
          <cell r="Z3360">
            <v>0.35</v>
          </cell>
          <cell r="AA3360">
            <v>1690.962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0</v>
          </cell>
          <cell r="O3361">
            <v>402675</v>
          </cell>
          <cell r="P3361" t="str">
            <v>(LOTE 001)</v>
          </cell>
          <cell r="Q3361" t="str">
            <v>ROLO TECIDO STAUNCH - (CAMOUFLAGE) -</v>
          </cell>
          <cell r="R3361"/>
          <cell r="S3361"/>
          <cell r="T3361">
            <v>1.45</v>
          </cell>
          <cell r="U3361">
            <v>1.4</v>
          </cell>
          <cell r="V3361">
            <v>0</v>
          </cell>
          <cell r="W3361">
            <v>0</v>
          </cell>
          <cell r="X3361" t="str">
            <v>ROLO TECIDO STAUNCH - (CAMOUFLAGE) - - 1,45x1,4x0H</v>
          </cell>
          <cell r="Y3361">
            <v>1008.3299999999999</v>
          </cell>
          <cell r="Z3361">
            <v>0.35</v>
          </cell>
          <cell r="AA3361">
            <v>655.41449999999998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0</v>
          </cell>
          <cell r="O3362">
            <v>402686</v>
          </cell>
          <cell r="P3362" t="str">
            <v>(LOTE 001)</v>
          </cell>
          <cell r="Q3362" t="str">
            <v>ROLO TECIDO O'TOPTEN NP - (SILVER MIX) -</v>
          </cell>
          <cell r="R3362"/>
          <cell r="S3362"/>
          <cell r="T3362">
            <v>1.7</v>
          </cell>
          <cell r="U3362">
            <v>1.4</v>
          </cell>
          <cell r="V3362">
            <v>0</v>
          </cell>
          <cell r="W3362">
            <v>0</v>
          </cell>
          <cell r="X3362" t="str">
            <v>ROLO TECIDO O'TOPTEN NP - (SILVER MIX) - - 1,7x1,4x0H</v>
          </cell>
          <cell r="Y3362">
            <v>683.14499999999998</v>
          </cell>
          <cell r="Z3362">
            <v>0.35</v>
          </cell>
          <cell r="AA3362">
            <v>444.04425000000003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0</v>
          </cell>
          <cell r="O3363">
            <v>402687</v>
          </cell>
          <cell r="P3363" t="str">
            <v>(LOTE 001)</v>
          </cell>
          <cell r="Q3363" t="str">
            <v>ROLO TECIDO EL ANGOLA 04 - (GREEN) -</v>
          </cell>
          <cell r="R3363"/>
          <cell r="S3363"/>
          <cell r="T3363">
            <v>3.4</v>
          </cell>
          <cell r="U3363">
            <v>1.4</v>
          </cell>
          <cell r="V3363">
            <v>0</v>
          </cell>
          <cell r="W3363">
            <v>0</v>
          </cell>
          <cell r="X3363" t="str">
            <v>ROLO TECIDO EL ANGOLA 04 - (GREEN) - - 3,4x1,4x0H</v>
          </cell>
          <cell r="Y3363">
            <v>3217.08</v>
          </cell>
          <cell r="Z3363">
            <v>0.35</v>
          </cell>
          <cell r="AA3363">
            <v>2091.1019999999999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0</v>
          </cell>
          <cell r="O3364">
            <v>402688</v>
          </cell>
          <cell r="P3364" t="str">
            <v>(LOTE 001)</v>
          </cell>
          <cell r="Q3364" t="str">
            <v>ROLO TECIDO ALASKA - (RUSTICO) -</v>
          </cell>
          <cell r="R3364"/>
          <cell r="S3364"/>
          <cell r="T3364">
            <v>3.8</v>
          </cell>
          <cell r="U3364">
            <v>1.4</v>
          </cell>
          <cell r="V3364">
            <v>0</v>
          </cell>
          <cell r="W3364">
            <v>0</v>
          </cell>
          <cell r="X3364" t="str">
            <v>ROLO TECIDO ALASKA - (RUSTICO) - - 3,8x1,4x0H</v>
          </cell>
          <cell r="Y3364">
            <v>2772.48</v>
          </cell>
          <cell r="Z3364">
            <v>0.35</v>
          </cell>
          <cell r="AA3364">
            <v>1802.1120000000001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0</v>
          </cell>
          <cell r="O3365">
            <v>402689</v>
          </cell>
          <cell r="P3365" t="str">
            <v>(LOTE 001)</v>
          </cell>
          <cell r="Q3365" t="str">
            <v>ROLO TECIDO AURORA - (BEIGE) -</v>
          </cell>
          <cell r="R3365"/>
          <cell r="S3365"/>
          <cell r="T3365">
            <v>1.35</v>
          </cell>
          <cell r="U3365">
            <v>1.4</v>
          </cell>
          <cell r="V3365">
            <v>0</v>
          </cell>
          <cell r="W3365">
            <v>0</v>
          </cell>
          <cell r="X3365" t="str">
            <v>ROLO TECIDO AURORA - (BEIGE) - - 1,35x1,4x0H</v>
          </cell>
          <cell r="Y3365">
            <v>1381.2525000000001</v>
          </cell>
          <cell r="Z3365">
            <v>0.35</v>
          </cell>
          <cell r="AA3365">
            <v>897.8141250000001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0</v>
          </cell>
          <cell r="O3366">
            <v>402690</v>
          </cell>
          <cell r="P3366" t="str">
            <v>(LOTE 001)</v>
          </cell>
          <cell r="Q3366" t="str">
            <v>ROLO TECIDO EL MALIBU VELVET - (GREY) -</v>
          </cell>
          <cell r="R3366"/>
          <cell r="S3366"/>
          <cell r="T3366">
            <v>2</v>
          </cell>
          <cell r="U3366">
            <v>1.4</v>
          </cell>
          <cell r="V3366">
            <v>0</v>
          </cell>
          <cell r="W3366">
            <v>0</v>
          </cell>
          <cell r="X3366" t="str">
            <v>ROLO TECIDO EL MALIBU VELVET - (GREY) - - 2x1,4x0H</v>
          </cell>
          <cell r="Y3366">
            <v>1892.4</v>
          </cell>
          <cell r="Z3366">
            <v>0.35</v>
          </cell>
          <cell r="AA3366">
            <v>1230.06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0</v>
          </cell>
          <cell r="O3367">
            <v>402691</v>
          </cell>
          <cell r="P3367" t="str">
            <v>(LOTE 001)</v>
          </cell>
          <cell r="Q3367" t="str">
            <v>ROLO TECIDO MIKA - (CAMEL) -</v>
          </cell>
          <cell r="R3367"/>
          <cell r="S3367"/>
          <cell r="T3367">
            <v>3</v>
          </cell>
          <cell r="U3367">
            <v>1.4</v>
          </cell>
          <cell r="V3367">
            <v>0</v>
          </cell>
          <cell r="W3367">
            <v>0</v>
          </cell>
          <cell r="X3367" t="str">
            <v>ROLO TECIDO MIKA - (CAMEL) - - 3x1,4x0H</v>
          </cell>
          <cell r="Y3367">
            <v>3069.45</v>
          </cell>
          <cell r="Z3367">
            <v>0.35</v>
          </cell>
          <cell r="AA3367">
            <v>1995.1424999999999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0</v>
          </cell>
          <cell r="O3368">
            <v>402692</v>
          </cell>
          <cell r="P3368" t="str">
            <v>(LOTE 001)</v>
          </cell>
          <cell r="Q3368" t="str">
            <v>ROLO TECIDO O'TOP LINEN - (LINEN) -</v>
          </cell>
          <cell r="R3368"/>
          <cell r="S3368"/>
          <cell r="T3368">
            <v>4.2</v>
          </cell>
          <cell r="U3368">
            <v>1.35</v>
          </cell>
          <cell r="V3368">
            <v>0</v>
          </cell>
          <cell r="W3368">
            <v>0</v>
          </cell>
          <cell r="X3368" t="str">
            <v>ROLO TECIDO O'TOP LINEN - (LINEN) - - 4,2x1,35x0H</v>
          </cell>
          <cell r="Y3368">
            <v>1687.7700000000002</v>
          </cell>
          <cell r="Z3368">
            <v>0.35</v>
          </cell>
          <cell r="AA3368">
            <v>1097.0505000000003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0</v>
          </cell>
          <cell r="O3369">
            <v>402693</v>
          </cell>
          <cell r="P3369" t="str">
            <v>(LOTE 001)</v>
          </cell>
          <cell r="Q3369" t="str">
            <v>ROLO TECIDO EL NOVE 04 - (AQUA) -</v>
          </cell>
          <cell r="R3369"/>
          <cell r="S3369"/>
          <cell r="T3369">
            <v>1.9</v>
          </cell>
          <cell r="U3369">
            <v>1.4</v>
          </cell>
          <cell r="V3369">
            <v>0</v>
          </cell>
          <cell r="W3369">
            <v>0</v>
          </cell>
          <cell r="X3369" t="str">
            <v>ROLO TECIDO EL NOVE 04 - (AQUA) - - 1,9x1,4x0H</v>
          </cell>
          <cell r="Y3369">
            <v>1321.26</v>
          </cell>
          <cell r="Z3369">
            <v>0.35</v>
          </cell>
          <cell r="AA3369">
            <v>858.81899999999996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0</v>
          </cell>
          <cell r="O3370">
            <v>402694</v>
          </cell>
          <cell r="P3370" t="str">
            <v>(LOTE 001)</v>
          </cell>
          <cell r="Q3370" t="str">
            <v>ROLO TECIDO COVERLET - (SNOW) -</v>
          </cell>
          <cell r="R3370"/>
          <cell r="S3370"/>
          <cell r="T3370">
            <v>3.35</v>
          </cell>
          <cell r="U3370">
            <v>1.4</v>
          </cell>
          <cell r="V3370">
            <v>0</v>
          </cell>
          <cell r="W3370">
            <v>0</v>
          </cell>
          <cell r="X3370" t="str">
            <v>ROLO TECIDO COVERLET - (SNOW) - - 3,35x1,4x0H</v>
          </cell>
          <cell r="Y3370">
            <v>2329.59</v>
          </cell>
          <cell r="Z3370">
            <v>0.35</v>
          </cell>
          <cell r="AA3370">
            <v>1514.2335000000003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0</v>
          </cell>
          <cell r="O3371">
            <v>402578</v>
          </cell>
          <cell r="P3371" t="str">
            <v>(LOTE 002)</v>
          </cell>
          <cell r="Q3371" t="str">
            <v>ROLO TECIDO ABOTT - (COOPER) -</v>
          </cell>
          <cell r="R3371"/>
          <cell r="S3371"/>
          <cell r="T3371">
            <v>6.7</v>
          </cell>
          <cell r="U3371">
            <v>1.4</v>
          </cell>
          <cell r="V3371">
            <v>0</v>
          </cell>
          <cell r="W3371">
            <v>0</v>
          </cell>
          <cell r="X3371" t="str">
            <v>ROLO TECIDO ABOTT - (COOPER) - - 6,7x1,4x0H</v>
          </cell>
          <cell r="Y3371">
            <v>4219.9949999999999</v>
          </cell>
          <cell r="Z3371">
            <v>0.35</v>
          </cell>
          <cell r="AA3371">
            <v>2742.9967500000002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0</v>
          </cell>
          <cell r="O3372">
            <v>402584</v>
          </cell>
          <cell r="P3372" t="str">
            <v>(LOTE 002)</v>
          </cell>
          <cell r="Q3372" t="str">
            <v>ROLO TECIDO EGRA - (GOLDEN BEIGE) -</v>
          </cell>
          <cell r="R3372"/>
          <cell r="S3372"/>
          <cell r="T3372">
            <v>1.08</v>
          </cell>
          <cell r="U3372">
            <v>1.4</v>
          </cell>
          <cell r="V3372">
            <v>0</v>
          </cell>
          <cell r="W3372">
            <v>0</v>
          </cell>
          <cell r="X3372" t="str">
            <v>ROLO TECIDO EGRA - (GOLDEN BEIGE) - - 1,08x1,4x0H</v>
          </cell>
          <cell r="Y3372">
            <v>926.47800000000007</v>
          </cell>
          <cell r="Z3372">
            <v>0.35</v>
          </cell>
          <cell r="AA3372">
            <v>602.21070000000009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0</v>
          </cell>
          <cell r="O3373">
            <v>402605</v>
          </cell>
          <cell r="P3373" t="str">
            <v>(LOTE 002)</v>
          </cell>
          <cell r="Q3373" t="str">
            <v>ROLO TECIDO FRISEE (GUARDIAN) - (PEACHY) -</v>
          </cell>
          <cell r="R3373"/>
          <cell r="S3373"/>
          <cell r="T3373">
            <v>8.6</v>
          </cell>
          <cell r="U3373">
            <v>1.4</v>
          </cell>
          <cell r="V3373">
            <v>0</v>
          </cell>
          <cell r="W3373">
            <v>0</v>
          </cell>
          <cell r="X3373" t="str">
            <v>ROLO TECIDO FRISEE (GUARDIAN) - (PEACHY) - - 8,6x1,4x0H</v>
          </cell>
          <cell r="Y3373">
            <v>6764.76</v>
          </cell>
          <cell r="Z3373">
            <v>0.35</v>
          </cell>
          <cell r="AA3373">
            <v>4397.094000000001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0</v>
          </cell>
          <cell r="O3374">
            <v>402607</v>
          </cell>
          <cell r="P3374" t="str">
            <v>(LOTE 002)</v>
          </cell>
          <cell r="Q3374" t="str">
            <v>ROLO TECIDO KEYSTONE - (NAVY) -</v>
          </cell>
          <cell r="R3374"/>
          <cell r="S3374"/>
          <cell r="T3374">
            <v>10</v>
          </cell>
          <cell r="U3374">
            <v>1.4</v>
          </cell>
          <cell r="V3374">
            <v>0</v>
          </cell>
          <cell r="W3374">
            <v>0</v>
          </cell>
          <cell r="X3374" t="str">
            <v>ROLO TECIDO KEYSTONE - (NAVY) - - 10x1,4x0H</v>
          </cell>
          <cell r="Y3374">
            <v>5557.5</v>
          </cell>
          <cell r="Z3374">
            <v>0.35</v>
          </cell>
          <cell r="AA3374">
            <v>3612.375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0</v>
          </cell>
          <cell r="O3375">
            <v>402608</v>
          </cell>
          <cell r="P3375" t="str">
            <v>(LOTE 002)</v>
          </cell>
          <cell r="Q3375" t="str">
            <v>ROLO TECIDO ELB LUDA 129 - (LINEN) -</v>
          </cell>
          <cell r="R3375"/>
          <cell r="S3375"/>
          <cell r="T3375">
            <v>2.8</v>
          </cell>
          <cell r="U3375">
            <v>1.4</v>
          </cell>
          <cell r="V3375">
            <v>0</v>
          </cell>
          <cell r="W3375">
            <v>0</v>
          </cell>
          <cell r="X3375" t="str">
            <v>ROLO TECIDO ELB LUDA 129 - (LINEN) - - 2,8x1,4x0H</v>
          </cell>
          <cell r="Y3375">
            <v>1947.12</v>
          </cell>
          <cell r="Z3375">
            <v>0.35</v>
          </cell>
          <cell r="AA3375">
            <v>1265.6279999999999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0</v>
          </cell>
          <cell r="O3376">
            <v>402609</v>
          </cell>
          <cell r="P3376" t="str">
            <v>(LOTE 002)</v>
          </cell>
          <cell r="Q3376" t="str">
            <v>ROLO TECIDO GALLANT - (MOSAIC) -</v>
          </cell>
          <cell r="R3376"/>
          <cell r="S3376"/>
          <cell r="T3376">
            <v>5.3</v>
          </cell>
          <cell r="U3376">
            <v>1.4</v>
          </cell>
          <cell r="V3376">
            <v>0</v>
          </cell>
          <cell r="W3376">
            <v>0</v>
          </cell>
          <cell r="X3376" t="str">
            <v>ROLO TECIDO GALLANT - (MOSAIC) - - 5,3x1,4x0H</v>
          </cell>
          <cell r="Y3376">
            <v>4123.665</v>
          </cell>
          <cell r="Z3376">
            <v>0.35</v>
          </cell>
          <cell r="AA3376">
            <v>2680.3822500000001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0</v>
          </cell>
          <cell r="O3377">
            <v>402610</v>
          </cell>
          <cell r="P3377" t="str">
            <v>(LOTE 002)</v>
          </cell>
          <cell r="Q3377" t="str">
            <v>ROLO TECIDO O'FIDDLETREE - (WHITELINEN) -</v>
          </cell>
          <cell r="R3377"/>
          <cell r="S3377"/>
          <cell r="T3377">
            <v>1.25</v>
          </cell>
          <cell r="U3377">
            <v>1.4</v>
          </cell>
          <cell r="V3377">
            <v>0</v>
          </cell>
          <cell r="W3377">
            <v>0</v>
          </cell>
          <cell r="X3377" t="str">
            <v>ROLO TECIDO O'FIDDLETREE - (WHITELINEN) - - 1,25x1,4x0H</v>
          </cell>
          <cell r="Y3377">
            <v>502.3125</v>
          </cell>
          <cell r="Z3377">
            <v>0.35</v>
          </cell>
          <cell r="AA3377">
            <v>326.50312500000001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0</v>
          </cell>
          <cell r="O3378">
            <v>402611</v>
          </cell>
          <cell r="P3378" t="str">
            <v>(LOTE 002)</v>
          </cell>
          <cell r="Q3378" t="str">
            <v>ROLO TECIDO ELB LUDA 129 - (SILVER) -</v>
          </cell>
          <cell r="R3378"/>
          <cell r="S3378"/>
          <cell r="T3378">
            <v>1.2</v>
          </cell>
          <cell r="U3378">
            <v>1.4</v>
          </cell>
          <cell r="V3378">
            <v>0</v>
          </cell>
          <cell r="W3378">
            <v>0</v>
          </cell>
          <cell r="X3378" t="str">
            <v>ROLO TECIDO ELB LUDA 129 - (SILVER) - - 1,2x1,4x0H</v>
          </cell>
          <cell r="Y3378">
            <v>834.4799999999999</v>
          </cell>
          <cell r="Z3378">
            <v>0.35</v>
          </cell>
          <cell r="AA3378">
            <v>542.41200000000003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0</v>
          </cell>
          <cell r="O3379">
            <v>402612</v>
          </cell>
          <cell r="P3379" t="str">
            <v>(LOTE 002)</v>
          </cell>
          <cell r="Q3379" t="str">
            <v>ROLO TECIDO OUT VELVET - (GRIS CLARO) -</v>
          </cell>
          <cell r="R3379"/>
          <cell r="S3379"/>
          <cell r="T3379">
            <v>2.2999999999999998</v>
          </cell>
          <cell r="U3379">
            <v>1.4</v>
          </cell>
          <cell r="V3379">
            <v>0</v>
          </cell>
          <cell r="W3379">
            <v>0</v>
          </cell>
          <cell r="X3379" t="str">
            <v>ROLO TECIDO OUT VELVET - (GRIS CLARO) - - 2,3x1,4x0H</v>
          </cell>
          <cell r="Y3379">
            <v>1789.5149999999996</v>
          </cell>
          <cell r="Z3379">
            <v>0.35</v>
          </cell>
          <cell r="AA3379">
            <v>1163.1847499999999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0</v>
          </cell>
          <cell r="O3380">
            <v>402615</v>
          </cell>
          <cell r="P3380" t="str">
            <v>(LOTE 002)</v>
          </cell>
          <cell r="Q3380" t="str">
            <v>ROLO TECIDO EL LUANDO 04 - (BLUE MIX) -</v>
          </cell>
          <cell r="R3380"/>
          <cell r="S3380"/>
          <cell r="T3380">
            <v>1.2</v>
          </cell>
          <cell r="U3380">
            <v>1.4</v>
          </cell>
          <cell r="V3380">
            <v>0</v>
          </cell>
          <cell r="W3380">
            <v>0</v>
          </cell>
          <cell r="X3380" t="str">
            <v>ROLO TECIDO EL LUANDO 04 - (BLUE MIX) - - 1,2x1,4x0H</v>
          </cell>
          <cell r="Y3380">
            <v>1135.44</v>
          </cell>
          <cell r="Z3380">
            <v>0.35</v>
          </cell>
          <cell r="AA3380">
            <v>738.03600000000006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0</v>
          </cell>
          <cell r="O3381">
            <v>402616</v>
          </cell>
          <cell r="P3381" t="str">
            <v>(LOTE 002)</v>
          </cell>
          <cell r="Q3381" t="str">
            <v>ROLO TECIDO ULTRA SLEEK - (SAGE) -</v>
          </cell>
          <cell r="R3381"/>
          <cell r="S3381"/>
          <cell r="T3381">
            <v>1.5</v>
          </cell>
          <cell r="U3381">
            <v>1.4</v>
          </cell>
          <cell r="V3381">
            <v>0</v>
          </cell>
          <cell r="W3381">
            <v>0</v>
          </cell>
          <cell r="X3381" t="str">
            <v>ROLO TECIDO ULTRA SLEEK - (SAGE) - - 1,5x1,4x0H</v>
          </cell>
          <cell r="Y3381">
            <v>722.47499999999991</v>
          </cell>
          <cell r="Z3381">
            <v>0.35</v>
          </cell>
          <cell r="AA3381">
            <v>469.60874999999999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0</v>
          </cell>
          <cell r="O3382">
            <v>402618</v>
          </cell>
          <cell r="P3382" t="str">
            <v>(LOTE 002)</v>
          </cell>
          <cell r="Q3382" t="str">
            <v>ROLO TECIDO HEARTLAND - (HUNTER) -</v>
          </cell>
          <cell r="R3382"/>
          <cell r="S3382"/>
          <cell r="T3382">
            <v>2.2000000000000002</v>
          </cell>
          <cell r="U3382">
            <v>1.4</v>
          </cell>
          <cell r="V3382">
            <v>0</v>
          </cell>
          <cell r="W3382">
            <v>0</v>
          </cell>
          <cell r="X3382" t="str">
            <v>ROLO TECIDO HEARTLAND - (HUNTER) - - 2,2x1,4x0H</v>
          </cell>
          <cell r="Y3382">
            <v>1529.88</v>
          </cell>
          <cell r="Z3382">
            <v>0.35</v>
          </cell>
          <cell r="AA3382">
            <v>994.42200000000014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0</v>
          </cell>
          <cell r="O3383">
            <v>402619</v>
          </cell>
          <cell r="P3383" t="str">
            <v>(LOTE 002)</v>
          </cell>
          <cell r="Q3383" t="str">
            <v>ROLO TECIDO DELUXE - (AUTUMN) -</v>
          </cell>
          <cell r="R3383"/>
          <cell r="S3383"/>
          <cell r="T3383">
            <v>1.5</v>
          </cell>
          <cell r="U3383">
            <v>1.4</v>
          </cell>
          <cell r="V3383">
            <v>0</v>
          </cell>
          <cell r="W3383">
            <v>0</v>
          </cell>
          <cell r="X3383" t="str">
            <v>ROLO TECIDO DELUXE - (AUTUMN) - - 1,5x1,4x0H</v>
          </cell>
          <cell r="Y3383">
            <v>1043.0999999999999</v>
          </cell>
          <cell r="Z3383">
            <v>0.35</v>
          </cell>
          <cell r="AA3383">
            <v>678.01499999999999</v>
          </cell>
          <cell r="AB3383"/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0</v>
          </cell>
          <cell r="H3384">
            <v>0</v>
          </cell>
          <cell r="O3384">
            <v>402620</v>
          </cell>
          <cell r="P3384" t="str">
            <v>(LOTE 002)</v>
          </cell>
          <cell r="Q3384" t="str">
            <v>ROLO TECIDO ELB LUDA 129 - (AQUA) -</v>
          </cell>
          <cell r="R3384"/>
          <cell r="S3384"/>
          <cell r="T3384">
            <v>1</v>
          </cell>
          <cell r="U3384">
            <v>1.4</v>
          </cell>
          <cell r="V3384">
            <v>0</v>
          </cell>
          <cell r="W3384">
            <v>0</v>
          </cell>
          <cell r="X3384" t="str">
            <v>ROLO TECIDO ELB LUDA 129 - (AQUA) - - 1x1,4x0H</v>
          </cell>
          <cell r="Y3384">
            <v>695.4</v>
          </cell>
          <cell r="Z3384">
            <v>0.35</v>
          </cell>
          <cell r="AA3384">
            <v>452.01</v>
          </cell>
          <cell r="AB3384"/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H3385">
            <v>0</v>
          </cell>
          <cell r="O3385">
            <v>402622</v>
          </cell>
          <cell r="P3385" t="str">
            <v>(LOTE 002)</v>
          </cell>
          <cell r="Q3385" t="str">
            <v>ROLO TECIDO JAVA - (FENNEL) -</v>
          </cell>
          <cell r="R3385"/>
          <cell r="S3385"/>
          <cell r="T3385">
            <v>1.7</v>
          </cell>
          <cell r="U3385">
            <v>1.4</v>
          </cell>
          <cell r="V3385">
            <v>0</v>
          </cell>
          <cell r="W3385">
            <v>0</v>
          </cell>
          <cell r="X3385" t="str">
            <v>ROLO TECIDO JAVA - (FENNEL) - - 1,7x1,4x0H</v>
          </cell>
          <cell r="Y3385">
            <v>1831.4099999999999</v>
          </cell>
          <cell r="Z3385">
            <v>0.35</v>
          </cell>
          <cell r="AA3385">
            <v>1190.4164999999998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0</v>
          </cell>
          <cell r="O3386">
            <v>402698</v>
          </cell>
          <cell r="P3386" t="str">
            <v>(LOTE 002)</v>
          </cell>
          <cell r="Q3386" t="str">
            <v>ROLO TECIDO EL MEDA - (MIDNIGHT) -</v>
          </cell>
          <cell r="R3386"/>
          <cell r="S3386"/>
          <cell r="T3386">
            <v>1.41</v>
          </cell>
          <cell r="U3386">
            <v>1.4</v>
          </cell>
          <cell r="V3386">
            <v>0</v>
          </cell>
          <cell r="W3386">
            <v>0</v>
          </cell>
          <cell r="X3386" t="str">
            <v>ROLO TECIDO EL MEDA - (MIDNIGHT) - - 1,41x1,4x0H</v>
          </cell>
          <cell r="Y3386">
            <v>783.60749999999996</v>
          </cell>
          <cell r="Z3386">
            <v>0.35</v>
          </cell>
          <cell r="AA3386">
            <v>509.344875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0</v>
          </cell>
          <cell r="O3387">
            <v>402703</v>
          </cell>
          <cell r="P3387" t="str">
            <v>(LOTE 002)</v>
          </cell>
          <cell r="Q3387" t="str">
            <v>ROLO TECIDO MIKA - (CHIVE) -</v>
          </cell>
          <cell r="R3387"/>
          <cell r="S3387"/>
          <cell r="T3387">
            <v>2.1</v>
          </cell>
          <cell r="U3387">
            <v>1.4</v>
          </cell>
          <cell r="V3387">
            <v>0</v>
          </cell>
          <cell r="W3387">
            <v>0</v>
          </cell>
          <cell r="X3387" t="str">
            <v>ROLO TECIDO MIKA - (CHIVE) - - 2,1x1,4x0H</v>
          </cell>
          <cell r="Y3387">
            <v>2148.6150000000002</v>
          </cell>
          <cell r="Z3387">
            <v>0.35</v>
          </cell>
          <cell r="AA3387">
            <v>1396.5997500000003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0</v>
          </cell>
          <cell r="O3388">
            <v>402704</v>
          </cell>
          <cell r="P3388" t="str">
            <v>(LOTE 002)</v>
          </cell>
          <cell r="Q3388" t="str">
            <v>ROLO TECIDO EL MALIBU VELVET - (OLD ROSE) -</v>
          </cell>
          <cell r="R3388"/>
          <cell r="S3388"/>
          <cell r="T3388">
            <v>3.4</v>
          </cell>
          <cell r="U3388">
            <v>1.4</v>
          </cell>
          <cell r="V3388">
            <v>0</v>
          </cell>
          <cell r="W3388">
            <v>0</v>
          </cell>
          <cell r="X3388" t="str">
            <v>ROLO TECIDO EL MALIBU VELVET - (OLD ROSE) - - 3,4x1,4x0H</v>
          </cell>
          <cell r="Y3388">
            <v>3217.08</v>
          </cell>
          <cell r="Z3388">
            <v>0.35</v>
          </cell>
          <cell r="AA3388">
            <v>2091.1019999999999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0</v>
          </cell>
          <cell r="O3389">
            <v>402705</v>
          </cell>
          <cell r="P3389" t="str">
            <v>(LOTE 002)</v>
          </cell>
          <cell r="Q3389" t="str">
            <v>ROLO TECIDO TRAILS - (SPICEY) -</v>
          </cell>
          <cell r="R3389"/>
          <cell r="S3389"/>
          <cell r="T3389">
            <v>3.87</v>
          </cell>
          <cell r="U3389">
            <v>1.4</v>
          </cell>
          <cell r="V3389">
            <v>0</v>
          </cell>
          <cell r="W3389">
            <v>0</v>
          </cell>
          <cell r="X3389" t="str">
            <v>ROLO TECIDO TRAILS - (SPICEY) - - 3,87x1,4x0H</v>
          </cell>
          <cell r="Y3389">
            <v>2327.2245000000003</v>
          </cell>
          <cell r="Z3389">
            <v>0.35</v>
          </cell>
          <cell r="AA3389">
            <v>1512.6959250000002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0</v>
          </cell>
          <cell r="O3390">
            <v>402708</v>
          </cell>
          <cell r="P3390" t="str">
            <v>(LOTE 002)</v>
          </cell>
          <cell r="Q3390" t="str">
            <v>ROLO TECIDO EL NOVE 04 - (GREY) -</v>
          </cell>
          <cell r="R3390"/>
          <cell r="S3390"/>
          <cell r="T3390">
            <v>2.5499999999999998</v>
          </cell>
          <cell r="U3390">
            <v>1.4</v>
          </cell>
          <cell r="V3390">
            <v>0</v>
          </cell>
          <cell r="W3390">
            <v>0</v>
          </cell>
          <cell r="X3390" t="str">
            <v>ROLO TECIDO EL NOVE 04 - (GREY) - - 2,55x1,4x0H</v>
          </cell>
          <cell r="Y3390">
            <v>1773.2699999999998</v>
          </cell>
          <cell r="Z3390">
            <v>0.35</v>
          </cell>
          <cell r="AA3390">
            <v>1152.6254999999999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0</v>
          </cell>
          <cell r="O3391">
            <v>402709</v>
          </cell>
          <cell r="P3391" t="str">
            <v>(LOTE 002)</v>
          </cell>
          <cell r="Q3391" t="str">
            <v>ROLO TECIDO MIKA - (CHIVE) -</v>
          </cell>
          <cell r="R3391"/>
          <cell r="S3391"/>
          <cell r="T3391">
            <v>3.51</v>
          </cell>
          <cell r="U3391">
            <v>1.4</v>
          </cell>
          <cell r="V3391">
            <v>0</v>
          </cell>
          <cell r="W3391">
            <v>0</v>
          </cell>
          <cell r="X3391" t="str">
            <v>ROLO TECIDO MIKA - (CHIVE) - - 3,51x1,4x0H</v>
          </cell>
          <cell r="Y3391">
            <v>3591.2564999999995</v>
          </cell>
          <cell r="Z3391">
            <v>0.35</v>
          </cell>
          <cell r="AA3391">
            <v>2334.3167249999997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0</v>
          </cell>
          <cell r="O3392">
            <v>402710</v>
          </cell>
          <cell r="P3392" t="str">
            <v>(LOTE 002)</v>
          </cell>
          <cell r="Q3392" t="str">
            <v>ROLO TECIDO ELB LUDA 129 - (CHERRY) -</v>
          </cell>
          <cell r="R3392"/>
          <cell r="S3392"/>
          <cell r="T3392">
            <v>1.7</v>
          </cell>
          <cell r="U3392">
            <v>1.4</v>
          </cell>
          <cell r="V3392">
            <v>0</v>
          </cell>
          <cell r="W3392">
            <v>0</v>
          </cell>
          <cell r="X3392" t="str">
            <v>ROLO TECIDO ELB LUDA 129 - (CHERRY) - - 1,7x1,4x0H</v>
          </cell>
          <cell r="Y3392">
            <v>1182.1799999999998</v>
          </cell>
          <cell r="Z3392">
            <v>0.35</v>
          </cell>
          <cell r="AA3392">
            <v>768.41699999999992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0</v>
          </cell>
          <cell r="O3393">
            <v>402623</v>
          </cell>
          <cell r="P3393" t="str">
            <v>(LOTE 003)</v>
          </cell>
          <cell r="Q3393" t="str">
            <v>ROLO TECIDO ELB LUDA 129 - (SILVER) -</v>
          </cell>
          <cell r="R3393"/>
          <cell r="S3393"/>
          <cell r="T3393">
            <v>2.8</v>
          </cell>
          <cell r="U3393">
            <v>1.4</v>
          </cell>
          <cell r="V3393">
            <v>0</v>
          </cell>
          <cell r="W3393">
            <v>0</v>
          </cell>
          <cell r="X3393" t="str">
            <v>ROLO TECIDO ELB LUDA 129 - (SILVER) - - 2,8x1,4x0H</v>
          </cell>
          <cell r="Y3393">
            <v>1947.12</v>
          </cell>
          <cell r="Z3393">
            <v>0.35</v>
          </cell>
          <cell r="AA3393">
            <v>1265.6279999999999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0</v>
          </cell>
          <cell r="O3394">
            <v>402624</v>
          </cell>
          <cell r="P3394" t="str">
            <v>(LOTE 003) (FL)</v>
          </cell>
          <cell r="Q3394" t="str">
            <v>ROLO TECIDO SENEL 01 - (WARM) -</v>
          </cell>
          <cell r="R3394"/>
          <cell r="S3394"/>
          <cell r="T3394">
            <v>2.1</v>
          </cell>
          <cell r="U3394">
            <v>1.4</v>
          </cell>
          <cell r="V3394">
            <v>0</v>
          </cell>
          <cell r="W3394">
            <v>0</v>
          </cell>
          <cell r="X3394" t="str">
            <v>ROLO TECIDO SENEL 01 - (WARM) - - 2,1x1,4x0H</v>
          </cell>
          <cell r="Y3394">
            <v>544.35</v>
          </cell>
          <cell r="Z3394">
            <v>0.35</v>
          </cell>
          <cell r="AA3394">
            <v>353.82749999999999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0</v>
          </cell>
          <cell r="O3395">
            <v>402625</v>
          </cell>
          <cell r="P3395" t="str">
            <v>(LOTE 003)</v>
          </cell>
          <cell r="Q3395" t="str">
            <v>ROLO TECIDO EL LUDA 09 - (LINEN A) -</v>
          </cell>
          <cell r="R3395"/>
          <cell r="S3395"/>
          <cell r="T3395">
            <v>2.75</v>
          </cell>
          <cell r="U3395">
            <v>1.4</v>
          </cell>
          <cell r="V3395">
            <v>0</v>
          </cell>
          <cell r="W3395">
            <v>0</v>
          </cell>
          <cell r="X3395" t="str">
            <v>ROLO TECIDO EL LUDA 09 - (LINEN A) - - 2,75x1,4x0H</v>
          </cell>
          <cell r="Y3395">
            <v>2955.45</v>
          </cell>
          <cell r="Z3395">
            <v>0.35</v>
          </cell>
          <cell r="AA3395">
            <v>1921.0425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0</v>
          </cell>
          <cell r="O3396">
            <v>402626</v>
          </cell>
          <cell r="P3396" t="str">
            <v>(LOTE 003)</v>
          </cell>
          <cell r="Q3396" t="str">
            <v>ROLO TECIDO EL LUDA 09 - (LINEN A) -</v>
          </cell>
          <cell r="R3396"/>
          <cell r="S3396"/>
          <cell r="T3396">
            <v>4.5</v>
          </cell>
          <cell r="U3396">
            <v>1.4</v>
          </cell>
          <cell r="V3396">
            <v>0</v>
          </cell>
          <cell r="W3396">
            <v>0</v>
          </cell>
          <cell r="X3396" t="str">
            <v>ROLO TECIDO EL LUDA 09 - (LINEN A) - - 4,5x1,4x0H</v>
          </cell>
          <cell r="Y3396">
            <v>3129.2999999999997</v>
          </cell>
          <cell r="Z3396">
            <v>0.35</v>
          </cell>
          <cell r="AA3396">
            <v>2034.0449999999998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0</v>
          </cell>
          <cell r="O3397">
            <v>402697</v>
          </cell>
          <cell r="P3397" t="str">
            <v>(LOTE 003)</v>
          </cell>
          <cell r="Q3397" t="str">
            <v>ROLO TECIDO EL MEDA - (ICE) -</v>
          </cell>
          <cell r="R3397"/>
          <cell r="S3397"/>
          <cell r="T3397">
            <v>1.4</v>
          </cell>
          <cell r="U3397">
            <v>1.4</v>
          </cell>
          <cell r="V3397">
            <v>0</v>
          </cell>
          <cell r="W3397">
            <v>0</v>
          </cell>
          <cell r="X3397" t="str">
            <v>ROLO TECIDO EL MEDA - (ICE) - - 1,4x1,4x0H</v>
          </cell>
          <cell r="Y3397">
            <v>778.05</v>
          </cell>
          <cell r="Z3397">
            <v>0.35</v>
          </cell>
          <cell r="AA3397">
            <v>505.73250000000002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402699</v>
          </cell>
          <cell r="P3398" t="str">
            <v>(LOTE 003)</v>
          </cell>
          <cell r="Q3398" t="str">
            <v>ROLO TECIDO EL STRONG - (OLIVER GREEN) -</v>
          </cell>
          <cell r="R3398"/>
          <cell r="S3398"/>
          <cell r="T3398">
            <v>1.75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STRONG - (OLIVER GREEN) - - 1,75x1,4x0H</v>
          </cell>
          <cell r="Y3398">
            <v>1685.7749999999999</v>
          </cell>
          <cell r="Z3398">
            <v>0.35</v>
          </cell>
          <cell r="AA3398">
            <v>1095.7537499999999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402702</v>
          </cell>
          <cell r="P3399" t="str">
            <v>(LOTE 003)</v>
          </cell>
          <cell r="Q3399" t="str">
            <v>ROLO TECIDO EL LUDA 09 - (PLATINUM) -</v>
          </cell>
          <cell r="R3399"/>
          <cell r="S3399"/>
          <cell r="T3399">
            <v>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LUDA 09 - (PLATINUM) - - 3x1,4x0H</v>
          </cell>
          <cell r="Y3399">
            <v>2086.1999999999998</v>
          </cell>
          <cell r="Z3399">
            <v>0.35</v>
          </cell>
          <cell r="AA3399">
            <v>1356.03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402706</v>
          </cell>
          <cell r="P3400" t="str">
            <v>(LOTE 003)</v>
          </cell>
          <cell r="Q3400" t="str">
            <v>ROLO TECIDO EL SWISS VELVET - (NATURAL) -</v>
          </cell>
          <cell r="R3400"/>
          <cell r="S3400"/>
          <cell r="T3400">
            <v>4.0999999999999996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EL SWISS VELVET - (NATURAL) - - 4,1x1,4x0H</v>
          </cell>
          <cell r="Y3400">
            <v>3879.42</v>
          </cell>
          <cell r="Z3400">
            <v>0.35</v>
          </cell>
          <cell r="AA3400">
            <v>2521.623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404333</v>
          </cell>
          <cell r="P3401" t="str">
            <v>(LOTE 003)</v>
          </cell>
          <cell r="Q3401" t="str">
            <v>ROLO TECIDO OCTAVIA - (CALICO) -</v>
          </cell>
          <cell r="R3401"/>
          <cell r="S3401"/>
          <cell r="T3401">
            <v>2.15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OCTAVIA - (CALICO) - - 2,15x1,4x0H</v>
          </cell>
          <cell r="Y3401">
            <v>2089.4775</v>
          </cell>
          <cell r="Z3401">
            <v>0.35</v>
          </cell>
          <cell r="AA3401">
            <v>1358.1603749999999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404334</v>
          </cell>
          <cell r="P3402" t="str">
            <v>(LOTE 003)</v>
          </cell>
          <cell r="Q3402" t="str">
            <v>ROLO TECIDO MINGLE MANGLE - (MOSS) -</v>
          </cell>
          <cell r="R3402"/>
          <cell r="S3402"/>
          <cell r="T3402">
            <v>2.25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MINGLE MANGLE - (MOSS) - - 2,25x1,4x0H</v>
          </cell>
          <cell r="Y3402">
            <v>1564.6499999999999</v>
          </cell>
          <cell r="Z3402">
            <v>0.35</v>
          </cell>
          <cell r="AA3402">
            <v>1017.0224999999999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404335</v>
          </cell>
          <cell r="P3403" t="str">
            <v>(LOTE 003)</v>
          </cell>
          <cell r="Q3403" t="str">
            <v>ROLO TECIDO ELC GABON 250 - (TERRACOTA) -</v>
          </cell>
          <cell r="R3403"/>
          <cell r="S3403"/>
          <cell r="T3403">
            <v>2.2000000000000002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ELC GABON 250 - (TERRACOTA) - - 2,2x1,4x0H</v>
          </cell>
          <cell r="Y3403">
            <v>1711.71</v>
          </cell>
          <cell r="Z3403">
            <v>0.35</v>
          </cell>
          <cell r="AA3403">
            <v>1112.6115</v>
          </cell>
          <cell r="AB3403"/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0</v>
          </cell>
          <cell r="H3404">
            <v>0</v>
          </cell>
          <cell r="O3404">
            <v>404336</v>
          </cell>
          <cell r="P3404" t="str">
            <v>(LOTE 003)</v>
          </cell>
          <cell r="Q3404" t="str">
            <v>ROLO TECIDO EL MALIBU VELVET - (ROSE) -</v>
          </cell>
          <cell r="R3404"/>
          <cell r="S3404"/>
          <cell r="T3404">
            <v>2.9</v>
          </cell>
          <cell r="U3404">
            <v>1.4</v>
          </cell>
          <cell r="V3404">
            <v>0</v>
          </cell>
          <cell r="W3404">
            <v>0</v>
          </cell>
          <cell r="X3404" t="str">
            <v>ROLO TECIDO EL MALIBU VELVET - (ROSE) - - 2,9x1,4x0H</v>
          </cell>
          <cell r="Y3404">
            <v>2743.98</v>
          </cell>
          <cell r="Z3404">
            <v>0.35</v>
          </cell>
          <cell r="AA3404">
            <v>1783.587</v>
          </cell>
          <cell r="AB3404"/>
        </row>
        <row r="3405">
          <cell r="C3405">
            <v>0</v>
          </cell>
          <cell r="D3405">
            <v>0</v>
          </cell>
          <cell r="E3405">
            <v>0</v>
          </cell>
          <cell r="F3405">
            <v>0</v>
          </cell>
          <cell r="H3405">
            <v>0</v>
          </cell>
          <cell r="O3405">
            <v>404337</v>
          </cell>
          <cell r="P3405" t="str">
            <v>(LOTE 003)</v>
          </cell>
          <cell r="Q3405" t="str">
            <v>ROLO TECIDO SAMUR - (STONE) -</v>
          </cell>
          <cell r="R3405"/>
          <cell r="S3405"/>
          <cell r="T3405">
            <v>3.3</v>
          </cell>
          <cell r="U3405">
            <v>1.4</v>
          </cell>
          <cell r="V3405">
            <v>0</v>
          </cell>
          <cell r="W3405">
            <v>0</v>
          </cell>
          <cell r="X3405" t="str">
            <v>ROLO TECIDO SAMUR - (STONE) - - 3,3x1,4x0H</v>
          </cell>
          <cell r="Y3405">
            <v>752.4</v>
          </cell>
          <cell r="Z3405">
            <v>0.35</v>
          </cell>
          <cell r="AA3405">
            <v>489.06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404328</v>
          </cell>
          <cell r="P3406" t="str">
            <v>(LOTE 003) (FL)</v>
          </cell>
          <cell r="Q3406" t="str">
            <v>ROLO TECIDO SUMATRA BASIC - (PLATINUM) -</v>
          </cell>
          <cell r="R3406"/>
          <cell r="S3406"/>
          <cell r="T3406">
            <v>4.7</v>
          </cell>
          <cell r="U3406">
            <v>1.4</v>
          </cell>
          <cell r="V3406">
            <v>0</v>
          </cell>
          <cell r="W3406">
            <v>0</v>
          </cell>
          <cell r="X3406" t="str">
            <v>ROLO TECIDO SUMATRA BASIC - (PLATINUM) - - 4,7x1,4x0H</v>
          </cell>
          <cell r="Y3406">
            <v>1339.5</v>
          </cell>
          <cell r="Z3406">
            <v>0.35</v>
          </cell>
          <cell r="AA3406">
            <v>870.67499999999995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0</v>
          </cell>
          <cell r="O3407">
            <v>402695</v>
          </cell>
          <cell r="P3407" t="str">
            <v>(LOTE 004)</v>
          </cell>
          <cell r="Q3407" t="str">
            <v>ROLO TECIDO GARDENPARTY - (NATURAL) -</v>
          </cell>
          <cell r="R3407"/>
          <cell r="S3407"/>
          <cell r="T3407">
            <v>2.5</v>
          </cell>
          <cell r="U3407">
            <v>1.4</v>
          </cell>
          <cell r="V3407">
            <v>0</v>
          </cell>
          <cell r="W3407">
            <v>0</v>
          </cell>
          <cell r="X3407" t="str">
            <v>ROLO TECIDO GARDENPARTY - (NATURAL) - - 2,5x1,4x0H</v>
          </cell>
          <cell r="Y3407">
            <v>570</v>
          </cell>
          <cell r="Z3407">
            <v>0.35</v>
          </cell>
          <cell r="AA3407">
            <v>370.5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0</v>
          </cell>
          <cell r="O3408">
            <v>402700</v>
          </cell>
          <cell r="P3408" t="str">
            <v>(LOTE 004)</v>
          </cell>
          <cell r="Q3408" t="str">
            <v>ROLO TECIDO MIKA - (CAMEL) -</v>
          </cell>
          <cell r="R3408"/>
          <cell r="S3408"/>
          <cell r="T3408">
            <v>1.44</v>
          </cell>
          <cell r="U3408">
            <v>1.4</v>
          </cell>
          <cell r="V3408">
            <v>0</v>
          </cell>
          <cell r="W3408">
            <v>0</v>
          </cell>
          <cell r="X3408" t="str">
            <v>ROLO TECIDO MIKA - (CAMEL) - - 1,44x1,4x0H</v>
          </cell>
          <cell r="Y3408">
            <v>1473.336</v>
          </cell>
          <cell r="Z3408">
            <v>0.35</v>
          </cell>
          <cell r="AA3408">
            <v>957.66840000000002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0</v>
          </cell>
          <cell r="O3409">
            <v>402701</v>
          </cell>
          <cell r="P3409" t="str">
            <v>(LOTE 004)</v>
          </cell>
          <cell r="Q3409" t="str">
            <v>ROLO TECIDO NATURAMA - (SPA) -</v>
          </cell>
          <cell r="R3409"/>
          <cell r="S3409"/>
          <cell r="T3409">
            <v>1.07</v>
          </cell>
          <cell r="U3409">
            <v>1.4</v>
          </cell>
          <cell r="V3409">
            <v>0</v>
          </cell>
          <cell r="W3409">
            <v>0</v>
          </cell>
          <cell r="X3409" t="str">
            <v>ROLO TECIDO NATURAMA - (SPA) - - 1,07x1,4x0H</v>
          </cell>
          <cell r="Y3409">
            <v>859.95900000000006</v>
          </cell>
          <cell r="Z3409">
            <v>0.35</v>
          </cell>
          <cell r="AA3409">
            <v>558.97334999999998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404329</v>
          </cell>
          <cell r="P3410" t="str">
            <v>(LOTE 004)</v>
          </cell>
          <cell r="Q3410" t="str">
            <v>ROLO TECIDO JAVA - (NATURAL) -</v>
          </cell>
          <cell r="R3410"/>
          <cell r="S3410"/>
          <cell r="T3410">
            <v>4.0999999999999996</v>
          </cell>
          <cell r="U3410">
            <v>1.4</v>
          </cell>
          <cell r="V3410">
            <v>0</v>
          </cell>
          <cell r="W3410">
            <v>0</v>
          </cell>
          <cell r="X3410" t="str">
            <v>ROLO TECIDO JAVA - (NATURAL) - - 4,1x1,4x0H</v>
          </cell>
          <cell r="Y3410">
            <v>4416.9299999999994</v>
          </cell>
          <cell r="Z3410">
            <v>0.35</v>
          </cell>
          <cell r="AA3410">
            <v>2871.0045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0</v>
          </cell>
          <cell r="O3411">
            <v>404330</v>
          </cell>
          <cell r="P3411" t="str">
            <v>(LOTE 004)</v>
          </cell>
          <cell r="Q3411" t="str">
            <v>ROLO TECIDO MIKA - (CHIVE) -</v>
          </cell>
          <cell r="R3411"/>
          <cell r="S3411"/>
          <cell r="T3411">
            <v>3</v>
          </cell>
          <cell r="U3411">
            <v>1.4</v>
          </cell>
          <cell r="V3411">
            <v>0</v>
          </cell>
          <cell r="W3411">
            <v>0</v>
          </cell>
          <cell r="X3411" t="str">
            <v>ROLO TECIDO MIKA - (CHIVE) - - 3x1,4x0H</v>
          </cell>
          <cell r="Y3411">
            <v>3069.45</v>
          </cell>
          <cell r="Z3411">
            <v>0.35</v>
          </cell>
          <cell r="AA3411">
            <v>1995.1424999999999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0</v>
          </cell>
          <cell r="O3412">
            <v>404331</v>
          </cell>
          <cell r="P3412" t="str">
            <v>(LOTE 004)</v>
          </cell>
          <cell r="Q3412" t="str">
            <v>ROLO TECIDO ULTRA SLEEK - (CAMEL) -</v>
          </cell>
          <cell r="R3412"/>
          <cell r="S3412"/>
          <cell r="T3412">
            <v>5</v>
          </cell>
          <cell r="U3412">
            <v>1.4</v>
          </cell>
          <cell r="V3412">
            <v>0</v>
          </cell>
          <cell r="W3412">
            <v>0</v>
          </cell>
          <cell r="X3412" t="str">
            <v>ROLO TECIDO ULTRA SLEEK - (CAMEL) - - 5x1,4x0H</v>
          </cell>
          <cell r="Y3412">
            <v>2408.25</v>
          </cell>
          <cell r="Z3412">
            <v>0.35</v>
          </cell>
          <cell r="AA3412">
            <v>1565.3625000000002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0</v>
          </cell>
          <cell r="O3413">
            <v>404332</v>
          </cell>
          <cell r="P3413" t="str">
            <v>(LOTE 004)</v>
          </cell>
          <cell r="Q3413" t="str">
            <v>ROLO TECIDO EL LUDA 09 - (LINEN A) -</v>
          </cell>
          <cell r="R3413"/>
          <cell r="S3413"/>
          <cell r="T3413">
            <v>4.3</v>
          </cell>
          <cell r="U3413">
            <v>1.4</v>
          </cell>
          <cell r="V3413">
            <v>0</v>
          </cell>
          <cell r="W3413">
            <v>0</v>
          </cell>
          <cell r="X3413" t="str">
            <v>ROLO TECIDO EL LUDA 09 - (LINEN A) - - 4,3x1,4x0H</v>
          </cell>
          <cell r="Y3413">
            <v>2990.22</v>
          </cell>
          <cell r="Z3413">
            <v>0.35</v>
          </cell>
          <cell r="AA3413">
            <v>1943.643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404339</v>
          </cell>
          <cell r="P3414" t="str">
            <v>(LOTE 004)</v>
          </cell>
          <cell r="Q3414" t="str">
            <v>ROLO TECIDO SOFTLY - (PEACH) -</v>
          </cell>
          <cell r="R3414"/>
          <cell r="S3414"/>
          <cell r="T3414">
            <v>3</v>
          </cell>
          <cell r="U3414">
            <v>1.4</v>
          </cell>
          <cell r="V3414">
            <v>0</v>
          </cell>
          <cell r="W3414">
            <v>0</v>
          </cell>
          <cell r="X3414" t="str">
            <v>ROLO TECIDO SOFTLY - (PEACH) - - 3x1,4x0H</v>
          </cell>
          <cell r="Y3414">
            <v>478.8</v>
          </cell>
          <cell r="Z3414">
            <v>0.35</v>
          </cell>
          <cell r="AA3414">
            <v>311.22000000000003</v>
          </cell>
          <cell r="AB3414"/>
        </row>
        <row r="3415">
          <cell r="C3415">
            <v>0</v>
          </cell>
          <cell r="D3415">
            <v>0</v>
          </cell>
          <cell r="E3415">
            <v>1</v>
          </cell>
          <cell r="F3415">
            <v>0</v>
          </cell>
          <cell r="H3415">
            <v>1</v>
          </cell>
          <cell r="O3415">
            <v>179135</v>
          </cell>
          <cell r="P3415" t="str">
            <v>2015/308-0099-01</v>
          </cell>
          <cell r="Q3415" t="str">
            <v>EST PUFF THOR (NEW FINE) TC CAIRO BASIC</v>
          </cell>
          <cell r="R3415"/>
          <cell r="S3415"/>
          <cell r="T3415">
            <v>0.5</v>
          </cell>
          <cell r="U3415">
            <v>0.5</v>
          </cell>
          <cell r="V3415">
            <v>0.45</v>
          </cell>
          <cell r="W3415">
            <v>0</v>
          </cell>
          <cell r="X3415" t="str">
            <v>EST PUFF THOR (NEW FINE) TC CAIRO BASIC - 0,5x0,5x0,45H</v>
          </cell>
          <cell r="Y3415">
            <v>4756.96</v>
          </cell>
          <cell r="Z3415">
            <v>0.35</v>
          </cell>
          <cell r="AA3415">
            <v>3092.0240000000003</v>
          </cell>
          <cell r="AB3415"/>
        </row>
        <row r="3416">
          <cell r="C3416">
            <v>0</v>
          </cell>
          <cell r="D3416">
            <v>0</v>
          </cell>
          <cell r="E3416">
            <v>2</v>
          </cell>
          <cell r="F3416">
            <v>0</v>
          </cell>
          <cell r="H3416">
            <v>0</v>
          </cell>
          <cell r="O3416">
            <v>222587</v>
          </cell>
          <cell r="P3416" t="str">
            <v>2018/135-0136-01</v>
          </cell>
          <cell r="Q3416" t="str">
            <v>EST BANQUETA BAR EASY (CARVALHO NAT) LATAO ENVELHECIDO</v>
          </cell>
          <cell r="R3416"/>
          <cell r="S3416"/>
          <cell r="T3416">
            <v>0.38</v>
          </cell>
          <cell r="U3416">
            <v>0.36</v>
          </cell>
          <cell r="V3416">
            <v>0.6</v>
          </cell>
          <cell r="W3416">
            <v>0</v>
          </cell>
          <cell r="X3416" t="str">
            <v>EST BANQUETA BAR EASY (CARVALHO NAT) LATAO ENVELHECIDO - 0,38x0,36x0,6H</v>
          </cell>
          <cell r="Y3416">
            <v>25831.75</v>
          </cell>
          <cell r="Z3416">
            <v>0.5</v>
          </cell>
          <cell r="AA3416">
            <v>12915.875</v>
          </cell>
          <cell r="AB3416"/>
        </row>
        <row r="3417">
          <cell r="C3417">
            <v>0</v>
          </cell>
          <cell r="D3417">
            <v>0</v>
          </cell>
          <cell r="E3417">
            <v>1</v>
          </cell>
          <cell r="F3417">
            <v>0</v>
          </cell>
          <cell r="H3417">
            <v>0</v>
          </cell>
          <cell r="O3417">
            <v>256175</v>
          </cell>
          <cell r="P3417" t="str">
            <v>2020/345-0069-01</v>
          </cell>
          <cell r="Q3417" t="str">
            <v>EST MESA LATERAL WINNIE TP PRETO ROCCA/TP BRANCO MTX/EST PT</v>
          </cell>
          <cell r="R3417"/>
          <cell r="S3417"/>
          <cell r="T3417">
            <v>0.62</v>
          </cell>
          <cell r="U3417">
            <v>0.5</v>
          </cell>
          <cell r="V3417">
            <v>0.6</v>
          </cell>
          <cell r="W3417">
            <v>0</v>
          </cell>
          <cell r="X3417" t="str">
            <v>EST MESA LATERAL WINNIE TP PRETO ROCCA/TP BRANCO MTX/EST PT - 0,62x0,5x0,6H</v>
          </cell>
          <cell r="Y3417">
            <v>10778.76</v>
          </cell>
          <cell r="Z3417">
            <v>0.5</v>
          </cell>
          <cell r="AA3417">
            <v>5389.38</v>
          </cell>
          <cell r="AB3417"/>
        </row>
        <row r="3418">
          <cell r="C3418">
            <v>0</v>
          </cell>
          <cell r="D3418">
            <v>0</v>
          </cell>
          <cell r="E3418">
            <v>1</v>
          </cell>
          <cell r="F3418">
            <v>0</v>
          </cell>
          <cell r="H3418">
            <v>1</v>
          </cell>
          <cell r="O3418">
            <v>270465</v>
          </cell>
          <cell r="P3418" t="str">
            <v>2020/352-0110-01</v>
          </cell>
          <cell r="Q3418" t="str">
            <v>EST CADEIRA TWIN C/BRACO (GIR) (ENVELHECIDO) TC4019</v>
          </cell>
          <cell r="R3418"/>
          <cell r="S3418"/>
          <cell r="T3418">
            <v>0.51</v>
          </cell>
          <cell r="U3418">
            <v>0.6</v>
          </cell>
          <cell r="V3418">
            <v>0.83</v>
          </cell>
          <cell r="W3418">
            <v>0</v>
          </cell>
          <cell r="X3418" t="str">
            <v>EST CADEIRA TWIN C/BRACO (GIR) (ENVELHECIDO) TC4019 - 0,51x0,6x0,83H</v>
          </cell>
          <cell r="Y3418">
            <v>3776.66</v>
          </cell>
          <cell r="Z3418">
            <v>0.5</v>
          </cell>
          <cell r="AA3418">
            <v>1888.33</v>
          </cell>
          <cell r="AB3418"/>
        </row>
        <row r="3419">
          <cell r="C3419">
            <v>1</v>
          </cell>
          <cell r="D3419">
            <v>0</v>
          </cell>
          <cell r="E3419">
            <v>0</v>
          </cell>
          <cell r="F3419">
            <v>0</v>
          </cell>
          <cell r="H3419">
            <v>2</v>
          </cell>
          <cell r="O3419">
            <v>270552</v>
          </cell>
          <cell r="P3419" t="str">
            <v>2020/332-0018-01</v>
          </cell>
          <cell r="Q3419" t="str">
            <v>EST BANQUETA BAR APOLLO (MARFIM NOCCE) (FX A1094)</v>
          </cell>
          <cell r="R3419"/>
          <cell r="S3419"/>
          <cell r="T3419">
            <v>0.49</v>
          </cell>
          <cell r="U3419">
            <v>0.51</v>
          </cell>
          <cell r="V3419">
            <v>1.01</v>
          </cell>
          <cell r="W3419">
            <v>0</v>
          </cell>
          <cell r="X3419" t="str">
            <v>EST BANQUETA BAR APOLLO (MARFIM NOCCE) (FX A1094) - 0,49x0,51x1,01H</v>
          </cell>
          <cell r="Y3419">
            <v>3628.26</v>
          </cell>
          <cell r="Z3419">
            <v>0.5</v>
          </cell>
          <cell r="AA3419">
            <v>1814.13</v>
          </cell>
          <cell r="AB3419"/>
        </row>
        <row r="3420">
          <cell r="C3420">
            <v>1</v>
          </cell>
          <cell r="D3420">
            <v>0</v>
          </cell>
          <cell r="E3420">
            <v>0</v>
          </cell>
          <cell r="F3420">
            <v>0</v>
          </cell>
          <cell r="H3420">
            <v>2</v>
          </cell>
          <cell r="O3420">
            <v>270552</v>
          </cell>
          <cell r="P3420" t="str">
            <v>2020/332-0019-01</v>
          </cell>
          <cell r="Q3420" t="str">
            <v>EST BANQUETA BAR APOLLO (MARFIM NOCCE) (FX A1094)</v>
          </cell>
          <cell r="R3420"/>
          <cell r="S3420"/>
          <cell r="T3420">
            <v>0.49</v>
          </cell>
          <cell r="U3420">
            <v>0.51</v>
          </cell>
          <cell r="V3420">
            <v>1.01</v>
          </cell>
          <cell r="W3420">
            <v>0</v>
          </cell>
          <cell r="X3420" t="str">
            <v>EST BANQUETA BAR APOLLO (MARFIM NOCCE) (FX A1094) - 0,49x0,51x1,01H</v>
          </cell>
          <cell r="Y3420">
            <v>3628.26</v>
          </cell>
          <cell r="Z3420">
            <v>0.5</v>
          </cell>
          <cell r="AA3420">
            <v>1814.13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270599</v>
          </cell>
          <cell r="P3421" t="str">
            <v>2021/012-0032-01</v>
          </cell>
          <cell r="Q3421" t="str">
            <v>EST POLTRONA AMBURANA (LAMINA NOGUEIRA) TC 851036</v>
          </cell>
          <cell r="R3421"/>
          <cell r="S3421"/>
          <cell r="T3421">
            <v>0.93</v>
          </cell>
          <cell r="U3421">
            <v>0.79</v>
          </cell>
          <cell r="V3421">
            <v>0.7</v>
          </cell>
          <cell r="W3421">
            <v>0</v>
          </cell>
          <cell r="X3421" t="str">
            <v>EST POLTRONA AMBURANA (LAMINA NOGUEIRA) TC 851036 - 0,93x0,79x0,7H</v>
          </cell>
          <cell r="Y3421">
            <v>19617.46</v>
          </cell>
          <cell r="Z3421">
            <v>0.5</v>
          </cell>
          <cell r="AA3421">
            <v>9808.73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334438</v>
          </cell>
          <cell r="P3422" t="str">
            <v>2022/178-0039-01</v>
          </cell>
          <cell r="Q3422" t="str">
            <v>EST MESA CENTRO WHITE (PINT PM) (PREMIUM MARROM) (TP CER)</v>
          </cell>
          <cell r="R3422"/>
          <cell r="S3422"/>
          <cell r="T3422">
            <v>1.4</v>
          </cell>
          <cell r="U3422">
            <v>0.95</v>
          </cell>
          <cell r="V3422">
            <v>0.34</v>
          </cell>
          <cell r="W3422">
            <v>0</v>
          </cell>
          <cell r="X3422" t="str">
            <v>EST MESA CENTRO WHITE (PINT PM) (PREMIUM MARROM) (TP CER) - 1,4x0,95x0,34H</v>
          </cell>
          <cell r="Y3422">
            <v>18344.88</v>
          </cell>
          <cell r="Z3422">
            <v>0.5</v>
          </cell>
          <cell r="AA3422">
            <v>9172.44</v>
          </cell>
          <cell r="AB3422"/>
        </row>
        <row r="3423">
          <cell r="C3423">
            <v>0</v>
          </cell>
          <cell r="D3423">
            <v>0</v>
          </cell>
          <cell r="E3423">
            <v>1</v>
          </cell>
          <cell r="F3423">
            <v>0</v>
          </cell>
          <cell r="H3423">
            <v>5</v>
          </cell>
          <cell r="O3423">
            <v>336728</v>
          </cell>
          <cell r="P3423" t="str">
            <v>2022/223-0044-01</v>
          </cell>
          <cell r="Q3423" t="str">
            <v>EST CADEIRA PLIE (MAD A TAUARI ENV) COURO 74 CAMEL</v>
          </cell>
          <cell r="R3423"/>
          <cell r="S3423"/>
          <cell r="T3423">
            <v>0.47</v>
          </cell>
          <cell r="U3423">
            <v>0.55000000000000004</v>
          </cell>
          <cell r="V3423">
            <v>0.8</v>
          </cell>
          <cell r="W3423">
            <v>0</v>
          </cell>
          <cell r="X3423" t="str">
            <v>EST CADEIRA PLIE (MAD A TAUARI ENV) COURO 74 CAMEL - 0,47x0,55x0,8H</v>
          </cell>
          <cell r="Y3423">
            <v>13574.98</v>
          </cell>
          <cell r="Z3423">
            <v>0.5</v>
          </cell>
          <cell r="AA3423">
            <v>6787.49</v>
          </cell>
          <cell r="AB3423"/>
        </row>
        <row r="3424">
          <cell r="C3424">
            <v>0</v>
          </cell>
          <cell r="D3424">
            <v>0</v>
          </cell>
          <cell r="E3424">
            <v>1</v>
          </cell>
          <cell r="F3424">
            <v>0</v>
          </cell>
          <cell r="H3424">
            <v>5</v>
          </cell>
          <cell r="O3424">
            <v>336728</v>
          </cell>
          <cell r="P3424" t="str">
            <v>2022/223-0047-01</v>
          </cell>
          <cell r="Q3424" t="str">
            <v>EST CADEIRA PLIE (MAD A TAUARI ENV) COURO 74 CAMEL</v>
          </cell>
          <cell r="R3424"/>
          <cell r="S3424"/>
          <cell r="T3424">
            <v>0.47</v>
          </cell>
          <cell r="U3424">
            <v>0.55000000000000004</v>
          </cell>
          <cell r="V3424">
            <v>0.8</v>
          </cell>
          <cell r="W3424">
            <v>0</v>
          </cell>
          <cell r="X3424" t="str">
            <v>EST CADEIRA PLIE (MAD A TAUARI ENV) COURO 74 CAMEL - 0,47x0,55x0,8H</v>
          </cell>
          <cell r="Y3424">
            <v>13574.98</v>
          </cell>
          <cell r="Z3424">
            <v>0.5</v>
          </cell>
          <cell r="AA3424">
            <v>6787.49</v>
          </cell>
          <cell r="AB3424"/>
        </row>
        <row r="3425">
          <cell r="C3425">
            <v>0</v>
          </cell>
          <cell r="D3425">
            <v>0</v>
          </cell>
          <cell r="E3425">
            <v>1</v>
          </cell>
          <cell r="F3425">
            <v>0</v>
          </cell>
          <cell r="H3425">
            <v>1</v>
          </cell>
          <cell r="O3425">
            <v>232001</v>
          </cell>
          <cell r="P3425" t="str">
            <v>2019/091-0030-01</v>
          </cell>
          <cell r="Q3425" t="str">
            <v>EST MESA LATERAL MUD (PAU FERRO PRE COMP) (PRETO FSC)</v>
          </cell>
          <cell r="R3425"/>
          <cell r="S3425"/>
          <cell r="T3425">
            <v>0.7</v>
          </cell>
          <cell r="U3425">
            <v>0</v>
          </cell>
          <cell r="V3425">
            <v>0.61</v>
          </cell>
          <cell r="W3425">
            <v>0.7</v>
          </cell>
          <cell r="X3425" t="str">
            <v>EST MESA LATERAL MUD (PAU FERRO PRE COMP) (PRETO FSC) - Ø0,7x0,61H</v>
          </cell>
          <cell r="Y3425">
            <v>7668.32</v>
          </cell>
          <cell r="Z3425">
            <v>0.5</v>
          </cell>
          <cell r="AA3425">
            <v>3834.16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233555</v>
          </cell>
          <cell r="P3426" t="str">
            <v>2019/144-0037-01</v>
          </cell>
          <cell r="Q3426" t="str">
            <v>EST MESA CENTRO RAIZ (EFEITO CORTEM)</v>
          </cell>
          <cell r="R3426"/>
          <cell r="S3426"/>
          <cell r="T3426">
            <v>1.5</v>
          </cell>
          <cell r="U3426">
            <v>0.5</v>
          </cell>
          <cell r="V3426">
            <v>0.25</v>
          </cell>
          <cell r="W3426">
            <v>0</v>
          </cell>
          <cell r="X3426" t="str">
            <v>EST MESA CENTRO RAIZ (EFEITO CORTEM) - 1,5x0,5x0,25H</v>
          </cell>
          <cell r="Y3426">
            <v>25081.85</v>
          </cell>
          <cell r="Z3426">
            <v>0.35</v>
          </cell>
          <cell r="AA3426">
            <v>16303.202499999999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250021</v>
          </cell>
          <cell r="P3427" t="str">
            <v>2019/228-0010-01</v>
          </cell>
          <cell r="Q3427" t="str">
            <v>EST POLTRONA COLLANA GIR MEL ENV/EX BEGE/INT TC310</v>
          </cell>
          <cell r="R3427"/>
          <cell r="S3427"/>
          <cell r="T3427">
            <v>0.91</v>
          </cell>
          <cell r="U3427">
            <v>0.8</v>
          </cell>
          <cell r="V3427">
            <v>0.78</v>
          </cell>
          <cell r="W3427">
            <v>0</v>
          </cell>
          <cell r="X3427" t="str">
            <v>EST POLTRONA COLLANA GIR MEL ENV/EX BEGE/INT TC310 - 0,91x0,8x0,78H</v>
          </cell>
          <cell r="Y3427">
            <v>16960.96</v>
          </cell>
          <cell r="Z3427">
            <v>0.5</v>
          </cell>
          <cell r="AA3427">
            <v>8480.48</v>
          </cell>
          <cell r="AB3427"/>
        </row>
        <row r="3428">
          <cell r="C3428">
            <v>0</v>
          </cell>
          <cell r="D3428">
            <v>0</v>
          </cell>
          <cell r="E3428">
            <v>1</v>
          </cell>
          <cell r="F3428">
            <v>0</v>
          </cell>
          <cell r="H3428">
            <v>1</v>
          </cell>
          <cell r="O3428">
            <v>257362</v>
          </cell>
          <cell r="P3428" t="str">
            <v>2020/066-0035-01</v>
          </cell>
          <cell r="Q3428" t="str">
            <v>EST POLTRONA MARTHA COURISSIMO MARROM 214/PRETO</v>
          </cell>
          <cell r="R3428"/>
          <cell r="S3428"/>
          <cell r="T3428">
            <v>0.88</v>
          </cell>
          <cell r="U3428">
            <v>0.88</v>
          </cell>
          <cell r="V3428">
            <v>0.84</v>
          </cell>
          <cell r="W3428">
            <v>0</v>
          </cell>
          <cell r="X3428" t="str">
            <v>EST POLTRONA MARTHA COURISSIMO MARROM 214/PRETO - 0,88x0,88x0,84H</v>
          </cell>
          <cell r="Y3428">
            <v>9171.9500000000007</v>
          </cell>
          <cell r="Z3428">
            <v>0.5</v>
          </cell>
          <cell r="AA3428">
            <v>4585.9750000000004</v>
          </cell>
          <cell r="AB3428"/>
        </row>
        <row r="3429">
          <cell r="C3429">
            <v>0</v>
          </cell>
          <cell r="D3429">
            <v>0</v>
          </cell>
          <cell r="E3429">
            <v>1</v>
          </cell>
          <cell r="F3429">
            <v>0</v>
          </cell>
          <cell r="H3429">
            <v>1</v>
          </cell>
          <cell r="O3429">
            <v>257381</v>
          </cell>
          <cell r="P3429" t="str">
            <v>2021/070-0028-01</v>
          </cell>
          <cell r="Q3429" t="str">
            <v>EST MESA LATERAL PALITO (TP LACA CHAMPAGNE) (PES NOGUEIRA)</v>
          </cell>
          <cell r="R3429"/>
          <cell r="S3429"/>
          <cell r="T3429">
            <v>0.5</v>
          </cell>
          <cell r="U3429">
            <v>0.5</v>
          </cell>
          <cell r="V3429">
            <v>0.55000000000000004</v>
          </cell>
          <cell r="W3429">
            <v>0</v>
          </cell>
          <cell r="X3429" t="str">
            <v>EST MESA LATERAL PALITO (TP LACA CHAMPAGNE) (PES NOGUEIRA) - 0,5x0,5x0,55H</v>
          </cell>
          <cell r="Y3429">
            <v>5156.13</v>
          </cell>
          <cell r="Z3429">
            <v>0.5</v>
          </cell>
          <cell r="AA3429">
            <v>2578.0650000000001</v>
          </cell>
          <cell r="AB3429"/>
        </row>
        <row r="3430">
          <cell r="C3430">
            <v>0</v>
          </cell>
          <cell r="D3430">
            <v>0</v>
          </cell>
          <cell r="E3430">
            <v>1</v>
          </cell>
          <cell r="F3430">
            <v>0</v>
          </cell>
          <cell r="H3430">
            <v>0</v>
          </cell>
          <cell r="O3430">
            <v>268618</v>
          </cell>
          <cell r="P3430" t="str">
            <v>2021/166-0148-01</v>
          </cell>
          <cell r="Q3430" t="str">
            <v>EST MESA JANTAR LEGG (MARMORE BRANCO) (CHAMPAGNE FSC)</v>
          </cell>
          <cell r="R3430"/>
          <cell r="S3430"/>
          <cell r="T3430">
            <v>2.5</v>
          </cell>
          <cell r="U3430">
            <v>1.1000000000000001</v>
          </cell>
          <cell r="V3430">
            <v>0.75</v>
          </cell>
          <cell r="W3430">
            <v>0</v>
          </cell>
          <cell r="X3430" t="str">
            <v>EST MESA JANTAR LEGG (MARMORE BRANCO) (CHAMPAGNE FSC) - 2,5x1,1x0,75H</v>
          </cell>
          <cell r="Y3430">
            <v>107084.48</v>
          </cell>
          <cell r="Z3430">
            <v>0.5</v>
          </cell>
          <cell r="AA3430">
            <v>53542.239999999998</v>
          </cell>
          <cell r="AB3430"/>
        </row>
        <row r="3431">
          <cell r="C3431">
            <v>0</v>
          </cell>
          <cell r="D3431">
            <v>0</v>
          </cell>
          <cell r="E3431">
            <v>1</v>
          </cell>
          <cell r="F3431">
            <v>0</v>
          </cell>
          <cell r="H3431">
            <v>1</v>
          </cell>
          <cell r="O3431">
            <v>270465</v>
          </cell>
          <cell r="P3431" t="str">
            <v>2021/125-0037-01</v>
          </cell>
          <cell r="Q3431" t="str">
            <v>EST CADEIRA TWIN C/BRACO (GIR) (ENVELHECIDO) TC4019</v>
          </cell>
          <cell r="R3431"/>
          <cell r="S3431"/>
          <cell r="T3431">
            <v>0.51</v>
          </cell>
          <cell r="U3431">
            <v>0.6</v>
          </cell>
          <cell r="V3431">
            <v>0.83</v>
          </cell>
          <cell r="W3431">
            <v>0</v>
          </cell>
          <cell r="X3431" t="str">
            <v>EST CADEIRA TWIN C/BRACO (GIR) (ENVELHECIDO) TC4019 - 0,51x0,6x0,83H</v>
          </cell>
          <cell r="Y3431">
            <v>3776.66</v>
          </cell>
          <cell r="Z3431">
            <v>0.5</v>
          </cell>
          <cell r="AA3431">
            <v>1888.33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275024</v>
          </cell>
          <cell r="P3432" t="str">
            <v>2021/162-0044-01</v>
          </cell>
          <cell r="Q3432" t="str">
            <v>EST BUFFET DIXIE (TP CALACATA/LAMIANDO FREIJO/MTX M BLANC)</v>
          </cell>
          <cell r="R3432"/>
          <cell r="S3432"/>
          <cell r="T3432">
            <v>1.6</v>
          </cell>
          <cell r="U3432">
            <v>0.51</v>
          </cell>
          <cell r="V3432">
            <v>0.76</v>
          </cell>
          <cell r="W3432">
            <v>0</v>
          </cell>
          <cell r="X3432" t="str">
            <v>EST BUFFET DIXIE (TP CALACATA/LAMIANDO FREIJO/MTX M BLANC) - 1,6x0,51x0,76H</v>
          </cell>
          <cell r="Y3432">
            <v>59354.400000000001</v>
          </cell>
          <cell r="Z3432">
            <v>0.5</v>
          </cell>
          <cell r="AA3432">
            <v>29677.200000000001</v>
          </cell>
          <cell r="AB3432"/>
        </row>
        <row r="3433">
          <cell r="C3433">
            <v>0</v>
          </cell>
          <cell r="D3433">
            <v>2</v>
          </cell>
          <cell r="E3433">
            <v>1</v>
          </cell>
          <cell r="F3433">
            <v>0</v>
          </cell>
          <cell r="H3433">
            <v>1</v>
          </cell>
          <cell r="O3433">
            <v>275032</v>
          </cell>
          <cell r="P3433" t="str">
            <v>2021/162-0047-01</v>
          </cell>
          <cell r="Q3433" t="str">
            <v>EST POLTRONA CAIOBA GIRATORIA (TECIDO LINHO MISTO BEGE)</v>
          </cell>
          <cell r="R3433"/>
          <cell r="S3433"/>
          <cell r="T3433">
            <v>0.64</v>
          </cell>
          <cell r="U3433">
            <v>0.63</v>
          </cell>
          <cell r="V3433">
            <v>0.83</v>
          </cell>
          <cell r="W3433">
            <v>0</v>
          </cell>
          <cell r="X3433" t="str">
            <v>EST POLTRONA CAIOBA GIRATORIA (TECIDO LINHO MISTO BEGE) - 0,64x0,63x0,83H</v>
          </cell>
          <cell r="Y3433">
            <v>10240.91</v>
          </cell>
          <cell r="Z3433">
            <v>0.5</v>
          </cell>
          <cell r="AA3433">
            <v>5120.4549999999999</v>
          </cell>
          <cell r="AB3433"/>
        </row>
        <row r="3434">
          <cell r="C3434">
            <v>0</v>
          </cell>
          <cell r="D3434">
            <v>2</v>
          </cell>
          <cell r="E3434">
            <v>1</v>
          </cell>
          <cell r="F3434">
            <v>0</v>
          </cell>
          <cell r="H3434">
            <v>1</v>
          </cell>
          <cell r="O3434">
            <v>275032</v>
          </cell>
          <cell r="P3434" t="str">
            <v>2021/162-0049-01</v>
          </cell>
          <cell r="Q3434" t="str">
            <v>EST POLTRONA CAIOBA GIRATORIA (TECIDO LINHO MISTO BEGE)</v>
          </cell>
          <cell r="R3434"/>
          <cell r="S3434"/>
          <cell r="T3434">
            <v>0.64</v>
          </cell>
          <cell r="U3434">
            <v>0.63</v>
          </cell>
          <cell r="V3434">
            <v>0.83</v>
          </cell>
          <cell r="W3434">
            <v>0</v>
          </cell>
          <cell r="X3434" t="str">
            <v>EST POLTRONA CAIOBA GIRATORIA (TECIDO LINHO MISTO BEGE) - 0,64x0,63x0,83H</v>
          </cell>
          <cell r="Y3434">
            <v>10240.91</v>
          </cell>
          <cell r="Z3434">
            <v>0.5</v>
          </cell>
          <cell r="AA3434">
            <v>5120.4549999999999</v>
          </cell>
          <cell r="AB3434"/>
        </row>
        <row r="3435">
          <cell r="C3435">
            <v>0</v>
          </cell>
          <cell r="D3435">
            <v>0</v>
          </cell>
          <cell r="E3435">
            <v>1</v>
          </cell>
          <cell r="F3435">
            <v>0</v>
          </cell>
          <cell r="H3435">
            <v>3</v>
          </cell>
          <cell r="O3435">
            <v>308800</v>
          </cell>
          <cell r="P3435" t="str">
            <v>2022/032-0060-01</v>
          </cell>
          <cell r="Q3435" t="str">
            <v>EST CADEIRA 60 C/BRACO (EUC TABACO) CS0125/BOUT COURO CAMEL</v>
          </cell>
          <cell r="R3435"/>
          <cell r="S3435"/>
          <cell r="T3435">
            <v>0.56000000000000005</v>
          </cell>
          <cell r="U3435">
            <v>0.59</v>
          </cell>
          <cell r="V3435">
            <v>0.84</v>
          </cell>
          <cell r="W3435">
            <v>0</v>
          </cell>
          <cell r="X3435" t="str">
            <v>EST CADEIRA 60 C/BRACO (EUC TABACO) CS0125/BOUT COURO CAMEL - 0,56x0,59x0,84H</v>
          </cell>
          <cell r="Y3435">
            <v>7016.8</v>
          </cell>
          <cell r="Z3435">
            <v>0.35</v>
          </cell>
          <cell r="AA3435">
            <v>4560.92</v>
          </cell>
          <cell r="AB3435"/>
        </row>
        <row r="3436">
          <cell r="C3436">
            <v>0</v>
          </cell>
          <cell r="D3436">
            <v>0</v>
          </cell>
          <cell r="E3436">
            <v>1</v>
          </cell>
          <cell r="F3436">
            <v>0</v>
          </cell>
          <cell r="H3436">
            <v>1</v>
          </cell>
          <cell r="O3436">
            <v>361510</v>
          </cell>
          <cell r="P3436" t="str">
            <v>2023/053-0010-01</v>
          </cell>
          <cell r="Q3436" t="str">
            <v>EST CADEIRA JOY LUX (TC2078/22TELA DUPLA) (SUP1 TING PRETO)</v>
          </cell>
          <cell r="R3436"/>
          <cell r="S3436"/>
          <cell r="T3436">
            <v>0.52</v>
          </cell>
          <cell r="U3436">
            <v>0.52</v>
          </cell>
          <cell r="V3436">
            <v>0.75</v>
          </cell>
          <cell r="W3436">
            <v>0</v>
          </cell>
          <cell r="X3436" t="str">
            <v>EST CADEIRA JOY LUX (TC2078/22TELA DUPLA) (SUP1 TING PRETO) - 0,52x0,52x0,75H</v>
          </cell>
          <cell r="Y3436">
            <v>4522.72</v>
          </cell>
          <cell r="Z3436">
            <v>0.5</v>
          </cell>
          <cell r="AA3436">
            <v>2261.36</v>
          </cell>
          <cell r="AB3436"/>
        </row>
        <row r="3437">
          <cell r="C3437">
            <v>0</v>
          </cell>
          <cell r="D3437">
            <v>0</v>
          </cell>
          <cell r="E3437">
            <v>1</v>
          </cell>
          <cell r="F3437">
            <v>0</v>
          </cell>
          <cell r="H3437">
            <v>1</v>
          </cell>
          <cell r="O3437">
            <v>361510</v>
          </cell>
          <cell r="P3437" t="str">
            <v>2023/053-0011-01</v>
          </cell>
          <cell r="Q3437" t="str">
            <v>EST CADEIRA JOY LUX (TC2078/22TELA DUPLA) (SUP1 TING PRETO)</v>
          </cell>
          <cell r="R3437"/>
          <cell r="S3437"/>
          <cell r="T3437">
            <v>0.52</v>
          </cell>
          <cell r="U3437">
            <v>0.52</v>
          </cell>
          <cell r="V3437">
            <v>0.75</v>
          </cell>
          <cell r="W3437">
            <v>0</v>
          </cell>
          <cell r="X3437" t="str">
            <v>EST CADEIRA JOY LUX (TC2078/22TELA DUPLA) (SUP1 TING PRETO) - 0,52x0,52x0,75H</v>
          </cell>
          <cell r="Y3437">
            <v>4522.72</v>
          </cell>
          <cell r="Z3437">
            <v>0.5</v>
          </cell>
          <cell r="AA3437">
            <v>2261.36</v>
          </cell>
          <cell r="AB3437"/>
        </row>
        <row r="3438">
          <cell r="C3438">
            <v>0</v>
          </cell>
          <cell r="D3438">
            <v>0</v>
          </cell>
          <cell r="E3438">
            <v>1</v>
          </cell>
          <cell r="F3438">
            <v>0</v>
          </cell>
          <cell r="H3438">
            <v>3</v>
          </cell>
          <cell r="O3438">
            <v>336726</v>
          </cell>
          <cell r="P3438" t="str">
            <v>2022/223-0041-01</v>
          </cell>
          <cell r="Q3438" t="str">
            <v>EST CADEIRA NINA (MAD A CINAM CALRIF) 74 CAMEL/SEXT TING</v>
          </cell>
          <cell r="R3438"/>
          <cell r="S3438"/>
          <cell r="T3438">
            <v>0.5</v>
          </cell>
          <cell r="U3438">
            <v>0.61</v>
          </cell>
          <cell r="V3438">
            <v>0.88</v>
          </cell>
          <cell r="W3438">
            <v>0</v>
          </cell>
          <cell r="X3438" t="str">
            <v>EST CADEIRA NINA (MAD A CINAM CALRIF) 74 CAMEL/SEXT TING - 0,5x0,61x0,88H</v>
          </cell>
          <cell r="Y3438">
            <v>9481.4500000000007</v>
          </cell>
          <cell r="Z3438">
            <v>0.5</v>
          </cell>
          <cell r="AA3438">
            <v>4740.7250000000004</v>
          </cell>
          <cell r="AB3438"/>
        </row>
        <row r="3439">
          <cell r="C3439">
            <v>0</v>
          </cell>
          <cell r="D3439">
            <v>0</v>
          </cell>
          <cell r="E3439">
            <v>1</v>
          </cell>
          <cell r="F3439">
            <v>0</v>
          </cell>
          <cell r="H3439">
            <v>3</v>
          </cell>
          <cell r="O3439">
            <v>336726</v>
          </cell>
          <cell r="P3439" t="str">
            <v>2022/223-0042-01</v>
          </cell>
          <cell r="Q3439" t="str">
            <v>EST CADEIRA NINA (MAD A CINAM CALRIF) 74 CAMEL/SEXT TING</v>
          </cell>
          <cell r="R3439"/>
          <cell r="S3439"/>
          <cell r="T3439">
            <v>0.5</v>
          </cell>
          <cell r="U3439">
            <v>0.61</v>
          </cell>
          <cell r="V3439">
            <v>0.88</v>
          </cell>
          <cell r="W3439">
            <v>0</v>
          </cell>
          <cell r="X3439" t="str">
            <v>EST CADEIRA NINA (MAD A CINAM CALRIF) 74 CAMEL/SEXT TING - 0,5x0,61x0,88H</v>
          </cell>
          <cell r="Y3439">
            <v>9481.4500000000007</v>
          </cell>
          <cell r="Z3439">
            <v>0.5</v>
          </cell>
          <cell r="AA3439">
            <v>4740.7250000000004</v>
          </cell>
          <cell r="AB3439"/>
        </row>
        <row r="3440">
          <cell r="C3440">
            <v>0</v>
          </cell>
          <cell r="D3440">
            <v>0</v>
          </cell>
          <cell r="E3440">
            <v>1</v>
          </cell>
          <cell r="F3440">
            <v>0</v>
          </cell>
          <cell r="H3440">
            <v>0</v>
          </cell>
          <cell r="O3440">
            <v>203123</v>
          </cell>
          <cell r="P3440" t="str">
            <v>2016/313-0281-01</v>
          </cell>
          <cell r="Q3440" t="str">
            <v>EST MESA LATERAL LOLA (FREIJO NATURAL)</v>
          </cell>
          <cell r="R3440"/>
          <cell r="S3440"/>
          <cell r="T3440">
            <v>0.5</v>
          </cell>
          <cell r="U3440">
            <v>0.5</v>
          </cell>
          <cell r="V3440">
            <v>0.5</v>
          </cell>
          <cell r="W3440">
            <v>0</v>
          </cell>
          <cell r="X3440" t="str">
            <v>EST MESA LATERAL LOLA (FREIJO NATURAL) - 0,5x0,5x0,5H</v>
          </cell>
          <cell r="Y3440">
            <v>5672.9</v>
          </cell>
          <cell r="Z3440">
            <v>0.35</v>
          </cell>
          <cell r="AA3440">
            <v>3687.3850000000002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203124</v>
          </cell>
          <cell r="P3441" t="str">
            <v>2016/313-0282-01</v>
          </cell>
          <cell r="Q3441" t="str">
            <v>EST MESA LATERAL LOLA (FREIJO NATURAL)</v>
          </cell>
          <cell r="R3441"/>
          <cell r="S3441"/>
          <cell r="T3441">
            <v>0.6</v>
          </cell>
          <cell r="U3441">
            <v>0.6</v>
          </cell>
          <cell r="V3441">
            <v>0.6</v>
          </cell>
          <cell r="W3441">
            <v>0</v>
          </cell>
          <cell r="X3441" t="str">
            <v>EST MESA LATERAL LOLA (FREIJO NATURAL) - 0,6x0,6x0,6H</v>
          </cell>
          <cell r="Y3441">
            <v>5672.9</v>
          </cell>
          <cell r="Z3441">
            <v>0.35</v>
          </cell>
          <cell r="AA3441">
            <v>3687.3850000000002</v>
          </cell>
          <cell r="AB3441"/>
        </row>
        <row r="3442">
          <cell r="C3442">
            <v>0</v>
          </cell>
          <cell r="D3442">
            <v>0</v>
          </cell>
          <cell r="E3442">
            <v>1</v>
          </cell>
          <cell r="F3442">
            <v>0</v>
          </cell>
          <cell r="H3442">
            <v>0</v>
          </cell>
          <cell r="O3442">
            <v>407115</v>
          </cell>
          <cell r="P3442" t="str">
            <v>2025/211-0002-01</v>
          </cell>
          <cell r="Q3442" t="str">
            <v>EST SOFA JOPLIN TC D4235</v>
          </cell>
          <cell r="R3442"/>
          <cell r="S3442"/>
          <cell r="T3442">
            <v>2.8</v>
          </cell>
          <cell r="U3442">
            <v>0.9</v>
          </cell>
          <cell r="V3442">
            <v>0.84</v>
          </cell>
          <cell r="W3442">
            <v>0</v>
          </cell>
          <cell r="X3442" t="str">
            <v>EST SOFA JOPLIN TC D4235 - 2,8x0,9x0,84H</v>
          </cell>
          <cell r="Y3442">
            <v>21586.7</v>
          </cell>
          <cell r="Z3442">
            <v>0.35</v>
          </cell>
          <cell r="AA3442">
            <v>14031.355000000001</v>
          </cell>
          <cell r="AB3442"/>
        </row>
        <row r="3443">
          <cell r="C3443">
            <v>0</v>
          </cell>
          <cell r="D3443">
            <v>0</v>
          </cell>
          <cell r="E3443">
            <v>2</v>
          </cell>
          <cell r="F3443">
            <v>0</v>
          </cell>
          <cell r="H3443">
            <v>0</v>
          </cell>
          <cell r="O3443">
            <v>222587</v>
          </cell>
          <cell r="P3443" t="str">
            <v>2018/135-0137-01</v>
          </cell>
          <cell r="Q3443" t="str">
            <v>EST BANQUETA BAR EASY (CARVALHO NAT) LATAO ENVELHECIDO</v>
          </cell>
          <cell r="R3443"/>
          <cell r="S3443"/>
          <cell r="T3443">
            <v>0.38</v>
          </cell>
          <cell r="U3443">
            <v>0.36</v>
          </cell>
          <cell r="V3443">
            <v>0.6</v>
          </cell>
          <cell r="W3443">
            <v>0</v>
          </cell>
          <cell r="X3443" t="str">
            <v>EST BANQUETA BAR EASY (CARVALHO NAT) LATAO ENVELHECIDO - 0,38x0,36x0,6H</v>
          </cell>
          <cell r="Y3443">
            <v>25831.75</v>
          </cell>
          <cell r="Z3443">
            <v>0.5</v>
          </cell>
          <cell r="AA3443">
            <v>12915.875</v>
          </cell>
          <cell r="AB3443"/>
        </row>
        <row r="3444">
          <cell r="C3444">
            <v>0</v>
          </cell>
          <cell r="D3444">
            <v>1</v>
          </cell>
          <cell r="E3444">
            <v>0</v>
          </cell>
          <cell r="F3444">
            <v>0</v>
          </cell>
          <cell r="H3444">
            <v>0</v>
          </cell>
          <cell r="O3444">
            <v>223605</v>
          </cell>
          <cell r="P3444" t="str">
            <v>2018/191-0043-01</v>
          </cell>
          <cell r="Q3444" t="str">
            <v>EST MESA LATERAL TRIBO (A) H50 (LACA PADRAO FOSCA J155)</v>
          </cell>
          <cell r="R3444"/>
          <cell r="S3444"/>
          <cell r="T3444">
            <v>0.41</v>
          </cell>
          <cell r="U3444">
            <v>0</v>
          </cell>
          <cell r="V3444">
            <v>0.5</v>
          </cell>
          <cell r="W3444">
            <v>0</v>
          </cell>
          <cell r="X3444" t="str">
            <v>EST MESA LATERAL TRIBO (A) H50 (LACA PADRAO FOSCA J155) - Ø0x0,5H</v>
          </cell>
          <cell r="Y3444">
            <v>6706.56</v>
          </cell>
          <cell r="Z3444">
            <v>0.5</v>
          </cell>
          <cell r="AA3444">
            <v>3353.28</v>
          </cell>
          <cell r="AB3444"/>
        </row>
        <row r="3445">
          <cell r="C3445">
            <v>0</v>
          </cell>
          <cell r="D3445">
            <v>7</v>
          </cell>
          <cell r="E3445">
            <v>1</v>
          </cell>
          <cell r="F3445">
            <v>0</v>
          </cell>
          <cell r="H3445">
            <v>0</v>
          </cell>
          <cell r="O3445">
            <v>336646</v>
          </cell>
          <cell r="P3445" t="str">
            <v>2022/298-0082-01</v>
          </cell>
          <cell r="Q3445" t="str">
            <v>EST CADEIRA CLARA (JEQ TING NOG) (ESTOF) (C4 PINHAO)</v>
          </cell>
          <cell r="R3445"/>
          <cell r="S3445"/>
          <cell r="T3445">
            <v>0.48</v>
          </cell>
          <cell r="U3445">
            <v>0.56999999999999995</v>
          </cell>
          <cell r="V3445">
            <v>0.86</v>
          </cell>
          <cell r="W3445">
            <v>0</v>
          </cell>
          <cell r="X3445" t="str">
            <v>EST CADEIRA CLARA (JEQ TING NOG) (ESTOF) (C4 PINHAO) - 0,48x0,57x0,86H</v>
          </cell>
          <cell r="Y3445">
            <v>8042.5</v>
          </cell>
          <cell r="Z3445">
            <v>0.5</v>
          </cell>
          <cell r="AA3445">
            <v>4021.25</v>
          </cell>
          <cell r="AB3445"/>
        </row>
        <row r="3446">
          <cell r="C3446">
            <v>1</v>
          </cell>
          <cell r="D3446">
            <v>2</v>
          </cell>
          <cell r="E3446">
            <v>0</v>
          </cell>
          <cell r="F3446">
            <v>0</v>
          </cell>
          <cell r="H3446">
            <v>0</v>
          </cell>
          <cell r="O3446">
            <v>274743</v>
          </cell>
          <cell r="P3446" t="str">
            <v>2021/109-0101-01</v>
          </cell>
          <cell r="Q3446" t="str">
            <v>EST MESA LATERAL ALEXANDRIA (TP MARM NERO) (BS MTZ CAPUCC)</v>
          </cell>
          <cell r="R3446"/>
          <cell r="S3446"/>
          <cell r="T3446">
            <v>0.4</v>
          </cell>
          <cell r="U3446">
            <v>0</v>
          </cell>
          <cell r="V3446">
            <v>0.5</v>
          </cell>
          <cell r="W3446">
            <v>0.4</v>
          </cell>
          <cell r="X3446" t="str">
            <v>EST MESA LATERAL ALEXANDRIA (TP MARM NERO) (BS MTZ CAPUCC) - Ø0,4x0,5H</v>
          </cell>
          <cell r="Y3446">
            <v>12211.81</v>
          </cell>
          <cell r="Z3446">
            <v>0.35</v>
          </cell>
          <cell r="AA3446">
            <v>7937.6764999999996</v>
          </cell>
          <cell r="AB3446"/>
        </row>
        <row r="3447">
          <cell r="C3447">
            <v>0</v>
          </cell>
          <cell r="D3447">
            <v>7</v>
          </cell>
          <cell r="E3447">
            <v>1</v>
          </cell>
          <cell r="F3447">
            <v>0</v>
          </cell>
          <cell r="H3447">
            <v>0</v>
          </cell>
          <cell r="O3447">
            <v>336646</v>
          </cell>
          <cell r="P3447" t="str">
            <v>2022/298-0081-01</v>
          </cell>
          <cell r="Q3447" t="str">
            <v>EST CADEIRA CLARA (JEQ TING NOG) (ESTOF) (C4 PINHAO)</v>
          </cell>
          <cell r="R3447"/>
          <cell r="S3447"/>
          <cell r="T3447">
            <v>0.48</v>
          </cell>
          <cell r="U3447">
            <v>0.56999999999999995</v>
          </cell>
          <cell r="V3447">
            <v>0.86</v>
          </cell>
          <cell r="W3447">
            <v>0</v>
          </cell>
          <cell r="X3447" t="str">
            <v>EST CADEIRA CLARA (JEQ TING NOG) (ESTOF) (C4 PINHAO) - 0,48x0,57x0,86H</v>
          </cell>
          <cell r="Y3447">
            <v>8042.5</v>
          </cell>
          <cell r="Z3447">
            <v>0.5</v>
          </cell>
          <cell r="AA3447">
            <v>4021.25</v>
          </cell>
          <cell r="AB3447"/>
        </row>
        <row r="3448">
          <cell r="C3448">
            <v>0</v>
          </cell>
          <cell r="D3448">
            <v>7</v>
          </cell>
          <cell r="E3448">
            <v>1</v>
          </cell>
          <cell r="F3448">
            <v>0</v>
          </cell>
          <cell r="H3448">
            <v>0</v>
          </cell>
          <cell r="O3448">
            <v>336646</v>
          </cell>
          <cell r="P3448" t="str">
            <v>2022/298-0083-01</v>
          </cell>
          <cell r="Q3448" t="str">
            <v>EST CADEIRA CLARA (JEQ TING NOG) (ESTOF) (C4 PINHAO)</v>
          </cell>
          <cell r="R3448"/>
          <cell r="S3448"/>
          <cell r="T3448">
            <v>0.48</v>
          </cell>
          <cell r="U3448">
            <v>0.56999999999999995</v>
          </cell>
          <cell r="V3448">
            <v>0.86</v>
          </cell>
          <cell r="W3448">
            <v>0</v>
          </cell>
          <cell r="X3448" t="str">
            <v>EST CADEIRA CLARA (JEQ TING NOG) (ESTOF) (C4 PINHAO) - 0,48x0,57x0,86H</v>
          </cell>
          <cell r="Y3448">
            <v>8042.5</v>
          </cell>
          <cell r="Z3448">
            <v>0.5</v>
          </cell>
          <cell r="AA3448">
            <v>4021.25</v>
          </cell>
          <cell r="AB3448"/>
        </row>
        <row r="3449">
          <cell r="C3449">
            <v>0</v>
          </cell>
          <cell r="D3449">
            <v>7</v>
          </cell>
          <cell r="E3449">
            <v>1</v>
          </cell>
          <cell r="F3449">
            <v>0</v>
          </cell>
          <cell r="H3449">
            <v>0</v>
          </cell>
          <cell r="O3449">
            <v>336646</v>
          </cell>
          <cell r="P3449" t="str">
            <v>2022/298-0084-01</v>
          </cell>
          <cell r="Q3449" t="str">
            <v>EST CADEIRA CLARA (JEQ TING NOG) (ESTOF) (C4 PINHAO)</v>
          </cell>
          <cell r="R3449"/>
          <cell r="S3449"/>
          <cell r="T3449">
            <v>0.48</v>
          </cell>
          <cell r="U3449">
            <v>0.56999999999999995</v>
          </cell>
          <cell r="V3449">
            <v>0.86</v>
          </cell>
          <cell r="W3449">
            <v>0</v>
          </cell>
          <cell r="X3449" t="str">
            <v>EST CADEIRA CLARA (JEQ TING NOG) (ESTOF) (C4 PINHAO) - 0,48x0,57x0,86H</v>
          </cell>
          <cell r="Y3449">
            <v>8042.5</v>
          </cell>
          <cell r="Z3449">
            <v>0.5</v>
          </cell>
          <cell r="AA3449">
            <v>4021.25</v>
          </cell>
          <cell r="AB3449"/>
        </row>
        <row r="3450">
          <cell r="C3450">
            <v>0</v>
          </cell>
          <cell r="D3450">
            <v>7</v>
          </cell>
          <cell r="E3450">
            <v>1</v>
          </cell>
          <cell r="F3450">
            <v>0</v>
          </cell>
          <cell r="H3450">
            <v>0</v>
          </cell>
          <cell r="O3450">
            <v>336646</v>
          </cell>
          <cell r="P3450" t="str">
            <v>2022/298-0087-01</v>
          </cell>
          <cell r="Q3450" t="str">
            <v>EST CADEIRA CLARA (JEQ TING NOG) (ESTOF) (C4 PINHAO)</v>
          </cell>
          <cell r="R3450"/>
          <cell r="S3450"/>
          <cell r="T3450">
            <v>0.48</v>
          </cell>
          <cell r="U3450">
            <v>0.56999999999999995</v>
          </cell>
          <cell r="V3450">
            <v>0.86</v>
          </cell>
          <cell r="W3450">
            <v>0</v>
          </cell>
          <cell r="X3450" t="str">
            <v>EST CADEIRA CLARA (JEQ TING NOG) (ESTOF) (C4 PINHAO) - 0,48x0,57x0,86H</v>
          </cell>
          <cell r="Y3450">
            <v>8042.5</v>
          </cell>
          <cell r="Z3450">
            <v>0.5</v>
          </cell>
          <cell r="AA3450">
            <v>4021.25</v>
          </cell>
          <cell r="AB3450"/>
        </row>
        <row r="3451">
          <cell r="C3451">
            <v>0</v>
          </cell>
          <cell r="D3451">
            <v>7</v>
          </cell>
          <cell r="E3451">
            <v>1</v>
          </cell>
          <cell r="F3451">
            <v>0</v>
          </cell>
          <cell r="H3451">
            <v>0</v>
          </cell>
          <cell r="O3451">
            <v>336646</v>
          </cell>
          <cell r="P3451" t="str">
            <v>2022/298-0088-01</v>
          </cell>
          <cell r="Q3451" t="str">
            <v>EST CADEIRA CLARA (JEQ TING NOG) (ESTOF) (C4 PINHAO)</v>
          </cell>
          <cell r="R3451"/>
          <cell r="S3451"/>
          <cell r="T3451">
            <v>0.48</v>
          </cell>
          <cell r="U3451">
            <v>0.56999999999999995</v>
          </cell>
          <cell r="V3451">
            <v>0.86</v>
          </cell>
          <cell r="W3451">
            <v>0</v>
          </cell>
          <cell r="X3451" t="str">
            <v>EST CADEIRA CLARA (JEQ TING NOG) (ESTOF) (C4 PINHAO) - 0,48x0,57x0,86H</v>
          </cell>
          <cell r="Y3451">
            <v>8042.5</v>
          </cell>
          <cell r="Z3451">
            <v>0.5</v>
          </cell>
          <cell r="AA3451">
            <v>4021.25</v>
          </cell>
          <cell r="AB3451"/>
        </row>
        <row r="3452">
          <cell r="C3452">
            <v>0</v>
          </cell>
          <cell r="D3452">
            <v>7</v>
          </cell>
          <cell r="E3452">
            <v>1</v>
          </cell>
          <cell r="F3452">
            <v>0</v>
          </cell>
          <cell r="H3452">
            <v>0</v>
          </cell>
          <cell r="O3452">
            <v>336646</v>
          </cell>
          <cell r="P3452" t="str">
            <v>2022/298-0085-01</v>
          </cell>
          <cell r="Q3452" t="str">
            <v>EST CADEIRA CLARA (JEQ TING NOG) (ESTOF) (C4 PINHAO)</v>
          </cell>
          <cell r="R3452"/>
          <cell r="S3452"/>
          <cell r="T3452">
            <v>0.48</v>
          </cell>
          <cell r="U3452">
            <v>0.56999999999999995</v>
          </cell>
          <cell r="V3452">
            <v>0.86</v>
          </cell>
          <cell r="W3452">
            <v>0</v>
          </cell>
          <cell r="X3452" t="str">
            <v>EST CADEIRA CLARA (JEQ TING NOG) (ESTOF) (C4 PINHAO) - 0,48x0,57x0,86H</v>
          </cell>
          <cell r="Y3452">
            <v>8042.5</v>
          </cell>
          <cell r="Z3452">
            <v>0.5</v>
          </cell>
          <cell r="AA3452">
            <v>4021.25</v>
          </cell>
          <cell r="AB3452"/>
        </row>
        <row r="3453">
          <cell r="C3453">
            <v>0</v>
          </cell>
          <cell r="D3453">
            <v>1</v>
          </cell>
          <cell r="E3453">
            <v>0</v>
          </cell>
          <cell r="F3453">
            <v>0</v>
          </cell>
          <cell r="H3453">
            <v>0</v>
          </cell>
          <cell r="O3453">
            <v>399497</v>
          </cell>
          <cell r="P3453" t="str">
            <v>2025/017-0013-01</v>
          </cell>
          <cell r="Q3453" t="str">
            <v>EST SOFA ELLUS (FX D4009) (CARVALHO)</v>
          </cell>
          <cell r="R3453"/>
          <cell r="S3453"/>
          <cell r="T3453">
            <v>3</v>
          </cell>
          <cell r="U3453">
            <v>1</v>
          </cell>
          <cell r="V3453">
            <v>0.82</v>
          </cell>
          <cell r="W3453">
            <v>0</v>
          </cell>
          <cell r="X3453" t="str">
            <v>EST SOFA ELLUS (FX D4009) (CARVALHO) - 3x1x0,82H</v>
          </cell>
          <cell r="Y3453">
            <v>25817.88</v>
          </cell>
          <cell r="Z3453">
            <v>0.35</v>
          </cell>
          <cell r="AA3453">
            <v>16781.622000000003</v>
          </cell>
          <cell r="AB3453"/>
        </row>
        <row r="3454">
          <cell r="C3454">
            <v>0</v>
          </cell>
          <cell r="D3454">
            <v>2</v>
          </cell>
          <cell r="E3454">
            <v>0</v>
          </cell>
          <cell r="F3454">
            <v>0</v>
          </cell>
          <cell r="H3454">
            <v>0</v>
          </cell>
          <cell r="O3454">
            <v>223303</v>
          </cell>
          <cell r="P3454" t="str">
            <v>2018/184-0136-01</v>
          </cell>
          <cell r="Q3454" t="str">
            <v>EST MESA LATERAL DUOMO (LACA NUDE)</v>
          </cell>
          <cell r="R3454"/>
          <cell r="S3454"/>
          <cell r="T3454">
            <v>0.6</v>
          </cell>
          <cell r="U3454">
            <v>0</v>
          </cell>
          <cell r="V3454">
            <v>0.6</v>
          </cell>
          <cell r="W3454">
            <v>0.6</v>
          </cell>
          <cell r="X3454" t="str">
            <v>EST MESA LATERAL DUOMO (LACA NUDE) - Ø0,6x0,6H</v>
          </cell>
          <cell r="Y3454">
            <v>10214.4</v>
          </cell>
          <cell r="Z3454">
            <v>0.5</v>
          </cell>
          <cell r="AA3454">
            <v>5107.2</v>
          </cell>
          <cell r="AB3454"/>
        </row>
        <row r="3455">
          <cell r="C3455">
            <v>0</v>
          </cell>
          <cell r="D3455">
            <v>6</v>
          </cell>
          <cell r="E3455">
            <v>0</v>
          </cell>
          <cell r="F3455">
            <v>0</v>
          </cell>
          <cell r="H3455">
            <v>0</v>
          </cell>
          <cell r="O3455">
            <v>226598</v>
          </cell>
          <cell r="P3455" t="str">
            <v>2018/233-0030-01</v>
          </cell>
          <cell r="Q3455" t="str">
            <v>EST CADEIRA EVO (MADEIRA TAUARI MEL)</v>
          </cell>
          <cell r="R3455"/>
          <cell r="S3455"/>
          <cell r="T3455">
            <v>0.49</v>
          </cell>
          <cell r="U3455">
            <v>0.47</v>
          </cell>
          <cell r="V3455">
            <v>0.82</v>
          </cell>
          <cell r="W3455">
            <v>0</v>
          </cell>
          <cell r="X3455" t="str">
            <v>EST CADEIRA EVO (MADEIRA TAUARI MEL) - 0,49x0,47x0,82H</v>
          </cell>
          <cell r="Y3455">
            <v>5314.67</v>
          </cell>
          <cell r="Z3455">
            <v>0.5</v>
          </cell>
          <cell r="AA3455">
            <v>2657.335</v>
          </cell>
          <cell r="AB3455"/>
        </row>
        <row r="3456">
          <cell r="C3456">
            <v>0</v>
          </cell>
          <cell r="D3456">
            <v>6</v>
          </cell>
          <cell r="E3456">
            <v>0</v>
          </cell>
          <cell r="F3456">
            <v>0</v>
          </cell>
          <cell r="H3456">
            <v>0</v>
          </cell>
          <cell r="O3456">
            <v>226598</v>
          </cell>
          <cell r="P3456" t="str">
            <v>2018/233-0034-01</v>
          </cell>
          <cell r="Q3456" t="str">
            <v>EST CADEIRA EVO (MADEIRA TAUARI MEL)</v>
          </cell>
          <cell r="R3456"/>
          <cell r="S3456"/>
          <cell r="T3456">
            <v>0.49</v>
          </cell>
          <cell r="U3456">
            <v>0.47</v>
          </cell>
          <cell r="V3456">
            <v>0.82</v>
          </cell>
          <cell r="W3456">
            <v>0</v>
          </cell>
          <cell r="X3456" t="str">
            <v>EST CADEIRA EVO (MADEIRA TAUARI MEL) - 0,49x0,47x0,82H</v>
          </cell>
          <cell r="Y3456">
            <v>5314.67</v>
          </cell>
          <cell r="Z3456">
            <v>0.5</v>
          </cell>
          <cell r="AA3456">
            <v>2657.335</v>
          </cell>
          <cell r="AB3456"/>
        </row>
        <row r="3457">
          <cell r="C3457">
            <v>0</v>
          </cell>
          <cell r="D3457">
            <v>1</v>
          </cell>
          <cell r="E3457">
            <v>0</v>
          </cell>
          <cell r="F3457">
            <v>0</v>
          </cell>
          <cell r="H3457">
            <v>1</v>
          </cell>
          <cell r="O3457">
            <v>255059</v>
          </cell>
          <cell r="P3457" t="str">
            <v>2020/066-0052-01</v>
          </cell>
          <cell r="Q3457" t="str">
            <v>EST MESA CENTRO NOMAN (TP LAM FAJO) (AUT FRAPE)</v>
          </cell>
          <cell r="R3457"/>
          <cell r="S3457"/>
          <cell r="T3457">
            <v>0.91</v>
          </cell>
          <cell r="U3457">
            <v>0.91</v>
          </cell>
          <cell r="V3457">
            <v>0.24</v>
          </cell>
          <cell r="W3457">
            <v>0</v>
          </cell>
          <cell r="X3457" t="str">
            <v>EST MESA CENTRO NOMAN (TP LAM FAJO) (AUT FRAPE) - 0,91x0,91x0,24H</v>
          </cell>
          <cell r="Y3457">
            <v>14356.28</v>
          </cell>
          <cell r="Z3457">
            <v>0.5</v>
          </cell>
          <cell r="AA3457">
            <v>7178.14</v>
          </cell>
          <cell r="AB3457"/>
        </row>
        <row r="3458">
          <cell r="C3458">
            <v>0</v>
          </cell>
          <cell r="D3458">
            <v>1</v>
          </cell>
          <cell r="E3458">
            <v>0</v>
          </cell>
          <cell r="F3458">
            <v>0</v>
          </cell>
          <cell r="H3458">
            <v>0</v>
          </cell>
          <cell r="O3458">
            <v>274718</v>
          </cell>
          <cell r="P3458" t="str">
            <v>2021/056-0123-01</v>
          </cell>
          <cell r="Q3458" t="str">
            <v>EST POLTRONA VIRIA (PE MTX MARROM) FX D4116</v>
          </cell>
          <cell r="R3458"/>
          <cell r="S3458"/>
          <cell r="T3458">
            <v>0.95</v>
          </cell>
          <cell r="U3458">
            <v>0.85</v>
          </cell>
          <cell r="V3458">
            <v>0.74</v>
          </cell>
          <cell r="W3458">
            <v>0</v>
          </cell>
          <cell r="X3458" t="str">
            <v>EST POLTRONA VIRIA (PE MTX MARROM) FX D4116 - 0,95x0,85x0,74H</v>
          </cell>
          <cell r="Y3458">
            <v>9165.9</v>
          </cell>
          <cell r="Z3458">
            <v>0.5</v>
          </cell>
          <cell r="AA3458">
            <v>4582.95</v>
          </cell>
          <cell r="AB3458"/>
        </row>
        <row r="3459">
          <cell r="C3459">
            <v>0</v>
          </cell>
          <cell r="D3459">
            <v>1</v>
          </cell>
          <cell r="E3459">
            <v>0</v>
          </cell>
          <cell r="F3459">
            <v>0</v>
          </cell>
          <cell r="H3459">
            <v>0</v>
          </cell>
          <cell r="O3459">
            <v>280525</v>
          </cell>
          <cell r="P3459" t="str">
            <v>2021/189-0038-02</v>
          </cell>
          <cell r="Q3459" t="str">
            <v>EST MESA CENTRO CLIPS TP ESP BRONZE/PES NUDE</v>
          </cell>
          <cell r="R3459"/>
          <cell r="S3459"/>
          <cell r="T3459">
            <v>1</v>
          </cell>
          <cell r="U3459">
            <v>1</v>
          </cell>
          <cell r="V3459">
            <v>0.32</v>
          </cell>
          <cell r="W3459">
            <v>0</v>
          </cell>
          <cell r="X3459" t="str">
            <v>EST MESA CENTRO CLIPS TP ESP BRONZE/PES NUDE - 1x1x0,32H</v>
          </cell>
          <cell r="Y3459">
            <v>11610.9</v>
          </cell>
          <cell r="Z3459">
            <v>0.5</v>
          </cell>
          <cell r="AA3459">
            <v>5805.45</v>
          </cell>
          <cell r="AB3459"/>
        </row>
        <row r="3460">
          <cell r="C3460">
            <v>0</v>
          </cell>
          <cell r="D3460">
            <v>1</v>
          </cell>
          <cell r="E3460">
            <v>0</v>
          </cell>
          <cell r="F3460">
            <v>0</v>
          </cell>
          <cell r="H3460">
            <v>0</v>
          </cell>
          <cell r="O3460">
            <v>328888</v>
          </cell>
          <cell r="P3460" t="str">
            <v>2022/203-0118-01</v>
          </cell>
          <cell r="Q3460" t="str">
            <v>EST MESA CENTRO BALLET II (MAD LAM NOGAL) (MARROM FSC)</v>
          </cell>
          <cell r="R3460"/>
          <cell r="S3460"/>
          <cell r="T3460">
            <v>1.8</v>
          </cell>
          <cell r="U3460">
            <v>0.8</v>
          </cell>
          <cell r="V3460">
            <v>0.3</v>
          </cell>
          <cell r="W3460">
            <v>0</v>
          </cell>
          <cell r="X3460" t="str">
            <v>EST MESA CENTRO BALLET II (MAD LAM NOGAL) (MARROM FSC) - 1,8x0,8x0,3H</v>
          </cell>
          <cell r="Y3460">
            <v>40631.629999999997</v>
          </cell>
          <cell r="Z3460">
            <v>0.5</v>
          </cell>
          <cell r="AA3460">
            <v>20315.814999999999</v>
          </cell>
          <cell r="AB3460"/>
        </row>
        <row r="3461">
          <cell r="C3461">
            <v>0</v>
          </cell>
          <cell r="D3461">
            <v>1</v>
          </cell>
          <cell r="E3461">
            <v>0</v>
          </cell>
          <cell r="F3461">
            <v>0</v>
          </cell>
          <cell r="H3461">
            <v>0</v>
          </cell>
          <cell r="O3461">
            <v>223568</v>
          </cell>
          <cell r="P3461" t="str">
            <v>2018/184-0069-01</v>
          </cell>
          <cell r="Q3461" t="str">
            <v>EST MESA LATERAL TRIBO (A) H50 (CARBONIZADA)</v>
          </cell>
          <cell r="R3461"/>
          <cell r="S3461"/>
          <cell r="T3461">
            <v>0.41</v>
          </cell>
          <cell r="U3461">
            <v>0</v>
          </cell>
          <cell r="V3461">
            <v>0.5</v>
          </cell>
          <cell r="W3461">
            <v>0.41</v>
          </cell>
          <cell r="X3461" t="str">
            <v>EST MESA LATERAL TRIBO (A) H50 (CARBONIZADA) - Ø0,41x0,5H</v>
          </cell>
          <cell r="Y3461">
            <v>7617.75</v>
          </cell>
          <cell r="Z3461">
            <v>0.5</v>
          </cell>
          <cell r="AA3461">
            <v>3808.875</v>
          </cell>
          <cell r="AB3461"/>
        </row>
        <row r="3462">
          <cell r="C3462">
            <v>0</v>
          </cell>
          <cell r="D3462">
            <v>2</v>
          </cell>
          <cell r="E3462">
            <v>0</v>
          </cell>
          <cell r="F3462">
            <v>0</v>
          </cell>
          <cell r="H3462">
            <v>0</v>
          </cell>
          <cell r="O3462">
            <v>214972</v>
          </cell>
          <cell r="P3462" t="str">
            <v>2022/314-0001-01</v>
          </cell>
          <cell r="Q3462" t="str">
            <v>EST POLTRONA NIKO (FX 5351) (TING EBANIZADO)</v>
          </cell>
          <cell r="R3462"/>
          <cell r="S3462"/>
          <cell r="T3462">
            <v>0.73</v>
          </cell>
          <cell r="U3462">
            <v>0.76</v>
          </cell>
          <cell r="V3462">
            <v>0.79</v>
          </cell>
          <cell r="W3462">
            <v>0</v>
          </cell>
          <cell r="X3462" t="str">
            <v>EST POLTRONA NIKO (FX 5351) (TING EBANIZADO) - 0,73x0,76x0,79H</v>
          </cell>
          <cell r="Y3462">
            <v>7189.39</v>
          </cell>
          <cell r="Z3462">
            <v>0.35</v>
          </cell>
          <cell r="AA3462">
            <v>4673.1035000000002</v>
          </cell>
          <cell r="AB3462"/>
        </row>
        <row r="3463">
          <cell r="C3463">
            <v>0</v>
          </cell>
          <cell r="D3463">
            <v>2</v>
          </cell>
          <cell r="E3463">
            <v>0</v>
          </cell>
          <cell r="F3463">
            <v>0</v>
          </cell>
          <cell r="H3463">
            <v>0</v>
          </cell>
          <cell r="O3463">
            <v>214972</v>
          </cell>
          <cell r="P3463" t="str">
            <v>2025/064-0033-01</v>
          </cell>
          <cell r="Q3463" t="str">
            <v>EST POLTRONA NIKO (FX 5351) (TING EBANIZADO)</v>
          </cell>
          <cell r="R3463"/>
          <cell r="S3463"/>
          <cell r="T3463">
            <v>0.73</v>
          </cell>
          <cell r="U3463">
            <v>0.76</v>
          </cell>
          <cell r="V3463">
            <v>0.79</v>
          </cell>
          <cell r="W3463">
            <v>0</v>
          </cell>
          <cell r="X3463" t="str">
            <v>EST POLTRONA NIKO (FX 5351) (TING EBANIZADO) - 0,73x0,76x0,79H</v>
          </cell>
          <cell r="Y3463">
            <v>7189.39</v>
          </cell>
          <cell r="Z3463">
            <v>0.35</v>
          </cell>
          <cell r="AA3463">
            <v>4673.1035000000002</v>
          </cell>
          <cell r="AB3463"/>
        </row>
        <row r="3464">
          <cell r="C3464">
            <v>0</v>
          </cell>
          <cell r="D3464">
            <v>4</v>
          </cell>
          <cell r="E3464">
            <v>0</v>
          </cell>
          <cell r="F3464">
            <v>0</v>
          </cell>
          <cell r="H3464">
            <v>0</v>
          </cell>
          <cell r="O3464">
            <v>221141</v>
          </cell>
          <cell r="P3464" t="str">
            <v>2018/074-0063-01</v>
          </cell>
          <cell r="Q3464" t="str">
            <v>EST CADEIRA ARROW C/BRACO (MEL CLARO) (TC 606)</v>
          </cell>
          <cell r="R3464"/>
          <cell r="S3464"/>
          <cell r="T3464">
            <v>0.56000000000000005</v>
          </cell>
          <cell r="U3464">
            <v>0.61</v>
          </cell>
          <cell r="V3464">
            <v>0.89</v>
          </cell>
          <cell r="W3464">
            <v>0</v>
          </cell>
          <cell r="X3464" t="str">
            <v>EST CADEIRA ARROW C/BRACO (MEL CLARO) (TC 606) - 0,56x0,61x0,89H</v>
          </cell>
          <cell r="Y3464">
            <v>6302.93</v>
          </cell>
          <cell r="Z3464">
            <v>0.5</v>
          </cell>
          <cell r="AA3464">
            <v>3151.4650000000001</v>
          </cell>
          <cell r="AB3464"/>
        </row>
        <row r="3465">
          <cell r="C3465">
            <v>0</v>
          </cell>
          <cell r="D3465">
            <v>4</v>
          </cell>
          <cell r="E3465">
            <v>0</v>
          </cell>
          <cell r="F3465">
            <v>0</v>
          </cell>
          <cell r="H3465">
            <v>0</v>
          </cell>
          <cell r="O3465">
            <v>221141</v>
          </cell>
          <cell r="P3465" t="str">
            <v>2018/074-0064-01</v>
          </cell>
          <cell r="Q3465" t="str">
            <v>EST CADEIRA ARROW C/BRACO (MEL CLARO) (TC 606)</v>
          </cell>
          <cell r="R3465"/>
          <cell r="S3465"/>
          <cell r="T3465">
            <v>0.56000000000000005</v>
          </cell>
          <cell r="U3465">
            <v>0.61</v>
          </cell>
          <cell r="V3465">
            <v>0.89</v>
          </cell>
          <cell r="W3465">
            <v>0</v>
          </cell>
          <cell r="X3465" t="str">
            <v>EST CADEIRA ARROW C/BRACO (MEL CLARO) (TC 606) - 0,56x0,61x0,89H</v>
          </cell>
          <cell r="Y3465">
            <v>6302.93</v>
          </cell>
          <cell r="Z3465">
            <v>0.5</v>
          </cell>
          <cell r="AA3465">
            <v>3151.4650000000001</v>
          </cell>
          <cell r="AB3465"/>
        </row>
        <row r="3466">
          <cell r="C3466">
            <v>0</v>
          </cell>
          <cell r="D3466">
            <v>4</v>
          </cell>
          <cell r="E3466">
            <v>0</v>
          </cell>
          <cell r="F3466">
            <v>0</v>
          </cell>
          <cell r="H3466">
            <v>0</v>
          </cell>
          <cell r="O3466">
            <v>221141</v>
          </cell>
          <cell r="P3466" t="str">
            <v>2018/074-0065-01</v>
          </cell>
          <cell r="Q3466" t="str">
            <v>EST CADEIRA ARROW C/BRACO (MEL CLARO) (TC 606)</v>
          </cell>
          <cell r="R3466"/>
          <cell r="S3466"/>
          <cell r="T3466">
            <v>0.56000000000000005</v>
          </cell>
          <cell r="U3466">
            <v>0.61</v>
          </cell>
          <cell r="V3466">
            <v>0.89</v>
          </cell>
          <cell r="W3466">
            <v>0</v>
          </cell>
          <cell r="X3466" t="str">
            <v>EST CADEIRA ARROW C/BRACO (MEL CLARO) (TC 606) - 0,56x0,61x0,89H</v>
          </cell>
          <cell r="Y3466">
            <v>6302.93</v>
          </cell>
          <cell r="Z3466">
            <v>0.5</v>
          </cell>
          <cell r="AA3466">
            <v>3151.4650000000001</v>
          </cell>
          <cell r="AB3466"/>
        </row>
        <row r="3467">
          <cell r="C3467">
            <v>0</v>
          </cell>
          <cell r="D3467">
            <v>4</v>
          </cell>
          <cell r="E3467">
            <v>0</v>
          </cell>
          <cell r="F3467">
            <v>0</v>
          </cell>
          <cell r="H3467">
            <v>0</v>
          </cell>
          <cell r="O3467">
            <v>221141</v>
          </cell>
          <cell r="P3467" t="str">
            <v>2018/074-0066-01</v>
          </cell>
          <cell r="Q3467" t="str">
            <v>EST CADEIRA ARROW C/BRACO (MEL CLARO) (TC 606)</v>
          </cell>
          <cell r="R3467"/>
          <cell r="S3467"/>
          <cell r="T3467">
            <v>0.56000000000000005</v>
          </cell>
          <cell r="U3467">
            <v>0.61</v>
          </cell>
          <cell r="V3467">
            <v>0.89</v>
          </cell>
          <cell r="W3467">
            <v>0</v>
          </cell>
          <cell r="X3467" t="str">
            <v>EST CADEIRA ARROW C/BRACO (MEL CLARO) (TC 606) - 0,56x0,61x0,89H</v>
          </cell>
          <cell r="Y3467">
            <v>6302.93</v>
          </cell>
          <cell r="Z3467">
            <v>0.5</v>
          </cell>
          <cell r="AA3467">
            <v>3151.4650000000001</v>
          </cell>
          <cell r="AB3467"/>
        </row>
        <row r="3468">
          <cell r="C3468">
            <v>0</v>
          </cell>
          <cell r="D3468">
            <v>2</v>
          </cell>
          <cell r="E3468">
            <v>0</v>
          </cell>
          <cell r="F3468">
            <v>0</v>
          </cell>
          <cell r="H3468">
            <v>0</v>
          </cell>
          <cell r="O3468">
            <v>223303</v>
          </cell>
          <cell r="P3468" t="str">
            <v>2018/184-0137-01</v>
          </cell>
          <cell r="Q3468" t="str">
            <v>EST MESA LATERAL DUOMO (LACA NUDE)</v>
          </cell>
          <cell r="R3468"/>
          <cell r="S3468"/>
          <cell r="T3468">
            <v>0.6</v>
          </cell>
          <cell r="U3468">
            <v>0</v>
          </cell>
          <cell r="V3468">
            <v>0.6</v>
          </cell>
          <cell r="W3468">
            <v>0.6</v>
          </cell>
          <cell r="X3468" t="str">
            <v>EST MESA LATERAL DUOMO (LACA NUDE) - Ø0,6x0,6H</v>
          </cell>
          <cell r="Y3468">
            <v>10214.4</v>
          </cell>
          <cell r="Z3468">
            <v>0.5</v>
          </cell>
          <cell r="AA3468">
            <v>5107.2</v>
          </cell>
          <cell r="AB3468"/>
        </row>
        <row r="3469">
          <cell r="C3469">
            <v>0</v>
          </cell>
          <cell r="D3469">
            <v>6</v>
          </cell>
          <cell r="E3469">
            <v>0</v>
          </cell>
          <cell r="F3469">
            <v>0</v>
          </cell>
          <cell r="H3469">
            <v>0</v>
          </cell>
          <cell r="O3469">
            <v>226598</v>
          </cell>
          <cell r="P3469" t="str">
            <v>2018/233-0031-01</v>
          </cell>
          <cell r="Q3469" t="str">
            <v>EST CADEIRA EVO (MADEIRA TAUARI MEL)</v>
          </cell>
          <cell r="R3469"/>
          <cell r="S3469"/>
          <cell r="T3469">
            <v>0.49</v>
          </cell>
          <cell r="U3469">
            <v>0.47</v>
          </cell>
          <cell r="V3469">
            <v>0.82</v>
          </cell>
          <cell r="W3469">
            <v>0</v>
          </cell>
          <cell r="X3469" t="str">
            <v>EST CADEIRA EVO (MADEIRA TAUARI MEL) - 0,49x0,47x0,82H</v>
          </cell>
          <cell r="Y3469">
            <v>5314.67</v>
          </cell>
          <cell r="Z3469">
            <v>0.5</v>
          </cell>
          <cell r="AA3469">
            <v>2657.335</v>
          </cell>
          <cell r="AB3469"/>
        </row>
        <row r="3470">
          <cell r="C3470">
            <v>0</v>
          </cell>
          <cell r="D3470">
            <v>6</v>
          </cell>
          <cell r="E3470">
            <v>0</v>
          </cell>
          <cell r="F3470">
            <v>0</v>
          </cell>
          <cell r="H3470">
            <v>0</v>
          </cell>
          <cell r="O3470">
            <v>226598</v>
          </cell>
          <cell r="P3470" t="str">
            <v>2018/233-0032-01</v>
          </cell>
          <cell r="Q3470" t="str">
            <v>EST CADEIRA EVO (MADEIRA TAUARI MEL)</v>
          </cell>
          <cell r="R3470"/>
          <cell r="S3470"/>
          <cell r="T3470">
            <v>0.49</v>
          </cell>
          <cell r="U3470">
            <v>0.47</v>
          </cell>
          <cell r="V3470">
            <v>0.82</v>
          </cell>
          <cell r="W3470">
            <v>0</v>
          </cell>
          <cell r="X3470" t="str">
            <v>EST CADEIRA EVO (MADEIRA TAUARI MEL) - 0,49x0,47x0,82H</v>
          </cell>
          <cell r="Y3470">
            <v>5314.67</v>
          </cell>
          <cell r="Z3470">
            <v>0.5</v>
          </cell>
          <cell r="AA3470">
            <v>2657.335</v>
          </cell>
          <cell r="AB3470"/>
        </row>
        <row r="3471">
          <cell r="C3471">
            <v>0</v>
          </cell>
          <cell r="D3471">
            <v>6</v>
          </cell>
          <cell r="E3471">
            <v>0</v>
          </cell>
          <cell r="F3471">
            <v>0</v>
          </cell>
          <cell r="H3471">
            <v>0</v>
          </cell>
          <cell r="O3471">
            <v>226598</v>
          </cell>
          <cell r="P3471" t="str">
            <v>2018/233-0038-01</v>
          </cell>
          <cell r="Q3471" t="str">
            <v>EST CADEIRA EVO (MADEIRA TAUARI MEL)</v>
          </cell>
          <cell r="R3471"/>
          <cell r="S3471"/>
          <cell r="T3471">
            <v>0.49</v>
          </cell>
          <cell r="U3471">
            <v>0.47</v>
          </cell>
          <cell r="V3471">
            <v>0.82</v>
          </cell>
          <cell r="W3471">
            <v>0</v>
          </cell>
          <cell r="X3471" t="str">
            <v>EST CADEIRA EVO (MADEIRA TAUARI MEL) - 0,49x0,47x0,82H</v>
          </cell>
          <cell r="Y3471">
            <v>5314.67</v>
          </cell>
          <cell r="Z3471">
            <v>0.5</v>
          </cell>
          <cell r="AA3471">
            <v>2657.335</v>
          </cell>
          <cell r="AB3471"/>
        </row>
        <row r="3472">
          <cell r="C3472">
            <v>0</v>
          </cell>
          <cell r="D3472">
            <v>6</v>
          </cell>
          <cell r="E3472">
            <v>0</v>
          </cell>
          <cell r="F3472">
            <v>0</v>
          </cell>
          <cell r="H3472">
            <v>0</v>
          </cell>
          <cell r="O3472">
            <v>226598</v>
          </cell>
          <cell r="P3472" t="str">
            <v>2018/233-0039-01</v>
          </cell>
          <cell r="Q3472" t="str">
            <v>EST CADEIRA EVO (MADEIRA TAUARI MEL)</v>
          </cell>
          <cell r="R3472"/>
          <cell r="S3472"/>
          <cell r="T3472">
            <v>0.49</v>
          </cell>
          <cell r="U3472">
            <v>0.47</v>
          </cell>
          <cell r="V3472">
            <v>0.82</v>
          </cell>
          <cell r="W3472">
            <v>0</v>
          </cell>
          <cell r="X3472" t="str">
            <v>EST CADEIRA EVO (MADEIRA TAUARI MEL) - 0,49x0,47x0,82H</v>
          </cell>
          <cell r="Y3472">
            <v>5314.67</v>
          </cell>
          <cell r="Z3472">
            <v>0.5</v>
          </cell>
          <cell r="AA3472">
            <v>2657.335</v>
          </cell>
          <cell r="AB3472"/>
        </row>
        <row r="3473">
          <cell r="C3473">
            <v>2</v>
          </cell>
          <cell r="D3473">
            <v>1</v>
          </cell>
          <cell r="E3473">
            <v>0</v>
          </cell>
          <cell r="F3473">
            <v>0</v>
          </cell>
          <cell r="H3473">
            <v>0</v>
          </cell>
          <cell r="O3473">
            <v>229324</v>
          </cell>
          <cell r="P3473" t="str">
            <v>2021/295-0043-01</v>
          </cell>
          <cell r="Q3473" t="str">
            <v>EST MESA LATERAL SUN FREIJO EBANIZ/LATAO POLIDO</v>
          </cell>
          <cell r="R3473"/>
          <cell r="S3473"/>
          <cell r="T3473">
            <v>0.36</v>
          </cell>
          <cell r="U3473">
            <v>0</v>
          </cell>
          <cell r="V3473">
            <v>0.55000000000000004</v>
          </cell>
          <cell r="W3473">
            <v>0.36</v>
          </cell>
          <cell r="X3473" t="str">
            <v>EST MESA LATERAL SUN FREIJO EBANIZ/LATAO POLIDO - Ø0,36x0,55H</v>
          </cell>
          <cell r="Y3473">
            <v>10729.57</v>
          </cell>
          <cell r="Z3473">
            <v>0.5</v>
          </cell>
          <cell r="AA3473">
            <v>5364.7849999999999</v>
          </cell>
          <cell r="AB3473"/>
        </row>
        <row r="3474">
          <cell r="C3474">
            <v>0</v>
          </cell>
          <cell r="D3474">
            <v>1</v>
          </cell>
          <cell r="E3474">
            <v>0</v>
          </cell>
          <cell r="F3474">
            <v>0</v>
          </cell>
          <cell r="H3474">
            <v>1</v>
          </cell>
          <cell r="O3474">
            <v>255058</v>
          </cell>
          <cell r="P3474" t="str">
            <v>2020/066-0051-01</v>
          </cell>
          <cell r="Q3474" t="str">
            <v>EST MESA CENTRO NOMAN (TP LAM FAJO) (AUT FRAPE)</v>
          </cell>
          <cell r="R3474"/>
          <cell r="S3474"/>
          <cell r="T3474">
            <v>1.04</v>
          </cell>
          <cell r="U3474">
            <v>1.04</v>
          </cell>
          <cell r="V3474">
            <v>0.3</v>
          </cell>
          <cell r="W3474">
            <v>0</v>
          </cell>
          <cell r="X3474" t="str">
            <v>EST MESA CENTRO NOMAN (TP LAM FAJO) (AUT FRAPE) - 1,04x1,04x0,3H</v>
          </cell>
          <cell r="Y3474">
            <v>16339.34</v>
          </cell>
          <cell r="Z3474">
            <v>0.5</v>
          </cell>
          <cell r="AA3474">
            <v>8169.67</v>
          </cell>
          <cell r="AB3474"/>
        </row>
        <row r="3475">
          <cell r="C3475">
            <v>0</v>
          </cell>
          <cell r="D3475">
            <v>1</v>
          </cell>
          <cell r="E3475">
            <v>0</v>
          </cell>
          <cell r="F3475">
            <v>0</v>
          </cell>
          <cell r="H3475">
            <v>0</v>
          </cell>
          <cell r="O3475">
            <v>273332</v>
          </cell>
          <cell r="P3475" t="str">
            <v>2021/063-0031-01</v>
          </cell>
          <cell r="Q3475" t="str">
            <v>EST MESA JANTAR PENJAB (LAMINA 2 LOURO PARDO)</v>
          </cell>
          <cell r="R3475"/>
          <cell r="S3475"/>
          <cell r="T3475">
            <v>3</v>
          </cell>
          <cell r="U3475">
            <v>1.1000000000000001</v>
          </cell>
          <cell r="V3475">
            <v>0.74</v>
          </cell>
          <cell r="W3475">
            <v>0</v>
          </cell>
          <cell r="X3475" t="str">
            <v>EST MESA JANTAR PENJAB (LAMINA 2 LOURO PARDO) - 3x1,1x0,74H</v>
          </cell>
          <cell r="Y3475">
            <v>62690.879999999997</v>
          </cell>
          <cell r="Z3475">
            <v>0.5</v>
          </cell>
          <cell r="AA3475">
            <v>31345.439999999999</v>
          </cell>
          <cell r="AB3475"/>
        </row>
        <row r="3476">
          <cell r="C3476">
            <v>1</v>
          </cell>
          <cell r="D3476">
            <v>2</v>
          </cell>
          <cell r="E3476">
            <v>0</v>
          </cell>
          <cell r="F3476">
            <v>0</v>
          </cell>
          <cell r="H3476">
            <v>0</v>
          </cell>
          <cell r="O3476">
            <v>274743</v>
          </cell>
          <cell r="P3476" t="str">
            <v>2021/116-0056-01</v>
          </cell>
          <cell r="Q3476" t="str">
            <v>EST MESA LATERAL ALEXANDRIA (TP MARM NERO) (BS MTZ CAPUCC)</v>
          </cell>
          <cell r="R3476"/>
          <cell r="S3476"/>
          <cell r="T3476">
            <v>0.4</v>
          </cell>
          <cell r="U3476">
            <v>0</v>
          </cell>
          <cell r="V3476">
            <v>0.5</v>
          </cell>
          <cell r="W3476">
            <v>0.4</v>
          </cell>
          <cell r="X3476" t="str">
            <v>EST MESA LATERAL ALEXANDRIA (TP MARM NERO) (BS MTZ CAPUCC) - Ø0,4x0,5H</v>
          </cell>
          <cell r="Y3476">
            <v>12211.81</v>
          </cell>
          <cell r="Z3476">
            <v>0.35</v>
          </cell>
          <cell r="AA3476">
            <v>7937.6764999999996</v>
          </cell>
          <cell r="AB3476"/>
        </row>
        <row r="3477">
          <cell r="C3477">
            <v>0</v>
          </cell>
          <cell r="D3477">
            <v>1</v>
          </cell>
          <cell r="E3477">
            <v>0</v>
          </cell>
          <cell r="F3477">
            <v>0</v>
          </cell>
          <cell r="H3477">
            <v>1</v>
          </cell>
          <cell r="O3477">
            <v>274941</v>
          </cell>
          <cell r="P3477" t="str">
            <v>2021/091-0020-01</v>
          </cell>
          <cell r="Q3477" t="str">
            <v>EST MESA CENTRO AYLA H35 (SUP1 PT) (TP CRV PT/TS CORTEN) LT</v>
          </cell>
          <cell r="R3477"/>
          <cell r="S3477"/>
          <cell r="T3477">
            <v>1.6</v>
          </cell>
          <cell r="U3477">
            <v>0.8</v>
          </cell>
          <cell r="V3477">
            <v>0.35</v>
          </cell>
          <cell r="W3477">
            <v>0</v>
          </cell>
          <cell r="X3477" t="str">
            <v>EST MESA CENTRO AYLA H35 (SUP1 PT) (TP CRV PT/TS CORTEN) LT - 1,6x0,8x0,35H</v>
          </cell>
          <cell r="Y3477">
            <v>8653.17</v>
          </cell>
          <cell r="Z3477">
            <v>0.5</v>
          </cell>
          <cell r="AA3477">
            <v>4326.585</v>
          </cell>
          <cell r="AB3477"/>
        </row>
        <row r="3478">
          <cell r="C3478">
            <v>0</v>
          </cell>
          <cell r="D3478">
            <v>2</v>
          </cell>
          <cell r="E3478">
            <v>1</v>
          </cell>
          <cell r="F3478">
            <v>0</v>
          </cell>
          <cell r="H3478">
            <v>1</v>
          </cell>
          <cell r="O3478">
            <v>275032</v>
          </cell>
          <cell r="P3478" t="str">
            <v>2021/162-0048-01</v>
          </cell>
          <cell r="Q3478" t="str">
            <v>EST POLTRONA CAIOBA GIRATORIA (TECIDO LINHO MISTO BEGE)</v>
          </cell>
          <cell r="R3478"/>
          <cell r="S3478"/>
          <cell r="T3478">
            <v>0.64</v>
          </cell>
          <cell r="U3478">
            <v>0.63</v>
          </cell>
          <cell r="V3478">
            <v>0.83</v>
          </cell>
          <cell r="W3478">
            <v>0</v>
          </cell>
          <cell r="X3478" t="str">
            <v>EST POLTRONA CAIOBA GIRATORIA (TECIDO LINHO MISTO BEGE) - 0,64x0,63x0,83H</v>
          </cell>
          <cell r="Y3478">
            <v>10240.91</v>
          </cell>
          <cell r="Z3478">
            <v>0.5</v>
          </cell>
          <cell r="AA3478">
            <v>5120.4549999999999</v>
          </cell>
          <cell r="AB3478"/>
        </row>
        <row r="3479">
          <cell r="C3479">
            <v>0</v>
          </cell>
          <cell r="D3479">
            <v>2</v>
          </cell>
          <cell r="E3479">
            <v>1</v>
          </cell>
          <cell r="F3479">
            <v>0</v>
          </cell>
          <cell r="H3479">
            <v>1</v>
          </cell>
          <cell r="O3479">
            <v>275032</v>
          </cell>
          <cell r="P3479" t="str">
            <v>2021/162-0050-01</v>
          </cell>
          <cell r="Q3479" t="str">
            <v>EST POLTRONA CAIOBA GIRATORIA (TECIDO LINHO MISTO BEGE)</v>
          </cell>
          <cell r="R3479"/>
          <cell r="S3479"/>
          <cell r="T3479">
            <v>0.64</v>
          </cell>
          <cell r="U3479">
            <v>0.63</v>
          </cell>
          <cell r="V3479">
            <v>0.83</v>
          </cell>
          <cell r="W3479">
            <v>0</v>
          </cell>
          <cell r="X3479" t="str">
            <v>EST POLTRONA CAIOBA GIRATORIA (TECIDO LINHO MISTO BEGE) - 0,64x0,63x0,83H</v>
          </cell>
          <cell r="Y3479">
            <v>10240.91</v>
          </cell>
          <cell r="Z3479">
            <v>0.5</v>
          </cell>
          <cell r="AA3479">
            <v>5120.4549999999999</v>
          </cell>
          <cell r="AB3479"/>
        </row>
        <row r="3480">
          <cell r="C3480">
            <v>0</v>
          </cell>
          <cell r="D3480">
            <v>6</v>
          </cell>
          <cell r="E3480">
            <v>0</v>
          </cell>
          <cell r="F3480">
            <v>0</v>
          </cell>
          <cell r="H3480">
            <v>0</v>
          </cell>
          <cell r="O3480">
            <v>278066</v>
          </cell>
          <cell r="P3480" t="str">
            <v>2021/182-0055-01</v>
          </cell>
          <cell r="Q3480" t="str">
            <v>EST CADEIRA RENDEIRA (FX 8105/TELA SEXT TING) (BLACK MATT)</v>
          </cell>
          <cell r="R3480"/>
          <cell r="S3480"/>
          <cell r="T3480">
            <v>0.48</v>
          </cell>
          <cell r="U3480">
            <v>0.59</v>
          </cell>
          <cell r="V3480">
            <v>0.8</v>
          </cell>
          <cell r="W3480">
            <v>0</v>
          </cell>
          <cell r="X3480" t="str">
            <v>EST CADEIRA RENDEIRA (FX 8105/TELA SEXT TING) (BLACK MATT) - 0,48x0,59x0,8H</v>
          </cell>
          <cell r="Y3480">
            <v>7387.61</v>
          </cell>
          <cell r="Z3480">
            <v>0.5</v>
          </cell>
          <cell r="AA3480">
            <v>3693.8049999999998</v>
          </cell>
          <cell r="AB3480"/>
        </row>
        <row r="3481">
          <cell r="C3481">
            <v>0</v>
          </cell>
          <cell r="D3481">
            <v>6</v>
          </cell>
          <cell r="E3481">
            <v>0</v>
          </cell>
          <cell r="F3481">
            <v>0</v>
          </cell>
          <cell r="H3481">
            <v>0</v>
          </cell>
          <cell r="O3481">
            <v>278066</v>
          </cell>
          <cell r="P3481" t="str">
            <v>2021/182-0056-01</v>
          </cell>
          <cell r="Q3481" t="str">
            <v>EST CADEIRA RENDEIRA (FX 8105/TELA SEXT TING) (BLACK MATT)</v>
          </cell>
          <cell r="R3481"/>
          <cell r="S3481"/>
          <cell r="T3481">
            <v>0.48</v>
          </cell>
          <cell r="U3481">
            <v>0.59</v>
          </cell>
          <cell r="V3481">
            <v>0.8</v>
          </cell>
          <cell r="W3481">
            <v>0</v>
          </cell>
          <cell r="X3481" t="str">
            <v>EST CADEIRA RENDEIRA (FX 8105/TELA SEXT TING) (BLACK MATT) - 0,48x0,59x0,8H</v>
          </cell>
          <cell r="Y3481">
            <v>7387.61</v>
          </cell>
          <cell r="Z3481">
            <v>0.5</v>
          </cell>
          <cell r="AA3481">
            <v>3693.8049999999998</v>
          </cell>
          <cell r="AB3481"/>
        </row>
        <row r="3482">
          <cell r="C3482">
            <v>0</v>
          </cell>
          <cell r="D3482">
            <v>6</v>
          </cell>
          <cell r="E3482">
            <v>0</v>
          </cell>
          <cell r="F3482">
            <v>0</v>
          </cell>
          <cell r="H3482">
            <v>0</v>
          </cell>
          <cell r="O3482">
            <v>278066</v>
          </cell>
          <cell r="P3482" t="str">
            <v>2021/182-0057-01</v>
          </cell>
          <cell r="Q3482" t="str">
            <v>EST CADEIRA RENDEIRA (FX 8105/TELA SEXT TING) (BLACK MATT)</v>
          </cell>
          <cell r="R3482"/>
          <cell r="S3482"/>
          <cell r="T3482">
            <v>0.48</v>
          </cell>
          <cell r="U3482">
            <v>0.59</v>
          </cell>
          <cell r="V3482">
            <v>0.8</v>
          </cell>
          <cell r="W3482">
            <v>0</v>
          </cell>
          <cell r="X3482" t="str">
            <v>EST CADEIRA RENDEIRA (FX 8105/TELA SEXT TING) (BLACK MATT) - 0,48x0,59x0,8H</v>
          </cell>
          <cell r="Y3482">
            <v>7387.61</v>
          </cell>
          <cell r="Z3482">
            <v>0.5</v>
          </cell>
          <cell r="AA3482">
            <v>3693.8049999999998</v>
          </cell>
          <cell r="AB3482"/>
        </row>
        <row r="3483">
          <cell r="C3483">
            <v>0</v>
          </cell>
          <cell r="D3483">
            <v>6</v>
          </cell>
          <cell r="E3483">
            <v>0</v>
          </cell>
          <cell r="F3483">
            <v>0</v>
          </cell>
          <cell r="H3483">
            <v>0</v>
          </cell>
          <cell r="O3483">
            <v>278066</v>
          </cell>
          <cell r="P3483" t="str">
            <v>2021/182-0058-01</v>
          </cell>
          <cell r="Q3483" t="str">
            <v>EST CADEIRA RENDEIRA (FX 8105/TELA SEXT TING) (BLACK MATT)</v>
          </cell>
          <cell r="R3483"/>
          <cell r="S3483"/>
          <cell r="T3483">
            <v>0.48</v>
          </cell>
          <cell r="U3483">
            <v>0.59</v>
          </cell>
          <cell r="V3483">
            <v>0.8</v>
          </cell>
          <cell r="W3483">
            <v>0</v>
          </cell>
          <cell r="X3483" t="str">
            <v>EST CADEIRA RENDEIRA (FX 8105/TELA SEXT TING) (BLACK MATT) - 0,48x0,59x0,8H</v>
          </cell>
          <cell r="Y3483">
            <v>7387.61</v>
          </cell>
          <cell r="Z3483">
            <v>0.5</v>
          </cell>
          <cell r="AA3483">
            <v>3693.8049999999998</v>
          </cell>
          <cell r="AB3483"/>
        </row>
        <row r="3484">
          <cell r="C3484">
            <v>0</v>
          </cell>
          <cell r="D3484">
            <v>6</v>
          </cell>
          <cell r="E3484">
            <v>0</v>
          </cell>
          <cell r="F3484">
            <v>0</v>
          </cell>
          <cell r="H3484">
            <v>0</v>
          </cell>
          <cell r="O3484">
            <v>278066</v>
          </cell>
          <cell r="P3484" t="str">
            <v>2021/182-0059-01</v>
          </cell>
          <cell r="Q3484" t="str">
            <v>EST CADEIRA RENDEIRA (FX 8105/TELA SEXT TING) (BLACK MATT)</v>
          </cell>
          <cell r="R3484"/>
          <cell r="S3484"/>
          <cell r="T3484">
            <v>0.48</v>
          </cell>
          <cell r="U3484">
            <v>0.59</v>
          </cell>
          <cell r="V3484">
            <v>0.8</v>
          </cell>
          <cell r="W3484">
            <v>0</v>
          </cell>
          <cell r="X3484" t="str">
            <v>EST CADEIRA RENDEIRA (FX 8105/TELA SEXT TING) (BLACK MATT) - 0,48x0,59x0,8H</v>
          </cell>
          <cell r="Y3484">
            <v>7387.61</v>
          </cell>
          <cell r="Z3484">
            <v>0.5</v>
          </cell>
          <cell r="AA3484">
            <v>3693.8049999999998</v>
          </cell>
          <cell r="AB3484"/>
        </row>
        <row r="3485">
          <cell r="C3485">
            <v>0</v>
          </cell>
          <cell r="D3485">
            <v>6</v>
          </cell>
          <cell r="E3485">
            <v>0</v>
          </cell>
          <cell r="F3485">
            <v>0</v>
          </cell>
          <cell r="H3485">
            <v>0</v>
          </cell>
          <cell r="O3485">
            <v>278066</v>
          </cell>
          <cell r="P3485" t="str">
            <v>2021/182-0060-01</v>
          </cell>
          <cell r="Q3485" t="str">
            <v>EST CADEIRA RENDEIRA (FX 8105/TELA SEXT TING) (BLACK MATT)</v>
          </cell>
          <cell r="R3485"/>
          <cell r="S3485"/>
          <cell r="T3485">
            <v>0.48</v>
          </cell>
          <cell r="U3485">
            <v>0.59</v>
          </cell>
          <cell r="V3485">
            <v>0.8</v>
          </cell>
          <cell r="W3485">
            <v>0</v>
          </cell>
          <cell r="X3485" t="str">
            <v>EST CADEIRA RENDEIRA (FX 8105/TELA SEXT TING) (BLACK MATT) - 0,48x0,59x0,8H</v>
          </cell>
          <cell r="Y3485">
            <v>7387.61</v>
          </cell>
          <cell r="Z3485">
            <v>0.5</v>
          </cell>
          <cell r="AA3485">
            <v>3693.8049999999998</v>
          </cell>
          <cell r="AB3485"/>
        </row>
        <row r="3486">
          <cell r="C3486">
            <v>2</v>
          </cell>
          <cell r="D3486">
            <v>2</v>
          </cell>
          <cell r="E3486">
            <v>0</v>
          </cell>
          <cell r="F3486">
            <v>0</v>
          </cell>
          <cell r="H3486">
            <v>0</v>
          </cell>
          <cell r="O3486">
            <v>327116</v>
          </cell>
          <cell r="P3486" t="str">
            <v>2022/237-0029-01</v>
          </cell>
          <cell r="Q3486" t="str">
            <v>EST POLTRONA ALBA VERNIZ NOZES) FX E5132</v>
          </cell>
          <cell r="R3486"/>
          <cell r="S3486"/>
          <cell r="T3486">
            <v>0.63</v>
          </cell>
          <cell r="U3486">
            <v>0.79</v>
          </cell>
          <cell r="V3486">
            <v>0.76</v>
          </cell>
          <cell r="W3486">
            <v>0</v>
          </cell>
          <cell r="X3486" t="str">
            <v>EST POLTRONA ALBA VERNIZ NOZES) FX E5132 - 0,63x0,79x0,76H</v>
          </cell>
          <cell r="Y3486">
            <v>9235.17</v>
          </cell>
          <cell r="Z3486">
            <v>0.5</v>
          </cell>
          <cell r="AA3486">
            <v>4617.585</v>
          </cell>
          <cell r="AB3486"/>
        </row>
        <row r="3487">
          <cell r="C3487">
            <v>2</v>
          </cell>
          <cell r="D3487">
            <v>2</v>
          </cell>
          <cell r="E3487">
            <v>0</v>
          </cell>
          <cell r="F3487">
            <v>0</v>
          </cell>
          <cell r="H3487">
            <v>0</v>
          </cell>
          <cell r="O3487">
            <v>327116</v>
          </cell>
          <cell r="P3487" t="str">
            <v>2022/237-0030-01</v>
          </cell>
          <cell r="Q3487" t="str">
            <v>EST POLTRONA ALBA VERNIZ NOZES) FX E5132</v>
          </cell>
          <cell r="R3487"/>
          <cell r="S3487"/>
          <cell r="T3487">
            <v>0.63</v>
          </cell>
          <cell r="U3487">
            <v>0.79</v>
          </cell>
          <cell r="V3487">
            <v>0.76</v>
          </cell>
          <cell r="W3487">
            <v>0</v>
          </cell>
          <cell r="X3487" t="str">
            <v>EST POLTRONA ALBA VERNIZ NOZES) FX E5132 - 0,63x0,79x0,76H</v>
          </cell>
          <cell r="Y3487">
            <v>9235.17</v>
          </cell>
          <cell r="Z3487">
            <v>0.5</v>
          </cell>
          <cell r="AA3487">
            <v>4617.585</v>
          </cell>
          <cell r="AB3487"/>
        </row>
        <row r="3488">
          <cell r="C3488">
            <v>0</v>
          </cell>
          <cell r="D3488">
            <v>1</v>
          </cell>
          <cell r="E3488">
            <v>0</v>
          </cell>
          <cell r="F3488">
            <v>0</v>
          </cell>
          <cell r="H3488">
            <v>0</v>
          </cell>
          <cell r="O3488">
            <v>377940</v>
          </cell>
          <cell r="P3488" t="str">
            <v>2024/184-0095-01</v>
          </cell>
          <cell r="Q3488" t="str">
            <v>EST SOFA CLEAN (B06) (2AS) COURO CH ENV 05</v>
          </cell>
          <cell r="R3488"/>
          <cell r="S3488"/>
          <cell r="T3488">
            <v>2.12</v>
          </cell>
          <cell r="U3488">
            <v>1.1499999999999999</v>
          </cell>
          <cell r="V3488">
            <v>0.8</v>
          </cell>
          <cell r="W3488">
            <v>0</v>
          </cell>
          <cell r="X3488" t="str">
            <v>EST SOFA CLEAN (B06) (2AS) COURO CH ENV 05 - 2,12x1,15x0,8H</v>
          </cell>
          <cell r="Y3488">
            <v>43824.61</v>
          </cell>
          <cell r="Z3488">
            <v>0.5</v>
          </cell>
          <cell r="AA3488">
            <v>21912.305</v>
          </cell>
          <cell r="AB3488"/>
        </row>
        <row r="3489">
          <cell r="C3489">
            <v>0</v>
          </cell>
          <cell r="D3489">
            <v>1</v>
          </cell>
          <cell r="E3489">
            <v>0</v>
          </cell>
          <cell r="F3489">
            <v>0</v>
          </cell>
          <cell r="H3489">
            <v>0</v>
          </cell>
          <cell r="O3489">
            <v>400394</v>
          </cell>
          <cell r="P3489" t="str">
            <v>2025/015-0003-01</v>
          </cell>
          <cell r="Q3489" t="str">
            <v>EST MESA JANTAR ELISE (LAMINA 2 NOGUEIRA)</v>
          </cell>
          <cell r="R3489"/>
          <cell r="S3489"/>
          <cell r="T3489">
            <v>2.2000000000000002</v>
          </cell>
          <cell r="U3489">
            <v>1.1000000000000001</v>
          </cell>
          <cell r="V3489">
            <v>0.75</v>
          </cell>
          <cell r="W3489">
            <v>0</v>
          </cell>
          <cell r="X3489" t="str">
            <v>EST MESA JANTAR ELISE (LAMINA 2 NOGUEIRA) - 2,2x1,1x0,75H</v>
          </cell>
          <cell r="Y3489">
            <v>29948.84</v>
          </cell>
          <cell r="Z3489">
            <v>0.35</v>
          </cell>
          <cell r="AA3489">
            <v>19466.745999999999</v>
          </cell>
          <cell r="AB3489"/>
        </row>
        <row r="3490">
          <cell r="C3490">
            <v>0</v>
          </cell>
          <cell r="D3490">
            <v>0</v>
          </cell>
          <cell r="E3490">
            <v>6</v>
          </cell>
          <cell r="F3490">
            <v>0</v>
          </cell>
          <cell r="H3490">
            <v>0</v>
          </cell>
          <cell r="O3490">
            <v>371336</v>
          </cell>
          <cell r="P3490" t="str">
            <v>2023/220-0014-01</v>
          </cell>
          <cell r="Q3490" t="str">
            <v>EST CADEIRA JUSSARA (AMENDOA) TC PREMIUM P016</v>
          </cell>
          <cell r="R3490"/>
          <cell r="S3490"/>
          <cell r="T3490">
            <v>0.48</v>
          </cell>
          <cell r="U3490">
            <v>0.6</v>
          </cell>
          <cell r="V3490">
            <v>0.89</v>
          </cell>
          <cell r="W3490">
            <v>0</v>
          </cell>
          <cell r="X3490" t="str">
            <v>EST CADEIRA JUSSARA (AMENDOA) TC PREMIUM P016 - 0,48x0,6x0,89H</v>
          </cell>
          <cell r="Y3490">
            <v>4282.6099999999997</v>
          </cell>
          <cell r="Z3490">
            <v>0.35</v>
          </cell>
          <cell r="AA3490">
            <v>2783.6965</v>
          </cell>
          <cell r="AB3490"/>
        </row>
        <row r="3491">
          <cell r="C3491">
            <v>1</v>
          </cell>
          <cell r="D3491">
            <v>0</v>
          </cell>
          <cell r="E3491">
            <v>1</v>
          </cell>
          <cell r="F3491">
            <v>0</v>
          </cell>
          <cell r="H3491">
            <v>0</v>
          </cell>
          <cell r="O3491">
            <v>231996</v>
          </cell>
          <cell r="P3491" t="str">
            <v>2019/091-0032-01</v>
          </cell>
          <cell r="Q3491" t="str">
            <v>EST MESA JANTAR STEEL (TP CLEAR BRANCO) BS LAM 3 LOURO PARDO</v>
          </cell>
          <cell r="R3491"/>
          <cell r="S3491"/>
          <cell r="T3491">
            <v>2.7</v>
          </cell>
          <cell r="U3491">
            <v>1.2</v>
          </cell>
          <cell r="V3491">
            <v>0.76</v>
          </cell>
          <cell r="W3491">
            <v>0</v>
          </cell>
          <cell r="X3491" t="str">
            <v>EST MESA JANTAR STEEL (TP CLEAR BRANCO) BS LAM 3 LOURO PARDO - 2,7x1,2x0,76H</v>
          </cell>
          <cell r="Y3491">
            <v>45779.42</v>
          </cell>
          <cell r="Z3491">
            <v>0.5</v>
          </cell>
          <cell r="AA3491">
            <v>22889.71</v>
          </cell>
          <cell r="AB3491"/>
        </row>
        <row r="3492">
          <cell r="C3492">
            <v>0</v>
          </cell>
          <cell r="D3492">
            <v>0</v>
          </cell>
          <cell r="E3492">
            <v>1</v>
          </cell>
          <cell r="F3492">
            <v>0</v>
          </cell>
          <cell r="H3492">
            <v>0</v>
          </cell>
          <cell r="O3492">
            <v>387682</v>
          </cell>
          <cell r="P3492" t="str">
            <v>2024/194-0006-01</v>
          </cell>
          <cell r="Q3492" t="str">
            <v>EST BANCO ORNI (TC 3360) (COURO C5309) NOGAL</v>
          </cell>
          <cell r="R3492"/>
          <cell r="S3492"/>
          <cell r="T3492">
            <v>1.8</v>
          </cell>
          <cell r="U3492">
            <v>0.45</v>
          </cell>
          <cell r="V3492">
            <v>0.45</v>
          </cell>
          <cell r="W3492">
            <v>0</v>
          </cell>
          <cell r="X3492" t="str">
            <v>EST BANCO ORNI (TC 3360) (COURO C5309) NOGAL - 1,8x0,45x0,45H</v>
          </cell>
          <cell r="Y3492">
            <v>8101.5</v>
          </cell>
          <cell r="Z3492">
            <v>0.35</v>
          </cell>
          <cell r="AA3492">
            <v>5265.9750000000004</v>
          </cell>
          <cell r="AB3492"/>
        </row>
        <row r="3493">
          <cell r="C3493">
            <v>0</v>
          </cell>
          <cell r="D3493">
            <v>0</v>
          </cell>
          <cell r="E3493">
            <v>6</v>
          </cell>
          <cell r="F3493">
            <v>0</v>
          </cell>
          <cell r="H3493">
            <v>0</v>
          </cell>
          <cell r="O3493">
            <v>371336</v>
          </cell>
          <cell r="P3493" t="str">
            <v>2023/220-0015-01</v>
          </cell>
          <cell r="Q3493" t="str">
            <v>EST CADEIRA JUSSARA (AMENDOA) TC PREMIUM P016</v>
          </cell>
          <cell r="R3493"/>
          <cell r="S3493"/>
          <cell r="T3493">
            <v>0.48</v>
          </cell>
          <cell r="U3493">
            <v>0.6</v>
          </cell>
          <cell r="V3493">
            <v>0.89</v>
          </cell>
          <cell r="W3493">
            <v>0</v>
          </cell>
          <cell r="X3493" t="str">
            <v>EST CADEIRA JUSSARA (AMENDOA) TC PREMIUM P016 - 0,48x0,6x0,89H</v>
          </cell>
          <cell r="Y3493">
            <v>4282.6099999999997</v>
          </cell>
          <cell r="Z3493">
            <v>0.35</v>
          </cell>
          <cell r="AA3493">
            <v>2783.6965</v>
          </cell>
          <cell r="AB3493"/>
        </row>
        <row r="3494">
          <cell r="C3494">
            <v>0</v>
          </cell>
          <cell r="D3494">
            <v>0</v>
          </cell>
          <cell r="E3494">
            <v>6</v>
          </cell>
          <cell r="F3494">
            <v>0</v>
          </cell>
          <cell r="H3494">
            <v>0</v>
          </cell>
          <cell r="O3494">
            <v>371336</v>
          </cell>
          <cell r="P3494" t="str">
            <v>2023/220-0016-01</v>
          </cell>
          <cell r="Q3494" t="str">
            <v>EST CADEIRA JUSSARA (AMENDOA) TC PREMIUM P016</v>
          </cell>
          <cell r="R3494"/>
          <cell r="S3494"/>
          <cell r="T3494">
            <v>0.48</v>
          </cell>
          <cell r="U3494">
            <v>0.6</v>
          </cell>
          <cell r="V3494">
            <v>0.89</v>
          </cell>
          <cell r="W3494">
            <v>0</v>
          </cell>
          <cell r="X3494" t="str">
            <v>EST CADEIRA JUSSARA (AMENDOA) TC PREMIUM P016 - 0,48x0,6x0,89H</v>
          </cell>
          <cell r="Y3494">
            <v>4282.6099999999997</v>
          </cell>
          <cell r="Z3494">
            <v>0.35</v>
          </cell>
          <cell r="AA3494">
            <v>2783.6965</v>
          </cell>
          <cell r="AB3494"/>
        </row>
        <row r="3495">
          <cell r="C3495">
            <v>0</v>
          </cell>
          <cell r="D3495">
            <v>0</v>
          </cell>
          <cell r="E3495">
            <v>6</v>
          </cell>
          <cell r="F3495">
            <v>0</v>
          </cell>
          <cell r="H3495">
            <v>0</v>
          </cell>
          <cell r="O3495">
            <v>371336</v>
          </cell>
          <cell r="P3495" t="str">
            <v>2023/220-0017-01</v>
          </cell>
          <cell r="Q3495" t="str">
            <v>EST CADEIRA JUSSARA (AMENDOA) TC PREMIUM P016</v>
          </cell>
          <cell r="R3495"/>
          <cell r="S3495"/>
          <cell r="T3495">
            <v>0.48</v>
          </cell>
          <cell r="U3495">
            <v>0.6</v>
          </cell>
          <cell r="V3495">
            <v>0.89</v>
          </cell>
          <cell r="W3495">
            <v>0</v>
          </cell>
          <cell r="X3495" t="str">
            <v>EST CADEIRA JUSSARA (AMENDOA) TC PREMIUM P016 - 0,48x0,6x0,89H</v>
          </cell>
          <cell r="Y3495">
            <v>4282.6099999999997</v>
          </cell>
          <cell r="Z3495">
            <v>0.35</v>
          </cell>
          <cell r="AA3495">
            <v>2783.6965</v>
          </cell>
          <cell r="AB3495"/>
        </row>
        <row r="3496">
          <cell r="C3496">
            <v>0</v>
          </cell>
          <cell r="D3496">
            <v>0</v>
          </cell>
          <cell r="E3496">
            <v>6</v>
          </cell>
          <cell r="F3496">
            <v>0</v>
          </cell>
          <cell r="H3496">
            <v>0</v>
          </cell>
          <cell r="O3496">
            <v>371336</v>
          </cell>
          <cell r="P3496" t="str">
            <v>2023/220-0018-01</v>
          </cell>
          <cell r="Q3496" t="str">
            <v>EST CADEIRA JUSSARA (AMENDOA) TC PREMIUM P016</v>
          </cell>
          <cell r="R3496"/>
          <cell r="S3496"/>
          <cell r="T3496">
            <v>0.48</v>
          </cell>
          <cell r="U3496">
            <v>0.6</v>
          </cell>
          <cell r="V3496">
            <v>0.89</v>
          </cell>
          <cell r="W3496">
            <v>0</v>
          </cell>
          <cell r="X3496" t="str">
            <v>EST CADEIRA JUSSARA (AMENDOA) TC PREMIUM P016 - 0,48x0,6x0,89H</v>
          </cell>
          <cell r="Y3496">
            <v>4282.6099999999997</v>
          </cell>
          <cell r="Z3496">
            <v>0.35</v>
          </cell>
          <cell r="AA3496">
            <v>2783.6965</v>
          </cell>
          <cell r="AB3496"/>
        </row>
        <row r="3497">
          <cell r="C3497">
            <v>0</v>
          </cell>
          <cell r="D3497">
            <v>0</v>
          </cell>
          <cell r="E3497">
            <v>6</v>
          </cell>
          <cell r="F3497">
            <v>0</v>
          </cell>
          <cell r="H3497">
            <v>0</v>
          </cell>
          <cell r="O3497">
            <v>371336</v>
          </cell>
          <cell r="P3497" t="str">
            <v>2023/220-0019-01</v>
          </cell>
          <cell r="Q3497" t="str">
            <v>EST CADEIRA JUSSARA (AMENDOA) TC PREMIUM P016</v>
          </cell>
          <cell r="R3497"/>
          <cell r="S3497"/>
          <cell r="T3497">
            <v>0.48</v>
          </cell>
          <cell r="U3497">
            <v>0.6</v>
          </cell>
          <cell r="V3497">
            <v>0.89</v>
          </cell>
          <cell r="W3497">
            <v>0</v>
          </cell>
          <cell r="X3497" t="str">
            <v>EST CADEIRA JUSSARA (AMENDOA) TC PREMIUM P016 - 0,48x0,6x0,89H</v>
          </cell>
          <cell r="Y3497">
            <v>4282.6099999999997</v>
          </cell>
          <cell r="Z3497">
            <v>0.35</v>
          </cell>
          <cell r="AA3497">
            <v>2783.6965</v>
          </cell>
          <cell r="AB3497"/>
        </row>
        <row r="3498">
          <cell r="C3498">
            <v>0</v>
          </cell>
          <cell r="D3498">
            <v>0</v>
          </cell>
          <cell r="E3498">
            <v>1</v>
          </cell>
          <cell r="F3498">
            <v>2</v>
          </cell>
          <cell r="H3498">
            <v>0</v>
          </cell>
          <cell r="O3498">
            <v>409982</v>
          </cell>
          <cell r="P3498" t="str">
            <v>2025/261-0022-01</v>
          </cell>
          <cell r="Q3498" t="str">
            <v>EST MESA LATERAL PIN (WALNUT MATT) (DET PINT CORTEN)</v>
          </cell>
          <cell r="R3498"/>
          <cell r="S3498"/>
          <cell r="T3498">
            <v>0.35</v>
          </cell>
          <cell r="U3498">
            <v>0</v>
          </cell>
          <cell r="V3498">
            <v>0.52</v>
          </cell>
          <cell r="W3498">
            <v>0.35</v>
          </cell>
          <cell r="X3498" t="str">
            <v>EST MESA LATERAL PIN (WALNUT MATT) (DET PINT CORTEN) - Ø0,35x0,52H</v>
          </cell>
          <cell r="Y3498">
            <v>5384.51</v>
          </cell>
          <cell r="Z3498">
            <v>0.35</v>
          </cell>
          <cell r="AA3498">
            <v>3499.9315000000006</v>
          </cell>
          <cell r="AB3498"/>
        </row>
        <row r="3499">
          <cell r="C3499">
            <v>0</v>
          </cell>
          <cell r="D3499">
            <v>0</v>
          </cell>
          <cell r="E3499">
            <v>1</v>
          </cell>
          <cell r="F3499">
            <v>1</v>
          </cell>
          <cell r="H3499">
            <v>0</v>
          </cell>
          <cell r="O3499">
            <v>260958</v>
          </cell>
          <cell r="P3499" t="str">
            <v>2020/192-0033-01</v>
          </cell>
          <cell r="Q3499" t="str">
            <v>EST BANCO MARINA REV (FREIJO) COURO TPE138/WKY26/LT ENV</v>
          </cell>
          <cell r="R3499"/>
          <cell r="S3499"/>
          <cell r="T3499">
            <v>2</v>
          </cell>
          <cell r="U3499">
            <v>0.5</v>
          </cell>
          <cell r="V3499">
            <v>0.37</v>
          </cell>
          <cell r="W3499">
            <v>0</v>
          </cell>
          <cell r="X3499" t="str">
            <v>EST BANCO MARINA REV (FREIJO) COURO TPE138/WKY26/LT ENV - 2x0,5x0,37H</v>
          </cell>
          <cell r="Y3499">
            <v>27664.81</v>
          </cell>
          <cell r="Z3499">
            <v>0.35</v>
          </cell>
          <cell r="AA3499">
            <v>17982.126500000002</v>
          </cell>
          <cell r="AB3499"/>
        </row>
        <row r="3500">
          <cell r="C3500">
            <v>0</v>
          </cell>
          <cell r="D3500">
            <v>1</v>
          </cell>
          <cell r="E3500">
            <v>0</v>
          </cell>
          <cell r="F3500">
            <v>1</v>
          </cell>
          <cell r="H3500">
            <v>0</v>
          </cell>
          <cell r="O3500">
            <v>273070</v>
          </cell>
          <cell r="P3500" t="str">
            <v>2021/019-0009-01</v>
          </cell>
          <cell r="Q3500" t="str">
            <v>EST MESA JANTAR MONIZ (C/GIR) (ESPINHADA D) (LAM 3 FREIJO)</v>
          </cell>
          <cell r="R3500"/>
          <cell r="S3500"/>
          <cell r="T3500">
            <v>1.8</v>
          </cell>
          <cell r="U3500">
            <v>0</v>
          </cell>
          <cell r="V3500">
            <v>0.75</v>
          </cell>
          <cell r="W3500">
            <v>1.8</v>
          </cell>
          <cell r="X3500" t="str">
            <v>EST MESA JANTAR MONIZ (C/GIR) (ESPINHADA D) (LAM 3 FREIJO) - Ø1,8x0,75H</v>
          </cell>
          <cell r="Y3500">
            <v>49371.53</v>
          </cell>
          <cell r="Z3500">
            <v>0.35</v>
          </cell>
          <cell r="AA3500">
            <v>32091.494500000001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1</v>
          </cell>
          <cell r="H3501">
            <v>0</v>
          </cell>
          <cell r="O3501">
            <v>406027</v>
          </cell>
          <cell r="P3501" t="str">
            <v>2025/125-0001-01</v>
          </cell>
          <cell r="Q3501" t="str">
            <v>EST SOFA TABLE ELLOS (MAD B LOURO FREIJO) (PRETO FSC)</v>
          </cell>
          <cell r="R3501"/>
          <cell r="S3501"/>
          <cell r="T3501">
            <v>2.2000000000000002</v>
          </cell>
          <cell r="U3501">
            <v>0.35</v>
          </cell>
          <cell r="V3501">
            <v>0.5</v>
          </cell>
          <cell r="W3501">
            <v>0</v>
          </cell>
          <cell r="X3501" t="str">
            <v>EST SOFA TABLE ELLOS (MAD B LOURO FREIJO) (PRETO FSC) - 2,2x0,35x0,5H</v>
          </cell>
          <cell r="Y3501">
            <v>12646.86</v>
          </cell>
          <cell r="Z3501">
            <v>0.35</v>
          </cell>
          <cell r="AA3501">
            <v>8220.4590000000007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1</v>
          </cell>
          <cell r="H3502">
            <v>0</v>
          </cell>
          <cell r="O3502">
            <v>373024</v>
          </cell>
          <cell r="P3502" t="str">
            <v>2023/320-0011-01</v>
          </cell>
          <cell r="Q3502" t="str">
            <v>EST BANQUETA BAR CAVALETTA H65 (JEQUITIBA CASTANHO CLARO)</v>
          </cell>
          <cell r="R3502"/>
          <cell r="S3502"/>
          <cell r="T3502">
            <v>0.43</v>
          </cell>
          <cell r="U3502">
            <v>0.46</v>
          </cell>
          <cell r="V3502">
            <v>0.65</v>
          </cell>
          <cell r="W3502">
            <v>0</v>
          </cell>
          <cell r="X3502" t="str">
            <v>EST BANQUETA BAR CAVALETTA H65 (JEQUITIBA CASTANHO CLARO) - 0,43x0,46x0,65H</v>
          </cell>
          <cell r="Y3502">
            <v>6456.31</v>
          </cell>
          <cell r="Z3502">
            <v>0.35</v>
          </cell>
          <cell r="AA3502">
            <v>4196.6015000000007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2</v>
          </cell>
          <cell r="H3503">
            <v>0</v>
          </cell>
          <cell r="O3503">
            <v>407199</v>
          </cell>
          <cell r="P3503" t="str">
            <v>2025/276-0011-01</v>
          </cell>
          <cell r="Q3503" t="str">
            <v>EST POLTRONA MARIA (TAUARI TING NOG) COURO FIRENZE 500</v>
          </cell>
          <cell r="R3503"/>
          <cell r="S3503"/>
          <cell r="T3503">
            <v>0.66</v>
          </cell>
          <cell r="U3503">
            <v>0.66</v>
          </cell>
          <cell r="V3503">
            <v>0.81</v>
          </cell>
          <cell r="W3503">
            <v>0</v>
          </cell>
          <cell r="X3503" t="str">
            <v>EST POLTRONA MARIA (TAUARI TING NOG) COURO FIRENZE 500 - 0,66x0,66x0,81H</v>
          </cell>
          <cell r="Y3503">
            <v>22323.17</v>
          </cell>
          <cell r="Z3503">
            <v>0.35</v>
          </cell>
          <cell r="AA3503">
            <v>14510.0605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2</v>
          </cell>
          <cell r="H3504">
            <v>0</v>
          </cell>
          <cell r="O3504">
            <v>407199</v>
          </cell>
          <cell r="P3504" t="str">
            <v>2025/276-0012-01</v>
          </cell>
          <cell r="Q3504" t="str">
            <v>EST POLTRONA MARIA (TAUARI TING NOG) COURO FIRENZE 500</v>
          </cell>
          <cell r="R3504"/>
          <cell r="S3504"/>
          <cell r="T3504">
            <v>0.66</v>
          </cell>
          <cell r="U3504">
            <v>0.66</v>
          </cell>
          <cell r="V3504">
            <v>0.81</v>
          </cell>
          <cell r="W3504">
            <v>0</v>
          </cell>
          <cell r="X3504" t="str">
            <v>EST POLTRONA MARIA (TAUARI TING NOG) COURO FIRENZE 500 - 0,66x0,66x0,81H</v>
          </cell>
          <cell r="Y3504">
            <v>22323.17</v>
          </cell>
          <cell r="Z3504">
            <v>0.35</v>
          </cell>
          <cell r="AA3504">
            <v>14510.0605</v>
          </cell>
          <cell r="AB3504"/>
        </row>
        <row r="3505">
          <cell r="C3505">
            <v>1</v>
          </cell>
          <cell r="D3505">
            <v>0</v>
          </cell>
          <cell r="E3505">
            <v>0</v>
          </cell>
          <cell r="F3505">
            <v>0</v>
          </cell>
          <cell r="H3505">
            <v>0</v>
          </cell>
          <cell r="O3505">
            <v>180707</v>
          </cell>
          <cell r="P3505" t="str">
            <v>2016/006-0009-01</v>
          </cell>
          <cell r="Q3505" t="str">
            <v>EST MESA LATERAL MUD (POLIESTER F100)</v>
          </cell>
          <cell r="R3505"/>
          <cell r="S3505"/>
          <cell r="T3505">
            <v>0.5</v>
          </cell>
          <cell r="U3505">
            <v>0.5</v>
          </cell>
          <cell r="V3505">
            <v>0</v>
          </cell>
          <cell r="W3505">
            <v>0</v>
          </cell>
          <cell r="X3505" t="str">
            <v>EST MESA LATERAL MUD (POLIESTER F100) - 0,5x0,5x0H</v>
          </cell>
          <cell r="Y3505">
            <v>6113.71</v>
          </cell>
          <cell r="Z3505">
            <v>0.5</v>
          </cell>
          <cell r="AA3505">
            <v>3056.855</v>
          </cell>
          <cell r="AB3505"/>
        </row>
        <row r="3506">
          <cell r="C3506">
            <v>4</v>
          </cell>
          <cell r="D3506">
            <v>0</v>
          </cell>
          <cell r="E3506">
            <v>0</v>
          </cell>
          <cell r="F3506">
            <v>0</v>
          </cell>
          <cell r="H3506">
            <v>0</v>
          </cell>
          <cell r="O3506">
            <v>270464</v>
          </cell>
          <cell r="P3506" t="str">
            <v>2021/007-0021-01</v>
          </cell>
          <cell r="Q3506" t="str">
            <v>EST CADEIRA TWIN C/BRACO (GIR)( EBANIZADO) TC4019</v>
          </cell>
          <cell r="R3506"/>
          <cell r="S3506"/>
          <cell r="T3506">
            <v>0.51</v>
          </cell>
          <cell r="U3506">
            <v>0.6</v>
          </cell>
          <cell r="V3506">
            <v>0.83</v>
          </cell>
          <cell r="W3506">
            <v>0</v>
          </cell>
          <cell r="X3506" t="str">
            <v>EST CADEIRA TWIN C/BRACO (GIR)( EBANIZADO) TC4019 - 0,51x0,6x0,83H</v>
          </cell>
          <cell r="Y3506">
            <v>3624</v>
          </cell>
          <cell r="Z3506">
            <v>0.5</v>
          </cell>
          <cell r="AA3506">
            <v>1812</v>
          </cell>
          <cell r="AB3506"/>
        </row>
        <row r="3507">
          <cell r="C3507">
            <v>4</v>
          </cell>
          <cell r="D3507">
            <v>0</v>
          </cell>
          <cell r="E3507">
            <v>0</v>
          </cell>
          <cell r="F3507">
            <v>0</v>
          </cell>
          <cell r="H3507">
            <v>0</v>
          </cell>
          <cell r="O3507">
            <v>270464</v>
          </cell>
          <cell r="P3507" t="str">
            <v>2021/007-0022-01</v>
          </cell>
          <cell r="Q3507" t="str">
            <v>EST CADEIRA TWIN C/BRACO (GIR)( EBANIZADO) TC4019</v>
          </cell>
          <cell r="R3507"/>
          <cell r="S3507"/>
          <cell r="T3507">
            <v>0.51</v>
          </cell>
          <cell r="U3507">
            <v>0.6</v>
          </cell>
          <cell r="V3507">
            <v>0.83</v>
          </cell>
          <cell r="W3507">
            <v>0</v>
          </cell>
          <cell r="X3507" t="str">
            <v>EST CADEIRA TWIN C/BRACO (GIR)( EBANIZADO) TC4019 - 0,51x0,6x0,83H</v>
          </cell>
          <cell r="Y3507">
            <v>3624</v>
          </cell>
          <cell r="Z3507">
            <v>0.5</v>
          </cell>
          <cell r="AA3507">
            <v>1812</v>
          </cell>
          <cell r="AB3507"/>
        </row>
        <row r="3508">
          <cell r="C3508">
            <v>4</v>
          </cell>
          <cell r="D3508">
            <v>0</v>
          </cell>
          <cell r="E3508">
            <v>0</v>
          </cell>
          <cell r="F3508">
            <v>0</v>
          </cell>
          <cell r="H3508">
            <v>0</v>
          </cell>
          <cell r="O3508">
            <v>260296</v>
          </cell>
          <cell r="P3508" t="str">
            <v>2020/202-0038-01</v>
          </cell>
          <cell r="Q3508" t="str">
            <v>EST CADEIRA COLLANA EST MEL/TC 310A</v>
          </cell>
          <cell r="R3508"/>
          <cell r="S3508"/>
          <cell r="T3508">
            <v>0.7</v>
          </cell>
          <cell r="U3508">
            <v>0.65</v>
          </cell>
          <cell r="V3508">
            <v>0.81</v>
          </cell>
          <cell r="W3508">
            <v>0</v>
          </cell>
          <cell r="X3508" t="str">
            <v>EST CADEIRA COLLANA EST MEL/TC 310A - 0,7x0,65x0,81H</v>
          </cell>
          <cell r="Y3508">
            <v>5855.36</v>
          </cell>
          <cell r="Z3508">
            <v>0.5</v>
          </cell>
          <cell r="AA3508">
            <v>2927.68</v>
          </cell>
          <cell r="AB3508"/>
        </row>
        <row r="3509">
          <cell r="C3509">
            <v>4</v>
          </cell>
          <cell r="D3509">
            <v>0</v>
          </cell>
          <cell r="E3509">
            <v>0</v>
          </cell>
          <cell r="F3509">
            <v>0</v>
          </cell>
          <cell r="H3509">
            <v>0</v>
          </cell>
          <cell r="O3509">
            <v>260296</v>
          </cell>
          <cell r="P3509" t="str">
            <v>2020/202-0039-01</v>
          </cell>
          <cell r="Q3509" t="str">
            <v>EST CADEIRA COLLANA EST MEL/TC 310A</v>
          </cell>
          <cell r="R3509"/>
          <cell r="S3509"/>
          <cell r="T3509">
            <v>0.7</v>
          </cell>
          <cell r="U3509">
            <v>0.65</v>
          </cell>
          <cell r="V3509">
            <v>0.81</v>
          </cell>
          <cell r="W3509">
            <v>0</v>
          </cell>
          <cell r="X3509" t="str">
            <v>EST CADEIRA COLLANA EST MEL/TC 310A - 0,7x0,65x0,81H</v>
          </cell>
          <cell r="Y3509">
            <v>5855.36</v>
          </cell>
          <cell r="Z3509">
            <v>0.5</v>
          </cell>
          <cell r="AA3509">
            <v>2927.68</v>
          </cell>
          <cell r="AB3509"/>
        </row>
        <row r="3510">
          <cell r="C3510">
            <v>4</v>
          </cell>
          <cell r="D3510">
            <v>0</v>
          </cell>
          <cell r="E3510">
            <v>0</v>
          </cell>
          <cell r="F3510">
            <v>0</v>
          </cell>
          <cell r="H3510">
            <v>0</v>
          </cell>
          <cell r="O3510">
            <v>260296</v>
          </cell>
          <cell r="P3510" t="str">
            <v>2020/202-0042-01</v>
          </cell>
          <cell r="Q3510" t="str">
            <v>EST CADEIRA COLLANA EST MEL/TC 310A</v>
          </cell>
          <cell r="R3510"/>
          <cell r="S3510"/>
          <cell r="T3510">
            <v>0.7</v>
          </cell>
          <cell r="U3510">
            <v>0.65</v>
          </cell>
          <cell r="V3510">
            <v>0.81</v>
          </cell>
          <cell r="W3510">
            <v>0</v>
          </cell>
          <cell r="X3510" t="str">
            <v>EST CADEIRA COLLANA EST MEL/TC 310A - 0,7x0,65x0,81H</v>
          </cell>
          <cell r="Y3510">
            <v>5855.36</v>
          </cell>
          <cell r="Z3510">
            <v>0.5</v>
          </cell>
          <cell r="AA3510">
            <v>2927.68</v>
          </cell>
          <cell r="AB3510"/>
        </row>
        <row r="3511">
          <cell r="C3511">
            <v>4</v>
          </cell>
          <cell r="D3511">
            <v>0</v>
          </cell>
          <cell r="E3511">
            <v>0</v>
          </cell>
          <cell r="F3511">
            <v>0</v>
          </cell>
          <cell r="H3511">
            <v>0</v>
          </cell>
          <cell r="O3511">
            <v>260296</v>
          </cell>
          <cell r="P3511" t="str">
            <v>2020/202-0043-01</v>
          </cell>
          <cell r="Q3511" t="str">
            <v>EST CADEIRA COLLANA EST MEL/TC 310A</v>
          </cell>
          <cell r="R3511"/>
          <cell r="S3511"/>
          <cell r="T3511">
            <v>0.7</v>
          </cell>
          <cell r="U3511">
            <v>0.65</v>
          </cell>
          <cell r="V3511">
            <v>0.81</v>
          </cell>
          <cell r="W3511">
            <v>0</v>
          </cell>
          <cell r="X3511" t="str">
            <v>EST CADEIRA COLLANA EST MEL/TC 310A - 0,7x0,65x0,81H</v>
          </cell>
          <cell r="Y3511">
            <v>5855.36</v>
          </cell>
          <cell r="Z3511">
            <v>0.5</v>
          </cell>
          <cell r="AA3511">
            <v>2927.68</v>
          </cell>
          <cell r="AB3511"/>
        </row>
        <row r="3512">
          <cell r="C3512">
            <v>4</v>
          </cell>
          <cell r="D3512">
            <v>0</v>
          </cell>
          <cell r="E3512">
            <v>0</v>
          </cell>
          <cell r="F3512">
            <v>0</v>
          </cell>
          <cell r="H3512">
            <v>0</v>
          </cell>
          <cell r="O3512">
            <v>270464</v>
          </cell>
          <cell r="P3512" t="str">
            <v>2021/007-0023-01</v>
          </cell>
          <cell r="Q3512" t="str">
            <v>EST CADEIRA TWIN C/BRACO (GIR)( EBANIZADO) TC4019</v>
          </cell>
          <cell r="R3512"/>
          <cell r="S3512"/>
          <cell r="T3512">
            <v>0.51</v>
          </cell>
          <cell r="U3512">
            <v>0.6</v>
          </cell>
          <cell r="V3512">
            <v>0.83</v>
          </cell>
          <cell r="W3512">
            <v>0</v>
          </cell>
          <cell r="X3512" t="str">
            <v>EST CADEIRA TWIN C/BRACO (GIR)( EBANIZADO) TC4019 - 0,51x0,6x0,83H</v>
          </cell>
          <cell r="Y3512">
            <v>3624</v>
          </cell>
          <cell r="Z3512">
            <v>0.5</v>
          </cell>
          <cell r="AA3512">
            <v>1812</v>
          </cell>
          <cell r="AB3512"/>
        </row>
        <row r="3513">
          <cell r="C3513">
            <v>4</v>
          </cell>
          <cell r="D3513">
            <v>0</v>
          </cell>
          <cell r="E3513">
            <v>0</v>
          </cell>
          <cell r="F3513">
            <v>0</v>
          </cell>
          <cell r="H3513">
            <v>0</v>
          </cell>
          <cell r="O3513">
            <v>270464</v>
          </cell>
          <cell r="P3513" t="str">
            <v>2021/007-0024-01</v>
          </cell>
          <cell r="Q3513" t="str">
            <v>EST CADEIRA TWIN C/BRACO (GIR)( EBANIZADO) TC4019</v>
          </cell>
          <cell r="R3513"/>
          <cell r="S3513"/>
          <cell r="T3513">
            <v>0.51</v>
          </cell>
          <cell r="U3513">
            <v>0.6</v>
          </cell>
          <cell r="V3513">
            <v>0.83</v>
          </cell>
          <cell r="W3513">
            <v>0</v>
          </cell>
          <cell r="X3513" t="str">
            <v>EST CADEIRA TWIN C/BRACO (GIR)( EBANIZADO) TC4019 - 0,51x0,6x0,83H</v>
          </cell>
          <cell r="Y3513">
            <v>3624</v>
          </cell>
          <cell r="Z3513">
            <v>0.5</v>
          </cell>
          <cell r="AA3513">
            <v>1812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1</v>
          </cell>
          <cell r="O3514">
            <v>63520</v>
          </cell>
          <cell r="P3514" t="str">
            <v>1012/306-2443-01</v>
          </cell>
          <cell r="Q3514" t="str">
            <v>EST MESA CENTRO PD 27 (CARVALHO CHOCOLATE)</v>
          </cell>
          <cell r="R3514"/>
          <cell r="S3514"/>
          <cell r="T3514">
            <v>1.3</v>
          </cell>
          <cell r="U3514">
            <v>0</v>
          </cell>
          <cell r="V3514">
            <v>0.5</v>
          </cell>
          <cell r="W3514">
            <v>1.3</v>
          </cell>
          <cell r="X3514" t="str">
            <v>EST MESA CENTRO PD 27 (CARVALHO CHOCOLATE) - Ø1,3x0,5H</v>
          </cell>
          <cell r="Y3514">
            <v>9430.4</v>
          </cell>
          <cell r="Z3514">
            <v>0.5</v>
          </cell>
          <cell r="AA3514">
            <v>4715.2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1</v>
          </cell>
          <cell r="O3515">
            <v>65039</v>
          </cell>
          <cell r="P3515" t="str">
            <v>1012/306-2544-01</v>
          </cell>
          <cell r="Q3515" t="str">
            <v>EST BASE JANTAR LEQUE (CARVALHO) (LACA BRILHO PRETA)</v>
          </cell>
          <cell r="R3515"/>
          <cell r="S3515"/>
          <cell r="T3515">
            <v>1.1000000000000001</v>
          </cell>
          <cell r="U3515">
            <v>0</v>
          </cell>
          <cell r="V3515">
            <v>0.75</v>
          </cell>
          <cell r="W3515">
            <v>1.1000000000000001</v>
          </cell>
          <cell r="X3515" t="str">
            <v>EST BASE JANTAR LEQUE (CARVALHO) (LACA BRILHO PRETA) - Ø1,1x0,75H</v>
          </cell>
          <cell r="Y3515">
            <v>7127.23</v>
          </cell>
          <cell r="Z3515">
            <v>0.5</v>
          </cell>
          <cell r="AA3515">
            <v>3563.6149999999998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82950</v>
          </cell>
          <cell r="P3516" t="str">
            <v>1012/307-3504-01</v>
          </cell>
          <cell r="Q3516" t="str">
            <v>EST POLTRONA TOLEDO (C/ALM) LINHO NAT/DET INT ALG VERDE</v>
          </cell>
          <cell r="R3516"/>
          <cell r="S3516"/>
          <cell r="T3516">
            <v>0.7</v>
          </cell>
          <cell r="U3516">
            <v>0.66</v>
          </cell>
          <cell r="V3516">
            <v>0.66</v>
          </cell>
          <cell r="W3516">
            <v>0</v>
          </cell>
          <cell r="X3516" t="str">
            <v>EST POLTRONA TOLEDO (C/ALM) LINHO NAT/DET INT ALG VERDE - 0,7x0,66x0,66H</v>
          </cell>
          <cell r="Y3516">
            <v>10389.120000000001</v>
          </cell>
          <cell r="Z3516">
            <v>0.5</v>
          </cell>
          <cell r="AA3516">
            <v>5194.5600000000004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3</v>
          </cell>
          <cell r="O3517">
            <v>117365</v>
          </cell>
          <cell r="P3517" t="str">
            <v>1012/307-2912-01</v>
          </cell>
          <cell r="Q3517" t="str">
            <v>EST BANQUETA JOB (LC PRETA) (RVST FORN) (TC 10717/0001)</v>
          </cell>
          <cell r="R3517"/>
          <cell r="S3517"/>
          <cell r="T3517">
            <v>0.75</v>
          </cell>
          <cell r="U3517">
            <v>0.45</v>
          </cell>
          <cell r="V3517">
            <v>0.43</v>
          </cell>
          <cell r="W3517">
            <v>0</v>
          </cell>
          <cell r="X3517" t="str">
            <v>EST BANQUETA JOB (LC PRETA) (RVST FORN) (TC 10717/0001) - 0,75x0,45x0,43H</v>
          </cell>
          <cell r="Y3517">
            <v>5779.2</v>
          </cell>
          <cell r="Z3517">
            <v>0.5</v>
          </cell>
          <cell r="AA3517">
            <v>2889.6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3</v>
          </cell>
          <cell r="O3518">
            <v>117365</v>
          </cell>
          <cell r="P3518" t="str">
            <v>2014/245-0007-01</v>
          </cell>
          <cell r="Q3518" t="str">
            <v>EST BANQUETA JOB (LC PRETA) (RVST FORN) (TC 10717/0001)</v>
          </cell>
          <cell r="R3518"/>
          <cell r="S3518"/>
          <cell r="T3518">
            <v>0.75</v>
          </cell>
          <cell r="U3518">
            <v>0.45</v>
          </cell>
          <cell r="V3518">
            <v>0.43</v>
          </cell>
          <cell r="W3518">
            <v>0</v>
          </cell>
          <cell r="X3518" t="str">
            <v>EST BANQUETA JOB (LC PRETA) (RVST FORN) (TC 10717/0001) - 0,75x0,45x0,43H</v>
          </cell>
          <cell r="Y3518">
            <v>5779.2</v>
          </cell>
          <cell r="Z3518">
            <v>0.5</v>
          </cell>
          <cell r="AA3518">
            <v>2889.6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3</v>
          </cell>
          <cell r="O3519">
            <v>117365</v>
          </cell>
          <cell r="P3519" t="str">
            <v>2024/065-0019-01</v>
          </cell>
          <cell r="Q3519" t="str">
            <v>EST BANQUETA JOB (LC PRETA) (RVST FORN) (TC 10717/0001)</v>
          </cell>
          <cell r="R3519"/>
          <cell r="S3519"/>
          <cell r="T3519">
            <v>0.75</v>
          </cell>
          <cell r="U3519">
            <v>0.45</v>
          </cell>
          <cell r="V3519">
            <v>0.43</v>
          </cell>
          <cell r="W3519">
            <v>0</v>
          </cell>
          <cell r="X3519" t="str">
            <v>EST BANQUETA JOB (LC PRETA) (RVST FORN) (TC 10717/0001) - 0,75x0,45x0,43H</v>
          </cell>
          <cell r="Y3519">
            <v>5779.2</v>
          </cell>
          <cell r="Z3519">
            <v>0.5</v>
          </cell>
          <cell r="AA3519">
            <v>2889.6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1</v>
          </cell>
          <cell r="O3520">
            <v>123299</v>
          </cell>
          <cell r="P3520" t="str">
            <v>2013/053-0060-01</v>
          </cell>
          <cell r="Q3520" t="str">
            <v>EST POLTRONA TOLEDO (C/ALM) LINHO NAT/DET INT ALG VERDE</v>
          </cell>
          <cell r="R3520"/>
          <cell r="S3520"/>
          <cell r="T3520">
            <v>0.7</v>
          </cell>
          <cell r="U3520">
            <v>0.66</v>
          </cell>
          <cell r="V3520">
            <v>0.66</v>
          </cell>
          <cell r="W3520">
            <v>0</v>
          </cell>
          <cell r="X3520" t="str">
            <v>EST POLTRONA TOLEDO (C/ALM) LINHO NAT/DET INT ALG VERDE - 0,7x0,66x0,66H</v>
          </cell>
          <cell r="Y3520">
            <v>10389.120000000001</v>
          </cell>
          <cell r="Z3520">
            <v>0.5</v>
          </cell>
          <cell r="AA3520">
            <v>5194.5600000000004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1</v>
          </cell>
          <cell r="O3521">
            <v>128623</v>
          </cell>
          <cell r="P3521" t="str">
            <v>2013/163-0016-01</v>
          </cell>
          <cell r="Q3521" t="str">
            <v>EST MESA JANTAR ALTAMIRA (LACA BRILHO POLIESTER LARANJA Y021</v>
          </cell>
          <cell r="R3521"/>
          <cell r="S3521"/>
          <cell r="T3521">
            <v>2.8</v>
          </cell>
          <cell r="U3521">
            <v>1.3</v>
          </cell>
          <cell r="V3521">
            <v>0.76</v>
          </cell>
          <cell r="W3521">
            <v>0</v>
          </cell>
          <cell r="X3521" t="str">
            <v>EST MESA JANTAR ALTAMIRA (LACA BRILHO POLIESTER LARANJA Y021 - 2,8x1,3x0,76H</v>
          </cell>
          <cell r="Y3521">
            <v>43576.24</v>
          </cell>
          <cell r="Z3521">
            <v>0.5</v>
          </cell>
          <cell r="AA3521">
            <v>21788.12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129724</v>
          </cell>
          <cell r="P3522" t="str">
            <v>2013/148-0039-01</v>
          </cell>
          <cell r="Q3522" t="str">
            <v>EST CADEIRA DIX (ESTOFADA) (TABACO) TC 404A</v>
          </cell>
          <cell r="R3522"/>
          <cell r="S3522"/>
          <cell r="T3522">
            <v>0.56000000000000005</v>
          </cell>
          <cell r="U3522">
            <v>0.56999999999999995</v>
          </cell>
          <cell r="V3522">
            <v>0.81</v>
          </cell>
          <cell r="W3522">
            <v>0</v>
          </cell>
          <cell r="X3522" t="str">
            <v>EST CADEIRA DIX (ESTOFADA) (TABACO) TC 404A - 0,56x0,57x0,81H</v>
          </cell>
          <cell r="Y3522">
            <v>3808</v>
          </cell>
          <cell r="Z3522">
            <v>0.5</v>
          </cell>
          <cell r="AA3522">
            <v>1904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3</v>
          </cell>
          <cell r="O3523">
            <v>129724</v>
          </cell>
          <cell r="P3523" t="str">
            <v>2013/148-0042-01</v>
          </cell>
          <cell r="Q3523" t="str">
            <v>EST CADEIRA DIX (ESTOFADA) (TABACO) TC 404A</v>
          </cell>
          <cell r="R3523"/>
          <cell r="S3523"/>
          <cell r="T3523">
            <v>0.56000000000000005</v>
          </cell>
          <cell r="U3523">
            <v>0.56999999999999995</v>
          </cell>
          <cell r="V3523">
            <v>0.81</v>
          </cell>
          <cell r="W3523">
            <v>0</v>
          </cell>
          <cell r="X3523" t="str">
            <v>EST CADEIRA DIX (ESTOFADA) (TABACO) TC 404A - 0,56x0,57x0,81H</v>
          </cell>
          <cell r="Y3523">
            <v>3808</v>
          </cell>
          <cell r="Z3523">
            <v>0.5</v>
          </cell>
          <cell r="AA3523">
            <v>1904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3</v>
          </cell>
          <cell r="O3524">
            <v>129724</v>
          </cell>
          <cell r="P3524" t="str">
            <v>2013/148-0043-01</v>
          </cell>
          <cell r="Q3524" t="str">
            <v>EST CADEIRA DIX (ESTOFADA) (TABACO) TC 404A</v>
          </cell>
          <cell r="R3524"/>
          <cell r="S3524"/>
          <cell r="T3524">
            <v>0.56000000000000005</v>
          </cell>
          <cell r="U3524">
            <v>0.56999999999999995</v>
          </cell>
          <cell r="V3524">
            <v>0.81</v>
          </cell>
          <cell r="W3524">
            <v>0</v>
          </cell>
          <cell r="X3524" t="str">
            <v>EST CADEIRA DIX (ESTOFADA) (TABACO) TC 404A - 0,56x0,57x0,81H</v>
          </cell>
          <cell r="Y3524">
            <v>3808</v>
          </cell>
          <cell r="Z3524">
            <v>0.5</v>
          </cell>
          <cell r="AA3524">
            <v>1904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1</v>
          </cell>
          <cell r="O3525">
            <v>151317</v>
          </cell>
          <cell r="P3525" t="str">
            <v>2014/195-0019-01</v>
          </cell>
          <cell r="Q3525" t="str">
            <v>EST POLTRONA GAVEA (CASTANHO PATIN) (COR 63) (TC 10711)</v>
          </cell>
          <cell r="R3525"/>
          <cell r="S3525"/>
          <cell r="T3525">
            <v>0.8</v>
          </cell>
          <cell r="U3525">
            <v>0.76</v>
          </cell>
          <cell r="V3525">
            <v>0.7</v>
          </cell>
          <cell r="W3525">
            <v>0</v>
          </cell>
          <cell r="X3525" t="str">
            <v>EST POLTRONA GAVEA (CASTANHO PATIN) (COR 63) (TC 10711) - 0,8x0,76x0,7H</v>
          </cell>
          <cell r="Y3525">
            <v>8960</v>
          </cell>
          <cell r="Z3525">
            <v>0.5</v>
          </cell>
          <cell r="AA3525">
            <v>4480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4</v>
          </cell>
          <cell r="O3526">
            <v>151374</v>
          </cell>
          <cell r="P3526" t="str">
            <v>2014/260-0034-01</v>
          </cell>
          <cell r="Q3526" t="str">
            <v>EST MESA CENTRO ODESSA MADEIRA CUMARU (BIPARTIDA)</v>
          </cell>
          <cell r="R3526"/>
          <cell r="S3526"/>
          <cell r="T3526">
            <v>1</v>
          </cell>
          <cell r="U3526">
            <v>1</v>
          </cell>
          <cell r="V3526">
            <v>0.15</v>
          </cell>
          <cell r="W3526">
            <v>0</v>
          </cell>
          <cell r="X3526" t="str">
            <v>EST MESA CENTRO ODESSA MADEIRA CUMARU (BIPARTIDA) - 1x1x0,15H</v>
          </cell>
          <cell r="Y3526">
            <v>7429</v>
          </cell>
          <cell r="Z3526">
            <v>0.5</v>
          </cell>
          <cell r="AA3526">
            <v>3714.5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4</v>
          </cell>
          <cell r="O3527">
            <v>151374</v>
          </cell>
          <cell r="P3527" t="str">
            <v>2022/203-0079-01</v>
          </cell>
          <cell r="Q3527" t="str">
            <v>EST MESA CENTRO ODESSA MADEIRA CUMARU (BIPARTIDA)</v>
          </cell>
          <cell r="R3527"/>
          <cell r="S3527"/>
          <cell r="T3527">
            <v>1</v>
          </cell>
          <cell r="U3527">
            <v>1</v>
          </cell>
          <cell r="V3527">
            <v>0.15</v>
          </cell>
          <cell r="W3527">
            <v>0</v>
          </cell>
          <cell r="X3527" t="str">
            <v>EST MESA CENTRO ODESSA MADEIRA CUMARU (BIPARTIDA) - 1x1x0,15H</v>
          </cell>
          <cell r="Y3527">
            <v>7429</v>
          </cell>
          <cell r="Z3527">
            <v>0.5</v>
          </cell>
          <cell r="AA3527">
            <v>3714.5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0</v>
          </cell>
          <cell r="H3528">
            <v>4</v>
          </cell>
          <cell r="O3528">
            <v>151374</v>
          </cell>
          <cell r="P3528" t="str">
            <v>2022/203-0080-01</v>
          </cell>
          <cell r="Q3528" t="str">
            <v>EST MESA CENTRO ODESSA MADEIRA CUMARU (BIPARTIDA)</v>
          </cell>
          <cell r="R3528"/>
          <cell r="S3528"/>
          <cell r="T3528">
            <v>1</v>
          </cell>
          <cell r="U3528">
            <v>1</v>
          </cell>
          <cell r="V3528">
            <v>0.15</v>
          </cell>
          <cell r="W3528">
            <v>0</v>
          </cell>
          <cell r="X3528" t="str">
            <v>EST MESA CENTRO ODESSA MADEIRA CUMARU (BIPARTIDA) - 1x1x0,15H</v>
          </cell>
          <cell r="Y3528">
            <v>7429</v>
          </cell>
          <cell r="Z3528">
            <v>0.5</v>
          </cell>
          <cell r="AA3528">
            <v>3714.5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0</v>
          </cell>
          <cell r="H3529">
            <v>4</v>
          </cell>
          <cell r="O3529">
            <v>151374</v>
          </cell>
          <cell r="P3529" t="str">
            <v>2022/203-0081-01</v>
          </cell>
          <cell r="Q3529" t="str">
            <v>EST MESA CENTRO ODESSA MADEIRA CUMARU (BIPARTIDA)</v>
          </cell>
          <cell r="R3529"/>
          <cell r="S3529"/>
          <cell r="T3529">
            <v>1</v>
          </cell>
          <cell r="U3529">
            <v>1</v>
          </cell>
          <cell r="V3529">
            <v>0.15</v>
          </cell>
          <cell r="W3529">
            <v>0</v>
          </cell>
          <cell r="X3529" t="str">
            <v>EST MESA CENTRO ODESSA MADEIRA CUMARU (BIPARTIDA) - 1x1x0,15H</v>
          </cell>
          <cell r="Y3529">
            <v>7429</v>
          </cell>
          <cell r="Z3529">
            <v>0.5</v>
          </cell>
          <cell r="AA3529">
            <v>3714.5</v>
          </cell>
          <cell r="AB3529"/>
        </row>
        <row r="3530">
          <cell r="C3530">
            <v>0</v>
          </cell>
          <cell r="D3530">
            <v>0</v>
          </cell>
          <cell r="E3530">
            <v>0</v>
          </cell>
          <cell r="F3530">
            <v>0</v>
          </cell>
          <cell r="H3530">
            <v>1</v>
          </cell>
          <cell r="O3530">
            <v>151391</v>
          </cell>
          <cell r="P3530" t="str">
            <v>2024/260-0020-01</v>
          </cell>
          <cell r="Q3530" t="str">
            <v>EST SOFA GENEVA - ARGILA - TC 11245</v>
          </cell>
          <cell r="R3530"/>
          <cell r="S3530"/>
          <cell r="T3530">
            <v>2.2999999999999998</v>
          </cell>
          <cell r="U3530">
            <v>0.85</v>
          </cell>
          <cell r="V3530">
            <v>0.65</v>
          </cell>
          <cell r="W3530">
            <v>0</v>
          </cell>
          <cell r="X3530" t="str">
            <v>EST SOFA GENEVA - ARGILA - TC 11245 - 2,3x0,85x0,65H</v>
          </cell>
          <cell r="Y3530">
            <v>18069.14</v>
          </cell>
          <cell r="Z3530">
            <v>0.5</v>
          </cell>
          <cell r="AA3530">
            <v>9034.57</v>
          </cell>
          <cell r="AB3530"/>
        </row>
        <row r="3531"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H3531">
            <v>1</v>
          </cell>
          <cell r="O3531">
            <v>151450</v>
          </cell>
          <cell r="P3531" t="str">
            <v>2014/216-0101-01</v>
          </cell>
          <cell r="Q3531" t="str">
            <v>EST APARADOR CARAJAS (BAMBU COR 10)</v>
          </cell>
          <cell r="R3531"/>
          <cell r="S3531"/>
          <cell r="T3531">
            <v>2</v>
          </cell>
          <cell r="U3531">
            <v>0.6</v>
          </cell>
          <cell r="V3531">
            <v>0.8</v>
          </cell>
          <cell r="W3531">
            <v>0</v>
          </cell>
          <cell r="X3531" t="str">
            <v>EST APARADOR CARAJAS (BAMBU COR 10) - 2x0,6x0,8H</v>
          </cell>
          <cell r="Y3531">
            <v>20721.12</v>
          </cell>
          <cell r="Z3531">
            <v>0.5</v>
          </cell>
          <cell r="AA3531">
            <v>10360.56</v>
          </cell>
          <cell r="AB3531"/>
        </row>
        <row r="3532"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H3532">
            <v>2</v>
          </cell>
          <cell r="O3532">
            <v>151504</v>
          </cell>
          <cell r="P3532" t="str">
            <v>2014/251-0049-01</v>
          </cell>
          <cell r="Q3532" t="str">
            <v>EST POLTRONA MENTARI (TC 4280) (BOULDER C/ALM DECORATIVA)</v>
          </cell>
          <cell r="R3532"/>
          <cell r="S3532"/>
          <cell r="T3532">
            <v>0.73</v>
          </cell>
          <cell r="U3532">
            <v>0.77</v>
          </cell>
          <cell r="V3532">
            <v>0.77</v>
          </cell>
          <cell r="W3532">
            <v>0</v>
          </cell>
          <cell r="X3532" t="str">
            <v>EST POLTRONA MENTARI (TC 4280) (BOULDER C/ALM DECORATIVA) - 0,73x0,77x0,77H</v>
          </cell>
          <cell r="Y3532">
            <v>12513</v>
          </cell>
          <cell r="Z3532">
            <v>0.5</v>
          </cell>
          <cell r="AA3532">
            <v>6256.5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2</v>
          </cell>
          <cell r="O3533">
            <v>151504</v>
          </cell>
          <cell r="P3533" t="str">
            <v>2014/251-0081-01</v>
          </cell>
          <cell r="Q3533" t="str">
            <v>EST POLTRONA MENTARI (TC 4280) (BOULDER C/ALM DECORATIVA)</v>
          </cell>
          <cell r="R3533"/>
          <cell r="S3533"/>
          <cell r="T3533">
            <v>0.73</v>
          </cell>
          <cell r="U3533">
            <v>0.77</v>
          </cell>
          <cell r="V3533">
            <v>0.77</v>
          </cell>
          <cell r="W3533">
            <v>0</v>
          </cell>
          <cell r="X3533" t="str">
            <v>EST POLTRONA MENTARI (TC 4280) (BOULDER C/ALM DECORATIVA) - 0,73x0,77x0,77H</v>
          </cell>
          <cell r="Y3533">
            <v>12513</v>
          </cell>
          <cell r="Z3533">
            <v>0.5</v>
          </cell>
          <cell r="AA3533">
            <v>6256.5</v>
          </cell>
          <cell r="AB3533"/>
        </row>
        <row r="3534"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H3534">
            <v>2</v>
          </cell>
          <cell r="O3534">
            <v>151602</v>
          </cell>
          <cell r="P3534" t="str">
            <v>2014/241-0053-01</v>
          </cell>
          <cell r="Q3534" t="str">
            <v>EST CADEIRA NICK C/BRACO (ROTIN APUI NATURAL) (TC LINHO 505)</v>
          </cell>
          <cell r="R3534"/>
          <cell r="S3534"/>
          <cell r="T3534">
            <v>0.56999999999999995</v>
          </cell>
          <cell r="U3534">
            <v>0.6</v>
          </cell>
          <cell r="V3534">
            <v>0.94</v>
          </cell>
          <cell r="W3534">
            <v>0</v>
          </cell>
          <cell r="X3534" t="str">
            <v>EST CADEIRA NICK C/BRACO (ROTIN APUI NATURAL) (TC LINHO 505) - 0,57x0,6x0,94H</v>
          </cell>
          <cell r="Y3534">
            <v>6388.48</v>
          </cell>
          <cell r="Z3534">
            <v>0.5</v>
          </cell>
          <cell r="AA3534">
            <v>3194.24</v>
          </cell>
          <cell r="AB3534"/>
        </row>
        <row r="3535">
          <cell r="C3535">
            <v>0</v>
          </cell>
          <cell r="D3535">
            <v>0</v>
          </cell>
          <cell r="E3535">
            <v>0</v>
          </cell>
          <cell r="F3535">
            <v>0</v>
          </cell>
          <cell r="H3535">
            <v>2</v>
          </cell>
          <cell r="O3535">
            <v>151602</v>
          </cell>
          <cell r="P3535" t="str">
            <v>2014/241-0054-01</v>
          </cell>
          <cell r="Q3535" t="str">
            <v>EST CADEIRA NICK C/BRACO (ROTIN APUI NATURAL) (TC LINHO 505)</v>
          </cell>
          <cell r="R3535"/>
          <cell r="S3535"/>
          <cell r="T3535">
            <v>0.56999999999999995</v>
          </cell>
          <cell r="U3535">
            <v>0.6</v>
          </cell>
          <cell r="V3535">
            <v>0.94</v>
          </cell>
          <cell r="W3535">
            <v>0</v>
          </cell>
          <cell r="X3535" t="str">
            <v>EST CADEIRA NICK C/BRACO (ROTIN APUI NATURAL) (TC LINHO 505) - 0,57x0,6x0,94H</v>
          </cell>
          <cell r="Y3535">
            <v>6388.48</v>
          </cell>
          <cell r="Z3535">
            <v>0.5</v>
          </cell>
          <cell r="AA3535">
            <v>3194.24</v>
          </cell>
          <cell r="AB3535"/>
        </row>
        <row r="3536">
          <cell r="C3536">
            <v>0</v>
          </cell>
          <cell r="D3536">
            <v>0</v>
          </cell>
          <cell r="E3536">
            <v>0</v>
          </cell>
          <cell r="F3536">
            <v>0</v>
          </cell>
          <cell r="H3536">
            <v>0</v>
          </cell>
          <cell r="O3536">
            <v>151605</v>
          </cell>
          <cell r="P3536" t="str">
            <v>2014/241-0105-01</v>
          </cell>
          <cell r="Q3536" t="str">
            <v>EST MESA JANTAR SAMOA (TABOA TRAMA GOTA NATURAL)</v>
          </cell>
          <cell r="R3536"/>
          <cell r="S3536"/>
          <cell r="T3536">
            <v>0.9</v>
          </cell>
          <cell r="U3536">
            <v>0</v>
          </cell>
          <cell r="V3536">
            <v>0.75</v>
          </cell>
          <cell r="W3536">
            <v>0.9</v>
          </cell>
          <cell r="X3536" t="str">
            <v>EST MESA JANTAR SAMOA (TABOA TRAMA GOTA NATURAL) - Ø0,9x0,75H</v>
          </cell>
          <cell r="Y3536">
            <v>6086.08</v>
          </cell>
          <cell r="Z3536">
            <v>0.5</v>
          </cell>
          <cell r="AA3536">
            <v>3043.04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162905</v>
          </cell>
          <cell r="P3537" t="str">
            <v>2015/037-0045-01</v>
          </cell>
          <cell r="Q3537" t="str">
            <v>EST MOVEL BAR FORZATTO CARVALHO NAT/PORTAS BRINZE</v>
          </cell>
          <cell r="R3537"/>
          <cell r="S3537"/>
          <cell r="T3537">
            <v>1</v>
          </cell>
          <cell r="U3537">
            <v>0.5</v>
          </cell>
          <cell r="V3537">
            <v>0.9</v>
          </cell>
          <cell r="W3537">
            <v>0</v>
          </cell>
          <cell r="X3537" t="str">
            <v>EST MOVEL BAR FORZATTO CARVALHO NAT/PORTAS BRINZE - 1x0,5x0,9H</v>
          </cell>
          <cell r="Y3537">
            <v>13440</v>
          </cell>
          <cell r="Z3537">
            <v>0.5</v>
          </cell>
          <cell r="AA3537">
            <v>6720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0</v>
          </cell>
          <cell r="O3538">
            <v>180702</v>
          </cell>
          <cell r="P3538" t="str">
            <v>2016/082-0105-01</v>
          </cell>
          <cell r="Q3538" t="str">
            <v>EST CADEIRA CHANNEL TC2208 (PE PRETO)</v>
          </cell>
          <cell r="R3538"/>
          <cell r="S3538"/>
          <cell r="T3538">
            <v>0.51</v>
          </cell>
          <cell r="U3538">
            <v>0.52</v>
          </cell>
          <cell r="V3538">
            <v>0.86</v>
          </cell>
          <cell r="W3538">
            <v>0</v>
          </cell>
          <cell r="X3538" t="str">
            <v>EST CADEIRA CHANNEL TC2208 (PE PRETO) - 0,51x0,52x0,86H</v>
          </cell>
          <cell r="Y3538">
            <v>2688</v>
          </cell>
          <cell r="Z3538">
            <v>0.5</v>
          </cell>
          <cell r="AA3538">
            <v>1344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1</v>
          </cell>
          <cell r="O3539">
            <v>181594</v>
          </cell>
          <cell r="P3539" t="str">
            <v>2015/316-0006-01</v>
          </cell>
          <cell r="Q3539" t="str">
            <v>EST BASE JANTAR COPACABANA (PINTURA PRETA)</v>
          </cell>
          <cell r="R3539"/>
          <cell r="S3539"/>
          <cell r="T3539">
            <v>1</v>
          </cell>
          <cell r="U3539">
            <v>0.6</v>
          </cell>
          <cell r="V3539">
            <v>0.7</v>
          </cell>
          <cell r="W3539">
            <v>0</v>
          </cell>
          <cell r="X3539" t="str">
            <v>EST BASE JANTAR COPACABANA (PINTURA PRETA) - 1x0,6x0,7H</v>
          </cell>
          <cell r="Y3539">
            <v>11248.12</v>
          </cell>
          <cell r="Z3539">
            <v>0.5</v>
          </cell>
          <cell r="AA3539">
            <v>5624.06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2</v>
          </cell>
          <cell r="O3540">
            <v>182607</v>
          </cell>
          <cell r="P3540" t="str">
            <v>2016/019-0055-01</v>
          </cell>
          <cell r="Q3540" t="str">
            <v>EST POLTRONA PAINEIRAS (FIBRA FB43 - ESTONADO CRU TC Q151)</v>
          </cell>
          <cell r="R3540"/>
          <cell r="S3540"/>
          <cell r="T3540">
            <v>0.92</v>
          </cell>
          <cell r="U3540">
            <v>0.8</v>
          </cell>
          <cell r="V3540">
            <v>0.8</v>
          </cell>
          <cell r="W3540">
            <v>0</v>
          </cell>
          <cell r="X3540" t="str">
            <v>EST POLTRONA PAINEIRAS (FIBRA FB43 - ESTONADO CRU TC Q151) - 0,92x0,8x0,8H</v>
          </cell>
          <cell r="Y3540">
            <v>10631.04</v>
          </cell>
          <cell r="Z3540">
            <v>0.5</v>
          </cell>
          <cell r="AA3540">
            <v>5315.52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2</v>
          </cell>
          <cell r="O3541">
            <v>182607</v>
          </cell>
          <cell r="P3541" t="str">
            <v>2016/019-0056-01</v>
          </cell>
          <cell r="Q3541" t="str">
            <v>EST POLTRONA PAINEIRAS (FIBRA FB43 - ESTONADO CRU TC Q151)</v>
          </cell>
          <cell r="R3541"/>
          <cell r="S3541"/>
          <cell r="T3541">
            <v>0.92</v>
          </cell>
          <cell r="U3541">
            <v>0.8</v>
          </cell>
          <cell r="V3541">
            <v>0.8</v>
          </cell>
          <cell r="W3541">
            <v>0</v>
          </cell>
          <cell r="X3541" t="str">
            <v>EST POLTRONA PAINEIRAS (FIBRA FB43 - ESTONADO CRU TC Q151) - 0,92x0,8x0,8H</v>
          </cell>
          <cell r="Y3541">
            <v>10631.04</v>
          </cell>
          <cell r="Z3541">
            <v>0.5</v>
          </cell>
          <cell r="AA3541">
            <v>5315.52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182711</v>
          </cell>
          <cell r="P3542" t="str">
            <v>2016/019-0144-01</v>
          </cell>
          <cell r="Q3542" t="str">
            <v>EST APARADOR AMALFI (TAMPO LC BRANCA BRIL) (BS LC FSC PRETA)</v>
          </cell>
          <cell r="R3542"/>
          <cell r="S3542"/>
          <cell r="T3542">
            <v>2.4</v>
          </cell>
          <cell r="U3542">
            <v>0.43</v>
          </cell>
          <cell r="V3542">
            <v>0.75</v>
          </cell>
          <cell r="W3542">
            <v>0</v>
          </cell>
          <cell r="X3542" t="str">
            <v>EST APARADOR AMALFI (TAMPO LC BRANCA BRIL) (BS LC FSC PRETA) - 2,4x0,43x0,75H</v>
          </cell>
          <cell r="Y3542">
            <v>19173.5</v>
          </cell>
          <cell r="Z3542">
            <v>0.5</v>
          </cell>
          <cell r="AA3542">
            <v>9586.75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2</v>
          </cell>
          <cell r="O3543">
            <v>204756</v>
          </cell>
          <cell r="P3543" t="str">
            <v>2016/329-0003-01</v>
          </cell>
          <cell r="Q3543" t="str">
            <v>EST CADEIRA ZAZ (MADEIRA NATURAL) (TELA NATURAL) (TC 402A)</v>
          </cell>
          <cell r="R3543"/>
          <cell r="S3543"/>
          <cell r="T3543">
            <v>0.61</v>
          </cell>
          <cell r="U3543">
            <v>0.62</v>
          </cell>
          <cell r="V3543">
            <v>0.77</v>
          </cell>
          <cell r="W3543">
            <v>0</v>
          </cell>
          <cell r="X3543" t="str">
            <v>EST CADEIRA ZAZ (MADEIRA NATURAL) (TELA NATURAL) (TC 402A) - 0,61x0,62x0,77H</v>
          </cell>
          <cell r="Y3543">
            <v>3270.4</v>
          </cell>
          <cell r="Z3543">
            <v>0.5</v>
          </cell>
          <cell r="AA3543">
            <v>1635.2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2</v>
          </cell>
          <cell r="O3544">
            <v>204756</v>
          </cell>
          <cell r="P3544" t="str">
            <v>2016/329-0004-01</v>
          </cell>
          <cell r="Q3544" t="str">
            <v>EST CADEIRA ZAZ (MADEIRA NATURAL) (TELA NATURAL) (TC 402A)</v>
          </cell>
          <cell r="R3544"/>
          <cell r="S3544"/>
          <cell r="T3544">
            <v>0.61</v>
          </cell>
          <cell r="U3544">
            <v>0.62</v>
          </cell>
          <cell r="V3544">
            <v>0.77</v>
          </cell>
          <cell r="W3544">
            <v>0</v>
          </cell>
          <cell r="X3544" t="str">
            <v>EST CADEIRA ZAZ (MADEIRA NATURAL) (TELA NATURAL) (TC 402A) - 0,61x0,62x0,77H</v>
          </cell>
          <cell r="Y3544">
            <v>3270.4</v>
          </cell>
          <cell r="Z3544">
            <v>0.5</v>
          </cell>
          <cell r="AA3544">
            <v>1635.2</v>
          </cell>
          <cell r="AB3544"/>
        </row>
        <row r="3545"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H3545">
            <v>2</v>
          </cell>
          <cell r="O3545">
            <v>210383</v>
          </cell>
          <cell r="P3545" t="str">
            <v>2017/160-0014-01</v>
          </cell>
          <cell r="Q3545" t="str">
            <v>EST POLTRONA IRIS TC600 C/3 VIVO 580 C4/ PES CINZA 95X80X90</v>
          </cell>
          <cell r="R3545"/>
          <cell r="S3545"/>
          <cell r="T3545">
            <v>0</v>
          </cell>
          <cell r="U3545">
            <v>0</v>
          </cell>
          <cell r="V3545">
            <v>0</v>
          </cell>
          <cell r="W3545">
            <v>0</v>
          </cell>
          <cell r="X3545" t="str">
            <v>EST POLTRONA IRIS TC600 C/3 VIVO 580 C4/ PES CINZA 95X80X90 - Ø0x0H</v>
          </cell>
          <cell r="Y3545">
            <v>12114.77</v>
          </cell>
          <cell r="Z3545">
            <v>0.5</v>
          </cell>
          <cell r="AA3545">
            <v>6057.3850000000002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2</v>
          </cell>
          <cell r="O3546">
            <v>210383</v>
          </cell>
          <cell r="P3546" t="str">
            <v>2017/160-0015-01</v>
          </cell>
          <cell r="Q3546" t="str">
            <v>EST POLTRONA IRIS TC600 C/3 VIVO 580 C4/ PES CINZA 95X80X90</v>
          </cell>
          <cell r="R3546"/>
          <cell r="S3546"/>
          <cell r="T3546">
            <v>0</v>
          </cell>
          <cell r="U3546">
            <v>0</v>
          </cell>
          <cell r="V3546">
            <v>0</v>
          </cell>
          <cell r="W3546">
            <v>0</v>
          </cell>
          <cell r="X3546" t="str">
            <v>EST POLTRONA IRIS TC600 C/3 VIVO 580 C4/ PES CINZA 95X80X90 - Ø0x0H</v>
          </cell>
          <cell r="Y3546">
            <v>12114.77</v>
          </cell>
          <cell r="Z3546">
            <v>0.5</v>
          </cell>
          <cell r="AA3546">
            <v>6057.3850000000002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213130</v>
          </cell>
          <cell r="P3547" t="str">
            <v>2017/142-0001-01</v>
          </cell>
          <cell r="Q3547" t="str">
            <v>EST MODULO S/B C/PUFF DIR CHATEAU (MTX PRETO) TC B2023</v>
          </cell>
          <cell r="R3547"/>
          <cell r="S3547"/>
          <cell r="T3547">
            <v>1.85</v>
          </cell>
          <cell r="U3547">
            <v>1.1000000000000001</v>
          </cell>
          <cell r="V3547">
            <v>0.94</v>
          </cell>
          <cell r="W3547">
            <v>0</v>
          </cell>
          <cell r="X3547" t="str">
            <v>EST MODULO S/B C/PUFF DIR CHATEAU (MTX PRETO) TC B2023 - 1,85x1,1x0,94H</v>
          </cell>
          <cell r="Y3547">
            <v>19307.810000000001</v>
          </cell>
          <cell r="Z3547">
            <v>0.5</v>
          </cell>
          <cell r="AA3547">
            <v>9653.9050000000007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2</v>
          </cell>
          <cell r="O3548">
            <v>221148</v>
          </cell>
          <cell r="P3548" t="str">
            <v>2018/176-0052-01</v>
          </cell>
          <cell r="Q3548" t="str">
            <v>EST CADEIRA WING MISTA (TELA SEXTAVADA NT) TC 110</v>
          </cell>
          <cell r="R3548"/>
          <cell r="S3548"/>
          <cell r="T3548">
            <v>0.56000000000000005</v>
          </cell>
          <cell r="U3548">
            <v>0.54</v>
          </cell>
          <cell r="V3548">
            <v>0.84</v>
          </cell>
          <cell r="W3548">
            <v>0</v>
          </cell>
          <cell r="X3548" t="str">
            <v>EST CADEIRA WING MISTA (TELA SEXTAVADA NT) TC 110 - 0,56x0,54x0,84H</v>
          </cell>
          <cell r="Y3548">
            <v>3827.94</v>
          </cell>
          <cell r="Z3548">
            <v>0.5</v>
          </cell>
          <cell r="AA3548">
            <v>1913.97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2</v>
          </cell>
          <cell r="O3549">
            <v>221148</v>
          </cell>
          <cell r="P3549" t="str">
            <v>2018/176-0054-01</v>
          </cell>
          <cell r="Q3549" t="str">
            <v>EST CADEIRA WING MISTA (TELA SEXTAVADA NT) TC 110</v>
          </cell>
          <cell r="R3549"/>
          <cell r="S3549"/>
          <cell r="T3549">
            <v>0.56000000000000005</v>
          </cell>
          <cell r="U3549">
            <v>0.54</v>
          </cell>
          <cell r="V3549">
            <v>0.84</v>
          </cell>
          <cell r="W3549">
            <v>0</v>
          </cell>
          <cell r="X3549" t="str">
            <v>EST CADEIRA WING MISTA (TELA SEXTAVADA NT) TC 110 - 0,56x0,54x0,84H</v>
          </cell>
          <cell r="Y3549">
            <v>3827.94</v>
          </cell>
          <cell r="Z3549">
            <v>0.5</v>
          </cell>
          <cell r="AA3549">
            <v>1913.97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2</v>
          </cell>
          <cell r="O3550">
            <v>223322</v>
          </cell>
          <cell r="P3550" t="str">
            <v>2018/204-0082-01</v>
          </cell>
          <cell r="Q3550" t="str">
            <v>EST CADEIRA MOI (LAM CARV PT) (TC LISO COURISSIMO GELO)</v>
          </cell>
          <cell r="R3550"/>
          <cell r="S3550"/>
          <cell r="T3550">
            <v>0.48</v>
          </cell>
          <cell r="U3550">
            <v>0.56999999999999995</v>
          </cell>
          <cell r="V3550">
            <v>0.82</v>
          </cell>
          <cell r="W3550">
            <v>0</v>
          </cell>
          <cell r="X3550" t="str">
            <v>EST CADEIRA MOI (LAM CARV PT) (TC LISO COURISSIMO GELO) - 0,48x0,57x0,82H</v>
          </cell>
          <cell r="Y3550">
            <v>9101.7900000000009</v>
          </cell>
          <cell r="Z3550">
            <v>0.5</v>
          </cell>
          <cell r="AA3550">
            <v>4550.8950000000004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2</v>
          </cell>
          <cell r="O3551">
            <v>223322</v>
          </cell>
          <cell r="P3551" t="str">
            <v>2018/204-0083-01</v>
          </cell>
          <cell r="Q3551" t="str">
            <v>EST CADEIRA MOI (LAM CARV PT) (TC LISO COURISSIMO GELO)</v>
          </cell>
          <cell r="R3551"/>
          <cell r="S3551"/>
          <cell r="T3551">
            <v>0.48</v>
          </cell>
          <cell r="U3551">
            <v>0.56999999999999995</v>
          </cell>
          <cell r="V3551">
            <v>0.82</v>
          </cell>
          <cell r="W3551">
            <v>0</v>
          </cell>
          <cell r="X3551" t="str">
            <v>EST CADEIRA MOI (LAM CARV PT) (TC LISO COURISSIMO GELO) - 0,48x0,57x0,82H</v>
          </cell>
          <cell r="Y3551">
            <v>9101.7900000000009</v>
          </cell>
          <cell r="Z3551">
            <v>0.5</v>
          </cell>
          <cell r="AA3551">
            <v>4550.8950000000004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223337</v>
          </cell>
          <cell r="P3552" t="str">
            <v>2018/214-0018-01</v>
          </cell>
          <cell r="Q3552" t="str">
            <v>EST MESA LATERAL MARI (SAYERLACK M135 FOSCO)</v>
          </cell>
          <cell r="R3552"/>
          <cell r="S3552"/>
          <cell r="T3552">
            <v>0.32</v>
          </cell>
          <cell r="U3552">
            <v>0</v>
          </cell>
          <cell r="V3552">
            <v>0.5</v>
          </cell>
          <cell r="W3552">
            <v>0.32</v>
          </cell>
          <cell r="X3552" t="str">
            <v>EST MESA LATERAL MARI (SAYERLACK M135 FOSCO) - Ø0,32x0,5H</v>
          </cell>
          <cell r="Y3552">
            <v>3377.92</v>
          </cell>
          <cell r="Z3552">
            <v>0.5</v>
          </cell>
          <cell r="AA3552">
            <v>1688.96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223340</v>
          </cell>
          <cell r="P3553" t="str">
            <v>2018/156-0100-01</v>
          </cell>
          <cell r="Q3553" t="str">
            <v>EST POLTRONA DIX MEL CLARO TC607A</v>
          </cell>
          <cell r="R3553"/>
          <cell r="S3553"/>
          <cell r="T3553">
            <v>0.72</v>
          </cell>
          <cell r="U3553">
            <v>0.65</v>
          </cell>
          <cell r="V3553">
            <v>0.74</v>
          </cell>
          <cell r="W3553">
            <v>0</v>
          </cell>
          <cell r="X3553" t="str">
            <v>EST POLTRONA DIX MEL CLARO TC607A - 0,72x0,65x0,74H</v>
          </cell>
          <cell r="Y3553">
            <v>8960</v>
          </cell>
          <cell r="Z3553">
            <v>0.5</v>
          </cell>
          <cell r="AA3553">
            <v>4480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224528</v>
          </cell>
          <cell r="P3554" t="str">
            <v>2018/247-0007-01</v>
          </cell>
          <cell r="Q3554" t="str">
            <v>EST MESA JANTAR MANZANA (TP/BS LOURO PRETO/PILAR MTX PRETO)</v>
          </cell>
          <cell r="R3554"/>
          <cell r="S3554"/>
          <cell r="T3554">
            <v>2.97</v>
          </cell>
          <cell r="U3554">
            <v>1.18</v>
          </cell>
          <cell r="V3554">
            <v>0.75</v>
          </cell>
          <cell r="W3554">
            <v>0</v>
          </cell>
          <cell r="X3554" t="str">
            <v>EST MESA JANTAR MANZANA (TP/BS LOURO PRETO/PILAR MTX PRETO) - 2,97x1,18x0,75H</v>
          </cell>
          <cell r="Y3554">
            <v>53516.74</v>
          </cell>
          <cell r="Z3554">
            <v>0.5</v>
          </cell>
          <cell r="AA3554">
            <v>26758.37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252251</v>
          </cell>
          <cell r="P3555" t="str">
            <v>2019/304-0016-01</v>
          </cell>
          <cell r="Q3555" t="str">
            <v>EST PUFF BABI TC 95029 (PES PRETO)</v>
          </cell>
          <cell r="R3555"/>
          <cell r="S3555"/>
          <cell r="T3555">
            <v>0.46</v>
          </cell>
          <cell r="U3555">
            <v>0.46</v>
          </cell>
          <cell r="V3555">
            <v>0.47</v>
          </cell>
          <cell r="W3555">
            <v>0</v>
          </cell>
          <cell r="X3555" t="str">
            <v>EST PUFF BABI TC 95029 (PES PRETO) - 0,46x0,46x0,47H</v>
          </cell>
          <cell r="Y3555">
            <v>1832.32</v>
          </cell>
          <cell r="Z3555">
            <v>0.5</v>
          </cell>
          <cell r="AA3555">
            <v>916.16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254163</v>
          </cell>
          <cell r="P3556" t="str">
            <v>2024/243-0019-01</v>
          </cell>
          <cell r="Q3556" t="str">
            <v>EST BANCO EVO (MADEIRA NATURAL)</v>
          </cell>
          <cell r="R3556"/>
          <cell r="S3556"/>
          <cell r="T3556">
            <v>0.39</v>
          </cell>
          <cell r="U3556">
            <v>0.37</v>
          </cell>
          <cell r="V3556">
            <v>0.46</v>
          </cell>
          <cell r="W3556">
            <v>0</v>
          </cell>
          <cell r="X3556" t="str">
            <v>EST BANCO EVO (MADEIRA NATURAL) - 0,39x0,37x0,46H</v>
          </cell>
          <cell r="Y3556">
            <v>3046.4</v>
          </cell>
          <cell r="Z3556">
            <v>0.5</v>
          </cell>
          <cell r="AA3556">
            <v>1523.2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1</v>
          </cell>
          <cell r="O3557">
            <v>255749</v>
          </cell>
          <cell r="P3557" t="str">
            <v>2020/078-0013-01</v>
          </cell>
          <cell r="Q3557" t="str">
            <v>EST BUFFET AD (RESINA OFF WHITE)</v>
          </cell>
          <cell r="R3557"/>
          <cell r="S3557"/>
          <cell r="T3557">
            <v>2.73</v>
          </cell>
          <cell r="U3557">
            <v>0.5</v>
          </cell>
          <cell r="V3557">
            <v>0.77</v>
          </cell>
          <cell r="W3557">
            <v>0</v>
          </cell>
          <cell r="X3557" t="str">
            <v>EST BUFFET AD (RESINA OFF WHITE) - 2,73x0,5x0,77H</v>
          </cell>
          <cell r="Y3557">
            <v>64628.17</v>
          </cell>
          <cell r="Z3557">
            <v>0.5</v>
          </cell>
          <cell r="AA3557">
            <v>32314.084999999999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256188</v>
          </cell>
          <cell r="P3558" t="str">
            <v>2021/183-0061-01</v>
          </cell>
          <cell r="Q3558" t="str">
            <v>EST MESA CENTRO POSH BD NOCE/CARV LIGHT/C CAMEL</v>
          </cell>
          <cell r="R3558"/>
          <cell r="S3558"/>
          <cell r="T3558">
            <v>2</v>
          </cell>
          <cell r="U3558">
            <v>0.45</v>
          </cell>
          <cell r="V3558">
            <v>0.49</v>
          </cell>
          <cell r="W3558">
            <v>0</v>
          </cell>
          <cell r="X3558" t="str">
            <v>EST MESA CENTRO POSH BD NOCE/CARV LIGHT/C CAMEL - 2x0,45x0,49H</v>
          </cell>
          <cell r="Y3558">
            <v>13872.14</v>
          </cell>
          <cell r="Z3558">
            <v>0.5</v>
          </cell>
          <cell r="AA3558">
            <v>6936.07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2</v>
          </cell>
          <cell r="O3559">
            <v>292636</v>
          </cell>
          <cell r="P3559" t="str">
            <v>2024/243-0007-01</v>
          </cell>
          <cell r="Q3559" t="str">
            <v>EST BANQUETA MAKALU (COURO TP3)</v>
          </cell>
          <cell r="R3559"/>
          <cell r="S3559"/>
          <cell r="T3559">
            <v>1.05</v>
          </cell>
          <cell r="U3559">
            <v>0.85</v>
          </cell>
          <cell r="V3559">
            <v>0.46</v>
          </cell>
          <cell r="W3559">
            <v>0</v>
          </cell>
          <cell r="X3559" t="str">
            <v>EST BANQUETA MAKALU (COURO TP3) - 1,05x0,85x0,46H</v>
          </cell>
          <cell r="Y3559">
            <v>17168.93</v>
          </cell>
          <cell r="Z3559">
            <v>0.5</v>
          </cell>
          <cell r="AA3559">
            <v>8584.4650000000001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3</v>
          </cell>
          <cell r="O3560">
            <v>81474</v>
          </cell>
          <cell r="P3560" t="str">
            <v>1012/307-3275-01</v>
          </cell>
          <cell r="Q3560" t="str">
            <v>EST ESTANTE EIXO (MODULO F) (FREIJO ENVELHECIDO)</v>
          </cell>
          <cell r="R3560"/>
          <cell r="S3560"/>
          <cell r="T3560">
            <v>0.3</v>
          </cell>
          <cell r="U3560">
            <v>0.25</v>
          </cell>
          <cell r="V3560">
            <v>0.35</v>
          </cell>
          <cell r="W3560">
            <v>0</v>
          </cell>
          <cell r="X3560" t="str">
            <v>EST ESTANTE EIXO (MODULO F) (FREIJO ENVELHECIDO) - 0,3x0,25x0,35H</v>
          </cell>
          <cell r="Y3560">
            <v>940.8</v>
          </cell>
          <cell r="Z3560">
            <v>0.5</v>
          </cell>
          <cell r="AA3560">
            <v>470.4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3</v>
          </cell>
          <cell r="O3561">
            <v>81474</v>
          </cell>
          <cell r="P3561" t="str">
            <v>1012/307-3276-01</v>
          </cell>
          <cell r="Q3561" t="str">
            <v>EST ESTANTE EIXO (MODULO F) (FREIJO ENVELHECIDO)</v>
          </cell>
          <cell r="R3561"/>
          <cell r="S3561"/>
          <cell r="T3561">
            <v>0.3</v>
          </cell>
          <cell r="U3561">
            <v>0.25</v>
          </cell>
          <cell r="V3561">
            <v>0.35</v>
          </cell>
          <cell r="W3561">
            <v>0</v>
          </cell>
          <cell r="X3561" t="str">
            <v>EST ESTANTE EIXO (MODULO F) (FREIJO ENVELHECIDO) - 0,3x0,25x0,35H</v>
          </cell>
          <cell r="Y3561">
            <v>940.8</v>
          </cell>
          <cell r="Z3561">
            <v>0.5</v>
          </cell>
          <cell r="AA3561">
            <v>470.4</v>
          </cell>
          <cell r="AB3561"/>
        </row>
        <row r="3562">
          <cell r="C3562">
            <v>0</v>
          </cell>
          <cell r="D3562">
            <v>1</v>
          </cell>
          <cell r="E3562">
            <v>0</v>
          </cell>
          <cell r="F3562">
            <v>0</v>
          </cell>
          <cell r="H3562">
            <v>1</v>
          </cell>
          <cell r="O3562">
            <v>324011</v>
          </cell>
          <cell r="P3562" t="str">
            <v>2022/090-0038-01</v>
          </cell>
          <cell r="Q3562" t="str">
            <v>EST TAPETE TROPICAL (LISO) (1 COR) (10MM) F:917</v>
          </cell>
          <cell r="R3562"/>
          <cell r="S3562"/>
          <cell r="T3562">
            <v>3</v>
          </cell>
          <cell r="U3562">
            <v>4</v>
          </cell>
          <cell r="V3562">
            <v>0.01</v>
          </cell>
          <cell r="W3562">
            <v>0</v>
          </cell>
          <cell r="X3562" t="str">
            <v>EST TAPETE TROPICAL (LISO) (1 COR) (10MM) F:917 - 3x4x0,01H</v>
          </cell>
          <cell r="Y3562">
            <v>20321.28</v>
          </cell>
          <cell r="Z3562">
            <v>0.5</v>
          </cell>
          <cell r="AA3562">
            <v>10160.64</v>
          </cell>
          <cell r="AB3562"/>
        </row>
        <row r="3563">
          <cell r="C3563">
            <v>0</v>
          </cell>
          <cell r="D3563">
            <v>1</v>
          </cell>
          <cell r="E3563">
            <v>0</v>
          </cell>
          <cell r="F3563">
            <v>0</v>
          </cell>
          <cell r="H3563">
            <v>1</v>
          </cell>
          <cell r="O3563">
            <v>324011</v>
          </cell>
          <cell r="P3563" t="str">
            <v>2022/090-0054-01</v>
          </cell>
          <cell r="Q3563" t="str">
            <v>EST TAPETE TROPICAL (LISO) (1 COR) (10MM) F:917</v>
          </cell>
          <cell r="R3563"/>
          <cell r="S3563"/>
          <cell r="T3563">
            <v>3</v>
          </cell>
          <cell r="U3563">
            <v>4</v>
          </cell>
          <cell r="V3563">
            <v>0.01</v>
          </cell>
          <cell r="W3563">
            <v>0</v>
          </cell>
          <cell r="X3563" t="str">
            <v>EST TAPETE TROPICAL (LISO) (1 COR) (10MM) F:917 - 3x4x0,01H</v>
          </cell>
          <cell r="Y3563">
            <v>20321.28</v>
          </cell>
          <cell r="Z3563">
            <v>0.5</v>
          </cell>
          <cell r="AA3563">
            <v>10160.64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3</v>
          </cell>
          <cell r="O3564">
            <v>81474</v>
          </cell>
          <cell r="P3564" t="str">
            <v>1012/307-3277-01</v>
          </cell>
          <cell r="Q3564" t="str">
            <v>EST ESTANTE EIXO (MODULO F) (FREIJO ENVELHECIDO)</v>
          </cell>
          <cell r="R3564"/>
          <cell r="S3564"/>
          <cell r="T3564">
            <v>0.3</v>
          </cell>
          <cell r="U3564">
            <v>0.25</v>
          </cell>
          <cell r="V3564">
            <v>0.35</v>
          </cell>
          <cell r="W3564">
            <v>0</v>
          </cell>
          <cell r="X3564" t="str">
            <v>EST ESTANTE EIXO (MODULO F) (FREIJO ENVELHECIDO) - 0,3x0,25x0,35H</v>
          </cell>
          <cell r="Y3564">
            <v>940.8</v>
          </cell>
          <cell r="Z3564">
            <v>0.5</v>
          </cell>
          <cell r="AA3564">
            <v>470.4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120826</v>
          </cell>
          <cell r="P3565" t="str">
            <v>1012/305-0012-01</v>
          </cell>
          <cell r="Q3565" t="str">
            <v>EST CADEIRA MR2 (FREIJO NT) COURO RODEO 11201-027</v>
          </cell>
          <cell r="R3565"/>
          <cell r="S3565"/>
          <cell r="T3565">
            <v>0.48</v>
          </cell>
          <cell r="U3565">
            <v>0.54</v>
          </cell>
          <cell r="V3565">
            <v>0.86</v>
          </cell>
          <cell r="W3565">
            <v>0</v>
          </cell>
          <cell r="X3565" t="str">
            <v>EST CADEIRA MR2 (FREIJO NT) COURO RODEO 11201-027 - 0,48x0,54x0,86H</v>
          </cell>
          <cell r="Y3565">
            <v>6442.24</v>
          </cell>
          <cell r="Z3565">
            <v>0.5</v>
          </cell>
          <cell r="AA3565">
            <v>3221.12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3</v>
          </cell>
          <cell r="O3566">
            <v>139952</v>
          </cell>
          <cell r="P3566" t="str">
            <v>2014/346-0156-01</v>
          </cell>
          <cell r="Q3566" t="str">
            <v>EST CADEIRA CHICAGO (TELA SIMP NAT) (CATUABA) TC FACTO BCO</v>
          </cell>
          <cell r="R3566"/>
          <cell r="S3566"/>
          <cell r="T3566">
            <v>0.45</v>
          </cell>
          <cell r="U3566">
            <v>0.53</v>
          </cell>
          <cell r="V3566">
            <v>0.84</v>
          </cell>
          <cell r="W3566">
            <v>0</v>
          </cell>
          <cell r="X3566" t="str">
            <v>EST CADEIRA CHICAGO (TELA SIMP NAT) (CATUABA) TC FACTO BCO - 0,45x0,53x0,84H</v>
          </cell>
          <cell r="Y3566">
            <v>3621.59</v>
          </cell>
          <cell r="Z3566">
            <v>0.5</v>
          </cell>
          <cell r="AA3566">
            <v>1810.7950000000001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3</v>
          </cell>
          <cell r="O3567">
            <v>139952</v>
          </cell>
          <cell r="P3567" t="str">
            <v>2014/346-0158-01</v>
          </cell>
          <cell r="Q3567" t="str">
            <v>EST CADEIRA CHICAGO (TELA SIMP NAT) (CATUABA) TC FACTO BCO</v>
          </cell>
          <cell r="R3567"/>
          <cell r="S3567"/>
          <cell r="T3567">
            <v>0.45</v>
          </cell>
          <cell r="U3567">
            <v>0.53</v>
          </cell>
          <cell r="V3567">
            <v>0.84</v>
          </cell>
          <cell r="W3567">
            <v>0</v>
          </cell>
          <cell r="X3567" t="str">
            <v>EST CADEIRA CHICAGO (TELA SIMP NAT) (CATUABA) TC FACTO BCO - 0,45x0,53x0,84H</v>
          </cell>
          <cell r="Y3567">
            <v>3621.59</v>
          </cell>
          <cell r="Z3567">
            <v>0.5</v>
          </cell>
          <cell r="AA3567">
            <v>1810.7950000000001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139952</v>
          </cell>
          <cell r="P3568" t="str">
            <v>2016/053-0063-01</v>
          </cell>
          <cell r="Q3568" t="str">
            <v>EST CADEIRA CHICAGO (TELA SIMP NAT) (CATUABA) TC FACTO BCO</v>
          </cell>
          <cell r="R3568"/>
          <cell r="S3568"/>
          <cell r="T3568">
            <v>0.45</v>
          </cell>
          <cell r="U3568">
            <v>0.53</v>
          </cell>
          <cell r="V3568">
            <v>0.84</v>
          </cell>
          <cell r="W3568">
            <v>0</v>
          </cell>
          <cell r="X3568" t="str">
            <v>EST CADEIRA CHICAGO (TELA SIMP NAT) (CATUABA) TC FACTO BCO - 0,45x0,53x0,84H</v>
          </cell>
          <cell r="Y3568">
            <v>3621.59</v>
          </cell>
          <cell r="Z3568">
            <v>0.5</v>
          </cell>
          <cell r="AA3568">
            <v>1810.7950000000001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4</v>
          </cell>
          <cell r="O3569">
            <v>151210</v>
          </cell>
          <cell r="P3569" t="str">
            <v>2014/197-0059-01</v>
          </cell>
          <cell r="Q3569" t="str">
            <v>EST CADEIRA MR2 C/BRACO (JEQ TABACO) TC 4588/07</v>
          </cell>
          <cell r="R3569"/>
          <cell r="S3569"/>
          <cell r="T3569">
            <v>0.52</v>
          </cell>
          <cell r="U3569">
            <v>0.54</v>
          </cell>
          <cell r="V3569">
            <v>0.86</v>
          </cell>
          <cell r="W3569">
            <v>0</v>
          </cell>
          <cell r="X3569" t="str">
            <v>EST CADEIRA MR2 C/BRACO (JEQ TABACO) TC 4588/07 - 0,52x0,54x0,86H</v>
          </cell>
          <cell r="Y3569">
            <v>6442.24</v>
          </cell>
          <cell r="Z3569">
            <v>0.5</v>
          </cell>
          <cell r="AA3569">
            <v>3221.12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4</v>
          </cell>
          <cell r="O3570">
            <v>151210</v>
          </cell>
          <cell r="P3570" t="str">
            <v>2014/197-0060-01</v>
          </cell>
          <cell r="Q3570" t="str">
            <v>EST CADEIRA MR2 C/BRACO (JEQ TABACO) TC 4588/07</v>
          </cell>
          <cell r="R3570"/>
          <cell r="S3570"/>
          <cell r="T3570">
            <v>0.52</v>
          </cell>
          <cell r="U3570">
            <v>0.54</v>
          </cell>
          <cell r="V3570">
            <v>0.86</v>
          </cell>
          <cell r="W3570">
            <v>0</v>
          </cell>
          <cell r="X3570" t="str">
            <v>EST CADEIRA MR2 C/BRACO (JEQ TABACO) TC 4588/07 - 0,52x0,54x0,86H</v>
          </cell>
          <cell r="Y3570">
            <v>6442.24</v>
          </cell>
          <cell r="Z3570">
            <v>0.5</v>
          </cell>
          <cell r="AA3570">
            <v>3221.12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4</v>
          </cell>
          <cell r="O3571">
            <v>151210</v>
          </cell>
          <cell r="P3571" t="str">
            <v>2014/203-0054-01</v>
          </cell>
          <cell r="Q3571" t="str">
            <v>EST CADEIRA MR2 C/BRACO (JEQ TABACO) TC 4588/07</v>
          </cell>
          <cell r="R3571"/>
          <cell r="S3571"/>
          <cell r="T3571">
            <v>0.52</v>
          </cell>
          <cell r="U3571">
            <v>0.54</v>
          </cell>
          <cell r="V3571">
            <v>0.86</v>
          </cell>
          <cell r="W3571">
            <v>0</v>
          </cell>
          <cell r="X3571" t="str">
            <v>EST CADEIRA MR2 C/BRACO (JEQ TABACO) TC 4588/07 - 0,52x0,54x0,86H</v>
          </cell>
          <cell r="Y3571">
            <v>6442.24</v>
          </cell>
          <cell r="Z3571">
            <v>0.5</v>
          </cell>
          <cell r="AA3571">
            <v>3221.12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4</v>
          </cell>
          <cell r="O3572">
            <v>151210</v>
          </cell>
          <cell r="P3572" t="str">
            <v>2014/203-0055-01</v>
          </cell>
          <cell r="Q3572" t="str">
            <v>EST CADEIRA MR2 C/BRACO (JEQ TABACO) TC 4588/07</v>
          </cell>
          <cell r="R3572"/>
          <cell r="S3572"/>
          <cell r="T3572">
            <v>0.52</v>
          </cell>
          <cell r="U3572">
            <v>0.54</v>
          </cell>
          <cell r="V3572">
            <v>0.86</v>
          </cell>
          <cell r="W3572">
            <v>0</v>
          </cell>
          <cell r="X3572" t="str">
            <v>EST CADEIRA MR2 C/BRACO (JEQ TABACO) TC 4588/07 - 0,52x0,54x0,86H</v>
          </cell>
          <cell r="Y3572">
            <v>6442.24</v>
          </cell>
          <cell r="Z3572">
            <v>0.5</v>
          </cell>
          <cell r="AA3572">
            <v>3221.12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2</v>
          </cell>
          <cell r="O3573">
            <v>361818</v>
          </cell>
          <cell r="P3573" t="str">
            <v>2023/076-0001-01</v>
          </cell>
          <cell r="Q3573" t="str">
            <v>EST MESA CENTRO CACAU (MARMORE 3 JADORE) (MTZ ONIX COBREADO)</v>
          </cell>
          <cell r="R3573"/>
          <cell r="S3573"/>
          <cell r="T3573">
            <v>1.3</v>
          </cell>
          <cell r="U3573">
            <v>0.8</v>
          </cell>
          <cell r="V3573">
            <v>0.3</v>
          </cell>
          <cell r="W3573">
            <v>0</v>
          </cell>
          <cell r="X3573" t="str">
            <v>EST MESA CENTRO CACAU (MARMORE 3 JADORE) (MTZ ONIX COBREADO) - 1,3x0,8x0,3H</v>
          </cell>
          <cell r="Y3573">
            <v>37546.92</v>
          </cell>
          <cell r="Z3573">
            <v>0.5</v>
          </cell>
          <cell r="AA3573">
            <v>18773.46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2</v>
          </cell>
          <cell r="O3574">
            <v>361818</v>
          </cell>
          <cell r="P3574" t="str">
            <v>2023/076-0002-01</v>
          </cell>
          <cell r="Q3574" t="str">
            <v>EST MESA CENTRO CACAU (MARMORE 3 JADORE) (MTZ ONIX COBREADO)</v>
          </cell>
          <cell r="R3574"/>
          <cell r="S3574"/>
          <cell r="T3574">
            <v>1.3</v>
          </cell>
          <cell r="U3574">
            <v>0.8</v>
          </cell>
          <cell r="V3574">
            <v>0.3</v>
          </cell>
          <cell r="W3574">
            <v>0</v>
          </cell>
          <cell r="X3574" t="str">
            <v>EST MESA CENTRO CACAU (MARMORE 3 JADORE) (MTZ ONIX COBREADO) - 1,3x0,8x0,3H</v>
          </cell>
          <cell r="Y3574">
            <v>37546.92</v>
          </cell>
          <cell r="Z3574">
            <v>0.5</v>
          </cell>
          <cell r="AA3574">
            <v>18773.46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2</v>
          </cell>
          <cell r="O3575">
            <v>372434</v>
          </cell>
          <cell r="P3575" t="str">
            <v>2024/093-0001-01</v>
          </cell>
          <cell r="Q3575" t="str">
            <v>EST MESA CENTRO JABUTI (EXT LACA BARCA INT FORMICA BRA</v>
          </cell>
          <cell r="R3575"/>
          <cell r="S3575"/>
          <cell r="T3575">
            <v>1.1000000000000001</v>
          </cell>
          <cell r="U3575">
            <v>1.1000000000000001</v>
          </cell>
          <cell r="V3575">
            <v>0.25</v>
          </cell>
          <cell r="W3575">
            <v>0</v>
          </cell>
          <cell r="X3575" t="str">
            <v>EST MESA CENTRO JABUTI (EXT LACA BARCA INT FORMICA BRA - 1,1x1,1x0,25H</v>
          </cell>
          <cell r="Y3575">
            <v>17248</v>
          </cell>
          <cell r="Z3575">
            <v>0.5</v>
          </cell>
          <cell r="AA3575">
            <v>8624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2</v>
          </cell>
          <cell r="O3576">
            <v>372434</v>
          </cell>
          <cell r="P3576" t="str">
            <v>2024/093-0002-01</v>
          </cell>
          <cell r="Q3576" t="str">
            <v>EST MESA CENTRO JABUTI (EXT LACA BARCA INT FORMICA BRA</v>
          </cell>
          <cell r="R3576"/>
          <cell r="S3576"/>
          <cell r="T3576">
            <v>1.1000000000000001</v>
          </cell>
          <cell r="U3576">
            <v>1.1000000000000001</v>
          </cell>
          <cell r="V3576">
            <v>0.25</v>
          </cell>
          <cell r="W3576">
            <v>0</v>
          </cell>
          <cell r="X3576" t="str">
            <v>EST MESA CENTRO JABUTI (EXT LACA BARCA INT FORMICA BRA - 1,1x1,1x0,25H</v>
          </cell>
          <cell r="Y3576">
            <v>17248</v>
          </cell>
          <cell r="Z3576">
            <v>0.5</v>
          </cell>
          <cell r="AA3576">
            <v>8624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387536</v>
          </cell>
          <cell r="P3577" t="str">
            <v>2024/137-0002-01</v>
          </cell>
          <cell r="Q3577" t="str">
            <v>EST MESA CENTRO ESPECIAL (VIDRO INCOLOR 12MM)</v>
          </cell>
          <cell r="R3577"/>
          <cell r="S3577"/>
          <cell r="T3577">
            <v>1.2</v>
          </cell>
          <cell r="U3577">
            <v>0.8</v>
          </cell>
          <cell r="V3577">
            <v>0.26</v>
          </cell>
          <cell r="W3577">
            <v>0</v>
          </cell>
          <cell r="X3577" t="str">
            <v>EST MESA CENTRO ESPECIAL (VIDRO INCOLOR 12MM) - 1,2x0,8x0,26H</v>
          </cell>
          <cell r="Y3577">
            <v>8646.4</v>
          </cell>
          <cell r="Z3577">
            <v>0.5</v>
          </cell>
          <cell r="AA3577">
            <v>4323.2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0</v>
          </cell>
          <cell r="O3578">
            <v>402696</v>
          </cell>
          <cell r="P3578" t="str">
            <v>(LOTE 004)</v>
          </cell>
          <cell r="Q3578" t="str">
            <v>ROLO TECIDO EL ANGOLA 04 - (GREEN) -</v>
          </cell>
          <cell r="R3578"/>
          <cell r="S3578"/>
          <cell r="T3578">
            <v>3.6</v>
          </cell>
          <cell r="U3578">
            <v>1.4</v>
          </cell>
          <cell r="V3578">
            <v>0</v>
          </cell>
          <cell r="W3578">
            <v>0</v>
          </cell>
          <cell r="X3578" t="str">
            <v>ROLO TECIDO EL ANGOLA 04 - (GREEN) - - 3,6x1,4x0H</v>
          </cell>
          <cell r="Y3578">
            <v>3406.32</v>
          </cell>
          <cell r="Z3578">
            <v>0.35</v>
          </cell>
          <cell r="AA3578">
            <v>2214.1080000000002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0</v>
          </cell>
          <cell r="O3579">
            <v>402707</v>
          </cell>
          <cell r="P3579" t="str">
            <v>(LOTE 004)</v>
          </cell>
          <cell r="Q3579" t="str">
            <v>ROLO TECIDO EL ANGOLA 04 - (COOPER) -</v>
          </cell>
          <cell r="R3579"/>
          <cell r="S3579"/>
          <cell r="T3579">
            <v>1.3</v>
          </cell>
          <cell r="U3579">
            <v>1.4</v>
          </cell>
          <cell r="V3579">
            <v>0</v>
          </cell>
          <cell r="W3579">
            <v>0</v>
          </cell>
          <cell r="X3579" t="str">
            <v>ROLO TECIDO EL ANGOLA 04 - (COOPER) - - 1,3x1,4x0H</v>
          </cell>
          <cell r="Y3579">
            <v>1230.06</v>
          </cell>
          <cell r="Z3579">
            <v>0.35</v>
          </cell>
          <cell r="AA3579">
            <v>799.53899999999999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0</v>
          </cell>
          <cell r="O3580">
            <v>404344</v>
          </cell>
          <cell r="P3580" t="str">
            <v>(LOTE 004)</v>
          </cell>
          <cell r="Q3580" t="str">
            <v>ROLO TECIDO EARTHWILD - (STUCCO)</v>
          </cell>
          <cell r="R3580"/>
          <cell r="S3580"/>
          <cell r="T3580">
            <v>1.2</v>
          </cell>
          <cell r="U3580">
            <v>1.4</v>
          </cell>
          <cell r="V3580">
            <v>0</v>
          </cell>
          <cell r="W3580">
            <v>0</v>
          </cell>
          <cell r="X3580" t="str">
            <v>ROLO TECIDO EARTHWILD - (STUCCO) - 1,2x1,4x0H</v>
          </cell>
          <cell r="Y3580">
            <v>964.44</v>
          </cell>
          <cell r="Z3580">
            <v>0.35</v>
          </cell>
          <cell r="AA3580">
            <v>626.88600000000008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0</v>
          </cell>
          <cell r="O3581">
            <v>404345</v>
          </cell>
          <cell r="P3581" t="str">
            <v>(LOTE 004)</v>
          </cell>
          <cell r="Q3581" t="str">
            <v>ROLO TECIDO STAUNCH - (WHISPER) -</v>
          </cell>
          <cell r="R3581"/>
          <cell r="S3581"/>
          <cell r="T3581">
            <v>1.4</v>
          </cell>
          <cell r="U3581">
            <v>1.4</v>
          </cell>
          <cell r="V3581">
            <v>0</v>
          </cell>
          <cell r="W3581">
            <v>0</v>
          </cell>
          <cell r="X3581" t="str">
            <v>ROLO TECIDO STAUNCH - (WHISPER) - - 1,4x1,4x0H</v>
          </cell>
          <cell r="Y3581">
            <v>973.56</v>
          </cell>
          <cell r="Z3581">
            <v>0.35</v>
          </cell>
          <cell r="AA3581">
            <v>632.81399999999996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0</v>
          </cell>
          <cell r="O3582">
            <v>404346</v>
          </cell>
          <cell r="P3582" t="str">
            <v>(LOTE 004)</v>
          </cell>
          <cell r="Q3582" t="str">
            <v>ROLO TECIDO KEYSTONE - (MIST) -</v>
          </cell>
          <cell r="R3582"/>
          <cell r="S3582"/>
          <cell r="T3582">
            <v>1.8</v>
          </cell>
          <cell r="U3582">
            <v>1.4</v>
          </cell>
          <cell r="V3582">
            <v>0</v>
          </cell>
          <cell r="W3582">
            <v>0</v>
          </cell>
          <cell r="X3582" t="str">
            <v>ROLO TECIDO KEYSTONE - (MIST) - - 1,8x1,4x0H</v>
          </cell>
          <cell r="Y3582">
            <v>1000.35</v>
          </cell>
          <cell r="Z3582">
            <v>0.35</v>
          </cell>
          <cell r="AA3582">
            <v>650.22749999999996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0</v>
          </cell>
          <cell r="O3583">
            <v>404347</v>
          </cell>
          <cell r="P3583" t="str">
            <v>(LOTE 004)</v>
          </cell>
          <cell r="Q3583" t="str">
            <v>ROLO TECIDO ELB LUDA 129 - (CHERRY) -</v>
          </cell>
          <cell r="R3583"/>
          <cell r="S3583"/>
          <cell r="T3583">
            <v>3</v>
          </cell>
          <cell r="U3583">
            <v>1.4</v>
          </cell>
          <cell r="V3583">
            <v>0</v>
          </cell>
          <cell r="W3583">
            <v>0</v>
          </cell>
          <cell r="X3583" t="str">
            <v>ROLO TECIDO ELB LUDA 129 - (CHERRY) - - 3x1,4x0H</v>
          </cell>
          <cell r="Y3583">
            <v>2086.1999999999998</v>
          </cell>
          <cell r="Z3583">
            <v>0.35</v>
          </cell>
          <cell r="AA3583">
            <v>1356.03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0</v>
          </cell>
          <cell r="O3584">
            <v>275023</v>
          </cell>
          <cell r="P3584" t="str">
            <v>2021/165-0120-01</v>
          </cell>
          <cell r="Q3584" t="str">
            <v>EST BUFFET DIXIE (TP NERO/LAMINADO NOGUEIRA/MTX PRETO)</v>
          </cell>
          <cell r="R3584"/>
          <cell r="S3584"/>
          <cell r="T3584">
            <v>1.6</v>
          </cell>
          <cell r="U3584">
            <v>0.51</v>
          </cell>
          <cell r="V3584">
            <v>0.76</v>
          </cell>
          <cell r="W3584">
            <v>0</v>
          </cell>
          <cell r="X3584" t="str">
            <v>EST BUFFET DIXIE (TP NERO/LAMINADO NOGUEIRA/MTX PRETO) - 1,6x0,51x0,76H</v>
          </cell>
          <cell r="Y3584">
            <v>59354.400000000001</v>
          </cell>
          <cell r="Z3584">
            <v>0.35</v>
          </cell>
          <cell r="AA3584">
            <v>38580.36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1</v>
          </cell>
          <cell r="O3585">
            <v>62482</v>
          </cell>
          <cell r="P3585"/>
          <cell r="Q3585" t="str">
            <v>EST BANQUETA BAR MASS (EBABNIZADO)</v>
          </cell>
          <cell r="R3585"/>
          <cell r="S3585"/>
          <cell r="T3585">
            <v>0.35</v>
          </cell>
          <cell r="U3585">
            <v>0</v>
          </cell>
          <cell r="V3585">
            <v>0.8</v>
          </cell>
          <cell r="W3585">
            <v>0.35</v>
          </cell>
          <cell r="X3585" t="str">
            <v>EST BANQUETA BAR MASS (EBABNIZADO) - Ø0,35x0,8H</v>
          </cell>
          <cell r="Y3585" t="e">
            <v>#VALUE!</v>
          </cell>
          <cell r="Z3585">
            <v>0.35</v>
          </cell>
          <cell r="AA3585" t="e">
            <v>#VALUE!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1</v>
          </cell>
          <cell r="O3586">
            <v>77883</v>
          </cell>
          <cell r="P3586"/>
          <cell r="Q3586" t="str">
            <v>EST BANCO PINO (ACO PRETO FSC) (LACA BRILHO AMARELA)</v>
          </cell>
          <cell r="R3586"/>
          <cell r="S3586"/>
          <cell r="T3586">
            <v>0.31</v>
          </cell>
          <cell r="U3586">
            <v>0</v>
          </cell>
          <cell r="V3586">
            <v>0.36</v>
          </cell>
          <cell r="W3586">
            <v>0.31</v>
          </cell>
          <cell r="X3586" t="str">
            <v>EST BANCO PINO (ACO PRETO FSC) (LACA BRILHO AMARELA) - Ø0,31x0,36H</v>
          </cell>
          <cell r="Y3586" t="e">
            <v>#VALUE!</v>
          </cell>
          <cell r="Z3586">
            <v>0.35</v>
          </cell>
          <cell r="AA3586" t="e">
            <v>#VALUE!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77886</v>
          </cell>
          <cell r="P3587"/>
          <cell r="Q3587" t="str">
            <v>EST POLTRONA LILAH C/BRACO (COR UNICA)</v>
          </cell>
          <cell r="R3587"/>
          <cell r="S3587"/>
          <cell r="T3587">
            <v>0.65</v>
          </cell>
          <cell r="U3587">
            <v>0.65</v>
          </cell>
          <cell r="V3587">
            <v>0.8</v>
          </cell>
          <cell r="W3587">
            <v>0</v>
          </cell>
          <cell r="X3587" t="str">
            <v>EST POLTRONA LILAH C/BRACO (COR UNICA) - 0,65x0,65x0,8H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80210</v>
          </cell>
          <cell r="P3588"/>
          <cell r="Q3588" t="str">
            <v>EST MESA CENTRO ARIMELLO (MAD IMBUIA STAIN) LAM IMBUIA STAIN</v>
          </cell>
          <cell r="R3588"/>
          <cell r="S3588"/>
          <cell r="T3588">
            <v>1.47</v>
          </cell>
          <cell r="U3588">
            <v>0.6</v>
          </cell>
          <cell r="V3588">
            <v>0.44</v>
          </cell>
          <cell r="W3588">
            <v>0</v>
          </cell>
          <cell r="X3588" t="str">
            <v>EST MESA CENTRO ARIMELLO (MAD IMBUIA STAIN) LAM IMBUIA STAIN - 1,47x0,6x0,44H</v>
          </cell>
          <cell r="Y3588" t="e">
            <v>#VALUE!</v>
          </cell>
          <cell r="Z3588">
            <v>0.35</v>
          </cell>
          <cell r="AA3588" t="e">
            <v>#VALUE!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1</v>
          </cell>
          <cell r="O3589">
            <v>82483</v>
          </cell>
          <cell r="P3589"/>
          <cell r="Q3589" t="str">
            <v>EST BANQUETA BAR BOSSA (TELA NATURAL) (LACA FSC LARANJA)</v>
          </cell>
          <cell r="R3589"/>
          <cell r="S3589"/>
          <cell r="T3589">
            <v>0.45</v>
          </cell>
          <cell r="U3589">
            <v>0.52</v>
          </cell>
          <cell r="V3589">
            <v>1</v>
          </cell>
          <cell r="W3589">
            <v>0</v>
          </cell>
          <cell r="X3589" t="str">
            <v>EST BANQUETA BAR BOSSA (TELA NATURAL) (LACA FSC LARANJA) - 0,45x0,52x1H</v>
          </cell>
          <cell r="Y3589" t="e">
            <v>#VALUE!</v>
          </cell>
          <cell r="Z3589">
            <v>0.35</v>
          </cell>
          <cell r="AA3589" t="e">
            <v>#VALUE!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1</v>
          </cell>
          <cell r="O3590">
            <v>88613</v>
          </cell>
          <cell r="P3590"/>
          <cell r="Q3590" t="str">
            <v>EST LUMINARIA TOTO (LACA GRAY BRILHO)</v>
          </cell>
          <cell r="R3590"/>
          <cell r="S3590"/>
          <cell r="T3590">
            <v>0.17</v>
          </cell>
          <cell r="U3590">
            <v>0.17</v>
          </cell>
          <cell r="V3590">
            <v>0.33</v>
          </cell>
          <cell r="W3590">
            <v>0</v>
          </cell>
          <cell r="X3590" t="str">
            <v>EST LUMINARIA TOTO (LACA GRAY BRILHO) - 0,17x0,17x0,33H</v>
          </cell>
          <cell r="Y3590" t="e">
            <v>#VALUE!</v>
          </cell>
          <cell r="Z3590">
            <v>0.35</v>
          </cell>
          <cell r="AA3590" t="e">
            <v>#VALUE!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88622</v>
          </cell>
          <cell r="P3591"/>
          <cell r="Q3591" t="str">
            <v>EST HOME CHAN MD 02 (LACA PRETA BRILHO)</v>
          </cell>
          <cell r="R3591"/>
          <cell r="S3591"/>
          <cell r="T3591">
            <v>1.2</v>
          </cell>
          <cell r="U3591">
            <v>0.55000000000000004</v>
          </cell>
          <cell r="V3591">
            <v>0.55000000000000004</v>
          </cell>
          <cell r="W3591">
            <v>0</v>
          </cell>
          <cell r="X3591" t="str">
            <v>EST HOME CHAN MD 02 (LACA PRETA BRILHO) - 1,2x0,55x0,55H</v>
          </cell>
          <cell r="Y3591" t="e">
            <v>#VALUE!</v>
          </cell>
          <cell r="Z3591">
            <v>0.35</v>
          </cell>
          <cell r="AA3591" t="e">
            <v>#VALUE!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0</v>
          </cell>
          <cell r="O3592">
            <v>398301</v>
          </cell>
          <cell r="P3592"/>
          <cell r="Q3592" t="str">
            <v>EST CADEIRA GB01 MISTA (IMBUIA) (QUADRIC NT) TC BEGE</v>
          </cell>
          <cell r="R3592"/>
          <cell r="S3592"/>
          <cell r="T3592">
            <v>0.45</v>
          </cell>
          <cell r="U3592">
            <v>0.48</v>
          </cell>
          <cell r="V3592">
            <v>0.85</v>
          </cell>
          <cell r="W3592">
            <v>0</v>
          </cell>
          <cell r="X3592" t="str">
            <v>EST CADEIRA GB01 MISTA (IMBUIA) (QUADRIC NT) TC BEGE - 0,45x0,48x0,85H</v>
          </cell>
          <cell r="Y3592" t="e">
            <v>#VALUE!</v>
          </cell>
          <cell r="Z3592">
            <v>0.35</v>
          </cell>
          <cell r="AA3592" t="e">
            <v>#VALUE!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1</v>
          </cell>
          <cell r="O3593">
            <v>97923</v>
          </cell>
          <cell r="P3593"/>
          <cell r="Q3593" t="str">
            <v>EST MESA LATERAL DUOMO (LACA BRILHO G044 SAYERLACK)</v>
          </cell>
          <cell r="R3593"/>
          <cell r="S3593"/>
          <cell r="T3593">
            <v>0.5</v>
          </cell>
          <cell r="U3593">
            <v>0</v>
          </cell>
          <cell r="V3593">
            <v>0.5</v>
          </cell>
          <cell r="W3593">
            <v>0.5</v>
          </cell>
          <cell r="X3593" t="str">
            <v>EST MESA LATERAL DUOMO (LACA BRILHO G044 SAYERLACK) - Ø0,5x0,5H</v>
          </cell>
          <cell r="Y3593" t="e">
            <v>#VALUE!</v>
          </cell>
          <cell r="Z3593">
            <v>0.35</v>
          </cell>
          <cell r="AA3593" t="e">
            <v>#VALUE!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1</v>
          </cell>
          <cell r="O3594">
            <v>110724</v>
          </cell>
          <cell r="P3594"/>
          <cell r="Q3594" t="str">
            <v>EST COMPONENTE PRATELEIRA CODE (C/ESPELHO) (NOGUEIRA)</v>
          </cell>
          <cell r="R3594"/>
          <cell r="S3594"/>
          <cell r="T3594">
            <v>1.5</v>
          </cell>
          <cell r="U3594">
            <v>0.3</v>
          </cell>
          <cell r="V3594">
            <v>0.3</v>
          </cell>
          <cell r="W3594">
            <v>0</v>
          </cell>
          <cell r="X3594" t="str">
            <v>EST COMPONENTE PRATELEIRA CODE (C/ESPELHO) (NOGUEIRA) - 1,5x0,3x0,3H</v>
          </cell>
          <cell r="Y3594" t="e">
            <v>#VALUE!</v>
          </cell>
          <cell r="Z3594">
            <v>0.35</v>
          </cell>
          <cell r="AA3594" t="e">
            <v>#VALUE!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112408</v>
          </cell>
          <cell r="P3595"/>
          <cell r="Q3595" t="str">
            <v>EST BANQUETA BAR FINN (ESTOFADO) (TAUARI 01) TC 96#5</v>
          </cell>
          <cell r="R3595"/>
          <cell r="S3595"/>
          <cell r="T3595">
            <v>0.45</v>
          </cell>
          <cell r="U3595">
            <v>0.43</v>
          </cell>
          <cell r="V3595">
            <v>0.92</v>
          </cell>
          <cell r="W3595">
            <v>0</v>
          </cell>
          <cell r="X3595" t="str">
            <v>EST BANQUETA BAR FINN (ESTOFADO) (TAUARI 01) TC 96#5 - 0,45x0,43x0,92H</v>
          </cell>
          <cell r="Y3595" t="e">
            <v>#VALUE!</v>
          </cell>
          <cell r="Z3595">
            <v>0.35</v>
          </cell>
          <cell r="AA3595" t="e">
            <v>#VALUE!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112451</v>
          </cell>
          <cell r="P3596"/>
          <cell r="Q3596" t="str">
            <v>EST CADEIRA MILLA C/BRACO (TAUARI 2) (ESTOFADO) (TC 115#5)</v>
          </cell>
          <cell r="R3596"/>
          <cell r="S3596"/>
          <cell r="T3596">
            <v>0.57999999999999996</v>
          </cell>
          <cell r="U3596">
            <v>0.56999999999999995</v>
          </cell>
          <cell r="V3596">
            <v>0.8</v>
          </cell>
          <cell r="W3596">
            <v>0</v>
          </cell>
          <cell r="X3596" t="str">
            <v>EST CADEIRA MILLA C/BRACO (TAUARI 2) (ESTOFADO) (TC 115#5) - 0,58x0,57x0,8H</v>
          </cell>
          <cell r="Y3596" t="e">
            <v>#VALUE!</v>
          </cell>
          <cell r="Z3596">
            <v>0.35</v>
          </cell>
          <cell r="AA3596" t="e">
            <v>#VALUE!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8</v>
          </cell>
          <cell r="O3597">
            <v>398302</v>
          </cell>
          <cell r="P3597"/>
          <cell r="Q3597" t="str">
            <v>EST CADEIRA GB01 MISTA (IMBUIA) (QUADRIC NT) TC VERDE</v>
          </cell>
          <cell r="R3597"/>
          <cell r="S3597"/>
          <cell r="T3597">
            <v>0.45</v>
          </cell>
          <cell r="U3597">
            <v>0.48</v>
          </cell>
          <cell r="V3597">
            <v>0.85</v>
          </cell>
          <cell r="W3597">
            <v>0</v>
          </cell>
          <cell r="X3597" t="str">
            <v>EST CADEIRA GB01 MISTA (IMBUIA) (QUADRIC NT) TC VERDE - 0,45x0,48x0,85H</v>
          </cell>
          <cell r="Y3597" t="e">
            <v>#VALUE!</v>
          </cell>
          <cell r="Z3597">
            <v>0.35</v>
          </cell>
          <cell r="AA3597" t="e">
            <v>#VALUE!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117364</v>
          </cell>
          <cell r="P3598"/>
          <cell r="Q3598" t="str">
            <v>EST POLTRONA JOB (LACA PRETA BRILHO) TC 10717/001</v>
          </cell>
          <cell r="R3598"/>
          <cell r="S3598"/>
          <cell r="T3598">
            <v>0.74</v>
          </cell>
          <cell r="U3598">
            <v>0.84</v>
          </cell>
          <cell r="V3598">
            <v>0.73</v>
          </cell>
          <cell r="W3598">
            <v>0</v>
          </cell>
          <cell r="X3598" t="str">
            <v>EST POLTRONA JOB (LACA PRETA BRILHO) TC 10717/001 - 0,74x0,84x0,73H</v>
          </cell>
          <cell r="Y3598" t="e">
            <v>#VALUE!</v>
          </cell>
          <cell r="Z3598">
            <v>0.35</v>
          </cell>
          <cell r="AA3598" t="e">
            <v>#VALUE!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1</v>
          </cell>
          <cell r="O3599">
            <v>127041</v>
          </cell>
          <cell r="P3599"/>
          <cell r="Q3599" t="str">
            <v>EST APARADOR ELLE MOD 04 (4 GAV) LC BRILHO Y-145 VERDE</v>
          </cell>
          <cell r="R3599"/>
          <cell r="S3599"/>
          <cell r="T3599">
            <v>3</v>
          </cell>
          <cell r="U3599">
            <v>0.35</v>
          </cell>
          <cell r="V3599">
            <v>0.32</v>
          </cell>
          <cell r="W3599">
            <v>0</v>
          </cell>
          <cell r="X3599" t="str">
            <v>EST APARADOR ELLE MOD 04 (4 GAV) LC BRILHO Y-145 VERDE - 3x0,35x0,32H</v>
          </cell>
          <cell r="Y3599" t="e">
            <v>#VALUE!</v>
          </cell>
          <cell r="Z3599">
            <v>0.35</v>
          </cell>
          <cell r="AA3599" t="e">
            <v>#VALUE!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129391</v>
          </cell>
          <cell r="P3600"/>
          <cell r="Q3600" t="str">
            <v>EST BANCO JULIA (FIBRA VIDRO) (GANE OX 819 BRILHO)</v>
          </cell>
          <cell r="R3600"/>
          <cell r="S3600"/>
          <cell r="T3600">
            <v>0.35</v>
          </cell>
          <cell r="U3600">
            <v>0</v>
          </cell>
          <cell r="V3600">
            <v>0.4</v>
          </cell>
          <cell r="W3600">
            <v>0.35</v>
          </cell>
          <cell r="X3600" t="str">
            <v>EST BANCO JULIA (FIBRA VIDRO) (GANE OX 819 BRILHO) - Ø0,35x0,4H</v>
          </cell>
          <cell r="Y3600" t="e">
            <v>#VALUE!</v>
          </cell>
          <cell r="Z3600">
            <v>0.35</v>
          </cell>
          <cell r="AA3600" t="e">
            <v>#VALUE!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1</v>
          </cell>
          <cell r="O3601">
            <v>146117</v>
          </cell>
          <cell r="P3601"/>
          <cell r="Q3601" t="str">
            <v>EST HOME ELLE (LOURO FREIJO) (BRANCO FOSCO)</v>
          </cell>
          <cell r="R3601"/>
          <cell r="S3601"/>
          <cell r="T3601">
            <v>1.52</v>
          </cell>
          <cell r="U3601">
            <v>0.4</v>
          </cell>
          <cell r="V3601">
            <v>0.45</v>
          </cell>
          <cell r="W3601">
            <v>0</v>
          </cell>
          <cell r="X3601" t="str">
            <v>EST HOME ELLE (LOURO FREIJO) (BRANCO FOSCO) - 1,52x0,4x0,45H</v>
          </cell>
          <cell r="Y3601" t="e">
            <v>#VALUE!</v>
          </cell>
          <cell r="Z3601">
            <v>0.35</v>
          </cell>
          <cell r="AA3601" t="e">
            <v>#VALUE!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1</v>
          </cell>
          <cell r="O3602">
            <v>150024</v>
          </cell>
          <cell r="P3602"/>
          <cell r="Q3602" t="str">
            <v>EST MESA LATERAL DUOMO (SOFT PURPLE 45)</v>
          </cell>
          <cell r="R3602"/>
          <cell r="S3602"/>
          <cell r="T3602">
            <v>0.5</v>
          </cell>
          <cell r="U3602">
            <v>0</v>
          </cell>
          <cell r="V3602">
            <v>0.5</v>
          </cell>
          <cell r="W3602">
            <v>0</v>
          </cell>
          <cell r="X3602" t="str">
            <v>EST MESA LATERAL DUOMO (SOFT PURPLE 45) - Ø0x0,5H</v>
          </cell>
          <cell r="Y3602" t="e">
            <v>#VALUE!</v>
          </cell>
          <cell r="Z3602">
            <v>0.35</v>
          </cell>
          <cell r="AA3602" t="e">
            <v>#VALUE!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151004</v>
          </cell>
          <cell r="P3603"/>
          <cell r="Q3603" t="str">
            <v>EST REVISTEIRO THORK (LATAO) (PRETO FOSCO)</v>
          </cell>
          <cell r="R3603"/>
          <cell r="S3603"/>
          <cell r="T3603">
            <v>0.37</v>
          </cell>
          <cell r="U3603">
            <v>0.35</v>
          </cell>
          <cell r="V3603">
            <v>0.65</v>
          </cell>
          <cell r="W3603">
            <v>0</v>
          </cell>
          <cell r="X3603" t="str">
            <v>EST REVISTEIRO THORK (LATAO) (PRETO FOSCO) - 0,37x0,35x0,65H</v>
          </cell>
          <cell r="Y3603" t="e">
            <v>#VALUE!</v>
          </cell>
          <cell r="Z3603">
            <v>0.35</v>
          </cell>
          <cell r="AA3603" t="e">
            <v>#VALUE!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152276</v>
          </cell>
          <cell r="P3604"/>
          <cell r="Q3604" t="str">
            <v>EST REVISTEIRO TECA (COURO MARRROM) (LACA FSC BRANCA)</v>
          </cell>
          <cell r="R3604"/>
          <cell r="S3604"/>
          <cell r="T3604">
            <v>0.55000000000000004</v>
          </cell>
          <cell r="U3604">
            <v>0.3</v>
          </cell>
          <cell r="V3604">
            <v>0.23</v>
          </cell>
          <cell r="W3604">
            <v>0</v>
          </cell>
          <cell r="X3604" t="str">
            <v>EST REVISTEIRO TECA (COURO MARRROM) (LACA FSC BRANCA) - 0,55x0,3x0,23H</v>
          </cell>
          <cell r="Y3604" t="e">
            <v>#VALUE!</v>
          </cell>
          <cell r="Z3604">
            <v>0.35</v>
          </cell>
          <cell r="AA3604" t="e">
            <v>#VALUE!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1</v>
          </cell>
          <cell r="O3605">
            <v>171836</v>
          </cell>
          <cell r="P3605"/>
          <cell r="Q3605" t="str">
            <v>EST MESA CENTRO MATRIZ (LAMINA MAPLE EBANIZADA)</v>
          </cell>
          <cell r="R3605"/>
          <cell r="S3605"/>
          <cell r="T3605">
            <v>2.2999999999999998</v>
          </cell>
          <cell r="U3605">
            <v>0.8</v>
          </cell>
          <cell r="V3605">
            <v>0.3</v>
          </cell>
          <cell r="W3605">
            <v>0</v>
          </cell>
          <cell r="X3605" t="str">
            <v>EST MESA CENTRO MATRIZ (LAMINA MAPLE EBANIZADA) - 2,3x0,8x0,3H</v>
          </cell>
          <cell r="Y3605" t="e">
            <v>#VALUE!</v>
          </cell>
          <cell r="Z3605">
            <v>0.35</v>
          </cell>
          <cell r="AA3605" t="e">
            <v>#VALUE!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1</v>
          </cell>
          <cell r="O3606">
            <v>173863</v>
          </cell>
          <cell r="P3606"/>
          <cell r="Q3606" t="str">
            <v>EST POLTRONA NADI (TC 147#5) (EBANIZADA)</v>
          </cell>
          <cell r="R3606"/>
          <cell r="S3606"/>
          <cell r="T3606">
            <v>0.74</v>
          </cell>
          <cell r="U3606">
            <v>0.75</v>
          </cell>
          <cell r="V3606">
            <v>0.67</v>
          </cell>
          <cell r="W3606">
            <v>0</v>
          </cell>
          <cell r="X3606" t="str">
            <v>EST POLTRONA NADI (TC 147#5) (EBANIZADA) - 0,74x0,75x0,67H</v>
          </cell>
          <cell r="Y3606" t="e">
            <v>#VALUE!</v>
          </cell>
          <cell r="Z3606">
            <v>0.35</v>
          </cell>
          <cell r="AA3606" t="e">
            <v>#VALUE!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174045</v>
          </cell>
          <cell r="P3607"/>
          <cell r="Q3607" t="str">
            <v>EST CADEIRA JOY (COR 01) (COURO NUDE)</v>
          </cell>
          <cell r="R3607"/>
          <cell r="S3607"/>
          <cell r="T3607">
            <v>0.44</v>
          </cell>
          <cell r="U3607">
            <v>0.56999999999999995</v>
          </cell>
          <cell r="V3607">
            <v>0.8</v>
          </cell>
          <cell r="W3607">
            <v>0</v>
          </cell>
          <cell r="X3607" t="str">
            <v>EST CADEIRA JOY (COR 01) (COURO NUDE) - 0,44x0,57x0,8H</v>
          </cell>
          <cell r="Y3607" t="e">
            <v>#VALUE!</v>
          </cell>
          <cell r="Z3607">
            <v>0.35</v>
          </cell>
          <cell r="AA3607" t="e">
            <v>#VALUE!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1</v>
          </cell>
          <cell r="O3608">
            <v>176086</v>
          </cell>
          <cell r="P3608"/>
          <cell r="Q3608" t="str">
            <v>EST BANQUETA BAR 102 (LORO PRETO) TC 96 REF 05</v>
          </cell>
          <cell r="R3608"/>
          <cell r="S3608"/>
          <cell r="T3608">
            <v>0.52</v>
          </cell>
          <cell r="U3608">
            <v>0.54</v>
          </cell>
          <cell r="V3608">
            <v>1.05</v>
          </cell>
          <cell r="W3608">
            <v>0</v>
          </cell>
          <cell r="X3608" t="str">
            <v>EST BANQUETA BAR 102 (LORO PRETO) TC 96 REF 05 - 0,52x0,54x1,05H</v>
          </cell>
          <cell r="Y3608" t="e">
            <v>#VALUE!</v>
          </cell>
          <cell r="Z3608">
            <v>0.35</v>
          </cell>
          <cell r="AA3608" t="e">
            <v>#VALUE!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1</v>
          </cell>
          <cell r="O3609">
            <v>176448</v>
          </cell>
          <cell r="P3609"/>
          <cell r="Q3609" t="str">
            <v>EST MESA CENTRO LODD TP 2 (CARVALHO NT) (LACA PRETA FOSCA)</v>
          </cell>
          <cell r="R3609"/>
          <cell r="S3609"/>
          <cell r="T3609">
            <v>0.8</v>
          </cell>
          <cell r="U3609">
            <v>0.8</v>
          </cell>
          <cell r="V3609">
            <v>0.3</v>
          </cell>
          <cell r="W3609">
            <v>0</v>
          </cell>
          <cell r="X3609" t="str">
            <v>EST MESA CENTRO LODD TP 2 (CARVALHO NT) (LACA PRETA FOSCA) - 0,8x0,8x0,3H</v>
          </cell>
          <cell r="Y3609" t="e">
            <v>#VALUE!</v>
          </cell>
          <cell r="Z3609">
            <v>0.35</v>
          </cell>
          <cell r="AA3609" t="e">
            <v>#VALUE!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176789</v>
          </cell>
          <cell r="P3610"/>
          <cell r="Q3610" t="str">
            <v>EST CADEIRA MILLA 520 C/BRACO (COR 01) (ESTOFADA TC LB-011)</v>
          </cell>
          <cell r="R3610"/>
          <cell r="S3610"/>
          <cell r="T3610">
            <v>0.56999999999999995</v>
          </cell>
          <cell r="U3610">
            <v>0.57999999999999996</v>
          </cell>
          <cell r="V3610">
            <v>0.8</v>
          </cell>
          <cell r="W3610">
            <v>0</v>
          </cell>
          <cell r="X3610" t="str">
            <v>EST CADEIRA MILLA 520 C/BRACO (COR 01) (ESTOFADA TC LB-011) - 0,57x0,58x0,8H</v>
          </cell>
          <cell r="Y3610" t="e">
            <v>#VALUE!</v>
          </cell>
          <cell r="Z3610">
            <v>0.35</v>
          </cell>
          <cell r="AA3610" t="e">
            <v>#VALUE!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1</v>
          </cell>
          <cell r="O3611">
            <v>176790</v>
          </cell>
          <cell r="P3611"/>
          <cell r="Q3611" t="str">
            <v>EST CADEIRA MILLA 300 (ESTOFADA) (COR 01/TC LIBERTY011)</v>
          </cell>
          <cell r="R3611"/>
          <cell r="S3611"/>
          <cell r="T3611">
            <v>0.59</v>
          </cell>
          <cell r="U3611">
            <v>0.53</v>
          </cell>
          <cell r="V3611">
            <v>0.8</v>
          </cell>
          <cell r="W3611">
            <v>0</v>
          </cell>
          <cell r="X3611" t="str">
            <v>EST CADEIRA MILLA 300 (ESTOFADA) (COR 01/TC LIBERTY011) - 0,59x0,53x0,8H</v>
          </cell>
          <cell r="Y3611" t="e">
            <v>#VALUE!</v>
          </cell>
          <cell r="Z3611">
            <v>0.35</v>
          </cell>
          <cell r="AA3611" t="e">
            <v>#VALUE!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1</v>
          </cell>
          <cell r="O3612">
            <v>176791</v>
          </cell>
          <cell r="P3612"/>
          <cell r="Q3612" t="str">
            <v>EST CADEIRA MILLA 360 (TELA NT) (COR01/TC LIBERTY011)</v>
          </cell>
          <cell r="R3612"/>
          <cell r="S3612"/>
          <cell r="T3612">
            <v>0.59</v>
          </cell>
          <cell r="U3612">
            <v>0.53</v>
          </cell>
          <cell r="V3612">
            <v>0.8</v>
          </cell>
          <cell r="W3612">
            <v>0</v>
          </cell>
          <cell r="X3612" t="str">
            <v>EST CADEIRA MILLA 360 (TELA NT) (COR01/TC LIBERTY011) - 0,59x0,53x0,8H</v>
          </cell>
          <cell r="Y3612" t="e">
            <v>#VALUE!</v>
          </cell>
          <cell r="Z3612">
            <v>0.35</v>
          </cell>
          <cell r="AA3612" t="e">
            <v>#VALUE!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1</v>
          </cell>
          <cell r="O3613">
            <v>176793</v>
          </cell>
          <cell r="P3613"/>
          <cell r="Q3613" t="str">
            <v>EST CADEIRA MILLA 160 C/BRACO (COR 01) (TELA) (TC LB-011)</v>
          </cell>
          <cell r="R3613"/>
          <cell r="S3613"/>
          <cell r="T3613">
            <v>0.56999999999999995</v>
          </cell>
          <cell r="U3613">
            <v>0.57999999999999996</v>
          </cell>
          <cell r="V3613">
            <v>0.8</v>
          </cell>
          <cell r="W3613">
            <v>0</v>
          </cell>
          <cell r="X3613" t="str">
            <v>EST CADEIRA MILLA 160 C/BRACO (COR 01) (TELA) (TC LB-011) - 0,57x0,58x0,8H</v>
          </cell>
          <cell r="Y3613" t="e">
            <v>#VALUE!</v>
          </cell>
          <cell r="Z3613">
            <v>0.35</v>
          </cell>
          <cell r="AA3613" t="e">
            <v>#VALUE!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176795</v>
          </cell>
          <cell r="P3614"/>
          <cell r="Q3614" t="str">
            <v>EST CADEIRA JOY (COR 01) TC LIBERTY WASHED LB-011</v>
          </cell>
          <cell r="R3614"/>
          <cell r="S3614"/>
          <cell r="T3614">
            <v>0.45</v>
          </cell>
          <cell r="U3614">
            <v>0.59</v>
          </cell>
          <cell r="V3614">
            <v>0.8</v>
          </cell>
          <cell r="W3614">
            <v>0</v>
          </cell>
          <cell r="X3614" t="str">
            <v>EST CADEIRA JOY (COR 01) TC LIBERTY WASHED LB-011 - 0,45x0,59x0,8H</v>
          </cell>
          <cell r="Y3614" t="e">
            <v>#VALUE!</v>
          </cell>
          <cell r="Z3614">
            <v>0.35</v>
          </cell>
          <cell r="AA3614" t="e">
            <v>#VALUE!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1</v>
          </cell>
          <cell r="O3615">
            <v>176798</v>
          </cell>
          <cell r="P3615"/>
          <cell r="Q3615" t="str">
            <v>EST POLTRONA DORA (BAIXA) CAMURCA CARAMELO</v>
          </cell>
          <cell r="R3615"/>
          <cell r="S3615"/>
          <cell r="T3615">
            <v>0.76</v>
          </cell>
          <cell r="U3615">
            <v>0.83</v>
          </cell>
          <cell r="V3615">
            <v>0.7</v>
          </cell>
          <cell r="W3615">
            <v>0</v>
          </cell>
          <cell r="X3615" t="str">
            <v>EST POLTRONA DORA (BAIXA) CAMURCA CARAMELO - 0,76x0,83x0,7H</v>
          </cell>
          <cell r="Y3615" t="e">
            <v>#VALUE!</v>
          </cell>
          <cell r="Z3615">
            <v>0.35</v>
          </cell>
          <cell r="AA3615" t="e">
            <v>#VALUE!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176801</v>
          </cell>
          <cell r="P3616"/>
          <cell r="Q3616" t="str">
            <v>EST BANQUETA DORA (PES ACO PINT CORTEN) (TC CB-091 CAMURCA)</v>
          </cell>
          <cell r="R3616"/>
          <cell r="S3616"/>
          <cell r="T3616">
            <v>0.6</v>
          </cell>
          <cell r="U3616">
            <v>0.5</v>
          </cell>
          <cell r="V3616">
            <v>0.43</v>
          </cell>
          <cell r="W3616">
            <v>0</v>
          </cell>
          <cell r="X3616" t="str">
            <v>EST BANQUETA DORA (PES ACO PINT CORTEN) (TC CB-091 CAMURCA) - 0,6x0,5x0,43H</v>
          </cell>
          <cell r="Y3616" t="e">
            <v>#VALUE!</v>
          </cell>
          <cell r="Z3616">
            <v>0.35</v>
          </cell>
          <cell r="AA3616" t="e">
            <v>#VALUE!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1</v>
          </cell>
          <cell r="O3617">
            <v>182204</v>
          </cell>
          <cell r="P3617"/>
          <cell r="Q3617" t="str">
            <v>EST PUFF CLOUD (PESPONTO 8975) TC NBX00094-003</v>
          </cell>
          <cell r="R3617"/>
          <cell r="S3617"/>
          <cell r="T3617">
            <v>1</v>
          </cell>
          <cell r="U3617">
            <v>1</v>
          </cell>
          <cell r="V3617">
            <v>0.44</v>
          </cell>
          <cell r="W3617">
            <v>0</v>
          </cell>
          <cell r="X3617" t="str">
            <v>EST PUFF CLOUD (PESPONTO 8975) TC NBX00094-003 - 1x1x0,44H</v>
          </cell>
          <cell r="Y3617">
            <v>0</v>
          </cell>
          <cell r="Z3617">
            <v>0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184969</v>
          </cell>
          <cell r="P3618"/>
          <cell r="Q3618" t="str">
            <v>EST BANQUETA 150 (TAUARI TING NOGUEIRA) (TC 122#5)</v>
          </cell>
          <cell r="R3618"/>
          <cell r="S3618"/>
          <cell r="T3618">
            <v>0.66</v>
          </cell>
          <cell r="U3618">
            <v>0.5</v>
          </cell>
          <cell r="V3618">
            <v>0.41</v>
          </cell>
          <cell r="W3618">
            <v>0</v>
          </cell>
          <cell r="X3618" t="str">
            <v>EST BANQUETA 150 (TAUARI TING NOGUEIRA) (TC 122#5) - 0,66x0,5x0,41H</v>
          </cell>
          <cell r="Y3618" t="e">
            <v>#VALUE!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191237</v>
          </cell>
          <cell r="P3619"/>
          <cell r="Q3619" t="str">
            <v>EST BANQUETA 150 (TAUARI TING NOGUEIRA) (TC SUMATRA #05)</v>
          </cell>
          <cell r="R3619"/>
          <cell r="S3619"/>
          <cell r="T3619">
            <v>0.66</v>
          </cell>
          <cell r="U3619">
            <v>0.5</v>
          </cell>
          <cell r="V3619">
            <v>0.41</v>
          </cell>
          <cell r="W3619">
            <v>0</v>
          </cell>
          <cell r="X3619" t="str">
            <v>EST BANQUETA 150 (TAUARI TING NOGUEIRA) (TC SUMATRA #05) - 0,66x0,5x0,41H</v>
          </cell>
          <cell r="Y3619" t="e">
            <v>#VALUE!</v>
          </cell>
          <cell r="Z3619">
            <v>0.35</v>
          </cell>
          <cell r="AA3619" t="e">
            <v>#VALUE!</v>
          </cell>
          <cell r="AB3619"/>
        </row>
        <row r="3620">
          <cell r="C3620">
            <v>1</v>
          </cell>
          <cell r="D3620">
            <v>1</v>
          </cell>
          <cell r="E3620">
            <v>0</v>
          </cell>
          <cell r="F3620">
            <v>0</v>
          </cell>
          <cell r="H3620">
            <v>2</v>
          </cell>
          <cell r="O3620">
            <v>191295</v>
          </cell>
          <cell r="P3620"/>
          <cell r="Q3620" t="str">
            <v>EST BANDEJA ALD (LATAO)</v>
          </cell>
          <cell r="R3620"/>
          <cell r="S3620"/>
          <cell r="T3620">
            <v>0.33</v>
          </cell>
          <cell r="U3620">
            <v>0.33</v>
          </cell>
          <cell r="V3620">
            <v>0.33</v>
          </cell>
          <cell r="W3620">
            <v>0</v>
          </cell>
          <cell r="X3620" t="str">
            <v>EST BANDEJA ALD (LATAO) - 0,33x0,33x0,33H</v>
          </cell>
          <cell r="Y3620" t="e">
            <v>#VALUE!</v>
          </cell>
          <cell r="Z3620">
            <v>0.35</v>
          </cell>
          <cell r="AA3620" t="e">
            <v>#VALUE!</v>
          </cell>
          <cell r="AB3620"/>
        </row>
        <row r="3621">
          <cell r="C3621">
            <v>1</v>
          </cell>
          <cell r="D3621">
            <v>2</v>
          </cell>
          <cell r="E3621">
            <v>0</v>
          </cell>
          <cell r="F3621">
            <v>0</v>
          </cell>
          <cell r="H3621">
            <v>5</v>
          </cell>
          <cell r="O3621">
            <v>191296</v>
          </cell>
          <cell r="P3621"/>
          <cell r="Q3621" t="str">
            <v>EST PORTA LAPIS (LATAO)</v>
          </cell>
          <cell r="R3621"/>
          <cell r="S3621"/>
          <cell r="T3621">
            <v>0</v>
          </cell>
          <cell r="U3621">
            <v>0</v>
          </cell>
          <cell r="V3621">
            <v>0</v>
          </cell>
          <cell r="W3621">
            <v>0</v>
          </cell>
          <cell r="X3621" t="str">
            <v>EST PORTA LAPIS (LATAO) - Ø0x0H</v>
          </cell>
          <cell r="Y3621" t="e">
            <v>#VALUE!</v>
          </cell>
          <cell r="Z3621">
            <v>0.35</v>
          </cell>
          <cell r="AA3621" t="e">
            <v>#VALUE!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2</v>
          </cell>
          <cell r="O3622">
            <v>191298</v>
          </cell>
          <cell r="P3622"/>
          <cell r="Q3622" t="str">
            <v>EST BANCO JULIA (FIBRA VIDRO) (LACA OURO ROSA BRILHO)</v>
          </cell>
          <cell r="R3622"/>
          <cell r="S3622"/>
          <cell r="T3622">
            <v>0.35</v>
          </cell>
          <cell r="U3622">
            <v>0</v>
          </cell>
          <cell r="V3622">
            <v>0.4</v>
          </cell>
          <cell r="W3622">
            <v>0.35</v>
          </cell>
          <cell r="X3622" t="str">
            <v>EST BANCO JULIA (FIBRA VIDRO) (LACA OURO ROSA BRILHO) - Ø0,35x0,4H</v>
          </cell>
          <cell r="Y3622" t="e">
            <v>#VALUE!</v>
          </cell>
          <cell r="Z3622">
            <v>0.35</v>
          </cell>
          <cell r="AA3622" t="e">
            <v>#VALUE!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2</v>
          </cell>
          <cell r="O3623">
            <v>194033</v>
          </cell>
          <cell r="P3623"/>
          <cell r="Q3623" t="str">
            <v>EST CADEIRA MIA (NOGUEIRA) TC FABRIK CROSSIBI</v>
          </cell>
          <cell r="R3623"/>
          <cell r="S3623"/>
          <cell r="T3623">
            <v>0.5</v>
          </cell>
          <cell r="U3623">
            <v>0.54</v>
          </cell>
          <cell r="V3623">
            <v>0.83</v>
          </cell>
          <cell r="W3623">
            <v>0</v>
          </cell>
          <cell r="X3623" t="str">
            <v>EST CADEIRA MIA (NOGUEIRA) TC FABRIK CROSSIBI - 0,5x0,54x0,83H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207163</v>
          </cell>
          <cell r="P3624"/>
          <cell r="Q3624" t="str">
            <v>EST CADEIRA MILLA 540 ( WHISKY) TELA NAT TC 244-01718</v>
          </cell>
          <cell r="R3624"/>
          <cell r="S3624"/>
          <cell r="T3624">
            <v>0.59</v>
          </cell>
          <cell r="U3624">
            <v>0.52</v>
          </cell>
          <cell r="V3624">
            <v>0.84</v>
          </cell>
          <cell r="W3624">
            <v>0</v>
          </cell>
          <cell r="X3624" t="str">
            <v>EST CADEIRA MILLA 540 ( WHISKY) TELA NAT TC 244-01718 - 0,59x0,52x0,84H</v>
          </cell>
          <cell r="Y3624" t="e">
            <v>#VALUE!</v>
          </cell>
          <cell r="Z3624">
            <v>0.35</v>
          </cell>
          <cell r="AA3624" t="e">
            <v>#VALUE!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207166</v>
          </cell>
          <cell r="P3625"/>
          <cell r="Q3625" t="str">
            <v>EST CADEIRA MILLA 360 C/BRACO (WHISKY) TELA NT TC 244-01718</v>
          </cell>
          <cell r="R3625"/>
          <cell r="S3625"/>
          <cell r="T3625">
            <v>0</v>
          </cell>
          <cell r="U3625">
            <v>0</v>
          </cell>
          <cell r="V3625">
            <v>0</v>
          </cell>
          <cell r="W3625">
            <v>0</v>
          </cell>
          <cell r="X3625" t="str">
            <v>EST CADEIRA MILLA 360 C/BRACO (WHISKY) TELA NT TC 244-01718 - Ø0x0H</v>
          </cell>
          <cell r="Y3625" t="e">
            <v>#VALUE!</v>
          </cell>
          <cell r="Z3625">
            <v>0.35</v>
          </cell>
          <cell r="AA3625" t="e">
            <v>#VALUE!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207167</v>
          </cell>
          <cell r="P3626"/>
          <cell r="Q3626" t="str">
            <v>EST CADEIRA MILLA 160 C/BRACO (WHISKY) (TELA) (TC 24401718)</v>
          </cell>
          <cell r="R3626"/>
          <cell r="S3626"/>
          <cell r="T3626">
            <v>0.57999999999999996</v>
          </cell>
          <cell r="U3626">
            <v>0.56999999999999995</v>
          </cell>
          <cell r="V3626">
            <v>0.8</v>
          </cell>
          <cell r="W3626">
            <v>0</v>
          </cell>
          <cell r="X3626" t="str">
            <v>EST CADEIRA MILLA 160 C/BRACO (WHISKY) (TELA) (TC 24401718) - 0,58x0,57x0,8H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210141</v>
          </cell>
          <cell r="P3627"/>
          <cell r="Q3627" t="str">
            <v>EST ESTANTE CODE ESPECIAL COMPLETA (CARVALHO PINHO RIGA)</v>
          </cell>
          <cell r="R3627"/>
          <cell r="S3627"/>
          <cell r="T3627">
            <v>5.6</v>
          </cell>
          <cell r="U3627">
            <v>0.35</v>
          </cell>
          <cell r="V3627">
            <v>2.4</v>
          </cell>
          <cell r="W3627">
            <v>0</v>
          </cell>
          <cell r="X3627" t="str">
            <v>EST ESTANTE CODE ESPECIAL COMPLETA (CARVALHO PINHO RIGA) - 5,6x0,35x2,4H</v>
          </cell>
          <cell r="Y3627" t="e">
            <v>#VALUE!</v>
          </cell>
          <cell r="Z3627">
            <v>0.35</v>
          </cell>
          <cell r="AA3627" t="e">
            <v>#VALUE!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1</v>
          </cell>
          <cell r="O3628">
            <v>219312</v>
          </cell>
          <cell r="P3628"/>
          <cell r="Q3628" t="str">
            <v>EST BANQUETA BAR PHILLIPS (NOGUEIRA) (BASE EFEITO CORTEN)</v>
          </cell>
          <cell r="R3628"/>
          <cell r="S3628"/>
          <cell r="T3628">
            <v>0.35</v>
          </cell>
          <cell r="U3628">
            <v>0</v>
          </cell>
          <cell r="V3628">
            <v>0.7</v>
          </cell>
          <cell r="W3628">
            <v>0.35</v>
          </cell>
          <cell r="X3628" t="str">
            <v>EST BANQUETA BAR PHILLIPS (NOGUEIRA) (BASE EFEITO CORTEN) - Ø0,35x0,7H</v>
          </cell>
          <cell r="Y3628" t="e">
            <v>#VALUE!</v>
          </cell>
          <cell r="Z3628">
            <v>0.35</v>
          </cell>
          <cell r="AA3628" t="e">
            <v>#VALUE!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1</v>
          </cell>
          <cell r="O3629">
            <v>219523</v>
          </cell>
          <cell r="P3629"/>
          <cell r="Q3629" t="str">
            <v>EST BANQUETA BAR 102 (EBANIZADO) TC 149</v>
          </cell>
          <cell r="R3629"/>
          <cell r="S3629"/>
          <cell r="T3629">
            <v>0.52</v>
          </cell>
          <cell r="U3629">
            <v>0.54</v>
          </cell>
          <cell r="V3629">
            <v>1.05</v>
          </cell>
          <cell r="W3629">
            <v>0</v>
          </cell>
          <cell r="X3629" t="str">
            <v>EST BANQUETA BAR 102 (EBANIZADO) TC 149 - 0,52x0,54x1,05H</v>
          </cell>
          <cell r="Y3629" t="e">
            <v>#VALUE!</v>
          </cell>
          <cell r="Z3629">
            <v>0.35</v>
          </cell>
          <cell r="AA3629" t="e">
            <v>#VALUE!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4</v>
          </cell>
          <cell r="O3630">
            <v>222839</v>
          </cell>
          <cell r="P3630"/>
          <cell r="Q3630" t="str">
            <v>EST COMPONENTE HASTE ESTANTE ICON (EPOXI BRANCO FOSCO)</v>
          </cell>
          <cell r="R3630"/>
          <cell r="S3630"/>
          <cell r="T3630">
            <v>0</v>
          </cell>
          <cell r="U3630">
            <v>0</v>
          </cell>
          <cell r="V3630">
            <v>2.33</v>
          </cell>
          <cell r="W3630">
            <v>0</v>
          </cell>
          <cell r="X3630" t="str">
            <v>EST COMPONENTE HASTE ESTANTE ICON (EPOXI BRANCO FOSCO) - Ø0x2,33H</v>
          </cell>
          <cell r="Y3630" t="e">
            <v>#VALUE!</v>
          </cell>
          <cell r="Z3630">
            <v>0.35</v>
          </cell>
          <cell r="AA3630" t="e">
            <v>#VALUE!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23</v>
          </cell>
          <cell r="O3631">
            <v>222840</v>
          </cell>
          <cell r="P3631"/>
          <cell r="Q3631" t="str">
            <v>EST COMPONENTE PRATELEIRA ESTANTE ICON (EPOXI BRANCO FOSCO)</v>
          </cell>
          <cell r="R3631"/>
          <cell r="S3631"/>
          <cell r="T3631">
            <v>0.5</v>
          </cell>
          <cell r="U3631">
            <v>0.35</v>
          </cell>
          <cell r="V3631">
            <v>0</v>
          </cell>
          <cell r="W3631">
            <v>0</v>
          </cell>
          <cell r="X3631" t="str">
            <v>EST COMPONENTE PRATELEIRA ESTANTE ICON (EPOXI BRANCO FOSCO) - 0,5x0,35x0H</v>
          </cell>
          <cell r="Y3631" t="e">
            <v>#VALUE!</v>
          </cell>
          <cell r="Z3631">
            <v>0.35</v>
          </cell>
          <cell r="AA3631" t="e">
            <v>#VALUE!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2</v>
          </cell>
          <cell r="O3632">
            <v>222841</v>
          </cell>
          <cell r="P3632"/>
          <cell r="Q3632" t="str">
            <v>EST COMPONENTE HASTE ESTANTE ICON (EPOXI BRANCO FOSCO)</v>
          </cell>
          <cell r="R3632"/>
          <cell r="S3632"/>
          <cell r="T3632">
            <v>0</v>
          </cell>
          <cell r="U3632">
            <v>0</v>
          </cell>
          <cell r="V3632">
            <v>2.2000000000000002</v>
          </cell>
          <cell r="W3632">
            <v>0</v>
          </cell>
          <cell r="X3632" t="str">
            <v>EST COMPONENTE HASTE ESTANTE ICON (EPOXI BRANCO FOSCO) - Ø0x2,2H</v>
          </cell>
          <cell r="Y3632" t="e">
            <v>#VALUE!</v>
          </cell>
          <cell r="Z3632">
            <v>0.35</v>
          </cell>
          <cell r="AA3632" t="e">
            <v>#VALUE!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5</v>
          </cell>
          <cell r="O3633">
            <v>222842</v>
          </cell>
          <cell r="P3633"/>
          <cell r="Q3633" t="str">
            <v>EST COMPONENTE HASTE ESTANTE ICON (CARVALHO NATURAL)</v>
          </cell>
          <cell r="R3633"/>
          <cell r="S3633"/>
          <cell r="T3633">
            <v>0</v>
          </cell>
          <cell r="U3633">
            <v>0</v>
          </cell>
          <cell r="V3633">
            <v>2.75</v>
          </cell>
          <cell r="W3633">
            <v>0</v>
          </cell>
          <cell r="X3633" t="str">
            <v>EST COMPONENTE HASTE ESTANTE ICON (CARVALHO NATURAL) - Ø0x2,75H</v>
          </cell>
          <cell r="Y3633" t="e">
            <v>#VALUE!</v>
          </cell>
          <cell r="Z3633">
            <v>0.35</v>
          </cell>
          <cell r="AA3633" t="e">
            <v>#VALUE!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4</v>
          </cell>
          <cell r="O3634">
            <v>222846</v>
          </cell>
          <cell r="P3634"/>
          <cell r="Q3634" t="str">
            <v>EST COMPONENTE PRATELEIRA ESTANTE ICON (CARVALHO NATURAL)</v>
          </cell>
          <cell r="R3634"/>
          <cell r="S3634"/>
          <cell r="T3634">
            <v>1.5</v>
          </cell>
          <cell r="U3634">
            <v>0.35</v>
          </cell>
          <cell r="V3634">
            <v>0</v>
          </cell>
          <cell r="W3634">
            <v>0</v>
          </cell>
          <cell r="X3634" t="str">
            <v>EST COMPONENTE PRATELEIRA ESTANTE ICON (CARVALHO NATURAL) - 1,5x0,35x0H</v>
          </cell>
          <cell r="Y3634" t="e">
            <v>#VALUE!</v>
          </cell>
          <cell r="Z3634">
            <v>0.35</v>
          </cell>
          <cell r="AA3634" t="e">
            <v>#VALUE!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8</v>
          </cell>
          <cell r="O3635">
            <v>222847</v>
          </cell>
          <cell r="P3635"/>
          <cell r="Q3635" t="str">
            <v>EST COMPONENTE PRATELEIRA ESTANTE ICON (CARVALHO NATURAL)</v>
          </cell>
          <cell r="R3635"/>
          <cell r="S3635"/>
          <cell r="T3635">
            <v>1.2</v>
          </cell>
          <cell r="U3635">
            <v>0.35</v>
          </cell>
          <cell r="V3635">
            <v>0</v>
          </cell>
          <cell r="W3635">
            <v>0</v>
          </cell>
          <cell r="X3635" t="str">
            <v>EST COMPONENTE PRATELEIRA ESTANTE ICON (CARVALHO NATURAL) - 1,2x0,35x0H</v>
          </cell>
          <cell r="Y3635" t="e">
            <v>#VALUE!</v>
          </cell>
          <cell r="Z3635">
            <v>0.35</v>
          </cell>
          <cell r="AA3635" t="e">
            <v>#VALUE!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6</v>
          </cell>
          <cell r="O3636">
            <v>222848</v>
          </cell>
          <cell r="P3636"/>
          <cell r="Q3636" t="str">
            <v>EST COMPONENTE PRATELEIRA ESTANTE ICON (CARVALHO NATURAL)</v>
          </cell>
          <cell r="R3636"/>
          <cell r="S3636"/>
          <cell r="T3636">
            <v>0.9</v>
          </cell>
          <cell r="U3636">
            <v>0.35</v>
          </cell>
          <cell r="V3636">
            <v>0</v>
          </cell>
          <cell r="W3636">
            <v>0</v>
          </cell>
          <cell r="X3636" t="str">
            <v>EST COMPONENTE PRATELEIRA ESTANTE ICON (CARVALHO NATURAL) - 0,9x0,35x0H</v>
          </cell>
          <cell r="Y3636" t="e">
            <v>#VALUE!</v>
          </cell>
          <cell r="Z3636">
            <v>0.35</v>
          </cell>
          <cell r="AA3636" t="e">
            <v>#VALUE!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223242</v>
          </cell>
          <cell r="P3637"/>
          <cell r="Q3637" t="str">
            <v>EST PUFF DINN (LATAO POLIDO) TC 175</v>
          </cell>
          <cell r="R3637"/>
          <cell r="S3637"/>
          <cell r="T3637">
            <v>1.5</v>
          </cell>
          <cell r="U3637">
            <v>0.7</v>
          </cell>
          <cell r="V3637">
            <v>0.35</v>
          </cell>
          <cell r="W3637">
            <v>0</v>
          </cell>
          <cell r="X3637" t="str">
            <v>EST PUFF DINN (LATAO POLIDO) TC 175 - 1,5x0,7x0,35H</v>
          </cell>
          <cell r="Y3637" t="e">
            <v>#VALUE!</v>
          </cell>
          <cell r="Z3637">
            <v>0.35</v>
          </cell>
          <cell r="AA3637" t="e">
            <v>#VALUE!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224044</v>
          </cell>
          <cell r="P3638"/>
          <cell r="Q3638" t="str">
            <v>EST APARADOR TRINTA ELIPTICO (MARMOR NERO) (PRETO TXT)</v>
          </cell>
          <cell r="R3638"/>
          <cell r="S3638"/>
          <cell r="T3638">
            <v>1.6</v>
          </cell>
          <cell r="U3638">
            <v>0.7</v>
          </cell>
          <cell r="V3638">
            <v>0.8</v>
          </cell>
          <cell r="W3638">
            <v>0</v>
          </cell>
          <cell r="X3638" t="str">
            <v>EST APARADOR TRINTA ELIPTICO (MARMOR NERO) (PRETO TXT) - 1,6x0,7x0,8H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224170</v>
          </cell>
          <cell r="P3639"/>
          <cell r="Q3639" t="str">
            <v>EST LUMINARIA PAREDE PINN (MOD 6) (PRETO TXT) (LEITOSO)</v>
          </cell>
          <cell r="R3639"/>
          <cell r="S3639"/>
          <cell r="T3639">
            <v>1.01</v>
          </cell>
          <cell r="U3639">
            <v>0.16</v>
          </cell>
          <cell r="V3639">
            <v>1.1000000000000001</v>
          </cell>
          <cell r="W3639">
            <v>0</v>
          </cell>
          <cell r="X3639" t="str">
            <v>EST LUMINARIA PAREDE PINN (MOD 6) (PRETO TXT) (LEITOSO) - 1,01x0,16x1,1H</v>
          </cell>
          <cell r="Y3639" t="e">
            <v>#VALUE!</v>
          </cell>
          <cell r="Z3639">
            <v>0.35</v>
          </cell>
          <cell r="AA3639" t="e">
            <v>#VALUE!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1</v>
          </cell>
          <cell r="O3640">
            <v>224211</v>
          </cell>
          <cell r="P3640"/>
          <cell r="Q3640" t="str">
            <v>EST CADEIRA DORA TC INTRICATE WHINTEL MIX TAUARI COR 01</v>
          </cell>
          <cell r="R3640"/>
          <cell r="S3640"/>
          <cell r="T3640">
            <v>0.62</v>
          </cell>
          <cell r="U3640">
            <v>0.7</v>
          </cell>
          <cell r="V3640">
            <v>0.84</v>
          </cell>
          <cell r="W3640">
            <v>0</v>
          </cell>
          <cell r="X3640" t="str">
            <v>EST CADEIRA DORA TC INTRICATE WHINTEL MIX TAUARI COR 01 - 0,62x0,7x0,84H</v>
          </cell>
          <cell r="Y3640" t="e">
            <v>#VALUE!</v>
          </cell>
          <cell r="Z3640">
            <v>0.35</v>
          </cell>
          <cell r="AA3640" t="e">
            <v>#VALUE!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2</v>
          </cell>
          <cell r="O3641">
            <v>230260</v>
          </cell>
          <cell r="P3641"/>
          <cell r="Q3641" t="str">
            <v>EST BANQUETA BAR EASY (EBANIZADO) (BASE PRETA FOSCA)</v>
          </cell>
          <cell r="R3641"/>
          <cell r="S3641"/>
          <cell r="T3641">
            <v>0.38</v>
          </cell>
          <cell r="U3641">
            <v>0.36</v>
          </cell>
          <cell r="V3641">
            <v>0.7</v>
          </cell>
          <cell r="W3641">
            <v>0</v>
          </cell>
          <cell r="X3641" t="str">
            <v>EST BANQUETA BAR EASY (EBANIZADO) (BASE PRETA FOSCA) - 0,38x0,36x0,7H</v>
          </cell>
          <cell r="Y3641" t="e">
            <v>#VALUE!</v>
          </cell>
          <cell r="Z3641">
            <v>0.35</v>
          </cell>
          <cell r="AA3641" t="e">
            <v>#VALUE!</v>
          </cell>
          <cell r="AB3641"/>
        </row>
        <row r="3642"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H3642">
            <v>1</v>
          </cell>
          <cell r="O3642">
            <v>230856</v>
          </cell>
          <cell r="P3642"/>
          <cell r="Q3642" t="str">
            <v>EST BANQUETA BAR 102 (CANYON) (TELA IMBUIA NEGRA) TC 120</v>
          </cell>
          <cell r="R3642"/>
          <cell r="S3642"/>
          <cell r="T3642">
            <v>0.52</v>
          </cell>
          <cell r="U3642">
            <v>0.54</v>
          </cell>
          <cell r="V3642">
            <v>1.05</v>
          </cell>
          <cell r="W3642">
            <v>0</v>
          </cell>
          <cell r="X3642" t="str">
            <v>EST BANQUETA BAR 102 (CANYON) (TELA IMBUIA NEGRA) TC 120 - 0,52x0,54x1,05H</v>
          </cell>
          <cell r="Y3642" t="e">
            <v>#VALUE!</v>
          </cell>
          <cell r="Z3642">
            <v>0.35</v>
          </cell>
          <cell r="AA3642" t="e">
            <v>#VALUE!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10</v>
          </cell>
          <cell r="O3643">
            <v>231407</v>
          </cell>
          <cell r="P3643"/>
          <cell r="Q3643" t="str">
            <v>EST COMPONENTE PRATELEIRA ESTANTE ICON (EPOXI PRETO FOSCO)</v>
          </cell>
          <cell r="R3643"/>
          <cell r="S3643"/>
          <cell r="T3643">
            <v>0.7</v>
          </cell>
          <cell r="U3643">
            <v>0.35</v>
          </cell>
          <cell r="V3643">
            <v>0</v>
          </cell>
          <cell r="W3643">
            <v>0</v>
          </cell>
          <cell r="X3643" t="str">
            <v>EST COMPONENTE PRATELEIRA ESTANTE ICON (EPOXI PRETO FOSCO) - 0,7x0,35x0H</v>
          </cell>
          <cell r="Y3643" t="e">
            <v>#VALUE!</v>
          </cell>
          <cell r="Z3643">
            <v>0.35</v>
          </cell>
          <cell r="AA3643" t="e">
            <v>#VALUE!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3</v>
          </cell>
          <cell r="O3644">
            <v>231408</v>
          </cell>
          <cell r="P3644"/>
          <cell r="Q3644" t="str">
            <v>EST COMPONENTE HASTE ESTANTE ICON (EPOXI PRETO FOSCO)</v>
          </cell>
          <cell r="R3644"/>
          <cell r="S3644"/>
          <cell r="T3644">
            <v>0</v>
          </cell>
          <cell r="U3644">
            <v>0</v>
          </cell>
          <cell r="V3644">
            <v>2.5</v>
          </cell>
          <cell r="W3644">
            <v>0</v>
          </cell>
          <cell r="X3644" t="str">
            <v>EST COMPONENTE HASTE ESTANTE ICON (EPOXI PRETO FOSCO) - Ø0x2,5H</v>
          </cell>
          <cell r="Y3644" t="e">
            <v>#VALUE!</v>
          </cell>
          <cell r="Z3644">
            <v>0.35</v>
          </cell>
          <cell r="AA3644" t="e">
            <v>#VALUE!</v>
          </cell>
          <cell r="AB3644"/>
        </row>
        <row r="3645">
          <cell r="C3645" t="e">
            <v>#N/A</v>
          </cell>
          <cell r="D3645" t="e">
            <v>#N/A</v>
          </cell>
          <cell r="E3645" t="e">
            <v>#N/A</v>
          </cell>
          <cell r="F3645" t="e">
            <v>#N/A</v>
          </cell>
          <cell r="H3645" t="e">
            <v>#N/A</v>
          </cell>
          <cell r="O3645">
            <v>231882</v>
          </cell>
          <cell r="P3645"/>
          <cell r="Q3645" t="e">
            <v>#N/A</v>
          </cell>
          <cell r="R3645"/>
          <cell r="S3645"/>
          <cell r="T3645" t="e">
            <v>#N/A</v>
          </cell>
          <cell r="U3645" t="e">
            <v>#N/A</v>
          </cell>
          <cell r="V3645" t="e">
            <v>#N/A</v>
          </cell>
          <cell r="W3645" t="e">
            <v>#N/A</v>
          </cell>
          <cell r="X3645" t="e">
            <v>#N/A</v>
          </cell>
          <cell r="Y3645" t="e">
            <v>#VALUE!</v>
          </cell>
          <cell r="Z3645">
            <v>0.35</v>
          </cell>
          <cell r="AA3645" t="e">
            <v>#VALUE!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1</v>
          </cell>
          <cell r="O3646">
            <v>231951</v>
          </cell>
          <cell r="P3646"/>
          <cell r="Q3646" t="str">
            <v>EST MESA LATERLA DUOMO (LACA BRILHO CORAL)</v>
          </cell>
          <cell r="R3646"/>
          <cell r="S3646"/>
          <cell r="T3646">
            <v>0.65</v>
          </cell>
          <cell r="U3646">
            <v>0</v>
          </cell>
          <cell r="V3646">
            <v>0.65</v>
          </cell>
          <cell r="W3646">
            <v>0.65</v>
          </cell>
          <cell r="X3646" t="str">
            <v>EST MESA LATERLA DUOMO (LACA BRILHO CORAL) - Ø0,65x0,65H</v>
          </cell>
          <cell r="Y3646" t="e">
            <v>#VALUE!</v>
          </cell>
          <cell r="Z3646">
            <v>0.35</v>
          </cell>
          <cell r="AA3646" t="e">
            <v>#VALUE!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2</v>
          </cell>
          <cell r="O3647">
            <v>232361</v>
          </cell>
          <cell r="P3647"/>
          <cell r="Q3647" t="str">
            <v>EST CADEIRA ANNA (TAUARI TING 102) COURO 50019</v>
          </cell>
          <cell r="R3647"/>
          <cell r="S3647"/>
          <cell r="T3647">
            <v>0.52</v>
          </cell>
          <cell r="U3647">
            <v>0.62</v>
          </cell>
          <cell r="V3647">
            <v>0.78</v>
          </cell>
          <cell r="W3647">
            <v>0</v>
          </cell>
          <cell r="X3647" t="str">
            <v>EST CADEIRA ANNA (TAUARI TING 102) COURO 50019 - 0,52x0,62x0,78H</v>
          </cell>
          <cell r="Y3647" t="e">
            <v>#VALUE!</v>
          </cell>
          <cell r="Z3647">
            <v>0.35</v>
          </cell>
          <cell r="AA3647" t="e">
            <v>#VALUE!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233539</v>
          </cell>
          <cell r="P3648"/>
          <cell r="Q3648" t="str">
            <v>EST POLTRONA MOON (COURO) (TC INTRICATE WHIT MIX) (ONIX)</v>
          </cell>
          <cell r="R3648"/>
          <cell r="S3648"/>
          <cell r="T3648">
            <v>0.78</v>
          </cell>
          <cell r="U3648">
            <v>0.94</v>
          </cell>
          <cell r="V3648">
            <v>0.71</v>
          </cell>
          <cell r="W3648">
            <v>0</v>
          </cell>
          <cell r="X3648" t="str">
            <v>EST POLTRONA MOON (COURO) (TC INTRICATE WHIT MIX) (ONIX) - 0,78x0,94x0,71H</v>
          </cell>
          <cell r="Y3648" t="e">
            <v>#VALUE!</v>
          </cell>
          <cell r="Z3648">
            <v>0.35</v>
          </cell>
          <cell r="AA3648" t="e">
            <v>#VALUE!</v>
          </cell>
          <cell r="AB3648"/>
        </row>
        <row r="3649"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234348</v>
          </cell>
          <cell r="P3649"/>
          <cell r="Q3649" t="str">
            <v>EST CADEIRA ANNA (TAUARI TING 102) COURO 50019#7</v>
          </cell>
          <cell r="R3649"/>
          <cell r="S3649"/>
          <cell r="T3649">
            <v>0.52</v>
          </cell>
          <cell r="U3649">
            <v>0.62</v>
          </cell>
          <cell r="V3649">
            <v>0.78</v>
          </cell>
          <cell r="W3649">
            <v>0</v>
          </cell>
          <cell r="X3649" t="str">
            <v>EST CADEIRA ANNA (TAUARI TING 102) COURO 50019#7 - 0,52x0,62x0,78H</v>
          </cell>
          <cell r="Y3649" t="e">
            <v>#VALUE!</v>
          </cell>
          <cell r="Z3649">
            <v>0.35</v>
          </cell>
          <cell r="AA3649" t="e">
            <v>#VALUE!</v>
          </cell>
          <cell r="AB3649"/>
        </row>
        <row r="3650">
          <cell r="C3650">
            <v>0</v>
          </cell>
          <cell r="D3650">
            <v>0</v>
          </cell>
          <cell r="E3650">
            <v>0</v>
          </cell>
          <cell r="F3650">
            <v>0</v>
          </cell>
          <cell r="H3650">
            <v>1</v>
          </cell>
          <cell r="O3650">
            <v>234544</v>
          </cell>
          <cell r="P3650"/>
          <cell r="Q3650" t="str">
            <v>EST MESA JANTAR ARIS (MARMORE NERO MARQUINA) (TAUARI)</v>
          </cell>
          <cell r="R3650"/>
          <cell r="S3650"/>
          <cell r="T3650">
            <v>1.3</v>
          </cell>
          <cell r="U3650">
            <v>0</v>
          </cell>
          <cell r="V3650">
            <v>0.75</v>
          </cell>
          <cell r="W3650">
            <v>1.3</v>
          </cell>
          <cell r="X3650" t="str">
            <v>EST MESA JANTAR ARIS (MARMORE NERO MARQUINA) (TAUARI) - Ø1,3x0,75H</v>
          </cell>
          <cell r="Y3650" t="e">
            <v>#VALUE!</v>
          </cell>
          <cell r="Z3650">
            <v>0.35</v>
          </cell>
          <cell r="AA3650" t="e">
            <v>#VALUE!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234557</v>
          </cell>
          <cell r="P3651"/>
          <cell r="Q3651" t="str">
            <v>EST MESA LATERAL CILLI (MARMORE ROSA FOSCO)</v>
          </cell>
          <cell r="R3651"/>
          <cell r="S3651"/>
          <cell r="T3651">
            <v>0.8</v>
          </cell>
          <cell r="U3651">
            <v>0</v>
          </cell>
          <cell r="V3651">
            <v>0.6</v>
          </cell>
          <cell r="W3651">
            <v>0.8</v>
          </cell>
          <cell r="X3651" t="str">
            <v>EST MESA LATERAL CILLI (MARMORE ROSA FOSCO) - Ø0,8x0,6H</v>
          </cell>
          <cell r="Y3651" t="e">
            <v>#VALUE!</v>
          </cell>
          <cell r="Z3651">
            <v>0.35</v>
          </cell>
          <cell r="AA3651" t="e">
            <v>#VALUE!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235158</v>
          </cell>
          <cell r="P3652"/>
          <cell r="Q3652" t="str">
            <v>EST MESA LATERAL DOTY BISTRO MOD 1 (PRETO EPOXI)</v>
          </cell>
          <cell r="R3652"/>
          <cell r="S3652"/>
          <cell r="T3652">
            <v>0.8</v>
          </cell>
          <cell r="U3652">
            <v>0</v>
          </cell>
          <cell r="V3652">
            <v>1.1000000000000001</v>
          </cell>
          <cell r="W3652">
            <v>0.8</v>
          </cell>
          <cell r="X3652" t="str">
            <v>EST MESA LATERAL DOTY BISTRO MOD 1 (PRETO EPOXI) - Ø0,8x1,1H</v>
          </cell>
          <cell r="Y3652" t="e">
            <v>#VALUE!</v>
          </cell>
          <cell r="Z3652">
            <v>0.35</v>
          </cell>
          <cell r="AA3652" t="e">
            <v>#VALUE!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235963</v>
          </cell>
          <cell r="P3653"/>
          <cell r="Q3653" t="str">
            <v>EST CRISTALEIRA TIME (PRATELEIRA VIDRO) (HASTE PRETA)</v>
          </cell>
          <cell r="R3653"/>
          <cell r="S3653"/>
          <cell r="T3653">
            <v>1.2</v>
          </cell>
          <cell r="U3653">
            <v>0.45</v>
          </cell>
          <cell r="V3653">
            <v>1.7</v>
          </cell>
          <cell r="W3653">
            <v>0</v>
          </cell>
          <cell r="X3653" t="str">
            <v>EST CRISTALEIRA TIME (PRATELEIRA VIDRO) (HASTE PRETA) - 1,2x0,45x1,7H</v>
          </cell>
          <cell r="Y3653" t="e">
            <v>#VALUE!</v>
          </cell>
          <cell r="Z3653">
            <v>0.35</v>
          </cell>
          <cell r="AA3653" t="e">
            <v>#VALUE!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1</v>
          </cell>
          <cell r="O3654">
            <v>248944</v>
          </cell>
          <cell r="P3654"/>
          <cell r="Q3654" t="str">
            <v>EST POLTRONA 150 (TAUARI TING COR 01) (TC 169#4)</v>
          </cell>
          <cell r="R3654"/>
          <cell r="S3654"/>
          <cell r="T3654">
            <v>0.69</v>
          </cell>
          <cell r="U3654">
            <v>0.72</v>
          </cell>
          <cell r="V3654">
            <v>0.86</v>
          </cell>
          <cell r="W3654">
            <v>0</v>
          </cell>
          <cell r="X3654" t="str">
            <v>EST POLTRONA 150 (TAUARI TING COR 01) (TC 169#4) - 0,69x0,72x0,86H</v>
          </cell>
          <cell r="Y3654" t="e">
            <v>#VALUE!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248947</v>
          </cell>
          <cell r="P3655"/>
          <cell r="Q3655" t="str">
            <v>EST BANQUETA 150 (ESTRUTURA TAUARI COR 01) (TC 169#4)</v>
          </cell>
          <cell r="R3655"/>
          <cell r="S3655"/>
          <cell r="T3655">
            <v>0.66</v>
          </cell>
          <cell r="U3655">
            <v>0.5</v>
          </cell>
          <cell r="V3655">
            <v>0.41</v>
          </cell>
          <cell r="W3655">
            <v>0</v>
          </cell>
          <cell r="X3655" t="str">
            <v>EST BANQUETA 150 (ESTRUTURA TAUARI COR 01) (TC 169#4) - 0,66x0,5x0,41H</v>
          </cell>
          <cell r="Y3655" t="e">
            <v>#VALUE!</v>
          </cell>
          <cell r="Z3655">
            <v>0.35</v>
          </cell>
          <cell r="AA3655" t="e">
            <v>#VALUE!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254709</v>
          </cell>
          <cell r="P3656"/>
          <cell r="Q3656" t="str">
            <v>EST SOFA ADO (PENA) PE MTZ PRETO FSC TC 24402270 AZUL</v>
          </cell>
          <cell r="R3656"/>
          <cell r="S3656"/>
          <cell r="T3656">
            <v>3</v>
          </cell>
          <cell r="U3656">
            <v>1</v>
          </cell>
          <cell r="V3656">
            <v>0.65</v>
          </cell>
          <cell r="W3656">
            <v>0</v>
          </cell>
          <cell r="X3656" t="str">
            <v>EST SOFA ADO (PENA) PE MTZ PRETO FSC TC 24402270 AZUL - 3x1x0,65H</v>
          </cell>
          <cell r="Y3656">
            <v>0</v>
          </cell>
          <cell r="Z3656">
            <v>0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255008</v>
          </cell>
          <cell r="P3657"/>
          <cell r="Q3657" t="str">
            <v>EST MESA CENTRO MATRIZ (LACA BRANCA BRILHO)</v>
          </cell>
          <cell r="R3657"/>
          <cell r="S3657"/>
          <cell r="T3657">
            <v>1.7</v>
          </cell>
          <cell r="U3657">
            <v>0.5</v>
          </cell>
          <cell r="V3657">
            <v>0.35</v>
          </cell>
          <cell r="W3657">
            <v>0</v>
          </cell>
          <cell r="X3657" t="str">
            <v>EST MESA CENTRO MATRIZ (LACA BRANCA BRILHO) - 1,7x0,5x0,35H</v>
          </cell>
          <cell r="Y3657" t="e">
            <v>#VALUE!</v>
          </cell>
          <cell r="Z3657">
            <v>0.35</v>
          </cell>
          <cell r="AA3657" t="e">
            <v>#VALUE!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256007</v>
          </cell>
          <cell r="P3658"/>
          <cell r="Q3658" t="str">
            <v>EST SOFA DUO (FIBRA) (PES PTO) TC TRAMADO NAVY</v>
          </cell>
          <cell r="R3658"/>
          <cell r="S3658"/>
          <cell r="T3658">
            <v>3</v>
          </cell>
          <cell r="U3658">
            <v>0.95</v>
          </cell>
          <cell r="V3658">
            <v>0</v>
          </cell>
          <cell r="W3658">
            <v>0</v>
          </cell>
          <cell r="X3658" t="str">
            <v>EST SOFA DUO (FIBRA) (PES PTO) TC TRAMADO NAVY - 3x0,95x0H</v>
          </cell>
          <cell r="Y3658">
            <v>0</v>
          </cell>
          <cell r="Z3658">
            <v>0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1</v>
          </cell>
          <cell r="O3659">
            <v>261227</v>
          </cell>
          <cell r="P3659"/>
          <cell r="Q3659" t="str">
            <v>EST CADEIRA ANNA (TAUARI WHISKY 02) TC SUMATRA SILVER</v>
          </cell>
          <cell r="R3659"/>
          <cell r="S3659"/>
          <cell r="T3659">
            <v>0.52</v>
          </cell>
          <cell r="U3659">
            <v>0.62</v>
          </cell>
          <cell r="V3659">
            <v>0.78</v>
          </cell>
          <cell r="W3659">
            <v>0</v>
          </cell>
          <cell r="X3659" t="str">
            <v>EST CADEIRA ANNA (TAUARI WHISKY 02) TC SUMATRA SILVER - 0,52x0,62x0,78H</v>
          </cell>
          <cell r="Y3659" t="e">
            <v>#VALUE!</v>
          </cell>
          <cell r="Z3659">
            <v>0.35</v>
          </cell>
          <cell r="AA3659" t="e">
            <v>#VALUE!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261228</v>
          </cell>
          <cell r="P3660"/>
          <cell r="Q3660" t="str">
            <v>EST CADEIRA ANNA C/BRACO (TAUARI WHISKY 02) TC #5</v>
          </cell>
          <cell r="R3660"/>
          <cell r="S3660"/>
          <cell r="T3660">
            <v>0.56000000000000005</v>
          </cell>
          <cell r="U3660">
            <v>0.56999999999999995</v>
          </cell>
          <cell r="V3660">
            <v>0.78</v>
          </cell>
          <cell r="W3660">
            <v>0</v>
          </cell>
          <cell r="X3660" t="str">
            <v>EST CADEIRA ANNA C/BRACO (TAUARI WHISKY 02) TC #5 - 0,56x0,57x0,78H</v>
          </cell>
          <cell r="Y3660" t="e">
            <v>#VALUE!</v>
          </cell>
          <cell r="Z3660">
            <v>0.35</v>
          </cell>
          <cell r="AA3660" t="e">
            <v>#VALUE!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261229</v>
          </cell>
          <cell r="P3661"/>
          <cell r="Q3661" t="str">
            <v>EST CADEIRA ANNA C/BRACO (TAUARI WHISKY 02) TC #6</v>
          </cell>
          <cell r="R3661"/>
          <cell r="S3661"/>
          <cell r="T3661">
            <v>0.56000000000000005</v>
          </cell>
          <cell r="U3661">
            <v>0.56999999999999995</v>
          </cell>
          <cell r="V3661">
            <v>0.78</v>
          </cell>
          <cell r="W3661">
            <v>0</v>
          </cell>
          <cell r="X3661" t="str">
            <v>EST CADEIRA ANNA C/BRACO (TAUARI WHISKY 02) TC #6 - 0,56x0,57x0,78H</v>
          </cell>
          <cell r="Y3661" t="e">
            <v>#VALUE!</v>
          </cell>
          <cell r="Z3661">
            <v>0.35</v>
          </cell>
          <cell r="AA3661" t="e">
            <v>#VALUE!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261230</v>
          </cell>
          <cell r="P3662"/>
          <cell r="Q3662" t="str">
            <v>EST CADEIRA ANNA (TAUARI WHISKY 02) TC #6</v>
          </cell>
          <cell r="R3662"/>
          <cell r="S3662"/>
          <cell r="T3662">
            <v>0.52</v>
          </cell>
          <cell r="U3662">
            <v>0.62</v>
          </cell>
          <cell r="V3662">
            <v>0.78</v>
          </cell>
          <cell r="W3662">
            <v>0</v>
          </cell>
          <cell r="X3662" t="str">
            <v>EST CADEIRA ANNA (TAUARI WHISKY 02) TC #6 - 0,52x0,62x0,78H</v>
          </cell>
          <cell r="Y3662" t="e">
            <v>#VALUE!</v>
          </cell>
          <cell r="Z3662">
            <v>0.35</v>
          </cell>
          <cell r="AA3662" t="e">
            <v>#VALUE!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263756</v>
          </cell>
          <cell r="P3663"/>
          <cell r="Q3663" t="str">
            <v>EST CADEIRA MILLA 120 C/BRACO (IMB MEL) TC VILLA OLMO UMBER</v>
          </cell>
          <cell r="R3663"/>
          <cell r="S3663"/>
          <cell r="T3663">
            <v>0.57999999999999996</v>
          </cell>
          <cell r="U3663">
            <v>0.56000000000000005</v>
          </cell>
          <cell r="V3663">
            <v>0.79</v>
          </cell>
          <cell r="W3663">
            <v>0</v>
          </cell>
          <cell r="X3663" t="str">
            <v>EST CADEIRA MILLA 120 C/BRACO (IMB MEL) TC VILLA OLMO UMBER - 0,58x0,56x0,79H</v>
          </cell>
          <cell r="Y3663" t="e">
            <v>#VALUE!</v>
          </cell>
          <cell r="Z3663">
            <v>0.35</v>
          </cell>
          <cell r="AA3663" t="e">
            <v>#VALUE!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263759</v>
          </cell>
          <cell r="P3664"/>
          <cell r="Q3664" t="str">
            <v>EST CADEIRA MILLA 540 (IMBUIA MEL) (TELA) (TC UMBER)</v>
          </cell>
          <cell r="R3664"/>
          <cell r="S3664"/>
          <cell r="T3664">
            <v>0.55000000000000004</v>
          </cell>
          <cell r="U3664">
            <v>0.53</v>
          </cell>
          <cell r="V3664">
            <v>0.85</v>
          </cell>
          <cell r="W3664">
            <v>0</v>
          </cell>
          <cell r="X3664" t="str">
            <v>EST CADEIRA MILLA 540 (IMBUIA MEL) (TELA) (TC UMBER) - 0,55x0,53x0,85H</v>
          </cell>
          <cell r="Y3664" t="e">
            <v>#VALUE!</v>
          </cell>
          <cell r="Z3664">
            <v>0.35</v>
          </cell>
          <cell r="AA3664" t="e">
            <v>#VALUE!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1</v>
          </cell>
          <cell r="O3665">
            <v>263760</v>
          </cell>
          <cell r="P3665"/>
          <cell r="Q3665" t="str">
            <v>EST CADEIRA MILLA 560 C/BRACO (IMBUIA MEL TELA) (TC UMBER)</v>
          </cell>
          <cell r="R3665"/>
          <cell r="S3665"/>
          <cell r="T3665">
            <v>0.59</v>
          </cell>
          <cell r="U3665">
            <v>0.53</v>
          </cell>
          <cell r="V3665">
            <v>0.85</v>
          </cell>
          <cell r="W3665">
            <v>0</v>
          </cell>
          <cell r="X3665" t="str">
            <v>EST CADEIRA MILLA 560 C/BRACO (IMBUIA MEL TELA) (TC UMBER) - 0,59x0,53x0,85H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268060</v>
          </cell>
          <cell r="P3666"/>
          <cell r="Q3666" t="str">
            <v>EST BANQUETA BAR ANNA (TAUARI TING EBANIZ) COURO BLACK MATT</v>
          </cell>
          <cell r="R3666"/>
          <cell r="S3666"/>
          <cell r="T3666">
            <v>0.42</v>
          </cell>
          <cell r="U3666">
            <v>0.5</v>
          </cell>
          <cell r="V3666">
            <v>1.25</v>
          </cell>
          <cell r="W3666">
            <v>0</v>
          </cell>
          <cell r="X3666" t="str">
            <v>EST BANQUETA BAR ANNA (TAUARI TING EBANIZ) COURO BLACK MATT - 0,42x0,5x1,25H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274098</v>
          </cell>
          <cell r="P3667"/>
          <cell r="Q3667" t="str">
            <v>EST SOFA ADO (PENA) (PES PRETO) (TC GRIGGIO 136195)</v>
          </cell>
          <cell r="R3667"/>
          <cell r="S3667"/>
          <cell r="T3667">
            <v>3</v>
          </cell>
          <cell r="U3667">
            <v>1.02</v>
          </cell>
          <cell r="V3667">
            <v>1</v>
          </cell>
          <cell r="W3667">
            <v>0</v>
          </cell>
          <cell r="X3667" t="str">
            <v>EST SOFA ADO (PENA) (PES PRETO) (TC GRIGGIO 136195) - 3x1,02x1H</v>
          </cell>
          <cell r="Y3667">
            <v>0</v>
          </cell>
          <cell r="Z3667">
            <v>0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278524</v>
          </cell>
          <cell r="P3668"/>
          <cell r="Q3668" t="str">
            <v>EST SOFA DUO (FIBRA) (PE PTO) TC ZEFIRO 158 VERDE/DEC01918</v>
          </cell>
          <cell r="R3668"/>
          <cell r="S3668"/>
          <cell r="T3668">
            <v>3</v>
          </cell>
          <cell r="U3668">
            <v>0.95</v>
          </cell>
          <cell r="V3668">
            <v>0.64</v>
          </cell>
          <cell r="W3668">
            <v>0</v>
          </cell>
          <cell r="X3668" t="str">
            <v>EST SOFA DUO (FIBRA) (PE PTO) TC ZEFIRO 158 VERDE/DEC01918 - 3x0,95x0,64H</v>
          </cell>
          <cell r="Y3668">
            <v>0</v>
          </cell>
          <cell r="Z3668">
            <v>0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334580</v>
          </cell>
          <cell r="P3669"/>
          <cell r="Q3669" t="str">
            <v>EST MODULO BRACO DIR DUO (FIBRA) (PE PTO) TC MILANO STONE</v>
          </cell>
          <cell r="R3669"/>
          <cell r="S3669"/>
          <cell r="T3669">
            <v>2.7</v>
          </cell>
          <cell r="U3669">
            <v>1.02</v>
          </cell>
          <cell r="V3669">
            <v>0.64</v>
          </cell>
          <cell r="W3669">
            <v>0</v>
          </cell>
          <cell r="X3669" t="str">
            <v>EST MODULO BRACO DIR DUO (FIBRA) (PE PTO) TC MILANO STONE - 2,7x1,02x0,64H</v>
          </cell>
          <cell r="Y3669">
            <v>0</v>
          </cell>
          <cell r="Z3669">
            <v>0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1</v>
          </cell>
          <cell r="O3670">
            <v>334581</v>
          </cell>
          <cell r="P3670"/>
          <cell r="Q3670" t="str">
            <v>EST MODULO CANTO DIR DUO (FIBRA) (PE PTO) TC MILANO STONE</v>
          </cell>
          <cell r="R3670"/>
          <cell r="S3670"/>
          <cell r="T3670">
            <v>2.76</v>
          </cell>
          <cell r="U3670">
            <v>1.02</v>
          </cell>
          <cell r="V3670">
            <v>0.64</v>
          </cell>
          <cell r="W3670">
            <v>0</v>
          </cell>
          <cell r="X3670" t="str">
            <v>EST MODULO CANTO DIR DUO (FIBRA) (PE PTO) TC MILANO STONE - 2,76x1,02x0,64H</v>
          </cell>
          <cell r="Y3670">
            <v>0</v>
          </cell>
          <cell r="Z3670">
            <v>0</v>
          </cell>
          <cell r="AA3670">
            <v>0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334582</v>
          </cell>
          <cell r="P3671"/>
          <cell r="Q3671" t="str">
            <v>EST PUFF DUO (PE PTO) TC MILANO STONE</v>
          </cell>
          <cell r="R3671"/>
          <cell r="S3671"/>
          <cell r="T3671">
            <v>0.87</v>
          </cell>
          <cell r="U3671">
            <v>0.6</v>
          </cell>
          <cell r="V3671">
            <v>0.44</v>
          </cell>
          <cell r="W3671">
            <v>0</v>
          </cell>
          <cell r="X3671" t="str">
            <v>EST PUFF DUO (PE PTO) TC MILANO STONE - 0,87x0,6x0,44H</v>
          </cell>
          <cell r="Y3671">
            <v>0</v>
          </cell>
          <cell r="Z3671">
            <v>0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0</v>
          </cell>
          <cell r="O3672">
            <v>342271</v>
          </cell>
          <cell r="P3672"/>
          <cell r="Q3672" t="str">
            <v>EST SOFA DUO (FIBRA) (PE PTO) TC ELB LUDA 129 COR GREY</v>
          </cell>
          <cell r="R3672"/>
          <cell r="S3672"/>
          <cell r="T3672">
            <v>3</v>
          </cell>
          <cell r="U3672">
            <v>0.95</v>
          </cell>
          <cell r="V3672">
            <v>0.64</v>
          </cell>
          <cell r="W3672">
            <v>0</v>
          </cell>
          <cell r="X3672" t="str">
            <v>EST SOFA DUO (FIBRA) (PE PTO) TC ELB LUDA 129 COR GREY - 3x0,95x0,64H</v>
          </cell>
          <cell r="Y3672">
            <v>0</v>
          </cell>
          <cell r="Z3672">
            <v>0</v>
          </cell>
          <cell r="AA3672">
            <v>0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380312</v>
          </cell>
          <cell r="P3673"/>
          <cell r="Q3673" t="str">
            <v>EST TAMPO CRISTAL LAPIDADO (15MM) INCOLOR CANTO TICK</v>
          </cell>
          <cell r="R3673"/>
          <cell r="S3673"/>
          <cell r="T3673">
            <v>2</v>
          </cell>
          <cell r="U3673">
            <v>0.9</v>
          </cell>
          <cell r="V3673">
            <v>0.01</v>
          </cell>
          <cell r="W3673">
            <v>0</v>
          </cell>
          <cell r="X3673" t="str">
            <v>EST TAMPO CRISTAL LAPIDADO (15MM) INCOLOR CANTO TICK - 2x0,9x0,01H</v>
          </cell>
          <cell r="Y3673" t="e">
            <v>#VALUE!</v>
          </cell>
          <cell r="Z3673">
            <v>0.35</v>
          </cell>
          <cell r="AA3673" t="e">
            <v>#VALUE!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0</v>
          </cell>
          <cell r="O3674">
            <v>383967</v>
          </cell>
          <cell r="P3674"/>
          <cell r="Q3674" t="str">
            <v>EST SOFA DUO (FIBRA) (PE PTO) TC GRIGGIO 136195 COR 03 CRU</v>
          </cell>
          <cell r="R3674"/>
          <cell r="S3674"/>
          <cell r="T3674">
            <v>3</v>
          </cell>
          <cell r="U3674">
            <v>1.02</v>
          </cell>
          <cell r="V3674">
            <v>0.65</v>
          </cell>
          <cell r="W3674">
            <v>0</v>
          </cell>
          <cell r="X3674" t="str">
            <v>EST SOFA DUO (FIBRA) (PE PTO) TC GRIGGIO 136195 COR 03 CRU - 3x1,02x0,65H</v>
          </cell>
          <cell r="Y3674">
            <v>0</v>
          </cell>
          <cell r="Z3674">
            <v>0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387232</v>
          </cell>
          <cell r="P3675"/>
          <cell r="Q3675" t="str">
            <v>EST BANCO MARCOS (FREIJO NATURAL) COURO IMPORT 300</v>
          </cell>
          <cell r="R3675"/>
          <cell r="S3675"/>
          <cell r="T3675">
            <v>0.43</v>
          </cell>
          <cell r="U3675">
            <v>0.43</v>
          </cell>
          <cell r="V3675">
            <v>0.43</v>
          </cell>
          <cell r="W3675">
            <v>0</v>
          </cell>
          <cell r="X3675" t="str">
            <v>EST BANCO MARCOS (FREIJO NATURAL) COURO IMPORT 300 - 0,43x0,43x0,43H</v>
          </cell>
          <cell r="Y3675" t="e">
            <v>#VALUE!</v>
          </cell>
          <cell r="Z3675">
            <v>0.35</v>
          </cell>
          <cell r="AA3675" t="e">
            <v>#VALUE!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388191</v>
          </cell>
          <cell r="P3676"/>
          <cell r="Q3676" t="str">
            <v>EST POLTRONA VAIVEM (FIXA) (IMBUIA) TC PIED POULE</v>
          </cell>
          <cell r="R3676"/>
          <cell r="S3676"/>
          <cell r="T3676">
            <v>0.83</v>
          </cell>
          <cell r="U3676">
            <v>0.8</v>
          </cell>
          <cell r="V3676">
            <v>0.82</v>
          </cell>
          <cell r="W3676">
            <v>0</v>
          </cell>
          <cell r="X3676" t="str">
            <v>EST POLTRONA VAIVEM (FIXA) (IMBUIA) TC PIED POULE - 0,83x0,8x0,82H</v>
          </cell>
          <cell r="Y3676" t="e">
            <v>#VALUE!</v>
          </cell>
          <cell r="Z3676">
            <v>0.35</v>
          </cell>
          <cell r="AA3676" t="e">
            <v>#VALUE!</v>
          </cell>
          <cell r="AB3676"/>
        </row>
        <row r="3677">
          <cell r="C3677" t="e">
            <v>#N/A</v>
          </cell>
          <cell r="D3677" t="e">
            <v>#N/A</v>
          </cell>
          <cell r="E3677" t="e">
            <v>#N/A</v>
          </cell>
          <cell r="F3677" t="e">
            <v>#N/A</v>
          </cell>
          <cell r="H3677" t="e">
            <v>#N/A</v>
          </cell>
          <cell r="O3677">
            <v>389093</v>
          </cell>
          <cell r="P3677"/>
          <cell r="Q3677" t="e">
            <v>#N/A</v>
          </cell>
          <cell r="R3677"/>
          <cell r="S3677"/>
          <cell r="T3677" t="e">
            <v>#N/A</v>
          </cell>
          <cell r="U3677" t="e">
            <v>#N/A</v>
          </cell>
          <cell r="V3677" t="e">
            <v>#N/A</v>
          </cell>
          <cell r="W3677" t="e">
            <v>#N/A</v>
          </cell>
          <cell r="X3677" t="e">
            <v>#N/A</v>
          </cell>
          <cell r="Y3677" t="e">
            <v>#VALUE!</v>
          </cell>
          <cell r="Z3677">
            <v>0.35</v>
          </cell>
          <cell r="AA3677" t="e">
            <v>#VALUE!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390304</v>
          </cell>
          <cell r="P3678"/>
          <cell r="Q3678" t="str">
            <v>EST BASE JANTAR CANELA (CIRCULAR) (FREIJO VERNIZ ACRILICO)</v>
          </cell>
          <cell r="R3678"/>
          <cell r="S3678"/>
          <cell r="T3678">
            <v>0.6</v>
          </cell>
          <cell r="U3678">
            <v>0</v>
          </cell>
          <cell r="V3678">
            <v>0.73</v>
          </cell>
          <cell r="W3678">
            <v>0.6</v>
          </cell>
          <cell r="X3678" t="str">
            <v>EST BASE JANTAR CANELA (CIRCULAR) (FREIJO VERNIZ ACRILICO) - Ø0,6x0,73H</v>
          </cell>
          <cell r="Y3678" t="e">
            <v>#VALUE!</v>
          </cell>
          <cell r="Z3678">
            <v>0.35</v>
          </cell>
          <cell r="AA3678" t="e">
            <v>#VALUE!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2</v>
          </cell>
          <cell r="O3679">
            <v>391636</v>
          </cell>
          <cell r="P3679"/>
          <cell r="Q3679" t="str">
            <v>EST CADEIRA GOUTHIER (FREIJO TNZ 1) COURO IMPORT 300</v>
          </cell>
          <cell r="R3679"/>
          <cell r="S3679"/>
          <cell r="T3679">
            <v>0.62</v>
          </cell>
          <cell r="U3679">
            <v>0.62</v>
          </cell>
          <cell r="V3679">
            <v>0.78</v>
          </cell>
          <cell r="W3679">
            <v>0</v>
          </cell>
          <cell r="X3679" t="str">
            <v>EST CADEIRA GOUTHIER (FREIJO TNZ 1) COURO IMPORT 300 - 0,62x0,62x0,78H</v>
          </cell>
          <cell r="Y3679" t="e">
            <v>#VALUE!</v>
          </cell>
          <cell r="Z3679">
            <v>0.35</v>
          </cell>
          <cell r="AA3679" t="e">
            <v>#VALUE!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391642</v>
          </cell>
          <cell r="P3680"/>
          <cell r="Q3680" t="str">
            <v>EST MOVEL AUXILIAR PINHIM 02 (1 GAV/1 PT) (FREIJO)</v>
          </cell>
          <cell r="R3680"/>
          <cell r="S3680"/>
          <cell r="T3680">
            <v>0.53</v>
          </cell>
          <cell r="U3680">
            <v>0.45</v>
          </cell>
          <cell r="V3680">
            <v>0.49</v>
          </cell>
          <cell r="W3680">
            <v>0</v>
          </cell>
          <cell r="X3680" t="str">
            <v>EST MOVEL AUXILIAR PINHIM 02 (1 GAV/1 PT) (FREIJO) - 0,53x0,45x0,49H</v>
          </cell>
          <cell r="Y3680" t="e">
            <v>#VALUE!</v>
          </cell>
          <cell r="Z3680">
            <v>0.35</v>
          </cell>
          <cell r="AA3680" t="e">
            <v>#VALUE!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4</v>
          </cell>
          <cell r="O3681">
            <v>395031</v>
          </cell>
          <cell r="P3681"/>
          <cell r="Q3681" t="str">
            <v>EST CADEIRA DAAV (INOX PTO) (IMBUIA STAIN) TC URANOS W&amp;D</v>
          </cell>
          <cell r="R3681"/>
          <cell r="S3681"/>
          <cell r="T3681">
            <v>0.63</v>
          </cell>
          <cell r="U3681">
            <v>0.54</v>
          </cell>
          <cell r="V3681">
            <v>0.8</v>
          </cell>
          <cell r="W3681">
            <v>0</v>
          </cell>
          <cell r="X3681" t="str">
            <v>EST CADEIRA DAAV (INOX PTO) (IMBUIA STAIN) TC URANOS W&amp;D - 0,63x0,54x0,8H</v>
          </cell>
          <cell r="Y3681" t="e">
            <v>#VALUE!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395254</v>
          </cell>
          <cell r="P3682"/>
          <cell r="Q3682" t="str">
            <v>EST BANQUETA BAR GB H62 (TELA) (FREIJO NATURAL) (ACO PRETO)</v>
          </cell>
          <cell r="R3682"/>
          <cell r="S3682"/>
          <cell r="T3682">
            <v>0.42</v>
          </cell>
          <cell r="U3682">
            <v>0.42</v>
          </cell>
          <cell r="V3682">
            <v>0.62</v>
          </cell>
          <cell r="W3682">
            <v>0</v>
          </cell>
          <cell r="X3682" t="str">
            <v>EST BANQUETA BAR GB H62 (TELA) (FREIJO NATURAL) (ACO PRETO) - 0,42x0,42x0,62H</v>
          </cell>
          <cell r="Y3682" t="e">
            <v>#VALUE!</v>
          </cell>
          <cell r="Z3682">
            <v>0.35</v>
          </cell>
          <cell r="AA3682" t="e">
            <v>#VALUE!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2</v>
          </cell>
          <cell r="O3683">
            <v>395257</v>
          </cell>
          <cell r="P3683"/>
          <cell r="Q3683" t="str">
            <v>EST BANQUETA BAR GB H72 (TELA) (FREIJO NATURAL) (ACO PRETO)</v>
          </cell>
          <cell r="R3683"/>
          <cell r="S3683"/>
          <cell r="T3683">
            <v>0.42</v>
          </cell>
          <cell r="U3683">
            <v>0.42</v>
          </cell>
          <cell r="V3683">
            <v>0.72</v>
          </cell>
          <cell r="W3683">
            <v>0</v>
          </cell>
          <cell r="X3683" t="str">
            <v>EST BANQUETA BAR GB H72 (TELA) (FREIJO NATURAL) (ACO PRETO) - 0,42x0,42x0,72H</v>
          </cell>
          <cell r="Y3683" t="e">
            <v>#VALUE!</v>
          </cell>
          <cell r="Z3683">
            <v>0.35</v>
          </cell>
          <cell r="AA3683" t="e">
            <v>#VALUE!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2</v>
          </cell>
          <cell r="O3684">
            <v>399156</v>
          </cell>
          <cell r="P3684"/>
          <cell r="Q3684" t="str">
            <v>EST POLTRONA BETO PU PRETO (MAD A COR 02) TC COTE NATURAL</v>
          </cell>
          <cell r="R3684"/>
          <cell r="S3684"/>
          <cell r="T3684">
            <v>0.84</v>
          </cell>
          <cell r="U3684">
            <v>0.75</v>
          </cell>
          <cell r="V3684">
            <v>0.71</v>
          </cell>
          <cell r="W3684">
            <v>0</v>
          </cell>
          <cell r="X3684" t="str">
            <v>EST POLTRONA BETO PU PRETO (MAD A COR 02) TC COTE NATURAL - 0,84x0,75x0,71H</v>
          </cell>
          <cell r="Y3684" t="e">
            <v>#VALUE!</v>
          </cell>
          <cell r="Z3684">
            <v>0.35</v>
          </cell>
          <cell r="AA3684" t="e">
            <v>#VALUE!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2</v>
          </cell>
          <cell r="O3685">
            <v>399489</v>
          </cell>
          <cell r="P3685"/>
          <cell r="Q3685" t="str">
            <v>EST MESA LATERAL ATLAS (C/AZULEJOS ALVORADA AZUL) (FREIJO)</v>
          </cell>
          <cell r="R3685"/>
          <cell r="S3685"/>
          <cell r="T3685">
            <v>0.96</v>
          </cell>
          <cell r="U3685">
            <v>0.56000000000000005</v>
          </cell>
          <cell r="V3685">
            <v>0.5</v>
          </cell>
          <cell r="W3685">
            <v>0</v>
          </cell>
          <cell r="X3685" t="str">
            <v>EST MESA LATERAL ATLAS (C/AZULEJOS ALVORADA AZUL) (FREIJO) - 0,96x0,56x0,5H</v>
          </cell>
          <cell r="Y3685" t="e">
            <v>#VALUE!</v>
          </cell>
          <cell r="Z3685">
            <v>0.35</v>
          </cell>
          <cell r="AA3685" t="e">
            <v>#VALUE!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1</v>
          </cell>
          <cell r="O3686">
            <v>402108</v>
          </cell>
          <cell r="P3686"/>
          <cell r="Q3686" t="str">
            <v>EST MESA JANTAR TAL (AREA INTERNA) (FREIJO) (GRAFITE)</v>
          </cell>
          <cell r="R3686"/>
          <cell r="S3686"/>
          <cell r="T3686">
            <v>3</v>
          </cell>
          <cell r="U3686">
            <v>1.1000000000000001</v>
          </cell>
          <cell r="V3686">
            <v>0.74</v>
          </cell>
          <cell r="W3686">
            <v>0</v>
          </cell>
          <cell r="X3686" t="str">
            <v>EST MESA JANTAR TAL (AREA INTERNA) (FREIJO) (GRAFITE) - 3x1,1x0,74H</v>
          </cell>
          <cell r="Y3686" t="e">
            <v>#VALUE!</v>
          </cell>
          <cell r="Z3686">
            <v>0.35</v>
          </cell>
          <cell r="AA3686" t="e">
            <v>#VALUE!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402168</v>
          </cell>
          <cell r="P3687"/>
          <cell r="Q3687" t="str">
            <v>EST BANCO DOMINO (4 LUG) (CONC VERMELHO) (INOX)</v>
          </cell>
          <cell r="R3687"/>
          <cell r="S3687"/>
          <cell r="T3687">
            <v>1.9</v>
          </cell>
          <cell r="U3687">
            <v>0.45</v>
          </cell>
          <cell r="V3687">
            <v>0.48</v>
          </cell>
          <cell r="W3687">
            <v>0</v>
          </cell>
          <cell r="X3687" t="str">
            <v>EST BANCO DOMINO (4 LUG) (CONC VERMELHO) (INOX) - 1,9x0,45x0,48H</v>
          </cell>
          <cell r="Y3687" t="e">
            <v>#VALUE!</v>
          </cell>
          <cell r="Z3687">
            <v>0.35</v>
          </cell>
          <cell r="AA3687" t="e">
            <v>#VALUE!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1</v>
          </cell>
          <cell r="O3688">
            <v>402217</v>
          </cell>
          <cell r="P3688"/>
          <cell r="Q3688" t="str">
            <v>EST BASE CENTRO ROMA (FREIJO NATURAL)</v>
          </cell>
          <cell r="R3688"/>
          <cell r="S3688"/>
          <cell r="T3688">
            <v>1.1399999999999999</v>
          </cell>
          <cell r="U3688">
            <v>0.65</v>
          </cell>
          <cell r="V3688">
            <v>0.36</v>
          </cell>
          <cell r="W3688">
            <v>0</v>
          </cell>
          <cell r="X3688" t="str">
            <v>EST BASE CENTRO ROMA (FREIJO NATURAL) - 1,14x0,65x0,36H</v>
          </cell>
          <cell r="Y3688" t="e">
            <v>#VALUE!</v>
          </cell>
          <cell r="Z3688">
            <v>0.35</v>
          </cell>
          <cell r="AA3688" t="e">
            <v>#VALUE!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4</v>
          </cell>
          <cell r="O3689">
            <v>402239</v>
          </cell>
          <cell r="P3689"/>
          <cell r="Q3689" t="str">
            <v>EST POLTRONA DIZ (LAMINADA S/FURO) (MAD IMBUIA STAIN)</v>
          </cell>
          <cell r="R3689"/>
          <cell r="S3689"/>
          <cell r="T3689">
            <v>0.78</v>
          </cell>
          <cell r="U3689">
            <v>0.89</v>
          </cell>
          <cell r="V3689">
            <v>0.71</v>
          </cell>
          <cell r="W3689">
            <v>0</v>
          </cell>
          <cell r="X3689" t="str">
            <v>EST POLTRONA DIZ (LAMINADA S/FURO) (MAD IMBUIA STAIN) - 0,78x0,89x0,71H</v>
          </cell>
          <cell r="Y3689" t="e">
            <v>#VALUE!</v>
          </cell>
          <cell r="Z3689">
            <v>0.35</v>
          </cell>
          <cell r="AA3689" t="e">
            <v>#VALUE!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1</v>
          </cell>
          <cell r="O3690">
            <v>402242</v>
          </cell>
          <cell r="P3690"/>
          <cell r="Q3690" t="str">
            <v>EST MESA LATERAL ITA (BORDA C) (M3 MATARAZZO) (COBRE ANTIGO)</v>
          </cell>
          <cell r="R3690"/>
          <cell r="S3690"/>
          <cell r="T3690">
            <v>0.7</v>
          </cell>
          <cell r="U3690">
            <v>0.7</v>
          </cell>
          <cell r="V3690">
            <v>0.52</v>
          </cell>
          <cell r="W3690">
            <v>0</v>
          </cell>
          <cell r="X3690" t="str">
            <v>EST MESA LATERAL ITA (BORDA C) (M3 MATARAZZO) (COBRE ANTIGO) - 0,7x0,7x0,52H</v>
          </cell>
          <cell r="Y3690" t="e">
            <v>#VALUE!</v>
          </cell>
          <cell r="Z3690">
            <v>0.35</v>
          </cell>
          <cell r="AA3690" t="e">
            <v>#VALUE!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4</v>
          </cell>
          <cell r="O3691">
            <v>402582</v>
          </cell>
          <cell r="P3691"/>
          <cell r="Q3691" t="str">
            <v>EST BANQUETA BAR GB MTF600 H63 TC EL ANGOLA COOPER</v>
          </cell>
          <cell r="R3691"/>
          <cell r="S3691"/>
          <cell r="T3691">
            <v>0.35</v>
          </cell>
          <cell r="U3691">
            <v>0.4</v>
          </cell>
          <cell r="V3691">
            <v>0.73</v>
          </cell>
          <cell r="W3691">
            <v>0</v>
          </cell>
          <cell r="X3691" t="str">
            <v>EST BANQUETA BAR GB MTF600 H63 TC EL ANGOLA COOPER - 0,35x0,4x0,73H</v>
          </cell>
          <cell r="Y3691" t="e">
            <v>#VALUE!</v>
          </cell>
          <cell r="Z3691">
            <v>0.35</v>
          </cell>
          <cell r="AA3691" t="e">
            <v>#VALUE!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402649</v>
          </cell>
          <cell r="P3692"/>
          <cell r="Q3692" t="str">
            <v>EST BANQUETA BAR JOHN GRAZ H62 (FREIJO COR IMBUIA IMPORT 55)</v>
          </cell>
          <cell r="R3692"/>
          <cell r="S3692"/>
          <cell r="T3692">
            <v>0.48</v>
          </cell>
          <cell r="U3692">
            <v>0.52</v>
          </cell>
          <cell r="V3692">
            <v>0.9</v>
          </cell>
          <cell r="W3692">
            <v>0</v>
          </cell>
          <cell r="X3692" t="str">
            <v>EST BANQUETA BAR JOHN GRAZ H62 (FREIJO COR IMBUIA IMPORT 55) - 0,48x0,52x0,9H</v>
          </cell>
          <cell r="Y3692" t="e">
            <v>#VALUE!</v>
          </cell>
          <cell r="Z3692">
            <v>0.35</v>
          </cell>
          <cell r="AA3692" t="e">
            <v>#VALUE!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2</v>
          </cell>
          <cell r="O3693">
            <v>402650</v>
          </cell>
          <cell r="P3693"/>
          <cell r="Q3693" t="str">
            <v>EST BANQUETA BAR JOHN GRAZ H62 (FREIJO NATURAL IMPORT 53)</v>
          </cell>
          <cell r="R3693"/>
          <cell r="S3693"/>
          <cell r="T3693">
            <v>0.48</v>
          </cell>
          <cell r="U3693">
            <v>0.52</v>
          </cell>
          <cell r="V3693">
            <v>0.9</v>
          </cell>
          <cell r="W3693">
            <v>0</v>
          </cell>
          <cell r="X3693" t="str">
            <v>EST BANQUETA BAR JOHN GRAZ H62 (FREIJO NATURAL IMPORT 53) - 0,48x0,52x0,9H</v>
          </cell>
          <cell r="Y3693" t="e">
            <v>#VALUE!</v>
          </cell>
          <cell r="Z3693">
            <v>0.35</v>
          </cell>
          <cell r="AA3693" t="e">
            <v>#VALUE!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402720</v>
          </cell>
          <cell r="P3694"/>
          <cell r="Q3694" t="str">
            <v>EST BANQUETA TAGUAIBA (FAIA VNZ CONHAQUE) (CAMURCA BRONZE)</v>
          </cell>
          <cell r="R3694"/>
          <cell r="S3694"/>
          <cell r="T3694">
            <v>0.4</v>
          </cell>
          <cell r="U3694">
            <v>0.6</v>
          </cell>
          <cell r="V3694">
            <v>0.32</v>
          </cell>
          <cell r="W3694">
            <v>0</v>
          </cell>
          <cell r="X3694" t="str">
            <v>EST BANQUETA TAGUAIBA (FAIA VNZ CONHAQUE) (CAMURCA BRONZE) - 0,4x0,6x0,32H</v>
          </cell>
          <cell r="Y3694" t="e">
            <v>#VALUE!</v>
          </cell>
          <cell r="Z3694">
            <v>0.35</v>
          </cell>
          <cell r="AA3694" t="e">
            <v>#VALUE!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1</v>
          </cell>
          <cell r="O3695">
            <v>402747</v>
          </cell>
          <cell r="P3695"/>
          <cell r="Q3695" t="str">
            <v>EST BANQUETA BAR MARESIAS C/B (A) (NAUTICA OFF W CUMARU EPS)</v>
          </cell>
          <cell r="R3695"/>
          <cell r="S3695"/>
          <cell r="T3695">
            <v>0.59</v>
          </cell>
          <cell r="U3695">
            <v>0.53</v>
          </cell>
          <cell r="V3695">
            <v>1.01</v>
          </cell>
          <cell r="W3695">
            <v>0</v>
          </cell>
          <cell r="X3695" t="str">
            <v>EST BANQUETA BAR MARESIAS C/B (A) (NAUTICA OFF W CUMARU EPS) - 0,59x0,53x1,01H</v>
          </cell>
          <cell r="Y3695" t="e">
            <v>#VALUE!</v>
          </cell>
          <cell r="Z3695">
            <v>0.35</v>
          </cell>
          <cell r="AA3695" t="e">
            <v>#VALUE!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2</v>
          </cell>
          <cell r="O3696">
            <v>403841</v>
          </cell>
          <cell r="P3696"/>
          <cell r="Q3696" t="str">
            <v>EST POLTRONA OSCAR ESTAR (TELA NATURAL) (MAD B COR 3)</v>
          </cell>
          <cell r="R3696"/>
          <cell r="S3696"/>
          <cell r="T3696">
            <v>0.7</v>
          </cell>
          <cell r="U3696">
            <v>0.65</v>
          </cell>
          <cell r="V3696">
            <v>0.8</v>
          </cell>
          <cell r="W3696">
            <v>0</v>
          </cell>
          <cell r="X3696" t="str">
            <v>EST POLTRONA OSCAR ESTAR (TELA NATURAL) (MAD B COR 3) - 0,7x0,65x0,8H</v>
          </cell>
          <cell r="Y3696" t="e">
            <v>#VALUE!</v>
          </cell>
          <cell r="Z3696">
            <v>0.35</v>
          </cell>
          <cell r="AA3696" t="e">
            <v>#VALUE!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404116</v>
          </cell>
          <cell r="P3697"/>
          <cell r="Q3697" t="str">
            <v>EST MESA CENTRO CACAU (FREIJO NATURAL)</v>
          </cell>
          <cell r="R3697"/>
          <cell r="S3697"/>
          <cell r="T3697">
            <v>1.8</v>
          </cell>
          <cell r="U3697">
            <v>0.8</v>
          </cell>
          <cell r="V3697">
            <v>0.28000000000000003</v>
          </cell>
          <cell r="W3697">
            <v>0</v>
          </cell>
          <cell r="X3697" t="str">
            <v>EST MESA CENTRO CACAU (FREIJO NATURAL) - 1,8x0,8x0,28H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 t="e">
            <v>#N/A</v>
          </cell>
          <cell r="D3698" t="e">
            <v>#N/A</v>
          </cell>
          <cell r="E3698" t="e">
            <v>#N/A</v>
          </cell>
          <cell r="F3698" t="e">
            <v>#N/A</v>
          </cell>
          <cell r="H3698" t="e">
            <v>#N/A</v>
          </cell>
          <cell r="O3698">
            <v>404478</v>
          </cell>
          <cell r="P3698"/>
          <cell r="Q3698" t="e">
            <v>#N/A</v>
          </cell>
          <cell r="R3698"/>
          <cell r="S3698"/>
          <cell r="T3698" t="e">
            <v>#N/A</v>
          </cell>
          <cell r="U3698" t="e">
            <v>#N/A</v>
          </cell>
          <cell r="V3698" t="e">
            <v>#N/A</v>
          </cell>
          <cell r="W3698" t="e">
            <v>#N/A</v>
          </cell>
          <cell r="X3698" t="e">
            <v>#N/A</v>
          </cell>
          <cell r="Y3698" t="e">
            <v>#VALUE!</v>
          </cell>
          <cell r="Z3698">
            <v>0.35</v>
          </cell>
          <cell r="AA3698" t="e">
            <v>#VALUE!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404480</v>
          </cell>
          <cell r="P3699"/>
          <cell r="Q3699" t="str">
            <v>EST COMPONENTE ESTRUTURA CADEIRA PAULISTANO (INOX POLIDO)</v>
          </cell>
          <cell r="R3699"/>
          <cell r="S3699"/>
          <cell r="T3699">
            <v>0.72</v>
          </cell>
          <cell r="U3699">
            <v>0.74</v>
          </cell>
          <cell r="V3699">
            <v>0.82</v>
          </cell>
          <cell r="W3699">
            <v>0</v>
          </cell>
          <cell r="X3699" t="str">
            <v>EST COMPONENTE ESTRUTURA CADEIRA PAULISTANO (INOX POLIDO) - 0,72x0,74x0,82H</v>
          </cell>
          <cell r="Y3699" t="e">
            <v>#VALUE!</v>
          </cell>
          <cell r="Z3699">
            <v>0.35</v>
          </cell>
          <cell r="AA3699" t="e">
            <v>#VALUE!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3</v>
          </cell>
          <cell r="O3700">
            <v>404481</v>
          </cell>
          <cell r="P3700"/>
          <cell r="Q3700" t="str">
            <v>EST COMPONENTE CAPA PAULISTANO (COURO PRETO)</v>
          </cell>
          <cell r="R3700"/>
          <cell r="S3700"/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COMPONENTE CAPA PAULISTANO (COURO PRETO) - Ø0x0H</v>
          </cell>
          <cell r="Y3700" t="e">
            <v>#VALUE!</v>
          </cell>
          <cell r="Z3700">
            <v>0.35</v>
          </cell>
          <cell r="AA3700" t="e">
            <v>#VALUE!</v>
          </cell>
          <cell r="AB3700"/>
        </row>
        <row r="3701">
          <cell r="C3701" t="e">
            <v>#N/A</v>
          </cell>
          <cell r="D3701" t="e">
            <v>#N/A</v>
          </cell>
          <cell r="E3701" t="e">
            <v>#N/A</v>
          </cell>
          <cell r="F3701" t="e">
            <v>#N/A</v>
          </cell>
          <cell r="H3701" t="e">
            <v>#N/A</v>
          </cell>
          <cell r="O3701">
            <v>404482</v>
          </cell>
          <cell r="P3701"/>
          <cell r="Q3701" t="e">
            <v>#N/A</v>
          </cell>
          <cell r="R3701"/>
          <cell r="S3701"/>
          <cell r="T3701" t="e">
            <v>#N/A</v>
          </cell>
          <cell r="U3701" t="e">
            <v>#N/A</v>
          </cell>
          <cell r="V3701" t="e">
            <v>#N/A</v>
          </cell>
          <cell r="W3701" t="e">
            <v>#N/A</v>
          </cell>
          <cell r="X3701" t="e">
            <v>#N/A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H3702">
            <v>2</v>
          </cell>
          <cell r="O3702">
            <v>404993</v>
          </cell>
          <cell r="P3702"/>
          <cell r="Q3702" t="str">
            <v>EST REVISTEIRO BO CHAO (LAMINA IMBUIA TABACO)</v>
          </cell>
          <cell r="R3702"/>
          <cell r="S3702"/>
          <cell r="T3702">
            <v>0.45</v>
          </cell>
          <cell r="U3702">
            <v>0.33</v>
          </cell>
          <cell r="V3702">
            <v>1.8</v>
          </cell>
          <cell r="W3702">
            <v>0</v>
          </cell>
          <cell r="X3702" t="str">
            <v>EST REVISTEIRO BO CHAO (LAMINA IMBUIA TABACO) - 0,45x0,33x1,8H</v>
          </cell>
          <cell r="Y3702" t="e">
            <v>#VALUE!</v>
          </cell>
          <cell r="Z3702">
            <v>0.35</v>
          </cell>
          <cell r="AA3702" t="e">
            <v>#VALUE!</v>
          </cell>
          <cell r="AB3702"/>
        </row>
        <row r="3703"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H3703">
            <v>2</v>
          </cell>
          <cell r="O3703">
            <v>405757</v>
          </cell>
          <cell r="P3703"/>
          <cell r="Q3703" t="str">
            <v>EST MESA CENTRO OBLONGO (PAU FERRO CLARO) ALTERNADOS PT</v>
          </cell>
          <cell r="R3703"/>
          <cell r="S3703"/>
          <cell r="T3703">
            <v>2.2000000000000002</v>
          </cell>
          <cell r="U3703">
            <v>0.8</v>
          </cell>
          <cell r="V3703">
            <v>0.3</v>
          </cell>
          <cell r="W3703">
            <v>0</v>
          </cell>
          <cell r="X3703" t="str">
            <v>EST MESA CENTRO OBLONGO (PAU FERRO CLARO) ALTERNADOS PT - 2,2x0,8x0,3H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0</v>
          </cell>
          <cell r="O3704">
            <v>406125</v>
          </cell>
          <cell r="P3704"/>
          <cell r="Q3704" t="str">
            <v>EST POLTRONA ZECA (FREIJO ENV) TC MIKA CHIVE</v>
          </cell>
          <cell r="R3704"/>
          <cell r="S3704"/>
          <cell r="T3704">
            <v>0</v>
          </cell>
          <cell r="U3704">
            <v>0</v>
          </cell>
          <cell r="V3704">
            <v>0</v>
          </cell>
          <cell r="W3704">
            <v>0</v>
          </cell>
          <cell r="X3704" t="str">
            <v>EST POLTRONA ZECA (FREIJO ENV) TC MIKA CHIVE - Ø0x0H</v>
          </cell>
          <cell r="Y3704" t="e">
            <v>#VALUE!</v>
          </cell>
          <cell r="Z3704">
            <v>0.35</v>
          </cell>
          <cell r="AA3704" t="e">
            <v>#VALUE!</v>
          </cell>
          <cell r="AB3704"/>
        </row>
        <row r="3705"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H3705">
            <v>2</v>
          </cell>
          <cell r="O3705">
            <v>406828</v>
          </cell>
          <cell r="P3705"/>
          <cell r="Q3705" t="str">
            <v>EST BANCO TROY (MADEIRA VIMINALIS)</v>
          </cell>
          <cell r="R3705"/>
          <cell r="S3705"/>
          <cell r="T3705">
            <v>0.57999999999999996</v>
          </cell>
          <cell r="U3705">
            <v>0</v>
          </cell>
          <cell r="V3705">
            <v>0.41</v>
          </cell>
          <cell r="W3705">
            <v>0.57999999999999996</v>
          </cell>
          <cell r="X3705" t="str">
            <v>EST BANCO TROY (MADEIRA VIMINALIS) - Ø0,58x0,41H</v>
          </cell>
          <cell r="Y3705" t="e">
            <v>#VALUE!</v>
          </cell>
          <cell r="Z3705">
            <v>0.35</v>
          </cell>
          <cell r="AA3705" t="e">
            <v>#VALUE!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2</v>
          </cell>
          <cell r="H3706">
            <v>0</v>
          </cell>
          <cell r="O3706">
            <v>394917</v>
          </cell>
          <cell r="P3706" t="str">
            <v>2025/016-0114-01</v>
          </cell>
          <cell r="Q3706" t="str">
            <v>EST POLTRONA ELAN (GIR) (COURO ENCERADO GRIS) (FX G7135)</v>
          </cell>
          <cell r="R3706"/>
          <cell r="S3706"/>
          <cell r="T3706">
            <v>0.7</v>
          </cell>
          <cell r="U3706">
            <v>0.68</v>
          </cell>
          <cell r="V3706">
            <v>0.76</v>
          </cell>
          <cell r="W3706">
            <v>0</v>
          </cell>
          <cell r="X3706" t="str">
            <v>EST POLTRONA ELAN (GIR) (COURO ENCERADO GRIS) (FX G7135) - 0,7x0,68x0,76H</v>
          </cell>
          <cell r="Y3706">
            <v>11617.72</v>
          </cell>
          <cell r="Z3706">
            <v>0.35</v>
          </cell>
          <cell r="AA3706">
            <v>7551.518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2</v>
          </cell>
          <cell r="H3707">
            <v>0</v>
          </cell>
          <cell r="O3707">
            <v>394917</v>
          </cell>
          <cell r="P3707" t="str">
            <v>2025/016-0115-01</v>
          </cell>
          <cell r="Q3707" t="str">
            <v>EST POLTRONA ELAN (GIR) (COURO ENCERADO GRIS) (FX G7135)</v>
          </cell>
          <cell r="R3707"/>
          <cell r="S3707"/>
          <cell r="T3707">
            <v>0.7</v>
          </cell>
          <cell r="U3707">
            <v>0.68</v>
          </cell>
          <cell r="V3707">
            <v>0.76</v>
          </cell>
          <cell r="W3707">
            <v>0</v>
          </cell>
          <cell r="X3707" t="str">
            <v>EST POLTRONA ELAN (GIR) (COURO ENCERADO GRIS) (FX G7135) - 0,7x0,68x0,76H</v>
          </cell>
          <cell r="Y3707">
            <v>11617.72</v>
          </cell>
          <cell r="Z3707">
            <v>0.35</v>
          </cell>
          <cell r="AA3707">
            <v>7551.518</v>
          </cell>
          <cell r="AB3707"/>
        </row>
        <row r="3708">
          <cell r="C3708">
            <v>0</v>
          </cell>
          <cell r="D3708">
            <v>2</v>
          </cell>
          <cell r="E3708">
            <v>1</v>
          </cell>
          <cell r="F3708">
            <v>3</v>
          </cell>
          <cell r="H3708">
            <v>0</v>
          </cell>
          <cell r="O3708">
            <v>383974</v>
          </cell>
          <cell r="P3708" t="str">
            <v>2024/073-0036-01</v>
          </cell>
          <cell r="Q3708" t="str">
            <v>EST QUADRO (1510 PRETO)</v>
          </cell>
          <cell r="R3708"/>
          <cell r="S3708"/>
          <cell r="T3708">
            <v>1.5</v>
          </cell>
          <cell r="U3708">
            <v>2</v>
          </cell>
          <cell r="V3708">
            <v>0.06</v>
          </cell>
          <cell r="W3708">
            <v>0</v>
          </cell>
          <cell r="X3708" t="str">
            <v>EST QUADRO (1510 PRETO) - 1,5x2x0,06H</v>
          </cell>
          <cell r="Y3708">
            <v>5376</v>
          </cell>
          <cell r="Z3708">
            <v>0.35</v>
          </cell>
          <cell r="AA3708">
            <v>3494.4</v>
          </cell>
          <cell r="AB3708"/>
        </row>
        <row r="3709">
          <cell r="C3709">
            <v>0</v>
          </cell>
          <cell r="D3709">
            <v>2</v>
          </cell>
          <cell r="E3709">
            <v>1</v>
          </cell>
          <cell r="F3709">
            <v>3</v>
          </cell>
          <cell r="H3709">
            <v>0</v>
          </cell>
          <cell r="O3709">
            <v>383974</v>
          </cell>
          <cell r="P3709" t="str">
            <v>2024/073-0037-01</v>
          </cell>
          <cell r="Q3709" t="str">
            <v>EST QUADRO (1510 PRETO)</v>
          </cell>
          <cell r="R3709"/>
          <cell r="S3709"/>
          <cell r="T3709">
            <v>1.5</v>
          </cell>
          <cell r="U3709">
            <v>2</v>
          </cell>
          <cell r="V3709">
            <v>0.06</v>
          </cell>
          <cell r="W3709">
            <v>0</v>
          </cell>
          <cell r="X3709" t="str">
            <v>EST QUADRO (1510 PRETO) - 1,5x2x0,06H</v>
          </cell>
          <cell r="Y3709">
            <v>5376</v>
          </cell>
          <cell r="Z3709">
            <v>0.35</v>
          </cell>
          <cell r="AA3709">
            <v>3494.4</v>
          </cell>
          <cell r="AB3709"/>
        </row>
        <row r="3710">
          <cell r="C3710">
            <v>0</v>
          </cell>
          <cell r="D3710">
            <v>2</v>
          </cell>
          <cell r="E3710">
            <v>1</v>
          </cell>
          <cell r="F3710">
            <v>3</v>
          </cell>
          <cell r="H3710">
            <v>0</v>
          </cell>
          <cell r="O3710">
            <v>383974</v>
          </cell>
          <cell r="P3710" t="str">
            <v>2024/073-0038-01</v>
          </cell>
          <cell r="Q3710" t="str">
            <v>EST QUADRO (1510 PRETO)</v>
          </cell>
          <cell r="R3710"/>
          <cell r="S3710"/>
          <cell r="T3710">
            <v>1.5</v>
          </cell>
          <cell r="U3710">
            <v>2</v>
          </cell>
          <cell r="V3710">
            <v>0.06</v>
          </cell>
          <cell r="W3710">
            <v>0</v>
          </cell>
          <cell r="X3710" t="str">
            <v>EST QUADRO (1510 PRETO) - 1,5x2x0,06H</v>
          </cell>
          <cell r="Y3710">
            <v>5376</v>
          </cell>
          <cell r="Z3710">
            <v>0.35</v>
          </cell>
          <cell r="AA3710">
            <v>3494.4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1</v>
          </cell>
          <cell r="O3711">
            <v>232206</v>
          </cell>
          <cell r="P3711"/>
          <cell r="Q3711" t="str">
            <v>EST TAPETE AMON (AM02) 4-FE4-B</v>
          </cell>
          <cell r="R3711"/>
          <cell r="S3711"/>
          <cell r="T3711">
            <v>2</v>
          </cell>
          <cell r="U3711">
            <v>2.85</v>
          </cell>
          <cell r="V3711">
            <v>0</v>
          </cell>
          <cell r="W3711">
            <v>0</v>
          </cell>
          <cell r="X3711" t="str">
            <v>EST TAPETE AMON (AM02) 4-FE4-B - 2x2,85x0H</v>
          </cell>
          <cell r="Y3711">
            <v>12716.93</v>
          </cell>
          <cell r="Z3711">
            <v>0.35</v>
          </cell>
          <cell r="AA3711">
            <v>8266.0045000000009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1</v>
          </cell>
          <cell r="O3712">
            <v>63439</v>
          </cell>
          <cell r="P3712"/>
          <cell r="Q3712" t="str">
            <v>EST APARADOR JOVE (CARVALHO NATURAL)</v>
          </cell>
          <cell r="R3712"/>
          <cell r="S3712"/>
          <cell r="T3712">
            <v>1.8</v>
          </cell>
          <cell r="U3712">
            <v>0.45</v>
          </cell>
          <cell r="V3712">
            <v>0.8</v>
          </cell>
          <cell r="W3712">
            <v>0</v>
          </cell>
          <cell r="X3712" t="str">
            <v>EST APARADOR JOVE (CARVALHO NATURAL) - 1,8x0,45x0,8H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H3713">
            <v>1</v>
          </cell>
          <cell r="O3713">
            <v>63453</v>
          </cell>
          <cell r="P3713"/>
          <cell r="Q3713" t="str">
            <v>EST CADEIRA 5124 TC SINTETICO BRANCO CROMADA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CADEIRA 5124 TC SINTETICO BRANCO CROMADA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H3714">
            <v>2</v>
          </cell>
          <cell r="O3714">
            <v>63481</v>
          </cell>
          <cell r="P3714"/>
          <cell r="Q3714" t="str">
            <v>EST CADEIRA SARDEGNA (TABACO) TC MARROM CAFE</v>
          </cell>
          <cell r="R3714"/>
          <cell r="S3714"/>
          <cell r="T3714">
            <v>0</v>
          </cell>
          <cell r="U3714">
            <v>0</v>
          </cell>
          <cell r="V3714">
            <v>0</v>
          </cell>
          <cell r="W3714">
            <v>0</v>
          </cell>
          <cell r="X3714" t="str">
            <v>EST CADEIRA SARDEGNA (TABACO) TC MARROM CAFE - Ø0x0H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1</v>
          </cell>
          <cell r="O3715">
            <v>63557</v>
          </cell>
          <cell r="P3715"/>
          <cell r="Q3715" t="str">
            <v>EST POLTRONA MILAO (MESCLADO AVELA) TC FORN</v>
          </cell>
          <cell r="R3715"/>
          <cell r="S3715"/>
          <cell r="T3715">
            <v>1</v>
          </cell>
          <cell r="U3715">
            <v>0.7</v>
          </cell>
          <cell r="V3715">
            <v>0.75</v>
          </cell>
          <cell r="W3715">
            <v>0</v>
          </cell>
          <cell r="X3715" t="str">
            <v>EST POLTRONA MILAO (MESCLADO AVELA) TC FORN - 1x0,7x0,75H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1</v>
          </cell>
          <cell r="O3716">
            <v>63559</v>
          </cell>
          <cell r="P3716"/>
          <cell r="Q3716" t="str">
            <v>EST POLTRONA MOON (FIBERGLASS BRANCA) TC PLUMBEO GRAPE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POLTRONA MOON (FIBERGLASS BRANCA) TC PLUMBEO GRAPE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H3717">
            <v>1</v>
          </cell>
          <cell r="O3717">
            <v>63561</v>
          </cell>
          <cell r="P3717"/>
          <cell r="Q3717" t="str">
            <v>EST POLTRONA 5003 (GIRATORIA) TC VERMELHO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POLTRONA 5003 (GIRATORIA) TC VERMELHO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0</v>
          </cell>
          <cell r="E3718">
            <v>0</v>
          </cell>
          <cell r="F3718">
            <v>0</v>
          </cell>
          <cell r="H3718">
            <v>1</v>
          </cell>
          <cell r="O3718">
            <v>63798</v>
          </cell>
          <cell r="P3718"/>
          <cell r="Q3718" t="str">
            <v>EST CADEIRA JULIANA (LOURO FREIJO)</v>
          </cell>
          <cell r="R3718"/>
          <cell r="S3718"/>
          <cell r="T3718">
            <v>0.6</v>
          </cell>
          <cell r="U3718">
            <v>0.54</v>
          </cell>
          <cell r="V3718">
            <v>0.73</v>
          </cell>
          <cell r="W3718">
            <v>0</v>
          </cell>
          <cell r="X3718" t="str">
            <v>EST CADEIRA JULIANA (LOURO FREIJO) - 0,6x0,54x0,73H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H3719">
            <v>7</v>
          </cell>
          <cell r="O3719">
            <v>64068</v>
          </cell>
          <cell r="P3719"/>
          <cell r="Q3719" t="str">
            <v>EST CADEIRA TEKA (FIBRA SINTETICA)</v>
          </cell>
          <cell r="R3719"/>
          <cell r="S3719"/>
          <cell r="T3719">
            <v>0</v>
          </cell>
          <cell r="U3719">
            <v>0</v>
          </cell>
          <cell r="V3719">
            <v>0</v>
          </cell>
          <cell r="W3719">
            <v>0</v>
          </cell>
          <cell r="X3719" t="str">
            <v>EST CADEIRA TEKA (FIBRA SINTETICA) - Ø0x0H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1</v>
          </cell>
          <cell r="F3720">
            <v>0</v>
          </cell>
          <cell r="H3720">
            <v>0</v>
          </cell>
          <cell r="O3720">
            <v>64130</v>
          </cell>
          <cell r="P3720"/>
          <cell r="Q3720" t="str">
            <v>EST ESPELHO CONE ELIPS (BRANCO)</v>
          </cell>
          <cell r="R3720"/>
          <cell r="S3720"/>
          <cell r="T3720">
            <v>0.5</v>
          </cell>
          <cell r="U3720">
            <v>0</v>
          </cell>
          <cell r="V3720">
            <v>1.7</v>
          </cell>
          <cell r="W3720">
            <v>0.5</v>
          </cell>
          <cell r="X3720" t="str">
            <v>EST ESPELHO CONE ELIPS (BRANCO) - Ø0,5x1,7H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64211</v>
          </cell>
          <cell r="P3721"/>
          <cell r="Q3721" t="str">
            <v>EST MESA CENTRO ANGRA (FIBRA SINTETICA)</v>
          </cell>
          <cell r="R3721"/>
          <cell r="S3721"/>
          <cell r="T3721">
            <v>1</v>
          </cell>
          <cell r="U3721">
            <v>1</v>
          </cell>
          <cell r="V3721">
            <v>0.45</v>
          </cell>
          <cell r="W3721">
            <v>0</v>
          </cell>
          <cell r="X3721" t="str">
            <v>EST MESA CENTRO ANGRA (FIBRA SINTETICA) - 1x1x0,45H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64228</v>
          </cell>
          <cell r="P3722"/>
          <cell r="Q3722" t="str">
            <v>EST MESA CENTRO PD27 (CARVALHO CHOCOLATE)</v>
          </cell>
          <cell r="R3722"/>
          <cell r="S3722"/>
          <cell r="T3722">
            <v>1.5</v>
          </cell>
          <cell r="U3722">
            <v>0.5</v>
          </cell>
          <cell r="V3722">
            <v>0</v>
          </cell>
          <cell r="W3722">
            <v>0</v>
          </cell>
          <cell r="X3722" t="str">
            <v>EST MESA CENTRO PD27 (CARVALHO CHOCOLATE) - 1,5x0,5x0H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64235</v>
          </cell>
          <cell r="P3723"/>
          <cell r="Q3723" t="str">
            <v>EST MESA CENTRO VIENA (FIBRA) (MADEIRA)</v>
          </cell>
          <cell r="R3723"/>
          <cell r="S3723"/>
          <cell r="T3723">
            <v>1.5</v>
          </cell>
          <cell r="U3723">
            <v>0.5</v>
          </cell>
          <cell r="V3723">
            <v>0</v>
          </cell>
          <cell r="W3723">
            <v>0</v>
          </cell>
          <cell r="X3723" t="str">
            <v>EST MESA CENTRO VIENA (FIBRA) (MADEIRA) - 1,5x0,5x0H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65397</v>
          </cell>
          <cell r="P3724"/>
          <cell r="Q3724" t="str">
            <v>EST POLTRONA POLTRONETE TC SARJA CRU</v>
          </cell>
          <cell r="R3724"/>
          <cell r="S3724"/>
          <cell r="T3724">
            <v>0</v>
          </cell>
          <cell r="U3724">
            <v>0</v>
          </cell>
          <cell r="V3724">
            <v>0</v>
          </cell>
          <cell r="W3724">
            <v>0</v>
          </cell>
          <cell r="X3724" t="str">
            <v>EST POLTRONA POLTRONETE TC SARJA CRU - Ø0x0H</v>
          </cell>
          <cell r="Y3724" t="e">
            <v>#VALUE!</v>
          </cell>
          <cell r="Z3724">
            <v>0.35</v>
          </cell>
          <cell r="AA3724" t="e">
            <v>#VALUE!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65456</v>
          </cell>
          <cell r="P3725"/>
          <cell r="Q3725" t="str">
            <v>EST POLTRONA CANADA (FIBRA CHOCOLATE MESCLA) TC CRU</v>
          </cell>
          <cell r="R3725"/>
          <cell r="S3725"/>
          <cell r="T3725">
            <v>0.7</v>
          </cell>
          <cell r="U3725">
            <v>0.9</v>
          </cell>
          <cell r="V3725">
            <v>0.93</v>
          </cell>
          <cell r="W3725">
            <v>0</v>
          </cell>
          <cell r="X3725" t="str">
            <v>EST POLTRONA CANADA (FIBRA CHOCOLATE MESCLA) TC CRU - 0,7x0,9x0,93H</v>
          </cell>
          <cell r="Y3725">
            <v>0</v>
          </cell>
          <cell r="Z3725">
            <v>0.35</v>
          </cell>
          <cell r="AA3725">
            <v>0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0</v>
          </cell>
          <cell r="O3726">
            <v>65538</v>
          </cell>
          <cell r="P3726"/>
          <cell r="Q3726" t="str">
            <v>EST PF MERLIM 2042 TECIM 1X1 FIBRA CHOC MESCL TC 1400 CRU</v>
          </cell>
          <cell r="R3726"/>
          <cell r="S3726"/>
          <cell r="T3726">
            <v>0</v>
          </cell>
          <cell r="U3726">
            <v>0</v>
          </cell>
          <cell r="V3726">
            <v>0</v>
          </cell>
          <cell r="W3726">
            <v>0</v>
          </cell>
          <cell r="X3726" t="str">
            <v>EST PF MERLIM 2042 TECIM 1X1 FIBRA CHOC MESCL TC 1400 CRU - Ø0x0H</v>
          </cell>
          <cell r="Y3726">
            <v>0</v>
          </cell>
          <cell r="Z3726">
            <v>0.35</v>
          </cell>
          <cell r="AA3726">
            <v>0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69099</v>
          </cell>
          <cell r="P3727"/>
          <cell r="Q3727" t="str">
            <v>EST POLTRONA SU (INOX) TC 0190177</v>
          </cell>
          <cell r="R3727"/>
          <cell r="S3727"/>
          <cell r="T3727">
            <v>0.71</v>
          </cell>
          <cell r="U3727">
            <v>0.72</v>
          </cell>
          <cell r="V3727">
            <v>0.99</v>
          </cell>
          <cell r="W3727">
            <v>0</v>
          </cell>
          <cell r="X3727" t="str">
            <v>EST POLTRONA SU (INOX) TC 0190177 - 0,71x0,72x0,99H</v>
          </cell>
          <cell r="Y3727">
            <v>0</v>
          </cell>
          <cell r="Z3727">
            <v>0.35</v>
          </cell>
          <cell r="AA3727">
            <v>0</v>
          </cell>
          <cell r="AB3727"/>
        </row>
        <row r="3728">
          <cell r="C3728">
            <v>0</v>
          </cell>
          <cell r="D3728">
            <v>0</v>
          </cell>
          <cell r="E3728">
            <v>0</v>
          </cell>
          <cell r="F3728">
            <v>0</v>
          </cell>
          <cell r="H3728">
            <v>1</v>
          </cell>
          <cell r="O3728">
            <v>76776</v>
          </cell>
          <cell r="P3728"/>
          <cell r="Q3728" t="str">
            <v>EST POLTRONA ITA TC 5268</v>
          </cell>
          <cell r="R3728"/>
          <cell r="S3728"/>
          <cell r="T3728">
            <v>0</v>
          </cell>
          <cell r="U3728">
            <v>0</v>
          </cell>
          <cell r="V3728">
            <v>0</v>
          </cell>
          <cell r="W3728">
            <v>0</v>
          </cell>
          <cell r="X3728" t="str">
            <v>EST POLTRONA ITA TC 5268 - Ø0x0H</v>
          </cell>
          <cell r="Y3728">
            <v>0</v>
          </cell>
          <cell r="Z3728">
            <v>0.35</v>
          </cell>
          <cell r="AA3728">
            <v>0</v>
          </cell>
          <cell r="AB3728"/>
        </row>
        <row r="3729">
          <cell r="C3729">
            <v>0</v>
          </cell>
          <cell r="D3729">
            <v>0</v>
          </cell>
          <cell r="E3729">
            <v>0</v>
          </cell>
          <cell r="F3729">
            <v>0</v>
          </cell>
          <cell r="H3729">
            <v>1</v>
          </cell>
          <cell r="O3729">
            <v>77537</v>
          </cell>
          <cell r="P3729"/>
          <cell r="Q3729" t="str">
            <v>EST TAMPO CRISTAL LAPIDADO (15MM) INCOLOR CANTO TICK</v>
          </cell>
          <cell r="R3729"/>
          <cell r="S3729"/>
          <cell r="T3729">
            <v>1.5</v>
          </cell>
          <cell r="U3729">
            <v>1.5</v>
          </cell>
          <cell r="V3729">
            <v>0.01</v>
          </cell>
          <cell r="W3729">
            <v>0</v>
          </cell>
          <cell r="X3729" t="str">
            <v>EST TAMPO CRISTAL LAPIDADO (15MM) INCOLOR CANTO TICK - 1,5x1,5x0,01H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0</v>
          </cell>
          <cell r="H3730">
            <v>1</v>
          </cell>
          <cell r="O3730">
            <v>80909</v>
          </cell>
          <cell r="P3730"/>
          <cell r="Q3730" t="str">
            <v>EST MODULO BRACO DIR ILHA BELA (PENA) TC AT520</v>
          </cell>
          <cell r="R3730"/>
          <cell r="S3730"/>
          <cell r="T3730">
            <v>1.52</v>
          </cell>
          <cell r="U3730">
            <v>0</v>
          </cell>
          <cell r="V3730">
            <v>0.79</v>
          </cell>
          <cell r="W3730">
            <v>0</v>
          </cell>
          <cell r="X3730" t="str">
            <v>EST MODULO BRACO DIR ILHA BELA (PENA) TC AT520 - Ø0x0,79H</v>
          </cell>
          <cell r="Y3730">
            <v>0</v>
          </cell>
          <cell r="Z3730">
            <v>0.35</v>
          </cell>
          <cell r="AA3730">
            <v>0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1</v>
          </cell>
          <cell r="O3731">
            <v>82236</v>
          </cell>
          <cell r="P3731"/>
          <cell r="Q3731" t="str">
            <v>EST BANCO FLOR (BRANCO)</v>
          </cell>
          <cell r="R3731"/>
          <cell r="S3731"/>
          <cell r="T3731">
            <v>0.4</v>
          </cell>
          <cell r="U3731">
            <v>0.4</v>
          </cell>
          <cell r="V3731">
            <v>0.4</v>
          </cell>
          <cell r="W3731">
            <v>0</v>
          </cell>
          <cell r="X3731" t="str">
            <v>EST BANCO FLOR (BRANCO) - 0,4x0,4x0,4H</v>
          </cell>
          <cell r="Y3731">
            <v>0</v>
          </cell>
          <cell r="Z3731">
            <v>0.35</v>
          </cell>
          <cell r="AA3731">
            <v>0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86812</v>
          </cell>
          <cell r="P3732"/>
          <cell r="Q3732" t="str">
            <v>EST BANCO LILLY II (LACA INDIGO BRILHO) TC M-7900</v>
          </cell>
          <cell r="R3732"/>
          <cell r="S3732"/>
          <cell r="T3732">
            <v>0.6</v>
          </cell>
          <cell r="U3732">
            <v>0.5</v>
          </cell>
          <cell r="V3732">
            <v>0.53</v>
          </cell>
          <cell r="W3732">
            <v>0</v>
          </cell>
          <cell r="X3732" t="str">
            <v>EST BANCO LILLY II (LACA INDIGO BRILHO) TC M-7900 - 0,6x0,5x0,53H</v>
          </cell>
          <cell r="Y3732">
            <v>0</v>
          </cell>
          <cell r="Z3732">
            <v>0.35</v>
          </cell>
          <cell r="AA3732">
            <v>0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1</v>
          </cell>
          <cell r="O3733">
            <v>86814</v>
          </cell>
          <cell r="P3733"/>
          <cell r="Q3733" t="str">
            <v>EST CADEIRA JOSEPHINA (LACA PRETA) TC CAMURCA GENGIBRE</v>
          </cell>
          <cell r="R3733"/>
          <cell r="S3733"/>
          <cell r="T3733">
            <v>0.53</v>
          </cell>
          <cell r="U3733">
            <v>0.62</v>
          </cell>
          <cell r="V3733">
            <v>0.95</v>
          </cell>
          <cell r="W3733">
            <v>0</v>
          </cell>
          <cell r="X3733" t="str">
            <v>EST CADEIRA JOSEPHINA (LACA PRETA) TC CAMURCA GENGIBRE - 0,53x0,62x0,95H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0</v>
          </cell>
          <cell r="O3734">
            <v>88605</v>
          </cell>
          <cell r="P3734"/>
          <cell r="Q3734" t="str">
            <v>EST LUMINARIA VIC (P) (BASE EBANO) (CUPULA PEROBA DO CAMPO)</v>
          </cell>
          <cell r="R3734"/>
          <cell r="S3734"/>
          <cell r="T3734">
            <v>0.4</v>
          </cell>
          <cell r="U3734">
            <v>0</v>
          </cell>
          <cell r="V3734">
            <v>0.7</v>
          </cell>
          <cell r="W3734">
            <v>0.4</v>
          </cell>
          <cell r="X3734" t="str">
            <v>EST LUMINARIA VIC (P) (BASE EBANO) (CUPULA PEROBA DO CAMPO) - Ø0,4x0,7H</v>
          </cell>
          <cell r="Y3734">
            <v>0</v>
          </cell>
          <cell r="Z3734">
            <v>0.35</v>
          </cell>
          <cell r="AA3734">
            <v>0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88671</v>
          </cell>
          <cell r="P3735"/>
          <cell r="Q3735" t="str">
            <v>EST TAMPO SAARINEN OVAL 160X90 FORN 116 PAU FERRO</v>
          </cell>
          <cell r="R3735"/>
          <cell r="S3735"/>
          <cell r="T3735">
            <v>0</v>
          </cell>
          <cell r="U3735">
            <v>0</v>
          </cell>
          <cell r="V3735">
            <v>0</v>
          </cell>
          <cell r="W3735">
            <v>0</v>
          </cell>
          <cell r="X3735" t="str">
            <v>EST TAMPO SAARINEN OVAL 160X90 FORN 116 PAU FERRO - Ø0x0H</v>
          </cell>
          <cell r="Y3735">
            <v>0</v>
          </cell>
          <cell r="Z3735">
            <v>0.35</v>
          </cell>
          <cell r="AA3735">
            <v>0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89154</v>
          </cell>
          <cell r="P3736"/>
          <cell r="Q3736" t="str">
            <v>EST TAMPO CRISTAL LAPIDADO (12MM) INCOLOR (CIRCULAR)</v>
          </cell>
          <cell r="R3736"/>
          <cell r="S3736"/>
          <cell r="T3736">
            <v>1.5</v>
          </cell>
          <cell r="U3736">
            <v>0</v>
          </cell>
          <cell r="V3736">
            <v>0.01</v>
          </cell>
          <cell r="W3736">
            <v>1.5</v>
          </cell>
          <cell r="X3736" t="str">
            <v>EST TAMPO CRISTAL LAPIDADO (12MM) INCOLOR (CIRCULAR) - Ø1,5x0,01H</v>
          </cell>
          <cell r="Y3736" t="e">
            <v>#VALUE!</v>
          </cell>
          <cell r="Z3736">
            <v>0.35</v>
          </cell>
          <cell r="AA3736" t="e">
            <v>#VALUE!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90497</v>
          </cell>
          <cell r="P3737"/>
          <cell r="Q3737" t="str">
            <v>EST CADEIRA JET (JEQUITIBA NATURAL) TC SUED 405</v>
          </cell>
          <cell r="R3737"/>
          <cell r="S3737"/>
          <cell r="T3737">
            <v>0.46</v>
          </cell>
          <cell r="U3737">
            <v>0.59</v>
          </cell>
          <cell r="V3737">
            <v>0.85</v>
          </cell>
          <cell r="W3737">
            <v>0</v>
          </cell>
          <cell r="X3737" t="str">
            <v>EST CADEIRA JET (JEQUITIBA NATURAL) TC SUED 405 - 0,46x0,59x0,85H</v>
          </cell>
          <cell r="Y3737">
            <v>0</v>
          </cell>
          <cell r="Z3737">
            <v>0.35</v>
          </cell>
          <cell r="AA3737">
            <v>0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90922</v>
          </cell>
          <cell r="P3738"/>
          <cell r="Q3738" t="str">
            <v>EST CADEIRA MARTA (JEQUITIBA) TC BOUCLET 10394/13</v>
          </cell>
          <cell r="R3738"/>
          <cell r="S3738"/>
          <cell r="T3738">
            <v>0.64</v>
          </cell>
          <cell r="U3738">
            <v>0.52</v>
          </cell>
          <cell r="V3738">
            <v>74</v>
          </cell>
          <cell r="W3738">
            <v>0</v>
          </cell>
          <cell r="X3738" t="str">
            <v>EST CADEIRA MARTA (JEQUITIBA) TC BOUCLET 10394/13 - 0,64x0,52x74H</v>
          </cell>
          <cell r="Y3738">
            <v>0</v>
          </cell>
          <cell r="Z3738">
            <v>0.35</v>
          </cell>
          <cell r="AA3738">
            <v>0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94139</v>
          </cell>
          <cell r="P3739"/>
          <cell r="Q3739" t="str">
            <v>EST CADEIRA MIRA (CASTANHO) (FIBRA CASTANHO ENV) TC 514</v>
          </cell>
          <cell r="R3739"/>
          <cell r="S3739"/>
          <cell r="T3739">
            <v>0.55000000000000004</v>
          </cell>
          <cell r="U3739">
            <v>0.62</v>
          </cell>
          <cell r="V3739">
            <v>0.82</v>
          </cell>
          <cell r="W3739">
            <v>0</v>
          </cell>
          <cell r="X3739" t="str">
            <v>EST CADEIRA MIRA (CASTANHO) (FIBRA CASTANHO ENV) TC 514 - 0,55x0,62x0,82H</v>
          </cell>
          <cell r="Y3739">
            <v>0</v>
          </cell>
          <cell r="Z3739">
            <v>0.35</v>
          </cell>
          <cell r="AA3739">
            <v>0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101748</v>
          </cell>
          <cell r="P3740"/>
          <cell r="Q3740" t="str">
            <v>EST TAMPO CRISTAL LAPIDADO (15MM) INCOLOR OVAL</v>
          </cell>
          <cell r="R3740"/>
          <cell r="S3740"/>
          <cell r="T3740">
            <v>1.1000000000000001</v>
          </cell>
          <cell r="U3740">
            <v>0.7</v>
          </cell>
          <cell r="V3740">
            <v>0.01</v>
          </cell>
          <cell r="W3740">
            <v>0</v>
          </cell>
          <cell r="X3740" t="str">
            <v>EST TAMPO CRISTAL LAPIDADO (15MM) INCOLOR OVAL - 1,1x0,7x0,01H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0</v>
          </cell>
          <cell r="O3741">
            <v>101884</v>
          </cell>
          <cell r="P3741"/>
          <cell r="Q3741" t="str">
            <v>EST ESPELHO OXY</v>
          </cell>
          <cell r="R3741"/>
          <cell r="S3741"/>
          <cell r="T3741">
            <v>0.35</v>
          </cell>
          <cell r="U3741">
            <v>0</v>
          </cell>
          <cell r="V3741">
            <v>1.8</v>
          </cell>
          <cell r="W3741">
            <v>0</v>
          </cell>
          <cell r="X3741" t="str">
            <v>EST ESPELHO OXY - Ø0x1,8H</v>
          </cell>
          <cell r="Y3741">
            <v>0</v>
          </cell>
          <cell r="Z3741">
            <v>0.35</v>
          </cell>
          <cell r="AA3741">
            <v>0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102495</v>
          </cell>
          <cell r="P3742"/>
          <cell r="Q3742" t="str">
            <v>EST BANCO WOOD TC IPANEMA COR 201 | 203</v>
          </cell>
          <cell r="R3742"/>
          <cell r="S3742"/>
          <cell r="T3742">
            <v>0.45</v>
          </cell>
          <cell r="U3742">
            <v>0.45</v>
          </cell>
          <cell r="V3742">
            <v>0.46</v>
          </cell>
          <cell r="W3742">
            <v>0</v>
          </cell>
          <cell r="X3742" t="str">
            <v>EST BANCO WOOD TC IPANEMA COR 201 | 203 - 0,45x0,45x0,46H</v>
          </cell>
          <cell r="Y3742">
            <v>0</v>
          </cell>
          <cell r="Z3742">
            <v>0.35</v>
          </cell>
          <cell r="AA3742">
            <v>0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3</v>
          </cell>
          <cell r="O3743">
            <v>113368</v>
          </cell>
          <cell r="P3743"/>
          <cell r="Q3743" t="str">
            <v>EST MESA ONDA (INFANTIL) (PRETA)</v>
          </cell>
          <cell r="R3743"/>
          <cell r="S3743"/>
          <cell r="T3743">
            <v>0.35</v>
          </cell>
          <cell r="U3743">
            <v>0.35</v>
          </cell>
          <cell r="V3743">
            <v>0.3</v>
          </cell>
          <cell r="W3743">
            <v>0</v>
          </cell>
          <cell r="X3743" t="str">
            <v>EST MESA ONDA (INFANTIL) (PRETA) - 0,35x0,35x0,3H</v>
          </cell>
          <cell r="Y3743">
            <v>1187.2</v>
          </cell>
          <cell r="Z3743">
            <v>0.35</v>
          </cell>
          <cell r="AA3743">
            <v>771.68000000000006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3</v>
          </cell>
          <cell r="O3744">
            <v>113368</v>
          </cell>
          <cell r="P3744"/>
          <cell r="Q3744" t="str">
            <v>EST MESA ONDA (INFANTIL) (PRETA)</v>
          </cell>
          <cell r="R3744"/>
          <cell r="S3744"/>
          <cell r="T3744">
            <v>0.35</v>
          </cell>
          <cell r="U3744">
            <v>0.35</v>
          </cell>
          <cell r="V3744">
            <v>0.3</v>
          </cell>
          <cell r="W3744">
            <v>0</v>
          </cell>
          <cell r="X3744" t="str">
            <v>EST MESA ONDA (INFANTIL) (PRETA) - 0,35x0,35x0,3H</v>
          </cell>
          <cell r="Y3744">
            <v>1187.2</v>
          </cell>
          <cell r="Z3744">
            <v>0.35</v>
          </cell>
          <cell r="AA3744">
            <v>771.68000000000006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3</v>
          </cell>
          <cell r="O3745">
            <v>113368</v>
          </cell>
          <cell r="P3745"/>
          <cell r="Q3745" t="str">
            <v>EST MESA ONDA (INFANTIL) (PRETA)</v>
          </cell>
          <cell r="R3745"/>
          <cell r="S3745"/>
          <cell r="T3745">
            <v>0.35</v>
          </cell>
          <cell r="U3745">
            <v>0.35</v>
          </cell>
          <cell r="V3745">
            <v>0.3</v>
          </cell>
          <cell r="W3745">
            <v>0</v>
          </cell>
          <cell r="X3745" t="str">
            <v>EST MESA ONDA (INFANTIL) (PRETA) - 0,35x0,35x0,3H</v>
          </cell>
          <cell r="Y3745">
            <v>1187.2</v>
          </cell>
          <cell r="Z3745">
            <v>0.35</v>
          </cell>
          <cell r="AA3745">
            <v>771.68000000000006</v>
          </cell>
          <cell r="AB3745"/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3</v>
          </cell>
          <cell r="O3746">
            <v>113368</v>
          </cell>
          <cell r="P3746"/>
          <cell r="Q3746" t="str">
            <v>EST MESA ONDA (INFANTIL) (PRETA)</v>
          </cell>
          <cell r="R3746"/>
          <cell r="S3746"/>
          <cell r="T3746">
            <v>0.35</v>
          </cell>
          <cell r="U3746">
            <v>0.35</v>
          </cell>
          <cell r="V3746">
            <v>0.3</v>
          </cell>
          <cell r="W3746">
            <v>0</v>
          </cell>
          <cell r="X3746" t="str">
            <v>EST MESA ONDA (INFANTIL) (PRETA) - 0,35x0,35x0,3H</v>
          </cell>
          <cell r="Y3746">
            <v>1187.2</v>
          </cell>
          <cell r="Z3746">
            <v>0.35</v>
          </cell>
          <cell r="AA3746">
            <v>771.68000000000006</v>
          </cell>
          <cell r="AB3746"/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2</v>
          </cell>
          <cell r="O3747">
            <v>113370</v>
          </cell>
          <cell r="P3747"/>
          <cell r="Q3747" t="str">
            <v>EST POLTRONA MARIA TC NEVOA</v>
          </cell>
          <cell r="R3747"/>
          <cell r="S3747"/>
          <cell r="T3747">
            <v>0.6</v>
          </cell>
          <cell r="U3747">
            <v>0.97</v>
          </cell>
          <cell r="V3747">
            <v>0.63</v>
          </cell>
          <cell r="W3747">
            <v>0</v>
          </cell>
          <cell r="X3747" t="str">
            <v>EST POLTRONA MARIA TC NEVOA - 0,6x0,97x0,63H</v>
          </cell>
          <cell r="Y3747">
            <v>0</v>
          </cell>
          <cell r="Z3747">
            <v>0.35</v>
          </cell>
          <cell r="AA3747">
            <v>0</v>
          </cell>
          <cell r="AB3747"/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120998</v>
          </cell>
          <cell r="P3748"/>
          <cell r="Q3748" t="str">
            <v>EST MESA CENTRO LEE (RESINA BRANCA)</v>
          </cell>
          <cell r="R3748"/>
          <cell r="S3748"/>
          <cell r="T3748">
            <v>1.2</v>
          </cell>
          <cell r="U3748">
            <v>1.2</v>
          </cell>
          <cell r="V3748">
            <v>0.3</v>
          </cell>
          <cell r="W3748">
            <v>0</v>
          </cell>
          <cell r="X3748" t="str">
            <v>EST MESA CENTRO LEE (RESINA BRANCA) - 1,2x1,2x0,3H</v>
          </cell>
          <cell r="Y3748" t="e">
            <v>#VALUE!</v>
          </cell>
          <cell r="Z3748">
            <v>0.35</v>
          </cell>
          <cell r="AA3748" t="e">
            <v>#VALUE!</v>
          </cell>
          <cell r="AB3748"/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128450</v>
          </cell>
          <cell r="P3749"/>
          <cell r="Q3749" t="str">
            <v>EST MESA CENTRO CASULO (LACA BRILHO AMARELA L272)</v>
          </cell>
          <cell r="R3749"/>
          <cell r="S3749"/>
          <cell r="T3749">
            <v>1.63</v>
          </cell>
          <cell r="U3749">
            <v>0.45</v>
          </cell>
          <cell r="V3749">
            <v>0.28000000000000003</v>
          </cell>
          <cell r="W3749">
            <v>0</v>
          </cell>
          <cell r="X3749" t="str">
            <v>EST MESA CENTRO CASULO (LACA BRILHO AMARELA L272) - 1,63x0,45x0,28H</v>
          </cell>
          <cell r="Y3749">
            <v>0</v>
          </cell>
          <cell r="Z3749">
            <v>0.35</v>
          </cell>
          <cell r="AA3749">
            <v>0</v>
          </cell>
          <cell r="AB3749"/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128485</v>
          </cell>
          <cell r="P3750"/>
          <cell r="Q3750" t="str">
            <v>EST CADEIRA BASEL (TABACO) TC 430A</v>
          </cell>
          <cell r="R3750"/>
          <cell r="S3750"/>
          <cell r="T3750">
            <v>0.52</v>
          </cell>
          <cell r="U3750">
            <v>0.56000000000000005</v>
          </cell>
          <cell r="V3750">
            <v>0.89</v>
          </cell>
          <cell r="W3750">
            <v>0</v>
          </cell>
          <cell r="X3750" t="str">
            <v>EST CADEIRA BASEL (TABACO) TC 430A - 0,52x0,56x0,89H</v>
          </cell>
          <cell r="Y3750">
            <v>0</v>
          </cell>
          <cell r="Z3750">
            <v>0.35</v>
          </cell>
          <cell r="AA3750">
            <v>0</v>
          </cell>
          <cell r="AB3750"/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128597</v>
          </cell>
          <cell r="P3751"/>
          <cell r="Q3751" t="str">
            <v>EST BUFFET THETYS (LACA BRILHO BRANCA) (ESPELHO PRATA)</v>
          </cell>
          <cell r="R3751"/>
          <cell r="S3751"/>
          <cell r="T3751">
            <v>2.2000000000000002</v>
          </cell>
          <cell r="U3751">
            <v>0.8</v>
          </cell>
          <cell r="V3751">
            <v>0.52</v>
          </cell>
          <cell r="W3751">
            <v>0</v>
          </cell>
          <cell r="X3751" t="str">
            <v>EST BUFFET THETYS (LACA BRILHO BRANCA) (ESPELHO PRATA) - 2,2x0,8x0,52H</v>
          </cell>
          <cell r="Y3751">
            <v>0</v>
          </cell>
          <cell r="Z3751">
            <v>0.35</v>
          </cell>
          <cell r="AA3751">
            <v>0</v>
          </cell>
          <cell r="AB3751"/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128948</v>
          </cell>
          <cell r="P3752"/>
          <cell r="Q3752" t="str">
            <v>EST MESA CENTRO MOENA (INOX) (ESPELHO PRATA)</v>
          </cell>
          <cell r="R3752"/>
          <cell r="S3752"/>
          <cell r="T3752">
            <v>1.26</v>
          </cell>
          <cell r="U3752">
            <v>1.1000000000000001</v>
          </cell>
          <cell r="V3752">
            <v>0.3</v>
          </cell>
          <cell r="W3752">
            <v>0</v>
          </cell>
          <cell r="X3752" t="str">
            <v>EST MESA CENTRO MOENA (INOX) (ESPELHO PRATA) - 1,26x1,1x0,3H</v>
          </cell>
          <cell r="Y3752">
            <v>0</v>
          </cell>
          <cell r="Z3752">
            <v>0.35</v>
          </cell>
          <cell r="AA3752">
            <v>0</v>
          </cell>
          <cell r="AB3752"/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128967</v>
          </cell>
          <cell r="P3753"/>
          <cell r="Q3753" t="str">
            <v>EST MESA CENTRO PASSAREDO (CRISTAL INCOLOR 12MM) (PRETO)</v>
          </cell>
          <cell r="R3753"/>
          <cell r="S3753"/>
          <cell r="T3753">
            <v>1.4</v>
          </cell>
          <cell r="U3753">
            <v>1.4</v>
          </cell>
          <cell r="V3753">
            <v>0.32</v>
          </cell>
          <cell r="W3753">
            <v>0</v>
          </cell>
          <cell r="X3753" t="str">
            <v>EST MESA CENTRO PASSAREDO (CRISTAL INCOLOR 12MM) (PRETO) - 1,4x1,4x0,32H</v>
          </cell>
          <cell r="Y3753">
            <v>0</v>
          </cell>
          <cell r="Z3753">
            <v>0.35</v>
          </cell>
          <cell r="AA3753">
            <v>0</v>
          </cell>
          <cell r="AB3753"/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1</v>
          </cell>
          <cell r="O3754">
            <v>139906</v>
          </cell>
          <cell r="P3754"/>
          <cell r="Q3754" t="str">
            <v>EST SOFA CLOUD (TRIPARTIDO) (ASS MOVEL) TC 14071</v>
          </cell>
          <cell r="R3754"/>
          <cell r="S3754"/>
          <cell r="T3754">
            <v>3.12</v>
          </cell>
          <cell r="U3754">
            <v>1.08</v>
          </cell>
          <cell r="V3754">
            <v>0</v>
          </cell>
          <cell r="W3754">
            <v>0</v>
          </cell>
          <cell r="X3754" t="str">
            <v>EST SOFA CLOUD (TRIPARTIDO) (ASS MOVEL) TC 14071 - 3,12x1,08x0H</v>
          </cell>
          <cell r="Y3754">
            <v>0</v>
          </cell>
          <cell r="Z3754">
            <v>0.35</v>
          </cell>
          <cell r="AA3754">
            <v>0</v>
          </cell>
          <cell r="AB3754"/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141358</v>
          </cell>
          <cell r="P3755" t="str">
            <v>2013/297-0037-01</v>
          </cell>
          <cell r="Q3755" t="str">
            <v>EST TAMPO CRISTAL LAPIDADO (15MM) INCOLOR (CIRCULAR)</v>
          </cell>
          <cell r="R3755"/>
          <cell r="S3755"/>
          <cell r="T3755">
            <v>1.8</v>
          </cell>
          <cell r="U3755">
            <v>0</v>
          </cell>
          <cell r="V3755">
            <v>0.01</v>
          </cell>
          <cell r="W3755">
            <v>1.8</v>
          </cell>
          <cell r="X3755" t="str">
            <v>EST TAMPO CRISTAL LAPIDADO (15MM) INCOLOR (CIRCULAR) - Ø1,8x0,01H</v>
          </cell>
          <cell r="Y3755">
            <v>21316.7376</v>
          </cell>
          <cell r="Z3755">
            <v>0.35</v>
          </cell>
          <cell r="AA3755">
            <v>13855.879440000001</v>
          </cell>
          <cell r="AB3755"/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142210</v>
          </cell>
          <cell r="P3756"/>
          <cell r="Q3756" t="str">
            <v>EST BANCO BETA (LACA BRILHO N109)</v>
          </cell>
          <cell r="R3756"/>
          <cell r="S3756"/>
          <cell r="T3756">
            <v>0.45</v>
          </cell>
          <cell r="U3756">
            <v>0.45</v>
          </cell>
          <cell r="V3756">
            <v>0.45</v>
          </cell>
          <cell r="W3756">
            <v>0</v>
          </cell>
          <cell r="X3756" t="str">
            <v>EST BANCO BETA (LACA BRILHO N109) - 0,45x0,45x0,45H</v>
          </cell>
          <cell r="Y3756">
            <v>0</v>
          </cell>
          <cell r="Z3756">
            <v>0.35</v>
          </cell>
          <cell r="AA3756">
            <v>0</v>
          </cell>
          <cell r="AB3756"/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2</v>
          </cell>
          <cell r="O3757">
            <v>142219</v>
          </cell>
          <cell r="P3757"/>
          <cell r="Q3757" t="str">
            <v>EST BANCO BETA (LACA BRILHO BERINJELA)</v>
          </cell>
          <cell r="R3757"/>
          <cell r="S3757"/>
          <cell r="T3757">
            <v>0.45</v>
          </cell>
          <cell r="U3757">
            <v>0.45</v>
          </cell>
          <cell r="V3757">
            <v>0.45</v>
          </cell>
          <cell r="W3757">
            <v>0</v>
          </cell>
          <cell r="X3757" t="str">
            <v>EST BANCO BETA (LACA BRILHO BERINJELA) - 0,45x0,45x0,45H</v>
          </cell>
          <cell r="Y3757">
            <v>0</v>
          </cell>
          <cell r="Z3757">
            <v>0.35</v>
          </cell>
          <cell r="AA3757">
            <v>0</v>
          </cell>
          <cell r="AB3757"/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144480</v>
          </cell>
          <cell r="P3758"/>
          <cell r="Q3758" t="str">
            <v>EST TAMPO CRISTAL LAPIDADO (15MM) INCOLOR CANTO TICK</v>
          </cell>
          <cell r="R3758"/>
          <cell r="S3758"/>
          <cell r="T3758">
            <v>1.4</v>
          </cell>
          <cell r="U3758">
            <v>1.4</v>
          </cell>
          <cell r="V3758">
            <v>0.01</v>
          </cell>
          <cell r="W3758">
            <v>0</v>
          </cell>
          <cell r="X3758" t="str">
            <v>EST TAMPO CRISTAL LAPIDADO (15MM) INCOLOR CANTO TICK - 1,4x1,4x0,01H</v>
          </cell>
          <cell r="Y3758">
            <v>11302.5556</v>
          </cell>
          <cell r="Z3758">
            <v>0.35</v>
          </cell>
          <cell r="AA3758">
            <v>7346.6611400000002</v>
          </cell>
          <cell r="AB3758"/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144647</v>
          </cell>
          <cell r="P3759"/>
          <cell r="Q3759" t="str">
            <v>EST CADEIRA FLORA C/BRACO (CASTANHO) TC 6236</v>
          </cell>
          <cell r="R3759"/>
          <cell r="S3759"/>
          <cell r="T3759">
            <v>0</v>
          </cell>
          <cell r="U3759">
            <v>0</v>
          </cell>
          <cell r="V3759">
            <v>0</v>
          </cell>
          <cell r="W3759">
            <v>0</v>
          </cell>
          <cell r="X3759" t="str">
            <v>EST CADEIRA FLORA C/BRACO (CASTANHO) TC 6236 - Ø0x0H</v>
          </cell>
          <cell r="Y3759" t="str">
            <v>EST</v>
          </cell>
          <cell r="Z3759">
            <v>0.35</v>
          </cell>
          <cell r="AA3759" t="e">
            <v>#VALUE!</v>
          </cell>
          <cell r="AB3759"/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2</v>
          </cell>
          <cell r="O3760">
            <v>145524</v>
          </cell>
          <cell r="P3760"/>
          <cell r="Q3760" t="str">
            <v>EST CADEIRA SMALL (EBANIZADO) TC 3013</v>
          </cell>
          <cell r="R3760"/>
          <cell r="S3760"/>
          <cell r="T3760">
            <v>0.46</v>
          </cell>
          <cell r="U3760">
            <v>0.56000000000000005</v>
          </cell>
          <cell r="V3760">
            <v>0.86</v>
          </cell>
          <cell r="W3760">
            <v>0</v>
          </cell>
          <cell r="X3760" t="str">
            <v>EST CADEIRA SMALL (EBANIZADO) TC 3013 - 0,46x0,56x0,86H</v>
          </cell>
          <cell r="Y3760">
            <v>0</v>
          </cell>
          <cell r="Z3760">
            <v>0.35</v>
          </cell>
          <cell r="AA3760">
            <v>0</v>
          </cell>
          <cell r="AB3760"/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2</v>
          </cell>
          <cell r="O3761">
            <v>145530</v>
          </cell>
          <cell r="P3761"/>
          <cell r="Q3761" t="str">
            <v>EST CADEIRA SMALL (EBANIZADO) TC PATRIA BONE</v>
          </cell>
          <cell r="R3761"/>
          <cell r="S3761"/>
          <cell r="T3761">
            <v>0.46</v>
          </cell>
          <cell r="U3761">
            <v>0.56000000000000005</v>
          </cell>
          <cell r="V3761">
            <v>0.86</v>
          </cell>
          <cell r="W3761">
            <v>0</v>
          </cell>
          <cell r="X3761" t="str">
            <v>EST CADEIRA SMALL (EBANIZADO) TC PATRIA BONE - 0,46x0,56x0,86H</v>
          </cell>
          <cell r="Y3761">
            <v>0</v>
          </cell>
          <cell r="Z3761">
            <v>0.35</v>
          </cell>
          <cell r="AA3761">
            <v>0</v>
          </cell>
          <cell r="AB3761"/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146079</v>
          </cell>
          <cell r="P3762"/>
          <cell r="Q3762" t="str">
            <v>EST TAMPO CRISTAL LAPIDADO (10MM) PINT BRACO CTO FILETADO</v>
          </cell>
          <cell r="R3762"/>
          <cell r="S3762"/>
          <cell r="T3762">
            <v>1.4</v>
          </cell>
          <cell r="U3762">
            <v>1.4</v>
          </cell>
          <cell r="V3762">
            <v>0.01</v>
          </cell>
          <cell r="W3762">
            <v>0</v>
          </cell>
          <cell r="X3762" t="str">
            <v>EST TAMPO CRISTAL LAPIDADO (10MM) PINT BRACO CTO FILETADO - 1,4x1,4x0,01H</v>
          </cell>
          <cell r="Y3762" t="e">
            <v>#VALUE!</v>
          </cell>
          <cell r="Z3762">
            <v>0.35</v>
          </cell>
          <cell r="AA3762" t="e">
            <v>#VALUE!</v>
          </cell>
          <cell r="AB3762"/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0</v>
          </cell>
          <cell r="O3763">
            <v>147533</v>
          </cell>
          <cell r="P3763"/>
          <cell r="Q3763" t="str">
            <v>EST BANCO GARDEN SEAT (CROCO)</v>
          </cell>
          <cell r="R3763"/>
          <cell r="S3763"/>
          <cell r="T3763">
            <v>0</v>
          </cell>
          <cell r="U3763">
            <v>0</v>
          </cell>
          <cell r="V3763">
            <v>0</v>
          </cell>
          <cell r="W3763">
            <v>0</v>
          </cell>
          <cell r="X3763" t="str">
            <v>EST BANCO GARDEN SEAT (CROCO) - Ø0x0H</v>
          </cell>
          <cell r="Y3763">
            <v>0</v>
          </cell>
          <cell r="Z3763">
            <v>0.35</v>
          </cell>
          <cell r="AA3763">
            <v>0</v>
          </cell>
          <cell r="AB3763"/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0</v>
          </cell>
          <cell r="O3764">
            <v>147539</v>
          </cell>
          <cell r="P3764"/>
          <cell r="Q3764" t="str">
            <v>EST BANCO GARDEN SEAT (TIEDIE VERDE)</v>
          </cell>
          <cell r="R3764"/>
          <cell r="S3764"/>
          <cell r="T3764">
            <v>0</v>
          </cell>
          <cell r="U3764">
            <v>0</v>
          </cell>
          <cell r="V3764">
            <v>0</v>
          </cell>
          <cell r="W3764">
            <v>0</v>
          </cell>
          <cell r="X3764" t="str">
            <v>EST BANCO GARDEN SEAT (TIEDIE VERDE) - Ø0x0H</v>
          </cell>
          <cell r="Y3764">
            <v>0</v>
          </cell>
          <cell r="Z3764">
            <v>0.35</v>
          </cell>
          <cell r="AA3764">
            <v>0</v>
          </cell>
          <cell r="AB3764"/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2</v>
          </cell>
          <cell r="O3765">
            <v>147559</v>
          </cell>
          <cell r="P3765"/>
          <cell r="Q3765" t="str">
            <v>EST BANCO GARDEN SEAT (TIE DYE) (SIG BERGAMIN)</v>
          </cell>
          <cell r="R3765"/>
          <cell r="S3765"/>
          <cell r="T3765">
            <v>0.37</v>
          </cell>
          <cell r="U3765">
            <v>0</v>
          </cell>
          <cell r="V3765">
            <v>0.46</v>
          </cell>
          <cell r="W3765">
            <v>0.37</v>
          </cell>
          <cell r="X3765" t="str">
            <v>EST BANCO GARDEN SEAT (TIE DYE) (SIG BERGAMIN) - Ø0,37x0,46H</v>
          </cell>
          <cell r="Y3765">
            <v>0</v>
          </cell>
          <cell r="Z3765">
            <v>0.35</v>
          </cell>
          <cell r="AA3765">
            <v>0</v>
          </cell>
          <cell r="AB3765"/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1</v>
          </cell>
          <cell r="O3766">
            <v>147571</v>
          </cell>
          <cell r="P3766"/>
          <cell r="Q3766" t="str">
            <v>EST BANCO GARDEN SEAT GOMILADA (DOURADO)</v>
          </cell>
          <cell r="R3766"/>
          <cell r="S3766"/>
          <cell r="T3766">
            <v>0.32</v>
          </cell>
          <cell r="U3766">
            <v>0</v>
          </cell>
          <cell r="V3766">
            <v>0.46</v>
          </cell>
          <cell r="W3766">
            <v>0.32</v>
          </cell>
          <cell r="X3766" t="str">
            <v>EST BANCO GARDEN SEAT GOMILADA (DOURADO) - Ø0,32x0,46H</v>
          </cell>
          <cell r="Y3766">
            <v>0</v>
          </cell>
          <cell r="Z3766">
            <v>0.35</v>
          </cell>
          <cell r="AA3766">
            <v>0</v>
          </cell>
          <cell r="AB3766"/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147797</v>
          </cell>
          <cell r="P3767"/>
          <cell r="Q3767" t="str">
            <v>EST CADEIRA FEMME FATALE (FUME)</v>
          </cell>
          <cell r="R3767"/>
          <cell r="S3767"/>
          <cell r="T3767">
            <v>0.51</v>
          </cell>
          <cell r="U3767">
            <v>0.54</v>
          </cell>
          <cell r="V3767">
            <v>0.81</v>
          </cell>
          <cell r="W3767">
            <v>0</v>
          </cell>
          <cell r="X3767" t="str">
            <v>EST CADEIRA FEMME FATALE (FUME) - 0,51x0,54x0,81H</v>
          </cell>
          <cell r="Y3767">
            <v>0</v>
          </cell>
          <cell r="Z3767">
            <v>0.35</v>
          </cell>
          <cell r="AA3767">
            <v>0</v>
          </cell>
          <cell r="AB3767"/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147798</v>
          </cell>
          <cell r="P3768"/>
          <cell r="Q3768" t="str">
            <v>EST CADEIRA VANITY C/BRACO (TRANSPARENTE)</v>
          </cell>
          <cell r="R3768"/>
          <cell r="S3768"/>
          <cell r="T3768">
            <v>0.56999999999999995</v>
          </cell>
          <cell r="U3768">
            <v>0.55000000000000004</v>
          </cell>
          <cell r="V3768">
            <v>0.88</v>
          </cell>
          <cell r="W3768">
            <v>0</v>
          </cell>
          <cell r="X3768" t="str">
            <v>EST CADEIRA VANITY C/BRACO (TRANSPARENTE) - 0,57x0,55x0,88H</v>
          </cell>
          <cell r="Y3768">
            <v>0</v>
          </cell>
          <cell r="Z3768">
            <v>0.35</v>
          </cell>
          <cell r="AA3768">
            <v>0</v>
          </cell>
          <cell r="AB3768"/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3</v>
          </cell>
          <cell r="O3769">
            <v>147799</v>
          </cell>
          <cell r="P3769"/>
          <cell r="Q3769" t="str">
            <v>EST CADEIRA VANITY (COLORIDO CINZA)</v>
          </cell>
          <cell r="R3769"/>
          <cell r="S3769"/>
          <cell r="T3769">
            <v>0.49</v>
          </cell>
          <cell r="U3769">
            <v>0.55000000000000004</v>
          </cell>
          <cell r="V3769">
            <v>0.88</v>
          </cell>
          <cell r="W3769">
            <v>0</v>
          </cell>
          <cell r="X3769" t="str">
            <v>EST CADEIRA VANITY (COLORIDO CINZA) - 0,49x0,55x0,88H</v>
          </cell>
          <cell r="Y3769">
            <v>0</v>
          </cell>
          <cell r="Z3769">
            <v>0.35</v>
          </cell>
          <cell r="AA3769">
            <v>0</v>
          </cell>
          <cell r="AB3769"/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147800</v>
          </cell>
          <cell r="P3770"/>
          <cell r="Q3770" t="str">
            <v>EST CADEIRA VANITY (COLORIDO BRANCA)</v>
          </cell>
          <cell r="R3770"/>
          <cell r="S3770"/>
          <cell r="T3770">
            <v>0.49</v>
          </cell>
          <cell r="U3770">
            <v>0.55000000000000004</v>
          </cell>
          <cell r="V3770">
            <v>0.88</v>
          </cell>
          <cell r="W3770">
            <v>0</v>
          </cell>
          <cell r="X3770" t="str">
            <v>EST CADEIRA VANITY (COLORIDO BRANCA) - 0,49x0,55x0,88H</v>
          </cell>
          <cell r="Y3770">
            <v>0</v>
          </cell>
          <cell r="Z3770">
            <v>0.35</v>
          </cell>
          <cell r="AA3770">
            <v>0</v>
          </cell>
          <cell r="AB3770"/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150094</v>
          </cell>
          <cell r="P3771" t="str">
            <v>2024/232-0006-01</v>
          </cell>
          <cell r="Q3771" t="str">
            <v>EST TAMPO CRISTAL LAPIDADO (15MM) INCOLOR CANTO TICK</v>
          </cell>
          <cell r="R3771"/>
          <cell r="S3771"/>
          <cell r="T3771">
            <v>1.2</v>
          </cell>
          <cell r="U3771">
            <v>1.2</v>
          </cell>
          <cell r="V3771">
            <v>0.01</v>
          </cell>
          <cell r="W3771">
            <v>0</v>
          </cell>
          <cell r="X3771" t="str">
            <v>EST TAMPO CRISTAL LAPIDADO (15MM) INCOLOR CANTO TICK - 1,2x1,2x0,01H</v>
          </cell>
          <cell r="Y3771">
            <v>8303.9183999999987</v>
          </cell>
          <cell r="Z3771">
            <v>0.35</v>
          </cell>
          <cell r="AA3771">
            <v>5397.5469599999997</v>
          </cell>
          <cell r="AB3771"/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150911</v>
          </cell>
          <cell r="P3772"/>
          <cell r="Q3772" t="str">
            <v>EST POLTRONA REVERE (CONCRETO BRILHO) TC 397-D</v>
          </cell>
          <cell r="R3772"/>
          <cell r="S3772"/>
          <cell r="T3772">
            <v>1.2</v>
          </cell>
          <cell r="U3772">
            <v>0.86</v>
          </cell>
          <cell r="V3772">
            <v>0.76</v>
          </cell>
          <cell r="W3772">
            <v>0</v>
          </cell>
          <cell r="X3772" t="str">
            <v>EST POLTRONA REVERE (CONCRETO BRILHO) TC 397-D - 1,2x0,86x0,76H</v>
          </cell>
          <cell r="Y3772">
            <v>0</v>
          </cell>
          <cell r="Z3772">
            <v>0.35</v>
          </cell>
          <cell r="AA3772">
            <v>0</v>
          </cell>
          <cell r="AB3772"/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151267</v>
          </cell>
          <cell r="P3773"/>
          <cell r="Q3773" t="str">
            <v>EST MESA CENTRO MOSS (LACA BRILHO ARGILA)</v>
          </cell>
          <cell r="R3773"/>
          <cell r="S3773"/>
          <cell r="T3773">
            <v>2.25</v>
          </cell>
          <cell r="U3773">
            <v>0.52</v>
          </cell>
          <cell r="V3773">
            <v>0.25</v>
          </cell>
          <cell r="W3773">
            <v>0</v>
          </cell>
          <cell r="X3773" t="str">
            <v>EST MESA CENTRO MOSS (LACA BRILHO ARGILA) - 2,25x0,52x0,25H</v>
          </cell>
          <cell r="Y3773">
            <v>0</v>
          </cell>
          <cell r="Z3773">
            <v>0.35</v>
          </cell>
          <cell r="AA3773">
            <v>0</v>
          </cell>
          <cell r="AB3773"/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0</v>
          </cell>
          <cell r="O3774">
            <v>151295</v>
          </cell>
          <cell r="P3774"/>
          <cell r="Q3774" t="str">
            <v>EST AC LUMINARIA TULIPA D30X155 FIBRA BRANCO COR 87</v>
          </cell>
          <cell r="R3774"/>
          <cell r="S3774"/>
          <cell r="T3774">
            <v>0</v>
          </cell>
          <cell r="U3774">
            <v>0</v>
          </cell>
          <cell r="V3774">
            <v>0</v>
          </cell>
          <cell r="W3774">
            <v>0</v>
          </cell>
          <cell r="X3774" t="str">
            <v>EST AC LUMINARIA TULIPA D30X155 FIBRA BRANCO COR 87 - Ø0x0H</v>
          </cell>
          <cell r="Y3774">
            <v>0</v>
          </cell>
          <cell r="Z3774">
            <v>0.35</v>
          </cell>
          <cell r="AA3774">
            <v>0</v>
          </cell>
          <cell r="AB3774"/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151297</v>
          </cell>
          <cell r="P3775"/>
          <cell r="Q3775" t="str">
            <v>EST MESA APOIO TULIPA (FIBRA NATURAL COR 76)</v>
          </cell>
          <cell r="R3775"/>
          <cell r="S3775"/>
          <cell r="T3775">
            <v>1</v>
          </cell>
          <cell r="U3775">
            <v>0</v>
          </cell>
          <cell r="V3775">
            <v>0.74</v>
          </cell>
          <cell r="W3775">
            <v>1</v>
          </cell>
          <cell r="X3775" t="str">
            <v>EST MESA APOIO TULIPA (FIBRA NATURAL COR 76) - Ø1x0,74H</v>
          </cell>
          <cell r="Y3775">
            <v>0</v>
          </cell>
          <cell r="Z3775">
            <v>0.35</v>
          </cell>
          <cell r="AA3775">
            <v>0</v>
          </cell>
          <cell r="AB3775"/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2</v>
          </cell>
          <cell r="O3776">
            <v>151312</v>
          </cell>
          <cell r="P3776"/>
          <cell r="Q3776" t="str">
            <v>EST POLTRONA ARENA (FIBRA NATURAL CASTANHO) TC LINHO 10711</v>
          </cell>
          <cell r="R3776"/>
          <cell r="S3776"/>
          <cell r="T3776">
            <v>0.9</v>
          </cell>
          <cell r="U3776">
            <v>0.78</v>
          </cell>
          <cell r="V3776">
            <v>0.73</v>
          </cell>
          <cell r="W3776">
            <v>0</v>
          </cell>
          <cell r="X3776" t="str">
            <v>EST POLTRONA ARENA (FIBRA NATURAL CASTANHO) TC LINHO 10711 - 0,9x0,78x0,73H</v>
          </cell>
          <cell r="Y3776">
            <v>0</v>
          </cell>
          <cell r="Z3776">
            <v>0.35</v>
          </cell>
          <cell r="AA3776">
            <v>0</v>
          </cell>
          <cell r="AB3776"/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2</v>
          </cell>
          <cell r="O3777">
            <v>151358</v>
          </cell>
          <cell r="P3777"/>
          <cell r="Q3777" t="str">
            <v>EST CADEIRA TEREZA C/BRACO (IMBUIA MEL) TC 11630</v>
          </cell>
          <cell r="R3777"/>
          <cell r="S3777"/>
          <cell r="T3777">
            <v>0.63</v>
          </cell>
          <cell r="U3777">
            <v>0.52</v>
          </cell>
          <cell r="V3777">
            <v>0.83</v>
          </cell>
          <cell r="W3777">
            <v>0</v>
          </cell>
          <cell r="X3777" t="str">
            <v>EST CADEIRA TEREZA C/BRACO (IMBUIA MEL) TC 11630 - 0,63x0,52x0,83H</v>
          </cell>
          <cell r="Y3777">
            <v>0</v>
          </cell>
          <cell r="Z3777">
            <v>0.35</v>
          </cell>
          <cell r="AA3777">
            <v>0</v>
          </cell>
          <cell r="AB3777"/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151376</v>
          </cell>
          <cell r="P3778"/>
          <cell r="Q3778" t="str">
            <v>EST BANCO GARDEN SEAT (ALCA) (FIBRA MARROM MESCLADO)</v>
          </cell>
          <cell r="R3778"/>
          <cell r="S3778"/>
          <cell r="T3778">
            <v>0.43</v>
          </cell>
          <cell r="U3778">
            <v>0</v>
          </cell>
          <cell r="V3778">
            <v>0.46</v>
          </cell>
          <cell r="W3778">
            <v>0.46</v>
          </cell>
          <cell r="X3778" t="str">
            <v>EST BANCO GARDEN SEAT (ALCA) (FIBRA MARROM MESCLADO) - Ø0,46x0,46H</v>
          </cell>
          <cell r="Y3778">
            <v>0</v>
          </cell>
          <cell r="Z3778">
            <v>0.35</v>
          </cell>
          <cell r="AA3778">
            <v>0</v>
          </cell>
          <cell r="AB3778"/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151382</v>
          </cell>
          <cell r="P3779"/>
          <cell r="Q3779" t="str">
            <v>EST SOFA BRISTOL (FIBRA 10MM ESTONADO TABACO) TC SOL</v>
          </cell>
          <cell r="R3779"/>
          <cell r="S3779"/>
          <cell r="T3779">
            <v>2.4</v>
          </cell>
          <cell r="U3779">
            <v>0.85</v>
          </cell>
          <cell r="V3779">
            <v>0.65</v>
          </cell>
          <cell r="W3779">
            <v>0</v>
          </cell>
          <cell r="X3779" t="str">
            <v>EST SOFA BRISTOL (FIBRA 10MM ESTONADO TABACO) TC SOL - 2,4x0,85x0,65H</v>
          </cell>
          <cell r="Y3779">
            <v>0</v>
          </cell>
          <cell r="Z3779">
            <v>0.35</v>
          </cell>
          <cell r="AA3779">
            <v>0</v>
          </cell>
          <cell r="AB3779"/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2</v>
          </cell>
          <cell r="O3780">
            <v>151385</v>
          </cell>
          <cell r="P3780"/>
          <cell r="Q3780" t="str">
            <v>EST BANCO CARTIER (FITA 10MM TABACO) TC SOL</v>
          </cell>
          <cell r="R3780"/>
          <cell r="S3780"/>
          <cell r="T3780">
            <v>1.3</v>
          </cell>
          <cell r="U3780">
            <v>0.4</v>
          </cell>
          <cell r="V3780">
            <v>0.45</v>
          </cell>
          <cell r="W3780">
            <v>0</v>
          </cell>
          <cell r="X3780" t="str">
            <v>EST BANCO CARTIER (FITA 10MM TABACO) TC SOL - 1,3x0,4x0,45H</v>
          </cell>
          <cell r="Y3780">
            <v>0</v>
          </cell>
          <cell r="Z3780">
            <v>0.35</v>
          </cell>
          <cell r="AA3780">
            <v>0</v>
          </cell>
          <cell r="AB3780"/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2</v>
          </cell>
          <cell r="O3781">
            <v>151386</v>
          </cell>
          <cell r="P3781"/>
          <cell r="Q3781" t="str">
            <v>EST APARADOR BRISTOL (FIBRA 10MM ESTONADO TABACO)</v>
          </cell>
          <cell r="R3781"/>
          <cell r="S3781"/>
          <cell r="T3781">
            <v>1.8</v>
          </cell>
          <cell r="U3781">
            <v>0.6</v>
          </cell>
          <cell r="V3781">
            <v>0.9</v>
          </cell>
          <cell r="W3781">
            <v>0</v>
          </cell>
          <cell r="X3781" t="str">
            <v>EST APARADOR BRISTOL (FIBRA 10MM ESTONADO TABACO) - 1,8x0,6x0,9H</v>
          </cell>
          <cell r="Y3781">
            <v>0</v>
          </cell>
          <cell r="Z3781">
            <v>0.35</v>
          </cell>
          <cell r="AA3781">
            <v>0</v>
          </cell>
          <cell r="AB3781"/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151430</v>
          </cell>
          <cell r="P3782"/>
          <cell r="Q3782" t="str">
            <v>EST MESA CENTRO CATARINA (INOX) (LACA BRILHO PAINA)</v>
          </cell>
          <cell r="R3782"/>
          <cell r="S3782"/>
          <cell r="T3782">
            <v>1.8</v>
          </cell>
          <cell r="U3782">
            <v>0.9</v>
          </cell>
          <cell r="V3782">
            <v>0.3</v>
          </cell>
          <cell r="W3782">
            <v>0</v>
          </cell>
          <cell r="X3782" t="str">
            <v>EST MESA CENTRO CATARINA (INOX) (LACA BRILHO PAINA) - 1,8x0,9x0,3H</v>
          </cell>
          <cell r="Y3782">
            <v>0</v>
          </cell>
          <cell r="Z3782">
            <v>0.35</v>
          </cell>
          <cell r="AA3782">
            <v>0</v>
          </cell>
          <cell r="AB3782"/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2</v>
          </cell>
          <cell r="O3783">
            <v>151433</v>
          </cell>
          <cell r="P3783"/>
          <cell r="Q3783" t="str">
            <v>EST CADEIRA 213 C/BRACO (MEL TABACO) TC 430A</v>
          </cell>
          <cell r="R3783"/>
          <cell r="S3783"/>
          <cell r="T3783">
            <v>0.57999999999999996</v>
          </cell>
          <cell r="U3783">
            <v>0.56000000000000005</v>
          </cell>
          <cell r="V3783">
            <v>0.89</v>
          </cell>
          <cell r="W3783">
            <v>0</v>
          </cell>
          <cell r="X3783" t="str">
            <v>EST CADEIRA 213 C/BRACO (MEL TABACO) TC 430A - 0,58x0,56x0,89H</v>
          </cell>
          <cell r="Y3783">
            <v>0</v>
          </cell>
          <cell r="Z3783">
            <v>0.35</v>
          </cell>
          <cell r="AA3783">
            <v>0</v>
          </cell>
          <cell r="AB3783"/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4</v>
          </cell>
          <cell r="O3784">
            <v>151434</v>
          </cell>
          <cell r="P3784"/>
          <cell r="Q3784" t="str">
            <v>EST CADEIRA ZAZ (TABACO) TC 507/B</v>
          </cell>
          <cell r="R3784"/>
          <cell r="S3784"/>
          <cell r="T3784">
            <v>0.61</v>
          </cell>
          <cell r="U3784">
            <v>0.62</v>
          </cell>
          <cell r="V3784">
            <v>0.77</v>
          </cell>
          <cell r="W3784">
            <v>0</v>
          </cell>
          <cell r="X3784" t="str">
            <v>EST CADEIRA ZAZ (TABACO) TC 507/B - 0,61x0,62x0,77H</v>
          </cell>
          <cell r="Y3784">
            <v>0</v>
          </cell>
          <cell r="Z3784">
            <v>0.35</v>
          </cell>
          <cell r="AA3784">
            <v>0</v>
          </cell>
          <cell r="AB3784"/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151436</v>
          </cell>
          <cell r="P3785"/>
          <cell r="Q3785" t="str">
            <v>EST CADEIRA DIX C/BRACO (NATURAL) (TELA NATURAL) TC621/A</v>
          </cell>
          <cell r="R3785"/>
          <cell r="S3785"/>
          <cell r="T3785">
            <v>0.56000000000000005</v>
          </cell>
          <cell r="U3785">
            <v>0.56999999999999995</v>
          </cell>
          <cell r="V3785">
            <v>0.83</v>
          </cell>
          <cell r="W3785">
            <v>0</v>
          </cell>
          <cell r="X3785" t="str">
            <v>EST CADEIRA DIX C/BRACO (NATURAL) (TELA NATURAL) TC621/A - 0,56x0,57x0,83H</v>
          </cell>
          <cell r="Y3785">
            <v>0</v>
          </cell>
          <cell r="Z3785">
            <v>0.35</v>
          </cell>
          <cell r="AA3785">
            <v>0</v>
          </cell>
          <cell r="AB3785"/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2</v>
          </cell>
          <cell r="O3786">
            <v>151438</v>
          </cell>
          <cell r="P3786"/>
          <cell r="Q3786" t="str">
            <v>EST CADEIRA 213 C/BRACO (MEL TABACO) TC 11632/007</v>
          </cell>
          <cell r="R3786"/>
          <cell r="S3786"/>
          <cell r="T3786">
            <v>0.57999999999999996</v>
          </cell>
          <cell r="U3786">
            <v>0.56000000000000005</v>
          </cell>
          <cell r="V3786">
            <v>0.89</v>
          </cell>
          <cell r="W3786">
            <v>0</v>
          </cell>
          <cell r="X3786" t="str">
            <v>EST CADEIRA 213 C/BRACO (MEL TABACO) TC 11632/007 - 0,58x0,56x0,89H</v>
          </cell>
          <cell r="Y3786">
            <v>0</v>
          </cell>
          <cell r="Z3786">
            <v>0.35</v>
          </cell>
          <cell r="AA3786">
            <v>0</v>
          </cell>
          <cell r="AB3786"/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2</v>
          </cell>
          <cell r="O3787">
            <v>151452</v>
          </cell>
          <cell r="P3787"/>
          <cell r="Q3787" t="str">
            <v>EST BANCO BRASILIS (LAMINADO COR 10)</v>
          </cell>
          <cell r="R3787"/>
          <cell r="S3787"/>
          <cell r="T3787">
            <v>1.8</v>
          </cell>
          <cell r="U3787">
            <v>0.5</v>
          </cell>
          <cell r="V3787">
            <v>0.42</v>
          </cell>
          <cell r="W3787">
            <v>0</v>
          </cell>
          <cell r="X3787" t="str">
            <v>EST BANCO BRASILIS (LAMINADO COR 10) - 1,8x0,5x0,42H</v>
          </cell>
          <cell r="Y3787">
            <v>0</v>
          </cell>
          <cell r="Z3787">
            <v>0.35</v>
          </cell>
          <cell r="AA3787">
            <v>0</v>
          </cell>
          <cell r="AB3787"/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4</v>
          </cell>
          <cell r="O3788">
            <v>151454</v>
          </cell>
          <cell r="P3788"/>
          <cell r="Q3788" t="str">
            <v>EST CADEIRA CRIS (APUI COR 10) TC 47/C</v>
          </cell>
          <cell r="R3788"/>
          <cell r="S3788"/>
          <cell r="T3788">
            <v>0.56999999999999995</v>
          </cell>
          <cell r="U3788">
            <v>0.63</v>
          </cell>
          <cell r="V3788">
            <v>0.95</v>
          </cell>
          <cell r="W3788">
            <v>0</v>
          </cell>
          <cell r="X3788" t="str">
            <v>EST CADEIRA CRIS (APUI COR 10) TC 47/C - 0,57x0,63x0,95H</v>
          </cell>
          <cell r="Y3788">
            <v>0</v>
          </cell>
          <cell r="Z3788">
            <v>0.35</v>
          </cell>
          <cell r="AA3788">
            <v>0</v>
          </cell>
          <cell r="AB3788"/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151467</v>
          </cell>
          <cell r="P3789"/>
          <cell r="Q3789" t="str">
            <v>EST POLTRONA SOLAR (APUI COR 6) TC 41</v>
          </cell>
          <cell r="R3789"/>
          <cell r="S3789"/>
          <cell r="T3789">
            <v>0.9</v>
          </cell>
          <cell r="U3789">
            <v>0.85</v>
          </cell>
          <cell r="V3789">
            <v>0.65</v>
          </cell>
          <cell r="W3789">
            <v>0</v>
          </cell>
          <cell r="X3789" t="str">
            <v>EST POLTRONA SOLAR (APUI COR 6) TC 41 - 0,9x0,85x0,65H</v>
          </cell>
          <cell r="Y3789">
            <v>0</v>
          </cell>
          <cell r="Z3789">
            <v>0.35</v>
          </cell>
          <cell r="AA3789">
            <v>0</v>
          </cell>
          <cell r="AB3789"/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3</v>
          </cell>
          <cell r="O3790">
            <v>151488</v>
          </cell>
          <cell r="P3790"/>
          <cell r="Q3790" t="str">
            <v>EST CADEIRA DALLAS (ALUMINO BRANCO FSC) TC OBRAVIA CHAMPAGNE</v>
          </cell>
          <cell r="R3790"/>
          <cell r="S3790"/>
          <cell r="T3790">
            <v>0.56999999999999995</v>
          </cell>
          <cell r="U3790">
            <v>0.59</v>
          </cell>
          <cell r="V3790">
            <v>0.82</v>
          </cell>
          <cell r="W3790">
            <v>0</v>
          </cell>
          <cell r="X3790" t="str">
            <v>EST CADEIRA DALLAS (ALUMINO BRANCO FSC) TC OBRAVIA CHAMPAGNE - 0,57x0,59x0,82H</v>
          </cell>
          <cell r="Y3790">
            <v>0</v>
          </cell>
          <cell r="Z3790">
            <v>0.35</v>
          </cell>
          <cell r="AA3790">
            <v>0</v>
          </cell>
          <cell r="AB3790"/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151503</v>
          </cell>
          <cell r="P3791"/>
          <cell r="Q3791" t="str">
            <v>EST MODULO PUFF AUSTIN (BRANCO) TC GH6K AZUL</v>
          </cell>
          <cell r="R3791"/>
          <cell r="S3791"/>
          <cell r="T3791">
            <v>1.5</v>
          </cell>
          <cell r="U3791">
            <v>0.89</v>
          </cell>
          <cell r="V3791">
            <v>0.4</v>
          </cell>
          <cell r="W3791">
            <v>0</v>
          </cell>
          <cell r="X3791" t="str">
            <v>EST MODULO PUFF AUSTIN (BRANCO) TC GH6K AZUL - 1,5x0,89x0,4H</v>
          </cell>
          <cell r="Y3791">
            <v>0</v>
          </cell>
          <cell r="Z3791">
            <v>0.35</v>
          </cell>
          <cell r="AA3791">
            <v>0</v>
          </cell>
          <cell r="AB3791"/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151513</v>
          </cell>
          <cell r="P3792"/>
          <cell r="Q3792" t="str">
            <v>EST CADEIRA SINUET (FIBRA 03MM BRONZE)</v>
          </cell>
          <cell r="R3792"/>
          <cell r="S3792"/>
          <cell r="T3792">
            <v>0.6</v>
          </cell>
          <cell r="U3792">
            <v>0.5</v>
          </cell>
          <cell r="V3792">
            <v>0.84</v>
          </cell>
          <cell r="W3792">
            <v>0</v>
          </cell>
          <cell r="X3792" t="str">
            <v>EST CADEIRA SINUET (FIBRA 03MM BRONZE) - 0,6x0,5x0,84H</v>
          </cell>
          <cell r="Y3792">
            <v>0</v>
          </cell>
          <cell r="Z3792">
            <v>0.35</v>
          </cell>
          <cell r="AA3792">
            <v>0</v>
          </cell>
          <cell r="AB3792"/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1</v>
          </cell>
          <cell r="O3793">
            <v>151546</v>
          </cell>
          <cell r="P3793"/>
          <cell r="Q3793" t="str">
            <v>EST POLTRONA FIRENZE (PRETA) TC NBX0092 COR002 CRU</v>
          </cell>
          <cell r="R3793"/>
          <cell r="S3793"/>
          <cell r="T3793">
            <v>0.8</v>
          </cell>
          <cell r="U3793">
            <v>0.8</v>
          </cell>
          <cell r="V3793">
            <v>0.9</v>
          </cell>
          <cell r="W3793">
            <v>0</v>
          </cell>
          <cell r="X3793" t="str">
            <v>EST POLTRONA FIRENZE (PRETA) TC NBX0092 COR002 CRU - 0,8x0,8x0,9H</v>
          </cell>
          <cell r="Y3793" t="str">
            <v>EST</v>
          </cell>
          <cell r="Z3793">
            <v>0.35</v>
          </cell>
          <cell r="AA3793" t="e">
            <v>#VALUE!</v>
          </cell>
          <cell r="AB3793"/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1</v>
          </cell>
          <cell r="O3794">
            <v>151597</v>
          </cell>
          <cell r="P3794"/>
          <cell r="Q3794" t="str">
            <v>EST APARADOR BALI (TABOA TRANCADA NATURAL)</v>
          </cell>
          <cell r="R3794"/>
          <cell r="S3794"/>
          <cell r="T3794">
            <v>1.8</v>
          </cell>
          <cell r="U3794">
            <v>0.45</v>
          </cell>
          <cell r="V3794">
            <v>0.8</v>
          </cell>
          <cell r="W3794">
            <v>0</v>
          </cell>
          <cell r="X3794" t="str">
            <v>EST APARADOR BALI (TABOA TRANCADA NATURAL) - 1,8x0,45x0,8H</v>
          </cell>
          <cell r="Y3794">
            <v>0</v>
          </cell>
          <cell r="Z3794">
            <v>0.35</v>
          </cell>
          <cell r="AA3794">
            <v>0</v>
          </cell>
          <cell r="AB3794"/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3</v>
          </cell>
          <cell r="O3795">
            <v>151611</v>
          </cell>
          <cell r="P3795"/>
          <cell r="Q3795" t="str">
            <v>EST POLTRONA KORINA (APUI) TC PRISMA BELLA AQUA</v>
          </cell>
          <cell r="R3795"/>
          <cell r="S3795"/>
          <cell r="T3795">
            <v>0.74</v>
          </cell>
          <cell r="U3795">
            <v>0.87</v>
          </cell>
          <cell r="V3795">
            <v>0.9</v>
          </cell>
          <cell r="W3795">
            <v>0</v>
          </cell>
          <cell r="X3795" t="str">
            <v>EST POLTRONA KORINA (APUI) TC PRISMA BELLA AQUA - 0,74x0,87x0,9H</v>
          </cell>
          <cell r="Y3795">
            <v>0</v>
          </cell>
          <cell r="Z3795">
            <v>0.35</v>
          </cell>
          <cell r="AA3795">
            <v>0</v>
          </cell>
          <cell r="AB3795"/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4</v>
          </cell>
          <cell r="O3796">
            <v>151612</v>
          </cell>
          <cell r="P3796"/>
          <cell r="Q3796" t="str">
            <v>EST POLTRONA VEGA (TABOA TRANCADA NATURAL) TC FOLEY/AQUA</v>
          </cell>
          <cell r="R3796"/>
          <cell r="S3796"/>
          <cell r="T3796">
            <v>0.77</v>
          </cell>
          <cell r="U3796">
            <v>0.88</v>
          </cell>
          <cell r="V3796">
            <v>0.88</v>
          </cell>
          <cell r="W3796">
            <v>0</v>
          </cell>
          <cell r="X3796" t="str">
            <v>EST POLTRONA VEGA (TABOA TRANCADA NATURAL) TC FOLEY/AQUA - 0,77x0,88x0,88H</v>
          </cell>
          <cell r="Y3796">
            <v>0</v>
          </cell>
          <cell r="Z3796">
            <v>0.35</v>
          </cell>
          <cell r="AA3796">
            <v>0</v>
          </cell>
          <cell r="AB3796"/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4</v>
          </cell>
          <cell r="O3797">
            <v>151638</v>
          </cell>
          <cell r="P3797"/>
          <cell r="Q3797" t="str">
            <v>EST CADEIRA MEDALHAO (ESTOFADA) (LACA PRETA) TC SEDA 9739</v>
          </cell>
          <cell r="R3797"/>
          <cell r="S3797"/>
          <cell r="T3797">
            <v>0.51</v>
          </cell>
          <cell r="U3797">
            <v>0.52</v>
          </cell>
          <cell r="V3797">
            <v>0.95</v>
          </cell>
          <cell r="W3797">
            <v>0</v>
          </cell>
          <cell r="X3797" t="str">
            <v>EST CADEIRA MEDALHAO (ESTOFADA) (LACA PRETA) TC SEDA 9739 - 0,51x0,52x0,95H</v>
          </cell>
          <cell r="Y3797">
            <v>0</v>
          </cell>
          <cell r="Z3797">
            <v>0.35</v>
          </cell>
          <cell r="AA3797">
            <v>0</v>
          </cell>
          <cell r="AB3797"/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151663</v>
          </cell>
          <cell r="P3798"/>
          <cell r="Q3798" t="str">
            <v>EST MESA CENTRO GALDI (INOX POLIDO) (TRAVERTINO ROMANO)</v>
          </cell>
          <cell r="R3798"/>
          <cell r="S3798"/>
          <cell r="T3798">
            <v>0.8</v>
          </cell>
          <cell r="U3798">
            <v>0.8</v>
          </cell>
          <cell r="V3798">
            <v>0.3</v>
          </cell>
          <cell r="W3798">
            <v>0</v>
          </cell>
          <cell r="X3798" t="str">
            <v>EST MESA CENTRO GALDI (INOX POLIDO) (TRAVERTINO ROMANO) - 0,8x0,8x0,3H</v>
          </cell>
          <cell r="Y3798" t="e">
            <v>#VALUE!</v>
          </cell>
          <cell r="Z3798">
            <v>0.35</v>
          </cell>
          <cell r="AA3798" t="e">
            <v>#VALUE!</v>
          </cell>
          <cell r="AB3798"/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151679</v>
          </cell>
          <cell r="P3799" t="str">
            <v>2014/197-0093-01</v>
          </cell>
          <cell r="Q3799" t="str">
            <v>EST TAMPO CRISTAL LAPIDADO 20° (15MM) INCOLOR CTO RETO</v>
          </cell>
          <cell r="R3799"/>
          <cell r="S3799"/>
          <cell r="T3799">
            <v>1.5</v>
          </cell>
          <cell r="U3799">
            <v>1.5</v>
          </cell>
          <cell r="V3799">
            <v>0.01</v>
          </cell>
          <cell r="W3799">
            <v>0</v>
          </cell>
          <cell r="X3799" t="str">
            <v>EST TAMPO CRISTAL LAPIDADO 20° (15MM) INCOLOR CTO RETO - 1,5x1,5x0,01H</v>
          </cell>
          <cell r="Y3799">
            <v>12974.872499999999</v>
          </cell>
          <cell r="Z3799">
            <v>0.35</v>
          </cell>
          <cell r="AA3799">
            <v>8433.6671249999999</v>
          </cell>
          <cell r="AB3799"/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151719</v>
          </cell>
          <cell r="P3800"/>
          <cell r="Q3800" t="str">
            <v>EST APARADOR VILALBA (LACA BRILHO GRAFITE METALIZADA)</v>
          </cell>
          <cell r="R3800"/>
          <cell r="S3800"/>
          <cell r="T3800">
            <v>2</v>
          </cell>
          <cell r="U3800">
            <v>0.55000000000000004</v>
          </cell>
          <cell r="V3800">
            <v>0.76</v>
          </cell>
          <cell r="W3800">
            <v>0</v>
          </cell>
          <cell r="X3800" t="str">
            <v>EST APARADOR VILALBA (LACA BRILHO GRAFITE METALIZADA) - 2x0,55x0,76H</v>
          </cell>
          <cell r="Y3800">
            <v>0</v>
          </cell>
          <cell r="Z3800">
            <v>0.35</v>
          </cell>
          <cell r="AA3800">
            <v>0</v>
          </cell>
          <cell r="AB3800"/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157054</v>
          </cell>
          <cell r="P3801"/>
          <cell r="Q3801" t="str">
            <v>EST TAMPO CRISTAL LAPIDADO (15MM) INCOLOR (CIRCULAR)</v>
          </cell>
          <cell r="R3801"/>
          <cell r="S3801"/>
          <cell r="T3801">
            <v>1.3</v>
          </cell>
          <cell r="U3801">
            <v>0</v>
          </cell>
          <cell r="V3801">
            <v>0.01</v>
          </cell>
          <cell r="W3801">
            <v>1.3</v>
          </cell>
          <cell r="X3801" t="str">
            <v>EST TAMPO CRISTAL LAPIDADO (15MM) INCOLOR (CIRCULAR) - Ø1,3x0,01H</v>
          </cell>
          <cell r="Y3801" t="e">
            <v>#VALUE!</v>
          </cell>
          <cell r="Z3801">
            <v>0.35</v>
          </cell>
          <cell r="AA3801" t="e">
            <v>#VALUE!</v>
          </cell>
          <cell r="AB3801"/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157469</v>
          </cell>
          <cell r="P3802"/>
          <cell r="Q3802" t="str">
            <v>EST MESA CENTRO LEE (LACA BRILHO BRANCA)</v>
          </cell>
          <cell r="R3802"/>
          <cell r="S3802"/>
          <cell r="T3802">
            <v>0.8</v>
          </cell>
          <cell r="U3802">
            <v>0.8</v>
          </cell>
          <cell r="V3802">
            <v>0.3</v>
          </cell>
          <cell r="W3802">
            <v>0</v>
          </cell>
          <cell r="X3802" t="str">
            <v>EST MESA CENTRO LEE (LACA BRILHO BRANCA) - 0,8x0,8x0,3H</v>
          </cell>
          <cell r="Y3802">
            <v>0</v>
          </cell>
          <cell r="Z3802">
            <v>0.35</v>
          </cell>
          <cell r="AA3802">
            <v>0</v>
          </cell>
          <cell r="AB3802"/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2</v>
          </cell>
          <cell r="O3803">
            <v>159364</v>
          </cell>
          <cell r="P3803"/>
          <cell r="Q3803" t="str">
            <v>EST CADEIRA SMALL (ENVELHECIDO) TC 3005</v>
          </cell>
          <cell r="R3803"/>
          <cell r="S3803"/>
          <cell r="T3803">
            <v>0.46</v>
          </cell>
          <cell r="U3803">
            <v>0.56000000000000005</v>
          </cell>
          <cell r="V3803">
            <v>0.86</v>
          </cell>
          <cell r="W3803">
            <v>0</v>
          </cell>
          <cell r="X3803" t="str">
            <v>EST CADEIRA SMALL (ENVELHECIDO) TC 3005 - 0,46x0,56x0,86H</v>
          </cell>
          <cell r="Y3803">
            <v>0</v>
          </cell>
          <cell r="Z3803">
            <v>0.35</v>
          </cell>
          <cell r="AA3803">
            <v>0</v>
          </cell>
          <cell r="AB3803"/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0</v>
          </cell>
          <cell r="O3804">
            <v>160738</v>
          </cell>
          <cell r="P3804"/>
          <cell r="Q3804" t="str">
            <v>EST POTE LEITEIRA JAYME B.DAMASCOS (COD. 10652)</v>
          </cell>
          <cell r="R3804"/>
          <cell r="S3804"/>
          <cell r="T3804">
            <v>0.23</v>
          </cell>
          <cell r="U3804">
            <v>0.37</v>
          </cell>
          <cell r="V3804">
            <v>0</v>
          </cell>
          <cell r="W3804">
            <v>0</v>
          </cell>
          <cell r="X3804" t="str">
            <v>EST POTE LEITEIRA JAYME B.DAMASCOS (COD. 10652) - 0,23x0,37x0H</v>
          </cell>
          <cell r="Y3804">
            <v>0</v>
          </cell>
          <cell r="Z3804">
            <v>0.35</v>
          </cell>
          <cell r="AA3804">
            <v>0</v>
          </cell>
          <cell r="AB3804"/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2</v>
          </cell>
          <cell r="O3805">
            <v>160943</v>
          </cell>
          <cell r="P3805" t="str">
            <v>2024/323-0016-01</v>
          </cell>
          <cell r="Q3805" t="str">
            <v>EST TAMPO CRISTAL LAPIDADO (15MM) INCOLOR RETILINEO</v>
          </cell>
          <cell r="R3805"/>
          <cell r="S3805"/>
          <cell r="T3805">
            <v>1.5</v>
          </cell>
          <cell r="U3805">
            <v>1.5</v>
          </cell>
          <cell r="V3805">
            <v>0.01</v>
          </cell>
          <cell r="W3805">
            <v>0</v>
          </cell>
          <cell r="X3805" t="str">
            <v>EST TAMPO CRISTAL LAPIDADO (15MM) INCOLOR RETILINEO - 1,5x1,5x0,01H</v>
          </cell>
          <cell r="Y3805">
            <v>12974.872499999999</v>
          </cell>
          <cell r="Z3805">
            <v>0.35</v>
          </cell>
          <cell r="AA3805">
            <v>8433.6671249999999</v>
          </cell>
          <cell r="AB3805"/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2</v>
          </cell>
          <cell r="O3806">
            <v>160943</v>
          </cell>
          <cell r="P3806" t="str">
            <v>2014/293-0001-01</v>
          </cell>
          <cell r="Q3806" t="str">
            <v>EST TAMPO CRISTAL LAPIDADO (15MM) INCOLOR RETILINEO</v>
          </cell>
          <cell r="R3806"/>
          <cell r="S3806"/>
          <cell r="T3806">
            <v>1.5</v>
          </cell>
          <cell r="U3806">
            <v>1.5</v>
          </cell>
          <cell r="V3806">
            <v>0.01</v>
          </cell>
          <cell r="W3806">
            <v>0</v>
          </cell>
          <cell r="X3806" t="str">
            <v>EST TAMPO CRISTAL LAPIDADO (15MM) INCOLOR RETILINEO - 1,5x1,5x0,01H</v>
          </cell>
          <cell r="Y3806">
            <v>12974.872499999999</v>
          </cell>
          <cell r="Z3806">
            <v>0.35</v>
          </cell>
          <cell r="AA3806">
            <v>8433.6671249999999</v>
          </cell>
          <cell r="AB3806"/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1</v>
          </cell>
          <cell r="O3807">
            <v>163364</v>
          </cell>
          <cell r="P3807"/>
          <cell r="Q3807" t="str">
            <v>EST COMODA MIXED (ROVERE NOGUEIRA) (GAVETA LACA BEGE)</v>
          </cell>
          <cell r="R3807"/>
          <cell r="S3807"/>
          <cell r="T3807">
            <v>1</v>
          </cell>
          <cell r="U3807">
            <v>0.5</v>
          </cell>
          <cell r="V3807">
            <v>0.9</v>
          </cell>
          <cell r="W3807">
            <v>0</v>
          </cell>
          <cell r="X3807" t="str">
            <v>EST COMODA MIXED (ROVERE NOGUEIRA) (GAVETA LACA BEGE) - 1x0,5x0,9H</v>
          </cell>
          <cell r="Y3807">
            <v>0</v>
          </cell>
          <cell r="Z3807">
            <v>0.35</v>
          </cell>
          <cell r="AA3807">
            <v>0</v>
          </cell>
          <cell r="AB3807"/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1</v>
          </cell>
          <cell r="O3808">
            <v>163757</v>
          </cell>
          <cell r="P3808"/>
          <cell r="Q3808" t="str">
            <v>EST CADEIRA SMALL (ENVELHECIDO) TC 2008</v>
          </cell>
          <cell r="R3808"/>
          <cell r="S3808"/>
          <cell r="T3808">
            <v>0.46</v>
          </cell>
          <cell r="U3808">
            <v>0.56000000000000005</v>
          </cell>
          <cell r="V3808">
            <v>0.86</v>
          </cell>
          <cell r="W3808">
            <v>0</v>
          </cell>
          <cell r="X3808" t="str">
            <v>EST CADEIRA SMALL (ENVELHECIDO) TC 2008 - 0,46x0,56x0,86H</v>
          </cell>
          <cell r="Y3808">
            <v>0</v>
          </cell>
          <cell r="Z3808">
            <v>0.35</v>
          </cell>
          <cell r="AA3808">
            <v>0</v>
          </cell>
          <cell r="AB3808"/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1</v>
          </cell>
          <cell r="O3809">
            <v>163804</v>
          </cell>
          <cell r="P3809"/>
          <cell r="Q3809" t="str">
            <v>EST APARADOR RIOS (MEL FOSCO)</v>
          </cell>
          <cell r="R3809"/>
          <cell r="S3809"/>
          <cell r="T3809">
            <v>2.2999999999999998</v>
          </cell>
          <cell r="U3809">
            <v>0.4</v>
          </cell>
          <cell r="V3809">
            <v>0.76</v>
          </cell>
          <cell r="W3809">
            <v>0</v>
          </cell>
          <cell r="X3809" t="str">
            <v>EST APARADOR RIOS (MEL FOSCO) - 2,3x0,4x0,76H</v>
          </cell>
          <cell r="Y3809">
            <v>0</v>
          </cell>
          <cell r="Z3809">
            <v>0.35</v>
          </cell>
          <cell r="AA3809">
            <v>0</v>
          </cell>
          <cell r="AB3809"/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166407</v>
          </cell>
          <cell r="P3810" t="str">
            <v>2015/044-0003-01</v>
          </cell>
          <cell r="Q3810" t="str">
            <v>EST TAMPO CRISTAL LAPIDADO (12MM) INCOLOR CTO MOEDA</v>
          </cell>
          <cell r="R3810"/>
          <cell r="S3810"/>
          <cell r="T3810">
            <v>1.7</v>
          </cell>
          <cell r="U3810">
            <v>1.1000000000000001</v>
          </cell>
          <cell r="V3810">
            <v>0.01</v>
          </cell>
          <cell r="W3810">
            <v>0</v>
          </cell>
          <cell r="X3810" t="str">
            <v>EST TAMPO CRISTAL LAPIDADO (12MM) INCOLOR CTO MOEDA - 1,7x1,1x0,01H</v>
          </cell>
          <cell r="Y3810">
            <v>7191.7582000000002</v>
          </cell>
          <cell r="Z3810">
            <v>0.35</v>
          </cell>
          <cell r="AA3810">
            <v>4674.6428300000007</v>
          </cell>
          <cell r="AB3810"/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2</v>
          </cell>
          <cell r="O3811">
            <v>174976</v>
          </cell>
          <cell r="P3811"/>
          <cell r="Q3811" t="str">
            <v>EST POLTROMA COOL (INOX) TC BOUCLE PRETO</v>
          </cell>
          <cell r="R3811"/>
          <cell r="S3811"/>
          <cell r="T3811">
            <v>0.8</v>
          </cell>
          <cell r="U3811">
            <v>0.3</v>
          </cell>
          <cell r="V3811">
            <v>0.68</v>
          </cell>
          <cell r="W3811">
            <v>0</v>
          </cell>
          <cell r="X3811" t="str">
            <v>EST POLTROMA COOL (INOX) TC BOUCLE PRETO - 0,8x0,3x0,68H</v>
          </cell>
          <cell r="Y3811">
            <v>0</v>
          </cell>
          <cell r="Z3811">
            <v>0.35</v>
          </cell>
          <cell r="AA3811">
            <v>0</v>
          </cell>
          <cell r="AB3811"/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175157</v>
          </cell>
          <cell r="P3812"/>
          <cell r="Q3812" t="str">
            <v>EST BUFFET MICHELLE II (CHAMPAGNE METALIC) (PELINO BRANCO)</v>
          </cell>
          <cell r="R3812"/>
          <cell r="S3812"/>
          <cell r="T3812">
            <v>2</v>
          </cell>
          <cell r="U3812">
            <v>0.5</v>
          </cell>
          <cell r="V3812">
            <v>0.8</v>
          </cell>
          <cell r="W3812">
            <v>0</v>
          </cell>
          <cell r="X3812" t="str">
            <v>EST BUFFET MICHELLE II (CHAMPAGNE METALIC) (PELINO BRANCO) - 2x0,5x0,8H</v>
          </cell>
          <cell r="Y3812">
            <v>0</v>
          </cell>
          <cell r="Z3812">
            <v>0.35</v>
          </cell>
          <cell r="AA3812">
            <v>0</v>
          </cell>
          <cell r="AB3812"/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175629</v>
          </cell>
          <cell r="P3813"/>
          <cell r="Q3813" t="str">
            <v>EST BANCO STRONGER (ALUMINIO PRETO)</v>
          </cell>
          <cell r="R3813"/>
          <cell r="S3813"/>
          <cell r="T3813">
            <v>2</v>
          </cell>
          <cell r="U3813">
            <v>0.6</v>
          </cell>
          <cell r="V3813">
            <v>0.45</v>
          </cell>
          <cell r="W3813">
            <v>0</v>
          </cell>
          <cell r="X3813" t="str">
            <v>EST BANCO STRONGER (ALUMINIO PRETO) - 2x0,6x0,45H</v>
          </cell>
          <cell r="Y3813" t="e">
            <v>#VALUE!</v>
          </cell>
          <cell r="Z3813">
            <v>0.35</v>
          </cell>
          <cell r="AA3813" t="e">
            <v>#VALUE!</v>
          </cell>
          <cell r="AB3813"/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178083</v>
          </cell>
          <cell r="P3814"/>
          <cell r="Q3814" t="str">
            <v>EST POLTRONA NANA (MEL CLARO) (TELA NATURAL)</v>
          </cell>
          <cell r="R3814"/>
          <cell r="S3814"/>
          <cell r="T3814">
            <v>0</v>
          </cell>
          <cell r="U3814">
            <v>0</v>
          </cell>
          <cell r="V3814">
            <v>0</v>
          </cell>
          <cell r="W3814">
            <v>0</v>
          </cell>
          <cell r="X3814" t="str">
            <v>EST POLTRONA NANA (MEL CLARO) (TELA NATURAL) - Ø0x0H</v>
          </cell>
          <cell r="Y3814">
            <v>0</v>
          </cell>
          <cell r="Z3814">
            <v>0.35</v>
          </cell>
          <cell r="AA3814">
            <v>0</v>
          </cell>
          <cell r="AB3814"/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2</v>
          </cell>
          <cell r="O3815">
            <v>178904</v>
          </cell>
          <cell r="P3815"/>
          <cell r="Q3815" t="str">
            <v>EST CADEIRA WILL ()TAEDA MARROM CLARO)</v>
          </cell>
          <cell r="R3815"/>
          <cell r="S3815"/>
          <cell r="T3815">
            <v>0.42</v>
          </cell>
          <cell r="U3815">
            <v>0.55000000000000004</v>
          </cell>
          <cell r="V3815">
            <v>0.79</v>
          </cell>
          <cell r="W3815">
            <v>0</v>
          </cell>
          <cell r="X3815" t="str">
            <v>EST CADEIRA WILL ()TAEDA MARROM CLARO) - 0,42x0,55x0,79H</v>
          </cell>
          <cell r="Y3815">
            <v>0</v>
          </cell>
          <cell r="Z3815">
            <v>0.35</v>
          </cell>
          <cell r="AA3815">
            <v>0</v>
          </cell>
          <cell r="AB3815"/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179026</v>
          </cell>
          <cell r="P3816" t="str">
            <v>2015/316-000-801</v>
          </cell>
          <cell r="Q3816" t="str">
            <v>EST TAMPO CRISTAL LAPIDADO (10MM) ULTRA CLEAR BCO CTO RETO</v>
          </cell>
          <cell r="R3816"/>
          <cell r="S3816"/>
          <cell r="T3816">
            <v>1.6</v>
          </cell>
          <cell r="U3816">
            <v>1.1000000000000001</v>
          </cell>
          <cell r="V3816">
            <v>0.01</v>
          </cell>
          <cell r="W3816">
            <v>0</v>
          </cell>
          <cell r="X3816" t="str">
            <v>EST TAMPO CRISTAL LAPIDADO (10MM) ULTRA CLEAR BCO CTO RETO - 1,6x1,1x0,01H</v>
          </cell>
          <cell r="Y3816">
            <v>12910.251200000001</v>
          </cell>
          <cell r="Z3816">
            <v>0.35</v>
          </cell>
          <cell r="AA3816">
            <v>8391.6632800000007</v>
          </cell>
          <cell r="AB3816"/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1</v>
          </cell>
          <cell r="O3817">
            <v>179052</v>
          </cell>
          <cell r="P3817"/>
          <cell r="Q3817" t="str">
            <v>EST MESA CENTRO TOM (NOGUEIRA) (PONTEIRAS LATAO) (VD OURO)</v>
          </cell>
          <cell r="R3817"/>
          <cell r="S3817"/>
          <cell r="T3817">
            <v>1.6</v>
          </cell>
          <cell r="U3817">
            <v>0.6</v>
          </cell>
          <cell r="V3817">
            <v>0.3</v>
          </cell>
          <cell r="W3817">
            <v>0</v>
          </cell>
          <cell r="X3817" t="str">
            <v>EST MESA CENTRO TOM (NOGUEIRA) (PONTEIRAS LATAO) (VD OURO) - 1,6x0,6x0,3H</v>
          </cell>
          <cell r="Y3817">
            <v>0</v>
          </cell>
          <cell r="Z3817">
            <v>0.35</v>
          </cell>
          <cell r="AA3817">
            <v>0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7</v>
          </cell>
          <cell r="O3818">
            <v>179057</v>
          </cell>
          <cell r="P3818"/>
          <cell r="Q3818" t="str">
            <v>EST BANCO BETA (LACA BRILHO M033)</v>
          </cell>
          <cell r="R3818"/>
          <cell r="S3818"/>
          <cell r="T3818">
            <v>0.45</v>
          </cell>
          <cell r="U3818">
            <v>0.45</v>
          </cell>
          <cell r="V3818">
            <v>0.45</v>
          </cell>
          <cell r="W3818">
            <v>0</v>
          </cell>
          <cell r="X3818" t="str">
            <v>EST BANCO BETA (LACA BRILHO M033) - 0,45x0,45x0,45H</v>
          </cell>
          <cell r="Y3818">
            <v>0</v>
          </cell>
          <cell r="Z3818">
            <v>0.35</v>
          </cell>
          <cell r="AA3818">
            <v>0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179253</v>
          </cell>
          <cell r="P3819"/>
          <cell r="Q3819" t="str">
            <v>EST MOVEL BAR BARTHO (LACA GRAFITE FSC) (VD PINTADO PRETO)</v>
          </cell>
          <cell r="R3819"/>
          <cell r="S3819"/>
          <cell r="T3819">
            <v>1.1599999999999999</v>
          </cell>
          <cell r="U3819">
            <v>0.46</v>
          </cell>
          <cell r="V3819">
            <v>0.99</v>
          </cell>
          <cell r="W3819">
            <v>0</v>
          </cell>
          <cell r="X3819" t="str">
            <v>EST MOVEL BAR BARTHO (LACA GRAFITE FSC) (VD PINTADO PRETO) - 1,16x0,46x0,99H</v>
          </cell>
          <cell r="Y3819">
            <v>0</v>
          </cell>
          <cell r="Z3819">
            <v>0.35</v>
          </cell>
          <cell r="AA3819">
            <v>0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179261</v>
          </cell>
          <cell r="P3820"/>
          <cell r="Q3820" t="str">
            <v>EST CADEIRA MEDALHAO FUTURE (IMBUIA) TC LINHO CRU</v>
          </cell>
          <cell r="R3820"/>
          <cell r="S3820"/>
          <cell r="T3820">
            <v>0</v>
          </cell>
          <cell r="U3820">
            <v>0</v>
          </cell>
          <cell r="V3820">
            <v>0</v>
          </cell>
          <cell r="W3820">
            <v>0</v>
          </cell>
          <cell r="X3820" t="str">
            <v>EST CADEIRA MEDALHAO FUTURE (IMBUIA) TC LINHO CRU - Ø0x0H</v>
          </cell>
          <cell r="Y3820">
            <v>0</v>
          </cell>
          <cell r="Z3820">
            <v>0.35</v>
          </cell>
          <cell r="AA3820">
            <v>0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0</v>
          </cell>
          <cell r="O3821">
            <v>181338</v>
          </cell>
          <cell r="P3821"/>
          <cell r="Q3821" t="str">
            <v>EST QUADRO PAGINAS (MP060B-4040-CV)</v>
          </cell>
          <cell r="R3821"/>
          <cell r="S3821"/>
          <cell r="T3821">
            <v>0.4</v>
          </cell>
          <cell r="U3821">
            <v>0.4</v>
          </cell>
          <cell r="V3821">
            <v>0</v>
          </cell>
          <cell r="W3821">
            <v>0</v>
          </cell>
          <cell r="X3821" t="str">
            <v>EST QUADRO PAGINAS (MP060B-4040-CV) - 0,4x0,4x0H</v>
          </cell>
          <cell r="Y3821">
            <v>0</v>
          </cell>
          <cell r="Z3821">
            <v>0.35</v>
          </cell>
          <cell r="AA3821">
            <v>0</v>
          </cell>
          <cell r="AB3821"/>
        </row>
        <row r="3822"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H3822">
            <v>1</v>
          </cell>
          <cell r="O3822">
            <v>182608</v>
          </cell>
          <cell r="P3822"/>
          <cell r="Q3822" t="str">
            <v>EST MESA CENTRO LUMINA (ALUMINIO CAPUCCINO)</v>
          </cell>
          <cell r="R3822"/>
          <cell r="S3822"/>
          <cell r="T3822">
            <v>1.5</v>
          </cell>
          <cell r="U3822">
            <v>0.75</v>
          </cell>
          <cell r="V3822">
            <v>0.25</v>
          </cell>
          <cell r="W3822">
            <v>0</v>
          </cell>
          <cell r="X3822" t="str">
            <v>EST MESA CENTRO LUMINA (ALUMINIO CAPUCCINO) - 1,5x0,75x0,25H</v>
          </cell>
          <cell r="Y3822">
            <v>0</v>
          </cell>
          <cell r="Z3822">
            <v>0.35</v>
          </cell>
          <cell r="AA3822">
            <v>0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182609</v>
          </cell>
          <cell r="P3823"/>
          <cell r="Q3823" t="str">
            <v>EST MESA CENTRO ALECRIM (FIBRA ESTONADO TABACO)</v>
          </cell>
          <cell r="R3823"/>
          <cell r="S3823"/>
          <cell r="T3823">
            <v>0.8</v>
          </cell>
          <cell r="U3823">
            <v>0.8</v>
          </cell>
          <cell r="V3823">
            <v>0.3</v>
          </cell>
          <cell r="W3823">
            <v>0</v>
          </cell>
          <cell r="X3823" t="str">
            <v>EST MESA CENTRO ALECRIM (FIBRA ESTONADO TABACO) - 0,8x0,8x0,3H</v>
          </cell>
          <cell r="Y3823">
            <v>0</v>
          </cell>
          <cell r="Z3823">
            <v>0.35</v>
          </cell>
          <cell r="AA3823">
            <v>0</v>
          </cell>
          <cell r="AB3823"/>
        </row>
        <row r="3824">
          <cell r="C3824">
            <v>1</v>
          </cell>
          <cell r="D3824">
            <v>0</v>
          </cell>
          <cell r="E3824">
            <v>0</v>
          </cell>
          <cell r="F3824">
            <v>0</v>
          </cell>
          <cell r="H3824">
            <v>2</v>
          </cell>
          <cell r="O3824">
            <v>182715</v>
          </cell>
          <cell r="P3824" t="str">
            <v>2016/019-0148-01</v>
          </cell>
          <cell r="Q3824" t="str">
            <v>EST SOFA TABLE POSITANO (EXTERNO ROVERE) (INTERNO BRANCO)</v>
          </cell>
          <cell r="R3824"/>
          <cell r="S3824"/>
          <cell r="T3824">
            <v>2.6</v>
          </cell>
          <cell r="U3824">
            <v>1</v>
          </cell>
          <cell r="V3824">
            <v>0.45</v>
          </cell>
          <cell r="W3824">
            <v>0</v>
          </cell>
          <cell r="X3824" t="str">
            <v>EST SOFA TABLE POSITANO (EXTERNO ROVERE) (INTERNO BRANCO) - 2,6x1x0,45H</v>
          </cell>
          <cell r="Y3824">
            <v>14135.7</v>
          </cell>
          <cell r="Z3824">
            <v>0.35</v>
          </cell>
          <cell r="AA3824">
            <v>9188.2050000000017</v>
          </cell>
          <cell r="AB3824"/>
        </row>
        <row r="3825">
          <cell r="C3825">
            <v>1</v>
          </cell>
          <cell r="D3825">
            <v>0</v>
          </cell>
          <cell r="E3825">
            <v>0</v>
          </cell>
          <cell r="F3825">
            <v>0</v>
          </cell>
          <cell r="H3825">
            <v>2</v>
          </cell>
          <cell r="O3825">
            <v>182715</v>
          </cell>
          <cell r="P3825" t="str">
            <v>2016/019-0149-01</v>
          </cell>
          <cell r="Q3825" t="str">
            <v>EST SOFA TABLE POSITANO (EXTERNO ROVERE) (INTERNO BRANCO)</v>
          </cell>
          <cell r="R3825"/>
          <cell r="S3825"/>
          <cell r="T3825">
            <v>2.6</v>
          </cell>
          <cell r="U3825">
            <v>1</v>
          </cell>
          <cell r="V3825">
            <v>0.45</v>
          </cell>
          <cell r="W3825">
            <v>0</v>
          </cell>
          <cell r="X3825" t="str">
            <v>EST SOFA TABLE POSITANO (EXTERNO ROVERE) (INTERNO BRANCO) - 2,6x1x0,45H</v>
          </cell>
          <cell r="Y3825">
            <v>14135.7</v>
          </cell>
          <cell r="Z3825">
            <v>0.35</v>
          </cell>
          <cell r="AA3825">
            <v>9188.2050000000017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183815</v>
          </cell>
          <cell r="P3826"/>
          <cell r="Q3826" t="str">
            <v>EST BANCO CLARICE (CUMARU)</v>
          </cell>
          <cell r="R3826"/>
          <cell r="S3826"/>
          <cell r="T3826">
            <v>2.4700000000000002</v>
          </cell>
          <cell r="U3826">
            <v>0.46</v>
          </cell>
          <cell r="V3826">
            <v>0.46</v>
          </cell>
          <cell r="W3826">
            <v>0</v>
          </cell>
          <cell r="X3826" t="str">
            <v>EST BANCO CLARICE (CUMARU) - 2,47x0,46x0,46H</v>
          </cell>
          <cell r="Y3826">
            <v>0</v>
          </cell>
          <cell r="Z3826">
            <v>0.35</v>
          </cell>
          <cell r="AA3826">
            <v>0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186330</v>
          </cell>
          <cell r="P3827"/>
          <cell r="Q3827" t="str">
            <v>EST POLTRONA LIVEA (ALUMINIO FENDI) TC 200031 C/VIVOS 3007</v>
          </cell>
          <cell r="R3827"/>
          <cell r="S3827"/>
          <cell r="T3827">
            <v>0.88</v>
          </cell>
          <cell r="U3827">
            <v>1.1499999999999999</v>
          </cell>
          <cell r="V3827">
            <v>0.98</v>
          </cell>
          <cell r="W3827">
            <v>0</v>
          </cell>
          <cell r="X3827" t="str">
            <v>EST POLTRONA LIVEA (ALUMINIO FENDI) TC 200031 C/VIVOS 3007 - 0,88x1,15x0,98H</v>
          </cell>
          <cell r="Y3827">
            <v>0</v>
          </cell>
          <cell r="Z3827">
            <v>0.35</v>
          </cell>
          <cell r="AA3827">
            <v>0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187342</v>
          </cell>
          <cell r="P3828"/>
          <cell r="Q3828" t="str">
            <v>EST MODULO CHAISE BRACO DIR AFTONE TC 4085 | TC F6034</v>
          </cell>
          <cell r="R3828"/>
          <cell r="S3828"/>
          <cell r="T3828">
            <v>1</v>
          </cell>
          <cell r="U3828">
            <v>2.85</v>
          </cell>
          <cell r="V3828">
            <v>0</v>
          </cell>
          <cell r="W3828">
            <v>0</v>
          </cell>
          <cell r="X3828" t="str">
            <v>EST MODULO CHAISE BRACO DIR AFTONE TC 4085 | TC F6034 - 1x2,85x0H</v>
          </cell>
          <cell r="Y3828">
            <v>0</v>
          </cell>
          <cell r="Z3828">
            <v>0.35</v>
          </cell>
          <cell r="AA3828">
            <v>0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2</v>
          </cell>
          <cell r="O3829">
            <v>187636</v>
          </cell>
          <cell r="P3829"/>
          <cell r="Q3829" t="str">
            <v>EST CADEIRA PLIS (CASTANHO) TC 7008 | TC 5343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(CASTANHO) TC 7008 | TC 5343 - 0,58x0,64x0,94H</v>
          </cell>
          <cell r="Y3829" t="str">
            <v>EST</v>
          </cell>
          <cell r="Z3829">
            <v>0.35</v>
          </cell>
          <cell r="AA3829" t="e">
            <v>#VALUE!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191066</v>
          </cell>
          <cell r="P3830"/>
          <cell r="Q3830" t="str">
            <v>EST POLTRONA DIONE (PES REVESTIDOS) TC 647-B4</v>
          </cell>
          <cell r="R3830"/>
          <cell r="S3830"/>
          <cell r="T3830">
            <v>1.2</v>
          </cell>
          <cell r="U3830">
            <v>0.98</v>
          </cell>
          <cell r="V3830">
            <v>0.85</v>
          </cell>
          <cell r="W3830">
            <v>0</v>
          </cell>
          <cell r="X3830" t="str">
            <v>EST POLTRONA DIONE (PES REVESTIDOS) TC 647-B4 - 1,2x0,98x0,85H</v>
          </cell>
          <cell r="Y3830">
            <v>0</v>
          </cell>
          <cell r="Z3830">
            <v>0.35</v>
          </cell>
          <cell r="AA3830">
            <v>0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193067</v>
          </cell>
          <cell r="P3831"/>
          <cell r="Q3831" t="str">
            <v>EST MESA CENTRO MOOVE (INOX) (FREIJO) (LACA K155)</v>
          </cell>
          <cell r="R3831"/>
          <cell r="S3831"/>
          <cell r="T3831">
            <v>1.4</v>
          </cell>
          <cell r="U3831">
            <v>1.4</v>
          </cell>
          <cell r="V3831">
            <v>0.34</v>
          </cell>
          <cell r="W3831">
            <v>0</v>
          </cell>
          <cell r="X3831" t="str">
            <v>EST MESA CENTRO MOOVE (INOX) (FREIJO) (LACA K155) - 1,4x1,4x0,34H</v>
          </cell>
          <cell r="Y3831">
            <v>0</v>
          </cell>
          <cell r="Z3831">
            <v>0.35</v>
          </cell>
          <cell r="AA3831">
            <v>0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1</v>
          </cell>
          <cell r="O3832">
            <v>196057</v>
          </cell>
          <cell r="P3832"/>
          <cell r="Q3832" t="str">
            <v>EST MESA CENTRO BERTALHA (ALUMINIO CAPUCCINO)</v>
          </cell>
          <cell r="R3832"/>
          <cell r="S3832"/>
          <cell r="T3832">
            <v>1.1000000000000001</v>
          </cell>
          <cell r="U3832">
            <v>1.1000000000000001</v>
          </cell>
          <cell r="V3832">
            <v>0.23</v>
          </cell>
          <cell r="W3832">
            <v>0</v>
          </cell>
          <cell r="X3832" t="str">
            <v>EST MESA CENTRO BERTALHA (ALUMINIO CAPUCCINO) - 1,1x1,1x0,23H</v>
          </cell>
          <cell r="Y3832">
            <v>0</v>
          </cell>
          <cell r="Z3832">
            <v>0.35</v>
          </cell>
          <cell r="AA3832">
            <v>0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1</v>
          </cell>
          <cell r="O3833">
            <v>196058</v>
          </cell>
          <cell r="P3833"/>
          <cell r="Q3833" t="str">
            <v>EST POLTRONA EIXO (CAPUCCINO) (FB44/FB42) TC Q151</v>
          </cell>
          <cell r="R3833"/>
          <cell r="S3833"/>
          <cell r="T3833">
            <v>0.7</v>
          </cell>
          <cell r="U3833">
            <v>0.7</v>
          </cell>
          <cell r="V3833">
            <v>0.78</v>
          </cell>
          <cell r="W3833">
            <v>0</v>
          </cell>
          <cell r="X3833" t="str">
            <v>EST POLTRONA EIXO (CAPUCCINO) (FB44/FB42) TC Q151 - 0,7x0,7x0,78H</v>
          </cell>
          <cell r="Y3833">
            <v>0</v>
          </cell>
          <cell r="Z3833">
            <v>0.35</v>
          </cell>
          <cell r="AA3833">
            <v>0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2</v>
          </cell>
          <cell r="O3834">
            <v>196059</v>
          </cell>
          <cell r="P3834"/>
          <cell r="Q3834" t="str">
            <v>EST POLTRONA FLY (CAPUCCINO) (FIBRA FB42) TC Q135</v>
          </cell>
          <cell r="R3834"/>
          <cell r="S3834"/>
          <cell r="T3834">
            <v>0.7</v>
          </cell>
          <cell r="U3834">
            <v>0.69</v>
          </cell>
          <cell r="V3834">
            <v>0.81</v>
          </cell>
          <cell r="W3834">
            <v>0</v>
          </cell>
          <cell r="X3834" t="str">
            <v>EST POLTRONA FLY (CAPUCCINO) (FIBRA FB42) TC Q135 - 0,7x0,69x0,81H</v>
          </cell>
          <cell r="Y3834">
            <v>0</v>
          </cell>
          <cell r="Z3834">
            <v>0.35</v>
          </cell>
          <cell r="AA3834">
            <v>0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1</v>
          </cell>
          <cell r="O3835">
            <v>201241</v>
          </cell>
          <cell r="P3835"/>
          <cell r="Q3835" t="str">
            <v>EST POLTRONA DONNA (IMBUIA) TC 0116 D</v>
          </cell>
          <cell r="R3835"/>
          <cell r="S3835"/>
          <cell r="T3835">
            <v>0.9</v>
          </cell>
          <cell r="U3835">
            <v>0.84</v>
          </cell>
          <cell r="V3835">
            <v>0.85</v>
          </cell>
          <cell r="W3835">
            <v>0</v>
          </cell>
          <cell r="X3835" t="str">
            <v>EST POLTRONA DONNA (IMBUIA) TC 0116 D - 0,9x0,84x0,85H</v>
          </cell>
          <cell r="Y3835">
            <v>0</v>
          </cell>
          <cell r="Z3835">
            <v>0.35</v>
          </cell>
          <cell r="AA3835">
            <v>0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1</v>
          </cell>
          <cell r="O3836">
            <v>203130</v>
          </cell>
          <cell r="P3836"/>
          <cell r="Q3836" t="str">
            <v>EST POLTRONA PAETE (C/CAPA) (FIXA) TC 10030113</v>
          </cell>
          <cell r="R3836"/>
          <cell r="S3836"/>
          <cell r="T3836">
            <v>0.9</v>
          </cell>
          <cell r="U3836">
            <v>0.87</v>
          </cell>
          <cell r="V3836">
            <v>0.86</v>
          </cell>
          <cell r="W3836">
            <v>0</v>
          </cell>
          <cell r="X3836" t="str">
            <v>EST POLTRONA PAETE (C/CAPA) (FIXA) TC 10030113 - 0,9x0,87x0,86H</v>
          </cell>
          <cell r="Y3836">
            <v>0</v>
          </cell>
          <cell r="Z3836">
            <v>0.35</v>
          </cell>
          <cell r="AA3836">
            <v>0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1</v>
          </cell>
          <cell r="O3837">
            <v>203135</v>
          </cell>
          <cell r="P3837"/>
          <cell r="Q3837" t="str">
            <v>EST CADEIRA ZARA (MADEIRA IMBUIA MEL) TC P3339</v>
          </cell>
          <cell r="R3837"/>
          <cell r="S3837"/>
          <cell r="T3837">
            <v>0.48</v>
          </cell>
          <cell r="U3837">
            <v>0.53</v>
          </cell>
          <cell r="V3837">
            <v>0.85</v>
          </cell>
          <cell r="W3837">
            <v>0</v>
          </cell>
          <cell r="X3837" t="str">
            <v>EST CADEIRA ZARA (MADEIRA IMBUIA MEL) TC P3339 - 0,48x0,53x0,85H</v>
          </cell>
          <cell r="Y3837">
            <v>0</v>
          </cell>
          <cell r="Z3837">
            <v>0.35</v>
          </cell>
          <cell r="AA3837">
            <v>0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203139</v>
          </cell>
          <cell r="P3838"/>
          <cell r="Q3838" t="str">
            <v>EST POLTRONA VOGUE (MADEIRA MEL) TC P3321</v>
          </cell>
          <cell r="R3838"/>
          <cell r="S3838"/>
          <cell r="T3838">
            <v>0.55000000000000004</v>
          </cell>
          <cell r="U3838">
            <v>0.51</v>
          </cell>
          <cell r="V3838">
            <v>0.91</v>
          </cell>
          <cell r="W3838">
            <v>0</v>
          </cell>
          <cell r="X3838" t="str">
            <v>EST POLTRONA VOGUE (MADEIRA MEL) TC P3321 - 0,55x0,51x0,91H</v>
          </cell>
          <cell r="Y3838">
            <v>0</v>
          </cell>
          <cell r="Z3838">
            <v>0.35</v>
          </cell>
          <cell r="AA3838">
            <v>0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203140</v>
          </cell>
          <cell r="P3839"/>
          <cell r="Q3839" t="str">
            <v>EST POLTRONA VOGUE (MADEIRA IMBUIA MEL) TC G2228</v>
          </cell>
          <cell r="R3839"/>
          <cell r="S3839"/>
          <cell r="T3839">
            <v>0.55000000000000004</v>
          </cell>
          <cell r="U3839">
            <v>0.51</v>
          </cell>
          <cell r="V3839">
            <v>0.91</v>
          </cell>
          <cell r="W3839">
            <v>0</v>
          </cell>
          <cell r="X3839" t="str">
            <v>EST POLTRONA VOGUE (MADEIRA IMBUIA MEL) TC G2228 - 0,55x0,51x0,91H</v>
          </cell>
          <cell r="Y3839">
            <v>0</v>
          </cell>
          <cell r="Z3839">
            <v>0.35</v>
          </cell>
          <cell r="AA3839">
            <v>0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2</v>
          </cell>
          <cell r="O3840">
            <v>203600</v>
          </cell>
          <cell r="P3840"/>
          <cell r="Q3840" t="str">
            <v>EST QUADRO ROUND BAMBU RED LISO D74X7,2CM (RDL70-BB)</v>
          </cell>
          <cell r="R3840"/>
          <cell r="S3840"/>
          <cell r="T3840">
            <v>0</v>
          </cell>
          <cell r="U3840">
            <v>0</v>
          </cell>
          <cell r="V3840">
            <v>0</v>
          </cell>
          <cell r="W3840">
            <v>0</v>
          </cell>
          <cell r="X3840" t="str">
            <v>EST QUADRO ROUND BAMBU RED LISO D74X7,2CM (RDL70-BB) - Ø0x0H</v>
          </cell>
          <cell r="Y3840" t="e">
            <v>#VALUE!</v>
          </cell>
          <cell r="Z3840">
            <v>0.35</v>
          </cell>
          <cell r="AA3840" t="e">
            <v>#VALUE!</v>
          </cell>
          <cell r="AB3840"/>
        </row>
        <row r="3841"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H3841">
            <v>1</v>
          </cell>
          <cell r="O3841">
            <v>203601</v>
          </cell>
          <cell r="P3841"/>
          <cell r="Q3841" t="str">
            <v>EST QUADRO ROUND BAMBU RED LISO D64X7,2CM (RDL60-BB)</v>
          </cell>
          <cell r="R3841"/>
          <cell r="S3841"/>
          <cell r="T3841">
            <v>0</v>
          </cell>
          <cell r="U3841">
            <v>0</v>
          </cell>
          <cell r="V3841">
            <v>0</v>
          </cell>
          <cell r="W3841">
            <v>0</v>
          </cell>
          <cell r="X3841" t="str">
            <v>EST QUADRO ROUND BAMBU RED LISO D64X7,2CM (RDL60-BB) - Ø0x0H</v>
          </cell>
          <cell r="Y3841" t="e">
            <v>#VALUE!</v>
          </cell>
          <cell r="Z3841">
            <v>0.35</v>
          </cell>
          <cell r="AA3841" t="e">
            <v>#VALUE!</v>
          </cell>
          <cell r="AB3841"/>
        </row>
        <row r="3842"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H3842">
            <v>1</v>
          </cell>
          <cell r="O3842">
            <v>203827</v>
          </cell>
          <cell r="P3842"/>
          <cell r="Q3842" t="str">
            <v>EST APARADOR NEST (LACA BRILHO METALIZADA CHAMPAGNE)</v>
          </cell>
          <cell r="R3842"/>
          <cell r="S3842"/>
          <cell r="T3842">
            <v>1.5</v>
          </cell>
          <cell r="U3842">
            <v>0.4</v>
          </cell>
          <cell r="V3842">
            <v>0.76</v>
          </cell>
          <cell r="W3842">
            <v>0</v>
          </cell>
          <cell r="X3842" t="str">
            <v>EST APARADOR NEST (LACA BRILHO METALIZADA CHAMPAGNE) - 1,5x0,4x0,76H</v>
          </cell>
          <cell r="Y3842">
            <v>0</v>
          </cell>
          <cell r="Z3842">
            <v>0.35</v>
          </cell>
          <cell r="AA3842">
            <v>0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205161</v>
          </cell>
          <cell r="P3843"/>
          <cell r="Q3843" t="str">
            <v>EST MESA CENTRO KOBO (DUPLA) (LACA H155 | LEGNO)</v>
          </cell>
          <cell r="R3843"/>
          <cell r="S3843"/>
          <cell r="T3843">
            <v>1.9</v>
          </cell>
          <cell r="U3843">
            <v>1</v>
          </cell>
          <cell r="V3843">
            <v>0.34</v>
          </cell>
          <cell r="W3843">
            <v>0</v>
          </cell>
          <cell r="X3843" t="str">
            <v>EST MESA CENTRO KOBO (DUPLA) (LACA H155 | LEGNO) - 1,9x1x0,34H</v>
          </cell>
          <cell r="Y3843">
            <v>0</v>
          </cell>
          <cell r="Z3843">
            <v>0.35</v>
          </cell>
          <cell r="AA3843">
            <v>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</v>
          </cell>
          <cell r="O3844">
            <v>206588</v>
          </cell>
          <cell r="P3844"/>
          <cell r="Q3844" t="str">
            <v>EST CADEIRA MADDA (ACO CARBONO LAMINADO NOGAL) TC 551</v>
          </cell>
          <cell r="R3844"/>
          <cell r="S3844"/>
          <cell r="T3844">
            <v>0.64</v>
          </cell>
          <cell r="U3844">
            <v>0.57999999999999996</v>
          </cell>
          <cell r="V3844">
            <v>0.82</v>
          </cell>
          <cell r="W3844">
            <v>0</v>
          </cell>
          <cell r="X3844" t="str">
            <v>EST CADEIRA MADDA (ACO CARBONO LAMINADO NOGAL) TC 551 - 0,64x0,58x0,82H</v>
          </cell>
          <cell r="Y3844">
            <v>0</v>
          </cell>
          <cell r="Z3844">
            <v>0.35</v>
          </cell>
          <cell r="AA3844">
            <v>0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207223</v>
          </cell>
          <cell r="P3845"/>
          <cell r="Q3845" t="str">
            <v>EST CADEIRA FILO C/BRACO (IPE) COURO CAMURCA GRAFITE</v>
          </cell>
          <cell r="R3845"/>
          <cell r="S3845"/>
          <cell r="T3845">
            <v>0.56000000000000005</v>
          </cell>
          <cell r="U3845">
            <v>0.56000000000000005</v>
          </cell>
          <cell r="V3845">
            <v>0.81</v>
          </cell>
          <cell r="W3845">
            <v>0</v>
          </cell>
          <cell r="X3845" t="str">
            <v>EST CADEIRA FILO C/BRACO (IPE) COURO CAMURCA GRAFITE - 0,56x0,56x0,81H</v>
          </cell>
          <cell r="Y3845" t="e">
            <v>#VALUE!</v>
          </cell>
          <cell r="Z3845">
            <v>0.35</v>
          </cell>
          <cell r="AA3845" t="e">
            <v>#VALUE!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1</v>
          </cell>
          <cell r="O3846">
            <v>208851</v>
          </cell>
          <cell r="P3846"/>
          <cell r="Q3846" t="str">
            <v>EST CADEIRA DONNA (MEL CLARO) COURO GRAND CANYON 11</v>
          </cell>
          <cell r="R3846"/>
          <cell r="S3846"/>
          <cell r="T3846">
            <v>0.52</v>
          </cell>
          <cell r="U3846">
            <v>0.61</v>
          </cell>
          <cell r="V3846">
            <v>0.75</v>
          </cell>
          <cell r="W3846">
            <v>0</v>
          </cell>
          <cell r="X3846" t="str">
            <v>EST CADEIRA DONNA (MEL CLARO) COURO GRAND CANYON 11 - 0,52x0,61x0,75H</v>
          </cell>
          <cell r="Y3846">
            <v>0</v>
          </cell>
          <cell r="Z3846">
            <v>0.35</v>
          </cell>
          <cell r="AA3846">
            <v>0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4</v>
          </cell>
          <cell r="O3847">
            <v>210373</v>
          </cell>
          <cell r="P3847"/>
          <cell r="Q3847" t="str">
            <v>EST CADEIRA FLORA (ESTOFADA) TC 7008</v>
          </cell>
          <cell r="R3847"/>
          <cell r="S3847"/>
          <cell r="T3847">
            <v>0.51</v>
          </cell>
          <cell r="U3847">
            <v>0.65</v>
          </cell>
          <cell r="V3847">
            <v>0.88</v>
          </cell>
          <cell r="W3847">
            <v>0</v>
          </cell>
          <cell r="X3847" t="str">
            <v>EST CADEIRA FLORA (ESTOFADA) TC 7008 - 0,51x0,65x0,88H</v>
          </cell>
          <cell r="Y3847" t="str">
            <v>EST</v>
          </cell>
          <cell r="Z3847">
            <v>0.35</v>
          </cell>
          <cell r="AA3847" t="e">
            <v>#VALUE!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210376</v>
          </cell>
          <cell r="P3848"/>
          <cell r="Q3848" t="str">
            <v>EST APARADOR DONNA (LACA BRILHO BRANCA) (TAMPO ULTRACLEAR)</v>
          </cell>
          <cell r="R3848"/>
          <cell r="S3848"/>
          <cell r="T3848">
            <v>1.8</v>
          </cell>
          <cell r="U3848">
            <v>0.4</v>
          </cell>
          <cell r="V3848">
            <v>0.75</v>
          </cell>
          <cell r="W3848">
            <v>0</v>
          </cell>
          <cell r="X3848" t="str">
            <v>EST APARADOR DONNA (LACA BRILHO BRANCA) (TAMPO ULTRACLEAR) - 1,8x0,4x0,75H</v>
          </cell>
          <cell r="Y3848">
            <v>0</v>
          </cell>
          <cell r="Z3848">
            <v>0.35</v>
          </cell>
          <cell r="AA3848">
            <v>0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1</v>
          </cell>
          <cell r="O3849">
            <v>210386</v>
          </cell>
          <cell r="P3849"/>
          <cell r="Q3849" t="str">
            <v>EST CADEIRA GAVEA C/BRACO (MEL) COURO 20363</v>
          </cell>
          <cell r="R3849"/>
          <cell r="S3849"/>
          <cell r="T3849">
            <v>0.5</v>
          </cell>
          <cell r="U3849">
            <v>0.63</v>
          </cell>
          <cell r="V3849">
            <v>0.87</v>
          </cell>
          <cell r="W3849">
            <v>0</v>
          </cell>
          <cell r="X3849" t="str">
            <v>EST CADEIRA GAVEA C/BRACO (MEL) COURO 20363 - 0,5x0,63x0,87H</v>
          </cell>
          <cell r="Y3849">
            <v>0</v>
          </cell>
          <cell r="Z3849">
            <v>0.35</v>
          </cell>
          <cell r="AA3849">
            <v>0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2</v>
          </cell>
          <cell r="O3850">
            <v>210542</v>
          </cell>
          <cell r="P3850"/>
          <cell r="Q3850" t="str">
            <v>EST PUFF ZEN (IMBUIA) TC VELVET BAMBU DARKPURPLE</v>
          </cell>
          <cell r="R3850"/>
          <cell r="S3850"/>
          <cell r="T3850">
            <v>0.5</v>
          </cell>
          <cell r="U3850">
            <v>0</v>
          </cell>
          <cell r="V3850">
            <v>0.43</v>
          </cell>
          <cell r="W3850">
            <v>0.5</v>
          </cell>
          <cell r="X3850" t="str">
            <v>EST PUFF ZEN (IMBUIA) TC VELVET BAMBU DARKPURPLE - Ø0,5x0,43H</v>
          </cell>
          <cell r="Y3850">
            <v>0</v>
          </cell>
          <cell r="Z3850">
            <v>0.35</v>
          </cell>
          <cell r="AA3850">
            <v>0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1</v>
          </cell>
          <cell r="O3851">
            <v>219387</v>
          </cell>
          <cell r="P3851"/>
          <cell r="Q3851" t="str">
            <v>EST MESA CENTRO CLOS (INOX JASPER) (LACA BRILHO H155)</v>
          </cell>
          <cell r="R3851"/>
          <cell r="S3851"/>
          <cell r="T3851">
            <v>1.6</v>
          </cell>
          <cell r="U3851">
            <v>0.45</v>
          </cell>
          <cell r="V3851">
            <v>0.3</v>
          </cell>
          <cell r="W3851">
            <v>0</v>
          </cell>
          <cell r="X3851" t="str">
            <v>EST MESA CENTRO CLOS (INOX JASPER) (LACA BRILHO H155) - 1,6x0,45x0,3H</v>
          </cell>
          <cell r="Y3851">
            <v>0</v>
          </cell>
          <cell r="Z3851">
            <v>0.35</v>
          </cell>
          <cell r="AA3851">
            <v>0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1</v>
          </cell>
          <cell r="O3852">
            <v>219524</v>
          </cell>
          <cell r="P3852" t="str">
            <v>2018/213-0087-01</v>
          </cell>
          <cell r="Q3852" t="str">
            <v>EST TAMPO CRISTAL LAPIDADO (15MM) INCOLOR CANTO TICK</v>
          </cell>
          <cell r="R3852"/>
          <cell r="S3852"/>
          <cell r="T3852">
            <v>1.8</v>
          </cell>
          <cell r="U3852">
            <v>0.7</v>
          </cell>
          <cell r="V3852">
            <v>0.01</v>
          </cell>
          <cell r="W3852">
            <v>0</v>
          </cell>
          <cell r="X3852" t="str">
            <v>EST TAMPO CRISTAL LAPIDADO (15MM) INCOLOR CANTO TICK - 1,8x0,7x0,01H</v>
          </cell>
          <cell r="Y3852">
            <v>7265.9285999999993</v>
          </cell>
          <cell r="Z3852">
            <v>0.35</v>
          </cell>
          <cell r="AA3852">
            <v>4722.8535899999997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222971</v>
          </cell>
          <cell r="P3853" t="str">
            <v>2018/127-0031-01</v>
          </cell>
          <cell r="Q3853" t="str">
            <v>EST TAMPO CRISTAL LAPIDADO (15MM) INCOLOR CTO MOEDA</v>
          </cell>
          <cell r="R3853"/>
          <cell r="S3853"/>
          <cell r="T3853">
            <v>1.5</v>
          </cell>
          <cell r="U3853">
            <v>0.7</v>
          </cell>
          <cell r="V3853">
            <v>0.01</v>
          </cell>
          <cell r="W3853">
            <v>0</v>
          </cell>
          <cell r="X3853" t="str">
            <v>EST TAMPO CRISTAL LAPIDADO (15MM) INCOLOR CTO MOEDA - 1,5x0,7x0,01H</v>
          </cell>
          <cell r="Y3853">
            <v>5766.61</v>
          </cell>
          <cell r="Z3853">
            <v>0.35</v>
          </cell>
          <cell r="AA3853">
            <v>3748.2964999999999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223874</v>
          </cell>
          <cell r="P3854"/>
          <cell r="Q3854" t="str">
            <v>EST MESA CENTRO CLOS (INOX JASPER) (LACA BRILHO H155)</v>
          </cell>
          <cell r="R3854"/>
          <cell r="S3854"/>
          <cell r="T3854">
            <v>1.8</v>
          </cell>
          <cell r="U3854">
            <v>0.6</v>
          </cell>
          <cell r="V3854">
            <v>0.3</v>
          </cell>
          <cell r="W3854">
            <v>0</v>
          </cell>
          <cell r="X3854" t="str">
            <v>EST MESA CENTRO CLOS (INOX JASPER) (LACA BRILHO H155) - 1,8x0,6x0,3H</v>
          </cell>
          <cell r="Y3854">
            <v>0</v>
          </cell>
          <cell r="Z3854">
            <v>0.35</v>
          </cell>
          <cell r="AA3854">
            <v>0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0</v>
          </cell>
          <cell r="O3855">
            <v>224535</v>
          </cell>
          <cell r="P3855"/>
          <cell r="Q3855" t="str">
            <v>EST LUMINARIA XXO (BASE ACRILICO / CUPULA VIDRO)</v>
          </cell>
          <cell r="R3855"/>
          <cell r="S3855"/>
          <cell r="T3855">
            <v>0.25</v>
          </cell>
          <cell r="U3855">
            <v>0.25</v>
          </cell>
          <cell r="V3855">
            <v>0.2</v>
          </cell>
          <cell r="W3855">
            <v>0</v>
          </cell>
          <cell r="X3855" t="str">
            <v>EST LUMINARIA XXO (BASE ACRILICO / CUPULA VIDRO) - 0,25x0,25x0,2H</v>
          </cell>
          <cell r="Y3855">
            <v>0</v>
          </cell>
          <cell r="Z3855">
            <v>0.35</v>
          </cell>
          <cell r="AA3855">
            <v>0</v>
          </cell>
          <cell r="AB3855"/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H3856">
            <v>2</v>
          </cell>
          <cell r="O3856">
            <v>231017</v>
          </cell>
          <cell r="P3856"/>
          <cell r="Q3856" t="str">
            <v>EST CADEIRA FLORA C/BRACO (ESTOFADA) TC 7040</v>
          </cell>
          <cell r="R3856"/>
          <cell r="S3856"/>
          <cell r="T3856">
            <v>0.63</v>
          </cell>
          <cell r="U3856">
            <v>0.65</v>
          </cell>
          <cell r="V3856">
            <v>0.88</v>
          </cell>
          <cell r="W3856">
            <v>0</v>
          </cell>
          <cell r="X3856" t="str">
            <v>EST CADEIRA FLORA C/BRACO (ESTOFADA) TC 7040 - 0,63x0,65x0,88H</v>
          </cell>
          <cell r="Y3856" t="str">
            <v>EST</v>
          </cell>
          <cell r="Z3856">
            <v>0.35</v>
          </cell>
          <cell r="AA3856" t="e">
            <v>#VALUE!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2</v>
          </cell>
          <cell r="O3857">
            <v>231876</v>
          </cell>
          <cell r="P3857"/>
          <cell r="Q3857" t="str">
            <v>EST CADEIRA SMALL (EBANIZADO) TC 3006</v>
          </cell>
          <cell r="R3857"/>
          <cell r="S3857"/>
          <cell r="T3857">
            <v>0.46</v>
          </cell>
          <cell r="U3857">
            <v>0.56000000000000005</v>
          </cell>
          <cell r="V3857">
            <v>0.86</v>
          </cell>
          <cell r="W3857">
            <v>0</v>
          </cell>
          <cell r="X3857" t="str">
            <v>EST CADEIRA SMALL (EBANIZADO) TC 3006 - 0,46x0,56x0,86H</v>
          </cell>
          <cell r="Y3857">
            <v>0</v>
          </cell>
          <cell r="Z3857">
            <v>0.35</v>
          </cell>
          <cell r="AA3857">
            <v>0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3</v>
          </cell>
          <cell r="O3858">
            <v>232110</v>
          </cell>
          <cell r="P3858" t="str">
            <v>2023/086-0036-01</v>
          </cell>
          <cell r="Q3858" t="str">
            <v>EST TAMPO CRISTAL LAPIDADO (15MM) INCOLOR (CIRCULAR)</v>
          </cell>
          <cell r="R3858"/>
          <cell r="S3858"/>
          <cell r="T3858">
            <v>1.4</v>
          </cell>
          <cell r="U3858">
            <v>0</v>
          </cell>
          <cell r="V3858">
            <v>0.01</v>
          </cell>
          <cell r="W3858">
            <v>1.4</v>
          </cell>
          <cell r="X3858" t="str">
            <v>EST TAMPO CRISTAL LAPIDADO (15MM) INCOLOR (CIRCULAR) - Ø1,4x0,01H</v>
          </cell>
          <cell r="Y3858">
            <v>12895.310399999998</v>
          </cell>
          <cell r="Z3858">
            <v>0.35</v>
          </cell>
          <cell r="AA3858">
            <v>8381.9517599999999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3</v>
          </cell>
          <cell r="O3859">
            <v>232110</v>
          </cell>
          <cell r="P3859" t="str">
            <v>2024/233-0027-01</v>
          </cell>
          <cell r="Q3859" t="str">
            <v>EST TAMPO CRISTAL LAPIDADO (15MM) INCOLOR (CIRCULAR)</v>
          </cell>
          <cell r="R3859"/>
          <cell r="S3859"/>
          <cell r="T3859">
            <v>1.4</v>
          </cell>
          <cell r="U3859">
            <v>0</v>
          </cell>
          <cell r="V3859">
            <v>0.01</v>
          </cell>
          <cell r="W3859">
            <v>1.4</v>
          </cell>
          <cell r="X3859" t="str">
            <v>EST TAMPO CRISTAL LAPIDADO (15MM) INCOLOR (CIRCULAR) - Ø1,4x0,01H</v>
          </cell>
          <cell r="Y3859">
            <v>12895.310399999998</v>
          </cell>
          <cell r="Z3859">
            <v>0.35</v>
          </cell>
          <cell r="AA3859">
            <v>8381.9517599999999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3</v>
          </cell>
          <cell r="O3860">
            <v>232110</v>
          </cell>
          <cell r="P3860" t="str">
            <v>2024/233-0026-01</v>
          </cell>
          <cell r="Q3860" t="str">
            <v>EST TAMPO CRISTAL LAPIDADO (15MM) INCOLOR (CIRCULAR)</v>
          </cell>
          <cell r="R3860"/>
          <cell r="S3860"/>
          <cell r="T3860">
            <v>1.4</v>
          </cell>
          <cell r="U3860">
            <v>0</v>
          </cell>
          <cell r="V3860">
            <v>0.01</v>
          </cell>
          <cell r="W3860">
            <v>1.4</v>
          </cell>
          <cell r="X3860" t="str">
            <v>EST TAMPO CRISTAL LAPIDADO (15MM) INCOLOR (CIRCULAR) - Ø1,4x0,01H</v>
          </cell>
          <cell r="Y3860">
            <v>12895.310399999998</v>
          </cell>
          <cell r="Z3860">
            <v>0.35</v>
          </cell>
          <cell r="AA3860">
            <v>8381.9517599999999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0</v>
          </cell>
          <cell r="O3861">
            <v>63478</v>
          </cell>
          <cell r="P3861"/>
          <cell r="Q3861" t="str">
            <v>EST CD ROMA IMBUIA MEDIA COURO RODEO</v>
          </cell>
          <cell r="R3861"/>
          <cell r="S3861"/>
          <cell r="T3861">
            <v>0</v>
          </cell>
          <cell r="U3861">
            <v>0</v>
          </cell>
          <cell r="V3861">
            <v>0</v>
          </cell>
          <cell r="W3861">
            <v>0</v>
          </cell>
          <cell r="X3861" t="str">
            <v>EST CD ROMA IMBUIA MEDIA COURO RODEO - Ø0x0H</v>
          </cell>
          <cell r="Y3861">
            <v>0</v>
          </cell>
          <cell r="Z3861">
            <v>0.35</v>
          </cell>
          <cell r="AA3861">
            <v>0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63998</v>
          </cell>
          <cell r="P3862"/>
          <cell r="Q3862" t="str">
            <v>EST BANCO PI (MACICA PINNUS ENVELHECIDO)</v>
          </cell>
          <cell r="R3862"/>
          <cell r="S3862"/>
          <cell r="T3862">
            <v>0.59</v>
          </cell>
          <cell r="U3862">
            <v>0.4</v>
          </cell>
          <cell r="V3862">
            <v>0.45</v>
          </cell>
          <cell r="W3862">
            <v>0</v>
          </cell>
          <cell r="X3862" t="str">
            <v>EST BANCO PI (MACICA PINNUS ENVELHECIDO) - 0,59x0,4x0,45H</v>
          </cell>
          <cell r="Y3862">
            <v>0</v>
          </cell>
          <cell r="Z3862">
            <v>0.35</v>
          </cell>
          <cell r="AA3862">
            <v>0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77581</v>
          </cell>
          <cell r="P3863"/>
          <cell r="Q3863" t="str">
            <v>EST ESTANTE VENEZIA (4 MODULOS) (FREIJO CASTANHO)</v>
          </cell>
          <cell r="R3863"/>
          <cell r="S3863"/>
          <cell r="T3863">
            <v>0</v>
          </cell>
          <cell r="U3863">
            <v>0</v>
          </cell>
          <cell r="V3863">
            <v>0</v>
          </cell>
          <cell r="W3863">
            <v>0</v>
          </cell>
          <cell r="X3863" t="str">
            <v>EST ESTANTE VENEZIA (4 MODULOS) (FREIJO CASTANHO) - Ø0x0H</v>
          </cell>
          <cell r="Y3863">
            <v>0</v>
          </cell>
          <cell r="Z3863">
            <v>0.35</v>
          </cell>
          <cell r="AA3863">
            <v>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80036</v>
          </cell>
          <cell r="P3864"/>
          <cell r="Q3864" t="str">
            <v>EST BUFFET CROCCO (CATUABA AVELUDA) (LC V100 FOSCA)</v>
          </cell>
          <cell r="R3864"/>
          <cell r="S3864"/>
          <cell r="T3864">
            <v>2</v>
          </cell>
          <cell r="U3864">
            <v>0.5</v>
          </cell>
          <cell r="V3864">
            <v>0.75</v>
          </cell>
          <cell r="W3864">
            <v>0</v>
          </cell>
          <cell r="X3864" t="str">
            <v>EST BUFFET CROCCO (CATUABA AVELUDA) (LC V100 FOSCA) - 2x0,5x0,75H</v>
          </cell>
          <cell r="Y3864">
            <v>0</v>
          </cell>
          <cell r="Z3864">
            <v>0.35</v>
          </cell>
          <cell r="AA3864">
            <v>0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80044</v>
          </cell>
          <cell r="P3865"/>
          <cell r="Q3865" t="str">
            <v>EST POLTRONA CROCCO (CATUABA AVELUDADA) TC SARJA</v>
          </cell>
          <cell r="R3865"/>
          <cell r="S3865"/>
          <cell r="T3865">
            <v>0.74</v>
          </cell>
          <cell r="U3865">
            <v>0.72</v>
          </cell>
          <cell r="V3865">
            <v>0.81</v>
          </cell>
          <cell r="W3865">
            <v>0</v>
          </cell>
          <cell r="X3865" t="str">
            <v>EST POLTRONA CROCCO (CATUABA AVELUDADA) TC SARJA - 0,74x0,72x0,81H</v>
          </cell>
          <cell r="Y3865">
            <v>0</v>
          </cell>
          <cell r="Z3865">
            <v>0.35</v>
          </cell>
          <cell r="AA3865">
            <v>0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1</v>
          </cell>
          <cell r="O3866">
            <v>80189</v>
          </cell>
          <cell r="P3866"/>
          <cell r="Q3866" t="str">
            <v>EST BANCO CROCCO (CATUABA) (LACA V100)</v>
          </cell>
          <cell r="R3866"/>
          <cell r="S3866"/>
          <cell r="T3866">
            <v>0.4</v>
          </cell>
          <cell r="U3866">
            <v>0.4</v>
          </cell>
          <cell r="V3866">
            <v>0.45</v>
          </cell>
          <cell r="W3866">
            <v>0</v>
          </cell>
          <cell r="X3866" t="str">
            <v>EST BANCO CROCCO (CATUABA) (LACA V100) - 0,4x0,4x0,45H</v>
          </cell>
          <cell r="Y3866">
            <v>0</v>
          </cell>
          <cell r="Z3866">
            <v>0.35</v>
          </cell>
          <cell r="AA3866">
            <v>0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0</v>
          </cell>
          <cell r="O3867">
            <v>97400</v>
          </cell>
          <cell r="P3867"/>
          <cell r="Q3867" t="str">
            <v>EST AC LUM GRADIL MESA LACA FOSCA M140</v>
          </cell>
          <cell r="R3867"/>
          <cell r="S3867"/>
          <cell r="T3867">
            <v>0</v>
          </cell>
          <cell r="U3867">
            <v>0</v>
          </cell>
          <cell r="V3867">
            <v>0</v>
          </cell>
          <cell r="W3867">
            <v>0</v>
          </cell>
          <cell r="X3867" t="str">
            <v>EST AC LUM GRADIL MESA LACA FOSCA M140 - Ø0x0H</v>
          </cell>
          <cell r="Y3867">
            <v>0</v>
          </cell>
          <cell r="Z3867">
            <v>0.35</v>
          </cell>
          <cell r="AA3867">
            <v>0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1</v>
          </cell>
          <cell r="O3868">
            <v>113388</v>
          </cell>
          <cell r="P3868"/>
          <cell r="Q3868" t="str">
            <v>EST BANQUETA BAR ELDORADO (CATUABA AVELUDADA) (DET INOX)</v>
          </cell>
          <cell r="R3868"/>
          <cell r="S3868"/>
          <cell r="T3868">
            <v>0</v>
          </cell>
          <cell r="U3868">
            <v>0</v>
          </cell>
          <cell r="V3868">
            <v>0</v>
          </cell>
          <cell r="W3868">
            <v>0</v>
          </cell>
          <cell r="X3868" t="str">
            <v>EST BANQUETA BAR ELDORADO (CATUABA AVELUDADA) (DET INOX) - Ø0x0H</v>
          </cell>
          <cell r="Y3868">
            <v>0</v>
          </cell>
          <cell r="Z3868">
            <v>0.35</v>
          </cell>
          <cell r="AA3868">
            <v>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142050</v>
          </cell>
          <cell r="P3869"/>
          <cell r="Q3869" t="str">
            <v>EST ESTANTE VENEZIA (LACA FOSCA PRETA)</v>
          </cell>
          <cell r="R3869"/>
          <cell r="S3869"/>
          <cell r="T3869">
            <v>0.35</v>
          </cell>
          <cell r="U3869">
            <v>0.35</v>
          </cell>
          <cell r="V3869">
            <v>0.52</v>
          </cell>
          <cell r="W3869">
            <v>0</v>
          </cell>
          <cell r="X3869" t="str">
            <v>EST ESTANTE VENEZIA (LACA FOSCA PRETA) - 0,35x0,35x0,52H</v>
          </cell>
          <cell r="Y3869">
            <v>0</v>
          </cell>
          <cell r="Z3869">
            <v>0.35</v>
          </cell>
          <cell r="AA3869">
            <v>0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4</v>
          </cell>
          <cell r="O3870">
            <v>151236</v>
          </cell>
          <cell r="P3870"/>
          <cell r="Q3870" t="str">
            <v>EST CADEIRA HELVETICA C/BRACO (CATUABA PU) TC 11202-249#02</v>
          </cell>
          <cell r="R3870"/>
          <cell r="S3870"/>
          <cell r="T3870">
            <v>0.55000000000000004</v>
          </cell>
          <cell r="U3870">
            <v>0.61</v>
          </cell>
          <cell r="V3870">
            <v>0.84</v>
          </cell>
          <cell r="W3870">
            <v>0</v>
          </cell>
          <cell r="X3870" t="str">
            <v>EST CADEIRA HELVETICA C/BRACO (CATUABA PU) TC 11202-249#02 - 0,55x0,61x0,84H</v>
          </cell>
          <cell r="Y3870">
            <v>0</v>
          </cell>
          <cell r="Z3870">
            <v>0.35</v>
          </cell>
          <cell r="AA3870">
            <v>0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3</v>
          </cell>
          <cell r="O3871">
            <v>151242</v>
          </cell>
          <cell r="P3871"/>
          <cell r="Q3871" t="str">
            <v>EST BANCO NINA (CATUABA AVELUDADA) TC 10839/12</v>
          </cell>
          <cell r="R3871"/>
          <cell r="S3871"/>
          <cell r="T3871">
            <v>0.47</v>
          </cell>
          <cell r="U3871">
            <v>0.48</v>
          </cell>
          <cell r="V3871">
            <v>0.42</v>
          </cell>
          <cell r="W3871">
            <v>0</v>
          </cell>
          <cell r="X3871" t="str">
            <v>EST BANCO NINA (CATUABA AVELUDADA) TC 10839/12 - 0,47x0,48x0,42H</v>
          </cell>
          <cell r="Y3871">
            <v>0</v>
          </cell>
          <cell r="Z3871">
            <v>0.35</v>
          </cell>
          <cell r="AA3871">
            <v>0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158312</v>
          </cell>
          <cell r="P3872"/>
          <cell r="Q3872" t="str">
            <v>EST HOME CINE (LACA BRILHO J155) (CINAMOMO)</v>
          </cell>
          <cell r="R3872"/>
          <cell r="S3872"/>
          <cell r="T3872">
            <v>2.6</v>
          </cell>
          <cell r="U3872">
            <v>0.46</v>
          </cell>
          <cell r="V3872">
            <v>0.55000000000000004</v>
          </cell>
          <cell r="W3872">
            <v>0</v>
          </cell>
          <cell r="X3872" t="str">
            <v>EST HOME CINE (LACA BRILHO J155) (CINAMOMO) - 2,6x0,46x0,55H</v>
          </cell>
          <cell r="Y3872" t="e">
            <v>#VALUE!</v>
          </cell>
          <cell r="Z3872">
            <v>0.35</v>
          </cell>
          <cell r="AA3872" t="e">
            <v>#VALUE!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1</v>
          </cell>
          <cell r="O3873">
            <v>158315</v>
          </cell>
          <cell r="P3873"/>
          <cell r="Q3873" t="str">
            <v>EST BUFFET COPA (LACA BRANCA) (MUIRACATIARA POA)</v>
          </cell>
          <cell r="R3873"/>
          <cell r="S3873"/>
          <cell r="T3873">
            <v>2.4</v>
          </cell>
          <cell r="U3873">
            <v>0.5</v>
          </cell>
          <cell r="V3873">
            <v>0.8</v>
          </cell>
          <cell r="W3873">
            <v>0</v>
          </cell>
          <cell r="X3873" t="str">
            <v>EST BUFFET COPA (LACA BRANCA) (MUIRACATIARA POA) - 2,4x0,5x0,8H</v>
          </cell>
          <cell r="Y3873">
            <v>0</v>
          </cell>
          <cell r="Z3873">
            <v>0.35</v>
          </cell>
          <cell r="AA3873">
            <v>0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163874</v>
          </cell>
          <cell r="P3874"/>
          <cell r="Q3874" t="str">
            <v>EST BANCO VITE (CINAMOMO EBANO) TC LINHO PANAMA CRU</v>
          </cell>
          <cell r="R3874"/>
          <cell r="S3874"/>
          <cell r="T3874">
            <v>0</v>
          </cell>
          <cell r="U3874">
            <v>0</v>
          </cell>
          <cell r="V3874">
            <v>0</v>
          </cell>
          <cell r="W3874">
            <v>0</v>
          </cell>
          <cell r="X3874" t="str">
            <v>EST BANCO VITE (CINAMOMO EBANO) TC LINHO PANAMA CRU - Ø0x0H</v>
          </cell>
          <cell r="Y3874">
            <v>0</v>
          </cell>
          <cell r="Z3874">
            <v>0.35</v>
          </cell>
          <cell r="AA3874">
            <v>0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1</v>
          </cell>
          <cell r="O3875">
            <v>240101</v>
          </cell>
          <cell r="P3875"/>
          <cell r="Q3875" t="str">
            <v>EST TAMPO CRISTAL LAPIDADO (12MM) INCOLOR RETILINEO</v>
          </cell>
          <cell r="R3875"/>
          <cell r="S3875"/>
          <cell r="T3875">
            <v>2.8</v>
          </cell>
          <cell r="U3875">
            <v>1.2</v>
          </cell>
          <cell r="V3875">
            <v>0.01</v>
          </cell>
          <cell r="W3875">
            <v>0</v>
          </cell>
          <cell r="X3875" t="str">
            <v>EST TAMPO CRISTAL LAPIDADO (12MM) INCOLOR RETILINEO - 2,8x1,2x0,01H</v>
          </cell>
          <cell r="Y3875">
            <v>0</v>
          </cell>
          <cell r="Z3875">
            <v>0.35</v>
          </cell>
          <cell r="AA3875">
            <v>0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250714</v>
          </cell>
          <cell r="P3876"/>
          <cell r="Q3876" t="str">
            <v>EST MESA JANTAR BARCELONA (SAY JO20.7666.913H C/VD LOW IRON)</v>
          </cell>
          <cell r="R3876"/>
          <cell r="S3876"/>
          <cell r="T3876">
            <v>2.2000000000000002</v>
          </cell>
          <cell r="U3876">
            <v>0</v>
          </cell>
          <cell r="V3876">
            <v>0.75</v>
          </cell>
          <cell r="W3876">
            <v>2.2000000000000002</v>
          </cell>
          <cell r="X3876" t="str">
            <v>EST MESA JANTAR BARCELONA (SAY JO20.7666.913H C/VD LOW IRON) - Ø2,2x0,75H</v>
          </cell>
          <cell r="Y3876" t="e">
            <v>#VALUE!</v>
          </cell>
          <cell r="Z3876">
            <v>0.35</v>
          </cell>
          <cell r="AA3876" t="e">
            <v>#VALUE!</v>
          </cell>
          <cell r="AB3876"/>
        </row>
        <row r="3877">
          <cell r="C3877">
            <v>0</v>
          </cell>
          <cell r="D3877">
            <v>1</v>
          </cell>
          <cell r="E3877">
            <v>0</v>
          </cell>
          <cell r="F3877">
            <v>0</v>
          </cell>
          <cell r="H3877">
            <v>1</v>
          </cell>
          <cell r="O3877">
            <v>251920</v>
          </cell>
          <cell r="P3877"/>
          <cell r="Q3877" t="str">
            <v>EST CENTRO DE MESA RET COL VERSO 80X20X6,5 CRU IL745CR0</v>
          </cell>
          <cell r="R3877"/>
          <cell r="S3877"/>
          <cell r="T3877">
            <v>0</v>
          </cell>
          <cell r="U3877">
            <v>0</v>
          </cell>
          <cell r="V3877">
            <v>0</v>
          </cell>
          <cell r="W3877">
            <v>0</v>
          </cell>
          <cell r="X3877" t="str">
            <v>EST CENTRO DE MESA RET COL VERSO 80X20X6,5 CRU IL745CR0 - Ø0x0H</v>
          </cell>
          <cell r="Y3877">
            <v>0</v>
          </cell>
          <cell r="Z3877">
            <v>0.35</v>
          </cell>
          <cell r="AA3877">
            <v>0</v>
          </cell>
          <cell r="AB3877"/>
        </row>
        <row r="3878">
          <cell r="C3878">
            <v>0</v>
          </cell>
          <cell r="D3878">
            <v>1</v>
          </cell>
          <cell r="E3878">
            <v>0</v>
          </cell>
          <cell r="F3878">
            <v>0</v>
          </cell>
          <cell r="H3878">
            <v>1</v>
          </cell>
          <cell r="O3878">
            <v>251925</v>
          </cell>
          <cell r="P3878"/>
          <cell r="Q3878" t="str">
            <v>EST CENTRO DE MESA BENTA (MADEIRA IL751MD1)</v>
          </cell>
          <cell r="R3878"/>
          <cell r="S3878"/>
          <cell r="T3878">
            <v>0.45</v>
          </cell>
          <cell r="U3878">
            <v>0</v>
          </cell>
          <cell r="V3878">
            <v>0.12</v>
          </cell>
          <cell r="W3878">
            <v>0.45</v>
          </cell>
          <cell r="X3878" t="str">
            <v>EST CENTRO DE MESA BENTA (MADEIRA IL751MD1) - Ø0,45x0,12H</v>
          </cell>
          <cell r="Y3878" t="e">
            <v>#VALUE!</v>
          </cell>
          <cell r="Z3878">
            <v>0.35</v>
          </cell>
          <cell r="AA3878" t="e">
            <v>#VALUE!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252391</v>
          </cell>
          <cell r="P3879"/>
          <cell r="Q3879" t="str">
            <v>EST PUFF REED (ACO PRETO) TC C3113</v>
          </cell>
          <cell r="R3879"/>
          <cell r="S3879"/>
          <cell r="T3879">
            <v>0.42</v>
          </cell>
          <cell r="U3879">
            <v>0.42</v>
          </cell>
          <cell r="V3879">
            <v>0.48</v>
          </cell>
          <cell r="W3879">
            <v>0</v>
          </cell>
          <cell r="X3879" t="str">
            <v>EST PUFF REED (ACO PRETO) TC C3113 - 0,42x0,42x0,48H</v>
          </cell>
          <cell r="Y3879">
            <v>0</v>
          </cell>
          <cell r="Z3879">
            <v>0.35</v>
          </cell>
          <cell r="AA3879">
            <v>0</v>
          </cell>
          <cell r="AB3879"/>
        </row>
        <row r="3880">
          <cell r="C3880">
            <v>4</v>
          </cell>
          <cell r="D3880">
            <v>0</v>
          </cell>
          <cell r="E3880">
            <v>0</v>
          </cell>
          <cell r="F3880">
            <v>0</v>
          </cell>
          <cell r="H3880">
            <v>0</v>
          </cell>
          <cell r="O3880">
            <v>252451</v>
          </cell>
          <cell r="P3880"/>
          <cell r="Q3880" t="str">
            <v>EST MANTA DOHA (LARANJA)</v>
          </cell>
          <cell r="R3880"/>
          <cell r="S3880"/>
          <cell r="T3880">
            <v>1.7</v>
          </cell>
          <cell r="U3880">
            <v>1.3</v>
          </cell>
          <cell r="V3880">
            <v>0.01</v>
          </cell>
          <cell r="W3880">
            <v>0</v>
          </cell>
          <cell r="X3880" t="str">
            <v>EST MANTA DOHA (LARANJA) - 1,7x1,3x0,01H</v>
          </cell>
          <cell r="Y3880">
            <v>0</v>
          </cell>
          <cell r="Z3880">
            <v>0.35</v>
          </cell>
          <cell r="AA3880">
            <v>0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255055</v>
          </cell>
          <cell r="P3881"/>
          <cell r="Q3881" t="str">
            <v>EST BANDEJA PLENN 2269S MARMORE EXOTIC D58X4</v>
          </cell>
          <cell r="R3881"/>
          <cell r="S3881"/>
          <cell r="T3881">
            <v>0.57999999999999996</v>
          </cell>
          <cell r="U3881">
            <v>0</v>
          </cell>
          <cell r="V3881">
            <v>0.04</v>
          </cell>
          <cell r="W3881">
            <v>0.57999999999999996</v>
          </cell>
          <cell r="X3881" t="str">
            <v>EST BANDEJA PLENN 2269S MARMORE EXOTIC D58X4 - Ø0,58x0,04H</v>
          </cell>
          <cell r="Y3881">
            <v>0</v>
          </cell>
          <cell r="Z3881">
            <v>0.35</v>
          </cell>
          <cell r="AA3881">
            <v>0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2</v>
          </cell>
          <cell r="O3882">
            <v>260259</v>
          </cell>
          <cell r="P3882"/>
          <cell r="Q3882" t="str">
            <v>EST CADEIRA DIX (MSITA) (MEL) (TELA CRU) TC 310A</v>
          </cell>
          <cell r="R3882"/>
          <cell r="S3882"/>
          <cell r="T3882">
            <v>0.56000000000000005</v>
          </cell>
          <cell r="U3882">
            <v>0.56999999999999995</v>
          </cell>
          <cell r="V3882">
            <v>0.81</v>
          </cell>
          <cell r="W3882">
            <v>0</v>
          </cell>
          <cell r="X3882" t="str">
            <v>EST CADEIRA DIX (MSITA) (MEL) (TELA CRU) TC 310A - 0,56x0,57x0,81H</v>
          </cell>
          <cell r="Y3882">
            <v>0</v>
          </cell>
          <cell r="Z3882">
            <v>0.35</v>
          </cell>
          <cell r="AA3882">
            <v>0</v>
          </cell>
          <cell r="AB3882"/>
        </row>
        <row r="3883">
          <cell r="C3883">
            <v>1</v>
          </cell>
          <cell r="D3883">
            <v>0</v>
          </cell>
          <cell r="E3883">
            <v>0</v>
          </cell>
          <cell r="F3883">
            <v>0</v>
          </cell>
          <cell r="H3883">
            <v>0</v>
          </cell>
          <cell r="O3883">
            <v>261250</v>
          </cell>
          <cell r="P3883"/>
          <cell r="Q3883" t="str">
            <v>EST FIGA LUMINARIA BAIXA 37X8X15 PRETA</v>
          </cell>
          <cell r="R3883"/>
          <cell r="S3883"/>
          <cell r="T3883">
            <v>0</v>
          </cell>
          <cell r="U3883">
            <v>0</v>
          </cell>
          <cell r="V3883">
            <v>0</v>
          </cell>
          <cell r="W3883">
            <v>0</v>
          </cell>
          <cell r="X3883" t="str">
            <v>EST FIGA LUMINARIA BAIXA 37X8X15 PRETA - Ø0x0H</v>
          </cell>
          <cell r="Y3883">
            <v>0</v>
          </cell>
          <cell r="Z3883">
            <v>0.35</v>
          </cell>
          <cell r="AA3883">
            <v>0</v>
          </cell>
          <cell r="AB3883"/>
        </row>
        <row r="3884">
          <cell r="C3884">
            <v>1</v>
          </cell>
          <cell r="D3884">
            <v>0</v>
          </cell>
          <cell r="E3884">
            <v>0</v>
          </cell>
          <cell r="F3884">
            <v>0</v>
          </cell>
          <cell r="H3884">
            <v>0</v>
          </cell>
          <cell r="O3884">
            <v>261254</v>
          </cell>
          <cell r="P3884"/>
          <cell r="Q3884" t="str">
            <v>EST LUMINARIA ALTA FIGA (IMBUIA | CORTEN)</v>
          </cell>
          <cell r="R3884"/>
          <cell r="S3884"/>
          <cell r="T3884">
            <v>0.47</v>
          </cell>
          <cell r="U3884">
            <v>0.08</v>
          </cell>
          <cell r="V3884">
            <v>0.15</v>
          </cell>
          <cell r="W3884">
            <v>0</v>
          </cell>
          <cell r="X3884" t="str">
            <v>EST LUMINARIA ALTA FIGA (IMBUIA | CORTEN) - 0,47x0,08x0,15H</v>
          </cell>
          <cell r="Y3884">
            <v>0</v>
          </cell>
          <cell r="Z3884">
            <v>0.35</v>
          </cell>
          <cell r="AA3884">
            <v>0</v>
          </cell>
          <cell r="AB3884"/>
        </row>
        <row r="3885">
          <cell r="C3885">
            <v>1</v>
          </cell>
          <cell r="D3885">
            <v>1</v>
          </cell>
          <cell r="E3885">
            <v>0</v>
          </cell>
          <cell r="F3885">
            <v>0</v>
          </cell>
          <cell r="H3885">
            <v>0</v>
          </cell>
          <cell r="O3885">
            <v>261255</v>
          </cell>
          <cell r="P3885"/>
          <cell r="Q3885" t="str">
            <v>EST LUMINARIA FIGA ALTA (PRETA)</v>
          </cell>
          <cell r="R3885"/>
          <cell r="S3885"/>
          <cell r="T3885">
            <v>0.47</v>
          </cell>
          <cell r="U3885">
            <v>0.08</v>
          </cell>
          <cell r="V3885">
            <v>0.15</v>
          </cell>
          <cell r="W3885">
            <v>0</v>
          </cell>
          <cell r="X3885" t="str">
            <v>EST LUMINARIA FIGA ALTA (PRETA) - 0,47x0,08x0,15H</v>
          </cell>
          <cell r="Y3885">
            <v>0</v>
          </cell>
          <cell r="Z3885">
            <v>0.35</v>
          </cell>
          <cell r="AA3885">
            <v>0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0</v>
          </cell>
          <cell r="O3886">
            <v>266071</v>
          </cell>
          <cell r="P3886"/>
          <cell r="Q3886" t="str">
            <v>EST AC QUADRO EQUILIBRIO (657) 65X55 M6 MOL F21 PASP BC CEN</v>
          </cell>
          <cell r="R3886"/>
          <cell r="S3886"/>
          <cell r="T3886">
            <v>0</v>
          </cell>
          <cell r="U3886">
            <v>0</v>
          </cell>
          <cell r="V3886">
            <v>0</v>
          </cell>
          <cell r="W3886">
            <v>0</v>
          </cell>
          <cell r="X3886" t="str">
            <v>EST AC QUADRO EQUILIBRIO (657) 65X55 M6 MOL F21 PASP BC CEN - Ø0x0H</v>
          </cell>
          <cell r="Y3886">
            <v>0</v>
          </cell>
          <cell r="Z3886">
            <v>0.35</v>
          </cell>
          <cell r="AA3886">
            <v>0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0</v>
          </cell>
          <cell r="O3887">
            <v>266077</v>
          </cell>
          <cell r="P3887"/>
          <cell r="Q3887" t="str">
            <v>EST QUADRO LUA E MONTANHAS (734) (G4 MOLDURA F20)</v>
          </cell>
          <cell r="R3887"/>
          <cell r="S3887"/>
          <cell r="T3887">
            <v>0.75</v>
          </cell>
          <cell r="U3887">
            <v>0.5</v>
          </cell>
          <cell r="V3887">
            <v>0</v>
          </cell>
          <cell r="W3887">
            <v>0</v>
          </cell>
          <cell r="X3887" t="str">
            <v>EST QUADRO LUA E MONTANHAS (734) (G4 MOLDURA F20) - 0,75x0,5x0H</v>
          </cell>
          <cell r="Y3887">
            <v>0</v>
          </cell>
          <cell r="Z3887">
            <v>0.35</v>
          </cell>
          <cell r="AA3887">
            <v>0</v>
          </cell>
          <cell r="AB3887"/>
        </row>
        <row r="3888">
          <cell r="C3888">
            <v>2</v>
          </cell>
          <cell r="D3888">
            <v>0</v>
          </cell>
          <cell r="E3888">
            <v>0</v>
          </cell>
          <cell r="F3888">
            <v>0</v>
          </cell>
          <cell r="H3888">
            <v>0</v>
          </cell>
          <cell r="O3888">
            <v>271480</v>
          </cell>
          <cell r="P3888"/>
          <cell r="Q3888" t="str">
            <v>EST AC CENTRO DE MESA DECORATI 1,75X29X29 MET ESMALTADO AZUL</v>
          </cell>
          <cell r="R3888"/>
          <cell r="S3888"/>
          <cell r="T3888">
            <v>0</v>
          </cell>
          <cell r="U3888">
            <v>0</v>
          </cell>
          <cell r="V3888">
            <v>0</v>
          </cell>
          <cell r="W3888">
            <v>0</v>
          </cell>
          <cell r="X3888" t="str">
            <v>EST AC CENTRO DE MESA DECORATI 1,75X29X29 MET ESMALTADO AZUL - Ø0x0H</v>
          </cell>
          <cell r="Y3888">
            <v>0</v>
          </cell>
          <cell r="Z3888">
            <v>0.35</v>
          </cell>
          <cell r="AA3888">
            <v>0</v>
          </cell>
          <cell r="AB3888"/>
        </row>
        <row r="3889">
          <cell r="C3889">
            <v>0</v>
          </cell>
          <cell r="D3889">
            <v>1</v>
          </cell>
          <cell r="E3889">
            <v>0</v>
          </cell>
          <cell r="F3889">
            <v>0</v>
          </cell>
          <cell r="H3889">
            <v>1</v>
          </cell>
          <cell r="O3889">
            <v>271507</v>
          </cell>
          <cell r="P3889"/>
          <cell r="Q3889" t="str">
            <v>EST MANTA TURK (ALGODAO) (AZUL)</v>
          </cell>
          <cell r="R3889"/>
          <cell r="S3889"/>
          <cell r="T3889">
            <v>2.14</v>
          </cell>
          <cell r="U3889">
            <v>1.3</v>
          </cell>
          <cell r="V3889">
            <v>0.01</v>
          </cell>
          <cell r="W3889">
            <v>0</v>
          </cell>
          <cell r="X3889" t="str">
            <v>EST MANTA TURK (ALGODAO) (AZUL) - 2,14x1,3x0,01H</v>
          </cell>
          <cell r="Y3889">
            <v>0</v>
          </cell>
          <cell r="Z3889">
            <v>0.35</v>
          </cell>
          <cell r="AA3889">
            <v>0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0</v>
          </cell>
          <cell r="O3890">
            <v>271721</v>
          </cell>
          <cell r="P3890"/>
          <cell r="Q3890" t="str">
            <v>EST AC ABATJOUR LILAC 44X73 INOX BS NUDE VD INC CUP LIN NUDE</v>
          </cell>
          <cell r="R3890"/>
          <cell r="S3890"/>
          <cell r="T3890">
            <v>0</v>
          </cell>
          <cell r="U3890">
            <v>0</v>
          </cell>
          <cell r="V3890">
            <v>0</v>
          </cell>
          <cell r="W3890">
            <v>0</v>
          </cell>
          <cell r="X3890" t="str">
            <v>EST AC ABATJOUR LILAC 44X73 INOX BS NUDE VD INC CUP LIN NUDE - Ø0x0H</v>
          </cell>
          <cell r="Y3890">
            <v>0</v>
          </cell>
          <cell r="Z3890">
            <v>0.35</v>
          </cell>
          <cell r="AA3890">
            <v>0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0</v>
          </cell>
          <cell r="O3891">
            <v>271725</v>
          </cell>
          <cell r="P3891"/>
          <cell r="Q3891" t="str">
            <v>EST AC BANDEJA MIDI 40X60X8 MD NUDE ACO INOX VD PINTADO</v>
          </cell>
          <cell r="R3891"/>
          <cell r="S3891"/>
          <cell r="T3891">
            <v>0</v>
          </cell>
          <cell r="U3891">
            <v>0</v>
          </cell>
          <cell r="V3891">
            <v>0</v>
          </cell>
          <cell r="W3891">
            <v>0</v>
          </cell>
          <cell r="X3891" t="str">
            <v>EST AC BANDEJA MIDI 40X60X8 MD NUDE ACO INOX VD PINTADO - Ø0x0H</v>
          </cell>
          <cell r="Y3891">
            <v>0</v>
          </cell>
          <cell r="Z3891">
            <v>0.35</v>
          </cell>
          <cell r="AA3891">
            <v>0</v>
          </cell>
          <cell r="AB3891"/>
        </row>
        <row r="3892">
          <cell r="C3892">
            <v>0</v>
          </cell>
          <cell r="D3892">
            <v>1</v>
          </cell>
          <cell r="E3892">
            <v>0</v>
          </cell>
          <cell r="F3892">
            <v>0</v>
          </cell>
          <cell r="H3892">
            <v>0</v>
          </cell>
          <cell r="O3892">
            <v>271727</v>
          </cell>
          <cell r="P3892"/>
          <cell r="Q3892" t="str">
            <v>EST AC BANDEJA ADAM 50X4 MADEIRA NUDE VD PINT FENDI E AZUL</v>
          </cell>
          <cell r="R3892"/>
          <cell r="S3892"/>
          <cell r="T3892">
            <v>0</v>
          </cell>
          <cell r="U3892">
            <v>0</v>
          </cell>
          <cell r="V3892">
            <v>0</v>
          </cell>
          <cell r="W3892">
            <v>0</v>
          </cell>
          <cell r="X3892" t="str">
            <v>EST AC BANDEJA ADAM 50X4 MADEIRA NUDE VD PINT FENDI E AZUL - Ø0x0H</v>
          </cell>
          <cell r="Y3892">
            <v>0</v>
          </cell>
          <cell r="Z3892">
            <v>0.35</v>
          </cell>
          <cell r="AA3892">
            <v>0</v>
          </cell>
          <cell r="AB3892"/>
        </row>
        <row r="3893">
          <cell r="C3893">
            <v>0</v>
          </cell>
          <cell r="D3893">
            <v>1</v>
          </cell>
          <cell r="E3893">
            <v>0</v>
          </cell>
          <cell r="F3893">
            <v>0</v>
          </cell>
          <cell r="H3893">
            <v>0</v>
          </cell>
          <cell r="O3893">
            <v>271729</v>
          </cell>
          <cell r="P3893"/>
          <cell r="Q3893" t="str">
            <v>EST AC BANDEJA BUD 61X41X4 MAD CHUMBO VD NUDE E AZUL</v>
          </cell>
          <cell r="R3893"/>
          <cell r="S3893"/>
          <cell r="T3893">
            <v>0</v>
          </cell>
          <cell r="U3893">
            <v>0</v>
          </cell>
          <cell r="V3893">
            <v>0</v>
          </cell>
          <cell r="W3893">
            <v>0</v>
          </cell>
          <cell r="X3893" t="str">
            <v>EST AC BANDEJA BUD 61X41X4 MAD CHUMBO VD NUDE E AZUL - Ø0x0H</v>
          </cell>
          <cell r="Y3893">
            <v>0</v>
          </cell>
          <cell r="Z3893">
            <v>0.35</v>
          </cell>
          <cell r="AA3893">
            <v>0</v>
          </cell>
          <cell r="AB3893"/>
        </row>
        <row r="3894">
          <cell r="C3894">
            <v>1</v>
          </cell>
          <cell r="D3894">
            <v>0</v>
          </cell>
          <cell r="E3894">
            <v>0</v>
          </cell>
          <cell r="F3894">
            <v>0</v>
          </cell>
          <cell r="H3894">
            <v>0</v>
          </cell>
          <cell r="O3894">
            <v>271756</v>
          </cell>
          <cell r="P3894"/>
          <cell r="Q3894" t="str">
            <v>EST LUSTRE OAK (INOX ESFERAS INCOLOR)</v>
          </cell>
          <cell r="R3894"/>
          <cell r="S3894"/>
          <cell r="T3894">
            <v>0.42</v>
          </cell>
          <cell r="U3894">
            <v>0</v>
          </cell>
          <cell r="V3894">
            <v>0.54</v>
          </cell>
          <cell r="W3894">
            <v>0</v>
          </cell>
          <cell r="X3894" t="str">
            <v>EST LUSTRE OAK (INOX ESFERAS INCOLOR) - Ø0x0,54H</v>
          </cell>
          <cell r="Y3894">
            <v>0</v>
          </cell>
          <cell r="Z3894">
            <v>0.35</v>
          </cell>
          <cell r="AA3894">
            <v>0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3</v>
          </cell>
          <cell r="O3895">
            <v>163876</v>
          </cell>
          <cell r="P3895"/>
          <cell r="Q3895" t="str">
            <v>EST CADEIRA PADAUNG (CATUABA PU) TC 11202-282 LINHO</v>
          </cell>
          <cell r="R3895"/>
          <cell r="S3895"/>
          <cell r="T3895">
            <v>0.46</v>
          </cell>
          <cell r="U3895">
            <v>0.6</v>
          </cell>
          <cell r="V3895">
            <v>0.84</v>
          </cell>
          <cell r="W3895">
            <v>0</v>
          </cell>
          <cell r="X3895" t="str">
            <v>EST CADEIRA PADAUNG (CATUABA PU) TC 11202-282 LINHO - 0,46x0,6x0,84H</v>
          </cell>
          <cell r="Y3895">
            <v>0</v>
          </cell>
          <cell r="Z3895">
            <v>0.35</v>
          </cell>
          <cell r="AA3895">
            <v>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1</v>
          </cell>
          <cell r="O3896">
            <v>163878</v>
          </cell>
          <cell r="P3896"/>
          <cell r="Q3896" t="str">
            <v>EST POLTRONA CENA (JEQUITIBA EBANO) TC 11202-280 LINHO</v>
          </cell>
          <cell r="R3896"/>
          <cell r="S3896"/>
          <cell r="T3896">
            <v>0.79</v>
          </cell>
          <cell r="U3896">
            <v>0.93</v>
          </cell>
          <cell r="V3896">
            <v>1.1000000000000001</v>
          </cell>
          <cell r="W3896">
            <v>0</v>
          </cell>
          <cell r="X3896" t="str">
            <v>EST POLTRONA CENA (JEQUITIBA EBANO) TC 11202-280 LINHO - 0,79x0,93x1,1H</v>
          </cell>
          <cell r="Y3896">
            <v>0</v>
          </cell>
          <cell r="Z3896">
            <v>0.35</v>
          </cell>
          <cell r="AA3896">
            <v>0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1</v>
          </cell>
          <cell r="O3897">
            <v>190044</v>
          </cell>
          <cell r="P3897"/>
          <cell r="Q3897" t="str">
            <v>EST BASE JANTAR ESPLANADA (LOURO FREIJO ENV)</v>
          </cell>
          <cell r="R3897"/>
          <cell r="S3897"/>
          <cell r="T3897">
            <v>1.69</v>
          </cell>
          <cell r="U3897">
            <v>0.99</v>
          </cell>
          <cell r="V3897">
            <v>0.73</v>
          </cell>
          <cell r="W3897">
            <v>0</v>
          </cell>
          <cell r="X3897" t="str">
            <v>EST BASE JANTAR ESPLANADA (LOURO FREIJO ENV) - 1,69x0,99x0,73H</v>
          </cell>
          <cell r="Y3897">
            <v>0</v>
          </cell>
          <cell r="Z3897">
            <v>0.35</v>
          </cell>
          <cell r="AA3897">
            <v>0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1</v>
          </cell>
          <cell r="O3898">
            <v>217201</v>
          </cell>
          <cell r="P3898"/>
          <cell r="Q3898" t="str">
            <v>EST MANCEBO DIX (FREIJO NATURAL PU) (INOX ENVELHECIDO)</v>
          </cell>
          <cell r="R3898"/>
          <cell r="S3898"/>
          <cell r="T3898">
            <v>0.59</v>
          </cell>
          <cell r="U3898">
            <v>0.47</v>
          </cell>
          <cell r="V3898">
            <v>1.43</v>
          </cell>
          <cell r="W3898">
            <v>0</v>
          </cell>
          <cell r="X3898" t="str">
            <v>EST MANCEBO DIX (FREIJO NATURAL PU) (INOX ENVELHECIDO) - 0,59x0,47x1,43H</v>
          </cell>
          <cell r="Y3898">
            <v>0</v>
          </cell>
          <cell r="Z3898">
            <v>0.35</v>
          </cell>
          <cell r="AA3898">
            <v>0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1</v>
          </cell>
          <cell r="O3899">
            <v>217341</v>
          </cell>
          <cell r="P3899"/>
          <cell r="Q3899" t="str">
            <v>EST TAMPO MESA JANTAR QUADRATTA (MAD A CINAMOMO 03)</v>
          </cell>
          <cell r="R3899"/>
          <cell r="S3899"/>
          <cell r="T3899">
            <v>1</v>
          </cell>
          <cell r="U3899">
            <v>0</v>
          </cell>
          <cell r="V3899">
            <v>0</v>
          </cell>
          <cell r="W3899">
            <v>1</v>
          </cell>
          <cell r="X3899" t="str">
            <v>EST TAMPO MESA JANTAR QUADRATTA (MAD A CINAMOMO 03) - Ø1x0H</v>
          </cell>
          <cell r="Y3899">
            <v>0</v>
          </cell>
          <cell r="Z3899">
            <v>0.35</v>
          </cell>
          <cell r="AA3899">
            <v>0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228452</v>
          </cell>
          <cell r="P3900" t="str">
            <v>2018/317-0134-01</v>
          </cell>
          <cell r="Q3900" t="str">
            <v>EST BANQUETA BAR CILINDRO (MAD A MUIRACATIARA POA) COURO PTO</v>
          </cell>
          <cell r="R3900"/>
          <cell r="S3900"/>
          <cell r="T3900">
            <v>0.36</v>
          </cell>
          <cell r="U3900">
            <v>0</v>
          </cell>
          <cell r="V3900">
            <v>0.76</v>
          </cell>
          <cell r="W3900">
            <v>0.36</v>
          </cell>
          <cell r="X3900" t="str">
            <v>EST BANQUETA BAR CILINDRO (MAD A MUIRACATIARA POA) COURO PTO - Ø0,36x0,76H</v>
          </cell>
          <cell r="Y3900">
            <v>9628.4599999999991</v>
          </cell>
          <cell r="Z3900">
            <v>0.35</v>
          </cell>
          <cell r="AA3900">
            <v>6258.4989999999998</v>
          </cell>
          <cell r="AB3900"/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0</v>
          </cell>
          <cell r="H3901">
            <v>3</v>
          </cell>
          <cell r="O3901">
            <v>277906</v>
          </cell>
          <cell r="P3901"/>
          <cell r="Q3901" t="str">
            <v>EST ALMOFADA DECORATIVA (PENA) TC CAMBRAIA MARTINA</v>
          </cell>
          <cell r="R3901"/>
          <cell r="S3901"/>
          <cell r="T3901">
            <v>0.66</v>
          </cell>
          <cell r="U3901">
            <v>0.4</v>
          </cell>
          <cell r="V3901">
            <v>0.1</v>
          </cell>
          <cell r="W3901">
            <v>0</v>
          </cell>
          <cell r="X3901" t="str">
            <v>EST ALMOFADA DECORATIVA (PENA) TC CAMBRAIA MARTINA - 0,66x0,4x0,1H</v>
          </cell>
          <cell r="Y3901" t="e">
            <v>#VALUE!</v>
          </cell>
          <cell r="Z3901">
            <v>0.35</v>
          </cell>
          <cell r="AA3901" t="e">
            <v>#VALUE!</v>
          </cell>
          <cell r="AB3901"/>
        </row>
        <row r="3902"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H3902">
            <v>1</v>
          </cell>
          <cell r="O3902">
            <v>326871</v>
          </cell>
          <cell r="P3902"/>
          <cell r="Q3902" t="str">
            <v>EST MODUDLO PUFF LENCOIS M (DET CR5) (FX5416)</v>
          </cell>
          <cell r="R3902"/>
          <cell r="S3902"/>
          <cell r="T3902">
            <v>0.9</v>
          </cell>
          <cell r="U3902">
            <v>0.5</v>
          </cell>
          <cell r="V3902">
            <v>0.38</v>
          </cell>
          <cell r="W3902">
            <v>0</v>
          </cell>
          <cell r="X3902" t="str">
            <v>EST MODUDLO PUFF LENCOIS M (DET CR5) (FX5416) - 0,9x0,5x0,38H</v>
          </cell>
          <cell r="Y3902" t="e">
            <v>#VALUE!</v>
          </cell>
          <cell r="Z3902">
            <v>0.35</v>
          </cell>
          <cell r="AA3902" t="e">
            <v>#VALUE!</v>
          </cell>
          <cell r="AB3902"/>
        </row>
        <row r="3903">
          <cell r="C3903">
            <v>1</v>
          </cell>
          <cell r="D3903">
            <v>0</v>
          </cell>
          <cell r="E3903">
            <v>0</v>
          </cell>
          <cell r="F3903">
            <v>1</v>
          </cell>
          <cell r="H3903">
            <v>2</v>
          </cell>
          <cell r="O3903">
            <v>350046</v>
          </cell>
          <cell r="P3903"/>
          <cell r="Q3903" t="str">
            <v>EST LUMINARIA MATISSE ORGANICA DUPLA (VOIL BRANCO/ALG BRANC)</v>
          </cell>
          <cell r="R3903"/>
          <cell r="S3903"/>
          <cell r="T3903">
            <v>0.6</v>
          </cell>
          <cell r="U3903">
            <v>0.6</v>
          </cell>
          <cell r="V3903">
            <v>0.4</v>
          </cell>
          <cell r="W3903">
            <v>0</v>
          </cell>
          <cell r="X3903" t="str">
            <v>EST LUMINARIA MATISSE ORGANICA DUPLA (VOIL BRANCO/ALG BRANC) - 0,6x0,6x0,4H</v>
          </cell>
          <cell r="Y3903" t="e">
            <v>#VALUE!</v>
          </cell>
          <cell r="Z3903">
            <v>0.35</v>
          </cell>
          <cell r="AA3903" t="e">
            <v>#VALUE!</v>
          </cell>
          <cell r="AB3903"/>
        </row>
        <row r="3904">
          <cell r="C3904">
            <v>1</v>
          </cell>
          <cell r="D3904">
            <v>0</v>
          </cell>
          <cell r="E3904">
            <v>0</v>
          </cell>
          <cell r="F3904">
            <v>0</v>
          </cell>
          <cell r="H3904">
            <v>3</v>
          </cell>
          <cell r="O3904">
            <v>350047</v>
          </cell>
          <cell r="P3904"/>
          <cell r="Q3904" t="str">
            <v>EST LUMINARIA MATISSE DUPLA (VOIL BRANCO/ALG BRANCO)</v>
          </cell>
          <cell r="R3904"/>
          <cell r="S3904"/>
          <cell r="T3904">
            <v>0.3</v>
          </cell>
          <cell r="U3904">
            <v>0</v>
          </cell>
          <cell r="V3904">
            <v>0.4</v>
          </cell>
          <cell r="W3904">
            <v>0.4</v>
          </cell>
          <cell r="X3904" t="str">
            <v>EST LUMINARIA MATISSE DUPLA (VOIL BRANCO/ALG BRANCO) - Ø0,4x0,4H</v>
          </cell>
          <cell r="Y3904" t="e">
            <v>#VALUE!</v>
          </cell>
          <cell r="Z3904">
            <v>0.35</v>
          </cell>
          <cell r="AA3904" t="e">
            <v>#VALUE!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1</v>
          </cell>
          <cell r="H3905">
            <v>3</v>
          </cell>
          <cell r="O3905">
            <v>350048</v>
          </cell>
          <cell r="P3905"/>
          <cell r="Q3905" t="str">
            <v>EST LUMINARIA MATISSE SIMPLES (ALG BRANCO)</v>
          </cell>
          <cell r="R3905"/>
          <cell r="S3905"/>
          <cell r="T3905">
            <v>0.2</v>
          </cell>
          <cell r="U3905">
            <v>0</v>
          </cell>
          <cell r="V3905">
            <v>0.4</v>
          </cell>
          <cell r="W3905">
            <v>0.35</v>
          </cell>
          <cell r="X3905" t="str">
            <v>EST LUMINARIA MATISSE SIMPLES (ALG BRANCO) - Ø0,35x0,4H</v>
          </cell>
          <cell r="Y3905" t="e">
            <v>#VALUE!</v>
          </cell>
          <cell r="Z3905">
            <v>0.35</v>
          </cell>
          <cell r="AA3905" t="e">
            <v>#VALUE!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384056</v>
          </cell>
          <cell r="P3906" t="str">
            <v>2024/116-0006-01</v>
          </cell>
          <cell r="Q3906" t="str">
            <v>EST MESA JANTAR HIMALAYA (CONT) (MARM 1 ARMANI) (WALNUT)</v>
          </cell>
          <cell r="R3906"/>
          <cell r="S3906"/>
          <cell r="T3906">
            <v>1.4</v>
          </cell>
          <cell r="U3906">
            <v>1.4</v>
          </cell>
          <cell r="V3906">
            <v>0.75</v>
          </cell>
          <cell r="W3906">
            <v>0</v>
          </cell>
          <cell r="X3906" t="str">
            <v>EST MESA JANTAR HIMALAYA (CONT) (MARM 1 ARMANI) (WALNUT) - 1,4x1,4x0,75H</v>
          </cell>
          <cell r="Y3906">
            <v>75250.47</v>
          </cell>
          <cell r="Z3906">
            <v>0.35</v>
          </cell>
          <cell r="AA3906">
            <v>48912.805500000002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2</v>
          </cell>
          <cell r="O3907">
            <v>384056</v>
          </cell>
          <cell r="P3907" t="str">
            <v>2024/116-0007-01</v>
          </cell>
          <cell r="Q3907" t="str">
            <v>EST MESA JANTAR HIMALAYA (CONT) (MARM 1 ARMANI) (WALNUT)</v>
          </cell>
          <cell r="R3907"/>
          <cell r="S3907"/>
          <cell r="T3907">
            <v>1.4</v>
          </cell>
          <cell r="U3907">
            <v>1.4</v>
          </cell>
          <cell r="V3907">
            <v>0.75</v>
          </cell>
          <cell r="W3907">
            <v>0</v>
          </cell>
          <cell r="X3907" t="str">
            <v>EST MESA JANTAR HIMALAYA (CONT) (MARM 1 ARMANI) (WALNUT) - 1,4x1,4x0,75H</v>
          </cell>
          <cell r="Y3907">
            <v>75250.47</v>
          </cell>
          <cell r="Z3907">
            <v>0.35</v>
          </cell>
          <cell r="AA3907">
            <v>48912.805500000002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0</v>
          </cell>
          <cell r="O3908">
            <v>388235</v>
          </cell>
          <cell r="P3908"/>
          <cell r="Q3908" t="str">
            <v>EST QUADRO PAGINAS (MP060D-4040-CV)</v>
          </cell>
          <cell r="R3908"/>
          <cell r="S3908"/>
          <cell r="T3908">
            <v>0.4</v>
          </cell>
          <cell r="U3908">
            <v>0.4</v>
          </cell>
          <cell r="V3908">
            <v>0</v>
          </cell>
          <cell r="W3908">
            <v>0</v>
          </cell>
          <cell r="X3908" t="str">
            <v>EST QUADRO PAGINAS (MP060D-4040-CV) - 0,4x0,4x0H</v>
          </cell>
          <cell r="Y3908">
            <v>0</v>
          </cell>
          <cell r="Z3908">
            <v>0.35</v>
          </cell>
          <cell r="AA3908">
            <v>0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1</v>
          </cell>
          <cell r="O3909">
            <v>388618</v>
          </cell>
          <cell r="P3909" t="str">
            <v>2024/172-0006-01</v>
          </cell>
          <cell r="Q3909" t="str">
            <v>EST TAMPO CRISTAL LAPIDADO (15MM) INCOLOR CANTO MOEDA</v>
          </cell>
          <cell r="R3909"/>
          <cell r="S3909"/>
          <cell r="T3909">
            <v>2</v>
          </cell>
          <cell r="U3909">
            <v>0.7</v>
          </cell>
          <cell r="V3909">
            <v>0.01</v>
          </cell>
          <cell r="W3909">
            <v>0</v>
          </cell>
          <cell r="X3909" t="str">
            <v>EST TAMPO CRISTAL LAPIDADO (15MM) INCOLOR CANTO MOEDA - 2x0,7x0,01H</v>
          </cell>
          <cell r="Y3909">
            <v>8073.253999999999</v>
          </cell>
          <cell r="Z3909">
            <v>0.35</v>
          </cell>
          <cell r="AA3909">
            <v>5247.6150999999991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1</v>
          </cell>
          <cell r="O3910">
            <v>388698</v>
          </cell>
          <cell r="P3910" t="str">
            <v>2024/178-0024-01</v>
          </cell>
          <cell r="Q3910" t="str">
            <v>EST TAMPO CRISTAL LAPIDADO (10MM) INCOLOR CANTO RETO</v>
          </cell>
          <cell r="R3910"/>
          <cell r="S3910"/>
          <cell r="T3910">
            <v>1.7</v>
          </cell>
          <cell r="U3910">
            <v>0.56000000000000005</v>
          </cell>
          <cell r="V3910">
            <v>0.01</v>
          </cell>
          <cell r="W3910">
            <v>0</v>
          </cell>
          <cell r="X3910" t="str">
            <v>EST TAMPO CRISTAL LAPIDADO (10MM) INCOLOR CANTO RETO - 1,7x0,56x0,01H</v>
          </cell>
          <cell r="Y3910">
            <v>2964.1329999999998</v>
          </cell>
          <cell r="Z3910">
            <v>0.35</v>
          </cell>
          <cell r="AA3910">
            <v>1926.6864499999999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1</v>
          </cell>
          <cell r="O3911">
            <v>390794</v>
          </cell>
          <cell r="P3911" t="str">
            <v>2024/226-0033-01</v>
          </cell>
          <cell r="Q3911" t="str">
            <v>EST MESA CENTRO ORGAN (TP MARMORE TRAVERTINO/PES FREIJO)</v>
          </cell>
          <cell r="R3911"/>
          <cell r="S3911"/>
          <cell r="T3911">
            <v>1.1000000000000001</v>
          </cell>
          <cell r="U3911">
            <v>1.1000000000000001</v>
          </cell>
          <cell r="V3911">
            <v>0.27</v>
          </cell>
          <cell r="W3911">
            <v>0</v>
          </cell>
          <cell r="X3911" t="str">
            <v>EST MESA CENTRO ORGAN (TP MARMORE TRAVERTINO/PES FREIJO) - 1,1x1,1x0,27H</v>
          </cell>
          <cell r="Y3911">
            <v>42642.879999999997</v>
          </cell>
          <cell r="Z3911">
            <v>0.35</v>
          </cell>
          <cell r="AA3911">
            <v>27717.871999999999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1</v>
          </cell>
          <cell r="O3912">
            <v>390920</v>
          </cell>
          <cell r="P3912"/>
          <cell r="Q3912" t="str">
            <v>EST MESA LATERAL ARBOL (BS CAPICCINO/ TP PORCELANA BRANCA)</v>
          </cell>
          <cell r="R3912"/>
          <cell r="S3912"/>
          <cell r="T3912">
            <v>0.61</v>
          </cell>
          <cell r="U3912">
            <v>0.56999999999999995</v>
          </cell>
          <cell r="V3912">
            <v>0.7</v>
          </cell>
          <cell r="W3912">
            <v>0.3</v>
          </cell>
          <cell r="X3912" t="str">
            <v>EST MESA LATERAL ARBOL (BS CAPICCINO/ TP PORCELANA BRANCA) - 0,61x0,57x0,7H</v>
          </cell>
          <cell r="Y3912" t="e">
            <v>#VALUE!</v>
          </cell>
          <cell r="Z3912">
            <v>0.35</v>
          </cell>
          <cell r="AA3912" t="e">
            <v>#VALUE!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400396</v>
          </cell>
          <cell r="P3913" t="str">
            <v>2025/038-0002-01</v>
          </cell>
          <cell r="Q3913" t="str">
            <v>EST MESA CENTRO ECLIPSE (TPO LAMINA TABACO) (SUP BZE ARMANI)</v>
          </cell>
          <cell r="R3913"/>
          <cell r="S3913"/>
          <cell r="T3913">
            <v>1.5</v>
          </cell>
          <cell r="U3913">
            <v>1.1000000000000001</v>
          </cell>
          <cell r="V3913">
            <v>0.35</v>
          </cell>
          <cell r="W3913">
            <v>0</v>
          </cell>
          <cell r="X3913" t="str">
            <v>EST MESA CENTRO ECLIPSE (TPO LAMINA TABACO) (SUP BZE ARMANI) - 1,5x1,1x0,35H</v>
          </cell>
          <cell r="Y3913">
            <v>19514.66</v>
          </cell>
          <cell r="Z3913">
            <v>0.35</v>
          </cell>
          <cell r="AA3913">
            <v>12684.529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1</v>
          </cell>
          <cell r="O3914">
            <v>404506</v>
          </cell>
          <cell r="P3914"/>
          <cell r="Q3914" t="str">
            <v>EST MOVEL AUXILIAR ESPECIAL (CLASSICA)</v>
          </cell>
          <cell r="R3914"/>
          <cell r="S3914"/>
          <cell r="T3914">
            <v>0</v>
          </cell>
          <cell r="U3914">
            <v>0</v>
          </cell>
          <cell r="V3914">
            <v>0</v>
          </cell>
          <cell r="W3914">
            <v>0</v>
          </cell>
          <cell r="X3914" t="str">
            <v>EST MOVEL AUXILIAR ESPECIAL (CLASSICA) - Ø0x0H</v>
          </cell>
          <cell r="Y3914" t="e">
            <v>#VALUE!</v>
          </cell>
          <cell r="Z3914">
            <v>0.35</v>
          </cell>
          <cell r="AA3914" t="e">
            <v>#VALUE!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1</v>
          </cell>
          <cell r="O3915">
            <v>404507</v>
          </cell>
          <cell r="P3915"/>
          <cell r="Q3915" t="str">
            <v>EST GAVETEIRO ESPECIAL (CLASSICA)</v>
          </cell>
          <cell r="R3915"/>
          <cell r="S3915"/>
          <cell r="T3915">
            <v>0</v>
          </cell>
          <cell r="U3915">
            <v>0</v>
          </cell>
          <cell r="V3915">
            <v>0</v>
          </cell>
          <cell r="W3915">
            <v>0</v>
          </cell>
          <cell r="X3915" t="str">
            <v>EST GAVETEIRO ESPECIAL (CLASSICA) - Ø0x0H</v>
          </cell>
          <cell r="Y3915" t="e">
            <v>#VALUE!</v>
          </cell>
          <cell r="Z3915">
            <v>0.35</v>
          </cell>
          <cell r="AA3915" t="e">
            <v>#VALUE!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406769</v>
          </cell>
          <cell r="P3916"/>
          <cell r="Q3916" t="str">
            <v>EST MESA CENTRO CLASSICA (4 BASES)</v>
          </cell>
          <cell r="R3916"/>
          <cell r="S3916"/>
          <cell r="T3916">
            <v>1.5</v>
          </cell>
          <cell r="U3916">
            <v>1</v>
          </cell>
          <cell r="V3916">
            <v>0.4</v>
          </cell>
          <cell r="W3916">
            <v>0</v>
          </cell>
          <cell r="X3916" t="str">
            <v>EST MESA CENTRO CLASSICA (4 BASES) - 1,5x1x0,4H</v>
          </cell>
          <cell r="Y3916" t="e">
            <v>#VALUE!</v>
          </cell>
          <cell r="Z3916">
            <v>0.35</v>
          </cell>
          <cell r="AA3916" t="e">
            <v>#VALUE!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1</v>
          </cell>
          <cell r="O3917">
            <v>406929</v>
          </cell>
          <cell r="P3917" t="str">
            <v>2025/146-0004-01</v>
          </cell>
          <cell r="Q3917" t="str">
            <v>EST MESA CENTRO CRUX (DES) (LAM 2 FREIJO) (BS PTO FSC)</v>
          </cell>
          <cell r="R3917"/>
          <cell r="S3917"/>
          <cell r="T3917">
            <v>1.8</v>
          </cell>
          <cell r="U3917">
            <v>1.1000000000000001</v>
          </cell>
          <cell r="V3917">
            <v>0.35</v>
          </cell>
          <cell r="W3917">
            <v>0</v>
          </cell>
          <cell r="X3917" t="str">
            <v>EST MESA CENTRO CRUX (DES) (LAM 2 FREIJO) (BS PTO FSC) - 1,8x1,1x0,35H</v>
          </cell>
          <cell r="Y3917">
            <v>17835.64</v>
          </cell>
          <cell r="Z3917">
            <v>0.35</v>
          </cell>
          <cell r="AA3917">
            <v>11593.166000000001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65221</v>
          </cell>
          <cell r="P3918"/>
          <cell r="Q3918" t="str">
            <v>EST CADEIRA BOSSA ESTOFADA C/BRACO (L109 MARROM) TC FLORAL</v>
          </cell>
          <cell r="R3918"/>
          <cell r="S3918"/>
          <cell r="T3918">
            <v>0.56999999999999995</v>
          </cell>
          <cell r="U3918">
            <v>0.52</v>
          </cell>
          <cell r="V3918">
            <v>0.87</v>
          </cell>
          <cell r="W3918">
            <v>0</v>
          </cell>
          <cell r="X3918" t="str">
            <v>EST CADEIRA BOSSA ESTOFADA C/BRACO (L109 MARROM) TC FLORAL - 0,57x0,52x0,87H</v>
          </cell>
          <cell r="Y3918">
            <v>6952.96</v>
          </cell>
          <cell r="Z3918">
            <v>0.5</v>
          </cell>
          <cell r="AA3918">
            <v>3476.48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1</v>
          </cell>
          <cell r="O3919">
            <v>65446</v>
          </cell>
          <cell r="P3919"/>
          <cell r="Q3919" t="str">
            <v>EST CADEIRA BOSSA PALHA (EBANIZADA) TELA NATURAL</v>
          </cell>
          <cell r="R3919"/>
          <cell r="S3919"/>
          <cell r="T3919">
            <v>0.5</v>
          </cell>
          <cell r="U3919">
            <v>0.57999999999999996</v>
          </cell>
          <cell r="V3919">
            <v>0.88</v>
          </cell>
          <cell r="W3919">
            <v>0</v>
          </cell>
          <cell r="X3919" t="str">
            <v>EST CADEIRA BOSSA PALHA (EBANIZADA) TELA NATURAL - 0,5x0,58x0,88H</v>
          </cell>
          <cell r="Y3919">
            <v>5694.08</v>
          </cell>
          <cell r="Z3919">
            <v>0.5</v>
          </cell>
          <cell r="AA3919">
            <v>2847.04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1</v>
          </cell>
          <cell r="O3920">
            <v>88125</v>
          </cell>
          <cell r="P3920"/>
          <cell r="Q3920" t="str">
            <v>EST MESA CENTRO LEE LACA BRANCA BRILHANTE</v>
          </cell>
          <cell r="R3920"/>
          <cell r="S3920"/>
          <cell r="T3920">
            <v>1</v>
          </cell>
          <cell r="U3920">
            <v>1</v>
          </cell>
          <cell r="V3920">
            <v>0.24</v>
          </cell>
          <cell r="W3920">
            <v>0</v>
          </cell>
          <cell r="X3920" t="str">
            <v>EST MESA CENTRO LEE LACA BRANCA BRILHANTE - 1x1x0,24H</v>
          </cell>
          <cell r="Y3920">
            <v>10890.07</v>
          </cell>
          <cell r="Z3920">
            <v>0.5</v>
          </cell>
          <cell r="AA3920">
            <v>5445.0349999999999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1</v>
          </cell>
          <cell r="O3921">
            <v>94227</v>
          </cell>
          <cell r="P3921"/>
          <cell r="Q3921" t="str">
            <v>EST HOME CODE C004 C/GAVETAS E PRAT (IMBUA NEGRA)</v>
          </cell>
          <cell r="R3921"/>
          <cell r="S3921"/>
          <cell r="T3921">
            <v>0.62</v>
          </cell>
          <cell r="U3921">
            <v>0.5</v>
          </cell>
          <cell r="V3921">
            <v>0.55000000000000004</v>
          </cell>
          <cell r="W3921">
            <v>0</v>
          </cell>
          <cell r="X3921" t="str">
            <v>EST HOME CODE C004 C/GAVETAS E PRAT (IMBUA NEGRA) - 0,62x0,5x0,55H</v>
          </cell>
          <cell r="Y3921">
            <v>5281.92</v>
          </cell>
          <cell r="Z3921">
            <v>0.5</v>
          </cell>
          <cell r="AA3921">
            <v>2640.96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1</v>
          </cell>
          <cell r="O3922">
            <v>98952</v>
          </cell>
          <cell r="P3922" t="str">
            <v>1012/306-1374-01</v>
          </cell>
          <cell r="Q3922" t="str">
            <v>EST BANQUETA BAR GIU (TC 6134)</v>
          </cell>
          <cell r="R3922"/>
          <cell r="S3922"/>
          <cell r="T3922">
            <v>0.43</v>
          </cell>
          <cell r="U3922">
            <v>0.51</v>
          </cell>
          <cell r="V3922">
            <v>1</v>
          </cell>
          <cell r="W3922">
            <v>0</v>
          </cell>
          <cell r="X3922" t="str">
            <v>EST BANQUETA BAR GIU (TC 6134) - 0,43x0,51x1H</v>
          </cell>
          <cell r="Y3922">
            <v>5532.4</v>
          </cell>
          <cell r="Z3922">
            <v>0.5</v>
          </cell>
          <cell r="AA3922">
            <v>2766.2</v>
          </cell>
          <cell r="AB3922"/>
        </row>
        <row r="3923">
          <cell r="C3923" t="e">
            <v>#N/A</v>
          </cell>
          <cell r="D3923" t="e">
            <v>#N/A</v>
          </cell>
          <cell r="E3923" t="e">
            <v>#N/A</v>
          </cell>
          <cell r="F3923" t="e">
            <v>#N/A</v>
          </cell>
          <cell r="H3923" t="e">
            <v>#N/A</v>
          </cell>
          <cell r="O3923">
            <v>100474</v>
          </cell>
          <cell r="P3923"/>
          <cell r="Q3923" t="e">
            <v>#N/A</v>
          </cell>
          <cell r="R3923"/>
          <cell r="S3923"/>
          <cell r="T3923" t="e">
            <v>#N/A</v>
          </cell>
          <cell r="U3923" t="e">
            <v>#N/A</v>
          </cell>
          <cell r="V3923" t="e">
            <v>#N/A</v>
          </cell>
          <cell r="W3923" t="e">
            <v>#N/A</v>
          </cell>
          <cell r="X3923" t="e">
            <v>#N/A</v>
          </cell>
          <cell r="Y3923">
            <v>5694.08</v>
          </cell>
          <cell r="Z3923">
            <v>0.5</v>
          </cell>
          <cell r="AA3923">
            <v>2847.04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1</v>
          </cell>
          <cell r="O3924">
            <v>101791</v>
          </cell>
          <cell r="P3924"/>
          <cell r="Q3924" t="str">
            <v>EST MESA JANTAR EIFFEL C/VIDRO (CUMARU)</v>
          </cell>
          <cell r="R3924"/>
          <cell r="S3924"/>
          <cell r="T3924">
            <v>1.4</v>
          </cell>
          <cell r="U3924">
            <v>1.4</v>
          </cell>
          <cell r="V3924">
            <v>0.75</v>
          </cell>
          <cell r="W3924">
            <v>0</v>
          </cell>
          <cell r="X3924" t="str">
            <v>EST MESA JANTAR EIFFEL C/VIDRO (CUMARU) - 1,4x1,4x0,75H</v>
          </cell>
          <cell r="Y3924">
            <v>13976.55</v>
          </cell>
          <cell r="Z3924">
            <v>0.5</v>
          </cell>
          <cell r="AA3924">
            <v>6988.2749999999996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1</v>
          </cell>
          <cell r="O3925">
            <v>111890</v>
          </cell>
          <cell r="P3925"/>
          <cell r="Q3925" t="str">
            <v>EST PUFF SEIXOS 2 (COURO TIPO 4 FIORI ANTILOPE LISO)</v>
          </cell>
          <cell r="R3925"/>
          <cell r="S3925"/>
          <cell r="T3925">
            <v>1.08</v>
          </cell>
          <cell r="U3925">
            <v>0.76</v>
          </cell>
          <cell r="V3925">
            <v>0.38</v>
          </cell>
          <cell r="W3925">
            <v>0</v>
          </cell>
          <cell r="X3925" t="str">
            <v>EST PUFF SEIXOS 2 (COURO TIPO 4 FIORI ANTILOPE LISO) - 1,08x0,76x0,38H</v>
          </cell>
          <cell r="Y3925">
            <v>8512</v>
          </cell>
          <cell r="Z3925">
            <v>0.5</v>
          </cell>
          <cell r="AA3925">
            <v>4256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112239</v>
          </cell>
          <cell r="P3926"/>
          <cell r="Q3926" t="str">
            <v>EST BANQUETA BAR PHILLIPS (LACA BRILHO) (BASE GANE LAPIS)</v>
          </cell>
          <cell r="R3926"/>
          <cell r="S3926"/>
          <cell r="T3926">
            <v>0.35</v>
          </cell>
          <cell r="U3926">
            <v>0</v>
          </cell>
          <cell r="V3926">
            <v>0.7</v>
          </cell>
          <cell r="W3926">
            <v>0.35</v>
          </cell>
          <cell r="X3926" t="str">
            <v>EST BANQUETA BAR PHILLIPS (LACA BRILHO) (BASE GANE LAPIS) - Ø0,35x0,7H</v>
          </cell>
          <cell r="Y3926">
            <v>15008</v>
          </cell>
          <cell r="Z3926">
            <v>0.5</v>
          </cell>
          <cell r="AA3926">
            <v>7504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123063</v>
          </cell>
          <cell r="P3927" t="str">
            <v>1012/307-3851-01</v>
          </cell>
          <cell r="Q3927" t="str">
            <v>EST ESTANTE BASIC (NOGUEIRA/LACA BRANCA) (COMPLETA)</v>
          </cell>
          <cell r="R3927"/>
          <cell r="S3927"/>
          <cell r="T3927">
            <v>3.04</v>
          </cell>
          <cell r="U3927">
            <v>2</v>
          </cell>
          <cell r="V3927">
            <v>0</v>
          </cell>
          <cell r="W3927">
            <v>0</v>
          </cell>
          <cell r="X3927" t="str">
            <v>EST ESTANTE BASIC (NOGUEIRA/LACA BRANCA) (COMPLETA) - 3,04x2x0H</v>
          </cell>
          <cell r="Y3927">
            <v>27825.279999999999</v>
          </cell>
          <cell r="Z3927">
            <v>0.5</v>
          </cell>
          <cell r="AA3927">
            <v>13912.64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124400</v>
          </cell>
          <cell r="P3928"/>
          <cell r="Q3928" t="str">
            <v>EST MESA LATERAL FIX LACA BRILHANTE PLATINA</v>
          </cell>
          <cell r="R3928"/>
          <cell r="S3928"/>
          <cell r="T3928">
            <v>0.3</v>
          </cell>
          <cell r="U3928">
            <v>0.3</v>
          </cell>
          <cell r="V3928">
            <v>0.3</v>
          </cell>
          <cell r="W3928">
            <v>0</v>
          </cell>
          <cell r="X3928" t="str">
            <v>EST MESA LATERAL FIX LACA BRILHANTE PLATINA - 0,3x0,3x0,3H</v>
          </cell>
          <cell r="Y3928">
            <v>4018.56</v>
          </cell>
          <cell r="Z3928">
            <v>0.5</v>
          </cell>
          <cell r="AA3928">
            <v>2009.28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H3929">
            <v>1</v>
          </cell>
          <cell r="O3929">
            <v>124936</v>
          </cell>
          <cell r="P3929"/>
          <cell r="Q3929" t="str">
            <v>EST POLTRONA MIRAH ESTOFADA (TAUARI IMBUIA MEL) TC 115#05</v>
          </cell>
          <cell r="R3929"/>
          <cell r="S3929"/>
          <cell r="T3929">
            <v>0.75</v>
          </cell>
          <cell r="U3929">
            <v>0.8</v>
          </cell>
          <cell r="V3929">
            <v>0.68</v>
          </cell>
          <cell r="W3929">
            <v>0</v>
          </cell>
          <cell r="X3929" t="str">
            <v>EST POLTRONA MIRAH ESTOFADA (TAUARI IMBUIA MEL) TC 115#05 - 0,75x0,8x0,68H</v>
          </cell>
          <cell r="Y3929">
            <v>24053.119999999999</v>
          </cell>
          <cell r="Z3929">
            <v>0.5</v>
          </cell>
          <cell r="AA3929">
            <v>12026.56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4</v>
          </cell>
          <cell r="O3930">
            <v>128908</v>
          </cell>
          <cell r="P3930"/>
          <cell r="Q3930" t="str">
            <v>EST CADEIRA PLIS (FX 4136) (TING CASTANHO)</v>
          </cell>
          <cell r="R3930"/>
          <cell r="S3930"/>
          <cell r="T3930">
            <v>0.57999999999999996</v>
          </cell>
          <cell r="U3930">
            <v>0.64</v>
          </cell>
          <cell r="V3930">
            <v>0.94</v>
          </cell>
          <cell r="W3930">
            <v>0</v>
          </cell>
          <cell r="X3930" t="str">
            <v>EST CADEIRA PLIS (FX 4136) (TING CASTANHO) - 0,58x0,64x0,94H</v>
          </cell>
          <cell r="Y3930">
            <v>5891.2</v>
          </cell>
          <cell r="Z3930">
            <v>0.5</v>
          </cell>
          <cell r="AA3930">
            <v>2945.6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129593</v>
          </cell>
          <cell r="P3931"/>
          <cell r="Q3931" t="str">
            <v>EST BANQUETA BAR FINN (ASS/ENC ESTOF) (TAUARI NAT) (TC 92#5)</v>
          </cell>
          <cell r="R3931"/>
          <cell r="S3931"/>
          <cell r="T3931">
            <v>0.45</v>
          </cell>
          <cell r="U3931">
            <v>0.43</v>
          </cell>
          <cell r="V3931">
            <v>0.92</v>
          </cell>
          <cell r="W3931">
            <v>0</v>
          </cell>
          <cell r="X3931" t="str">
            <v>EST BANQUETA BAR FINN (ASS/ENC ESTOF) (TAUARI NAT) (TC 92#5) - 0,45x0,43x0,92H</v>
          </cell>
          <cell r="Y3931">
            <v>5930.36</v>
          </cell>
          <cell r="Z3931">
            <v>0.5</v>
          </cell>
          <cell r="AA3931">
            <v>2965.18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137163</v>
          </cell>
          <cell r="P3932" t="str">
            <v>2013/241-0007-01</v>
          </cell>
          <cell r="Q3932" t="str">
            <v>EST CADEIRA GIU C/BRACO (TC 4158)</v>
          </cell>
          <cell r="R3932"/>
          <cell r="S3932"/>
          <cell r="T3932">
            <v>0.57999999999999996</v>
          </cell>
          <cell r="U3932">
            <v>0.59</v>
          </cell>
          <cell r="V3932">
            <v>0.85</v>
          </cell>
          <cell r="W3932">
            <v>0</v>
          </cell>
          <cell r="X3932" t="str">
            <v>EST CADEIRA GIU C/BRACO (TC 4158) - 0,58x0,59x0,85H</v>
          </cell>
          <cell r="Y3932">
            <v>5098.37</v>
          </cell>
          <cell r="Z3932">
            <v>0.5</v>
          </cell>
          <cell r="AA3932">
            <v>2549.1849999999999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2</v>
          </cell>
          <cell r="O3933">
            <v>142198</v>
          </cell>
          <cell r="P3933"/>
          <cell r="Q3933" t="str">
            <v>EST BANCO KEI (CATEDRAL CHAMPAGNE) (BS METALIC CHAMPAGNE)</v>
          </cell>
          <cell r="R3933"/>
          <cell r="S3933"/>
          <cell r="T3933">
            <v>0.45</v>
          </cell>
          <cell r="U3933">
            <v>0.45</v>
          </cell>
          <cell r="V3933">
            <v>0.45</v>
          </cell>
          <cell r="W3933">
            <v>0</v>
          </cell>
          <cell r="X3933" t="str">
            <v>EST BANCO KEI (CATEDRAL CHAMPAGNE) (BS METALIC CHAMPAGNE) - 0,45x0,45x0,45H</v>
          </cell>
          <cell r="Y3933">
            <v>8382.5300000000007</v>
          </cell>
          <cell r="Z3933">
            <v>0.5</v>
          </cell>
          <cell r="AA3933">
            <v>4191.2650000000003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147891</v>
          </cell>
          <cell r="P3934"/>
          <cell r="Q3934" t="str">
            <v>EST CADEIRA PRIMA C/BRACO (ESTOFADO) (EBANIZADA) TC 99#05</v>
          </cell>
          <cell r="R3934"/>
          <cell r="S3934"/>
          <cell r="T3934">
            <v>0.55000000000000004</v>
          </cell>
          <cell r="U3934">
            <v>0.57999999999999996</v>
          </cell>
          <cell r="V3934">
            <v>0.82</v>
          </cell>
          <cell r="W3934">
            <v>0</v>
          </cell>
          <cell r="X3934" t="str">
            <v>EST CADEIRA PRIMA C/BRACO (ESTOFADO) (EBANIZADA) TC 99#05 - 0,55x0,58x0,82H</v>
          </cell>
          <cell r="Y3934">
            <v>4374.72</v>
          </cell>
          <cell r="Z3934">
            <v>0.5</v>
          </cell>
          <cell r="AA3934">
            <v>2187.36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0</v>
          </cell>
          <cell r="O3935">
            <v>150742</v>
          </cell>
          <cell r="P3935" t="str">
            <v>2014/202-0003-01</v>
          </cell>
          <cell r="Q3935" t="str">
            <v>EST POLTRONA PRINCE (EBANIZADO) FX G7129</v>
          </cell>
          <cell r="R3935"/>
          <cell r="S3935"/>
          <cell r="T3935">
            <v>0.67</v>
          </cell>
          <cell r="U3935">
            <v>0.78</v>
          </cell>
          <cell r="V3935">
            <v>0.88</v>
          </cell>
          <cell r="W3935">
            <v>0</v>
          </cell>
          <cell r="X3935" t="str">
            <v>EST POLTRONA PRINCE (EBANIZADO) FX G7129 - 0,67x0,78x0,88H</v>
          </cell>
          <cell r="Y3935">
            <v>3584.67</v>
          </cell>
          <cell r="Z3935">
            <v>0.5</v>
          </cell>
          <cell r="AA3935">
            <v>1792.335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0</v>
          </cell>
          <cell r="O3936">
            <v>150742</v>
          </cell>
          <cell r="P3936" t="str">
            <v>2014/202-0004-01</v>
          </cell>
          <cell r="Q3936" t="str">
            <v>EST POLTRONA PRINCE (EBANIZADO) FX G7129</v>
          </cell>
          <cell r="R3936"/>
          <cell r="S3936"/>
          <cell r="T3936">
            <v>0.67</v>
          </cell>
          <cell r="U3936">
            <v>0.78</v>
          </cell>
          <cell r="V3936">
            <v>0.88</v>
          </cell>
          <cell r="W3936">
            <v>0</v>
          </cell>
          <cell r="X3936" t="str">
            <v>EST POLTRONA PRINCE (EBANIZADO) FX G7129 - 0,67x0,78x0,88H</v>
          </cell>
          <cell r="Y3936">
            <v>3584.67</v>
          </cell>
          <cell r="Z3936">
            <v>0.5</v>
          </cell>
          <cell r="AA3936">
            <v>1792.335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0</v>
          </cell>
          <cell r="O3937">
            <v>150742</v>
          </cell>
          <cell r="P3937" t="str">
            <v>2014/202-0006-01</v>
          </cell>
          <cell r="Q3937" t="str">
            <v>EST POLTRONA PRINCE (EBANIZADO) FX G7129</v>
          </cell>
          <cell r="R3937"/>
          <cell r="S3937"/>
          <cell r="T3937">
            <v>0.67</v>
          </cell>
          <cell r="U3937">
            <v>0.78</v>
          </cell>
          <cell r="V3937">
            <v>0.88</v>
          </cell>
          <cell r="W3937">
            <v>0</v>
          </cell>
          <cell r="X3937" t="str">
            <v>EST POLTRONA PRINCE (EBANIZADO) FX G7129 - 0,67x0,78x0,88H</v>
          </cell>
          <cell r="Y3937">
            <v>3584.67</v>
          </cell>
          <cell r="Z3937">
            <v>0.5</v>
          </cell>
          <cell r="AA3937">
            <v>1792.335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0</v>
          </cell>
          <cell r="O3938">
            <v>150742</v>
          </cell>
          <cell r="P3938" t="str">
            <v>2014/202-0007-01</v>
          </cell>
          <cell r="Q3938" t="str">
            <v>EST POLTRONA PRINCE (EBANIZADO) FX G7129</v>
          </cell>
          <cell r="R3938"/>
          <cell r="S3938"/>
          <cell r="T3938">
            <v>0.67</v>
          </cell>
          <cell r="U3938">
            <v>0.78</v>
          </cell>
          <cell r="V3938">
            <v>0.88</v>
          </cell>
          <cell r="W3938">
            <v>0</v>
          </cell>
          <cell r="X3938" t="str">
            <v>EST POLTRONA PRINCE (EBANIZADO) FX G7129 - 0,67x0,78x0,88H</v>
          </cell>
          <cell r="Y3938">
            <v>3584.67</v>
          </cell>
          <cell r="Z3938">
            <v>0.5</v>
          </cell>
          <cell r="AA3938">
            <v>1792.335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1</v>
          </cell>
          <cell r="O3939">
            <v>150912</v>
          </cell>
          <cell r="P3939"/>
          <cell r="Q3939" t="str">
            <v>EST SOFA REVERE (PES NOGUEIRA AMERICANA) TC 1124-C</v>
          </cell>
          <cell r="R3939"/>
          <cell r="S3939"/>
          <cell r="T3939">
            <v>2.6</v>
          </cell>
          <cell r="U3939">
            <v>0.86</v>
          </cell>
          <cell r="V3939">
            <v>0.76</v>
          </cell>
          <cell r="W3939">
            <v>0</v>
          </cell>
          <cell r="X3939" t="str">
            <v>EST SOFA REVERE (PES NOGUEIRA AMERICANA) TC 1124-C - 2,6x0,86x0,76H</v>
          </cell>
          <cell r="Y3939">
            <v>27838.720000000001</v>
          </cell>
          <cell r="Z3939">
            <v>0.5</v>
          </cell>
          <cell r="AA3939">
            <v>13919.36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1</v>
          </cell>
          <cell r="O3940">
            <v>151361</v>
          </cell>
          <cell r="P3940"/>
          <cell r="Q3940" t="str">
            <v>EST MESA CENTRO NEST (LC BRILHO OFFWHITE)</v>
          </cell>
          <cell r="R3940"/>
          <cell r="S3940"/>
          <cell r="T3940">
            <v>1.63</v>
          </cell>
          <cell r="U3940">
            <v>0.45</v>
          </cell>
          <cell r="V3940">
            <v>0.28999999999999998</v>
          </cell>
          <cell r="W3940">
            <v>0</v>
          </cell>
          <cell r="X3940" t="str">
            <v>EST MESA CENTRO NEST (LC BRILHO OFFWHITE) - 1,63x0,45x0,29H</v>
          </cell>
          <cell r="Y3940">
            <v>5303.42</v>
          </cell>
          <cell r="Z3940">
            <v>0.5</v>
          </cell>
          <cell r="AA3940">
            <v>2651.71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1</v>
          </cell>
          <cell r="O3941">
            <v>151366</v>
          </cell>
          <cell r="P3941" t="str">
            <v>2014/191-0101-01</v>
          </cell>
          <cell r="Q3941" t="str">
            <v>EST APARADOR NEST ROVERE CATERAL BRONZE</v>
          </cell>
          <cell r="R3941"/>
          <cell r="S3941"/>
          <cell r="T3941">
            <v>2</v>
          </cell>
          <cell r="U3941">
            <v>0.5</v>
          </cell>
          <cell r="V3941">
            <v>0.76</v>
          </cell>
          <cell r="W3941">
            <v>0</v>
          </cell>
          <cell r="X3941" t="str">
            <v>EST APARADOR NEST ROVERE CATERAL BRONZE - 2x0,5x0,76H</v>
          </cell>
          <cell r="Y3941">
            <v>13022.91</v>
          </cell>
          <cell r="Z3941">
            <v>0.5</v>
          </cell>
          <cell r="AA3941">
            <v>6511.4549999999999</v>
          </cell>
          <cell r="AB3941"/>
        </row>
        <row r="3942">
          <cell r="C3942">
            <v>1</v>
          </cell>
          <cell r="D3942">
            <v>0</v>
          </cell>
          <cell r="E3942">
            <v>0</v>
          </cell>
          <cell r="F3942">
            <v>0</v>
          </cell>
          <cell r="H3942">
            <v>2</v>
          </cell>
          <cell r="O3942">
            <v>151387</v>
          </cell>
          <cell r="P3942" t="str">
            <v>2014/219-0302-01</v>
          </cell>
          <cell r="Q3942" t="str">
            <v>EST PUFF BRISTOL (C/ALCA) (FIBRA 10MM) OURO PRETO RASPADO</v>
          </cell>
          <cell r="R3942"/>
          <cell r="S3942"/>
          <cell r="T3942">
            <v>0.4</v>
          </cell>
          <cell r="U3942">
            <v>0.4</v>
          </cell>
          <cell r="V3942">
            <v>0.4</v>
          </cell>
          <cell r="W3942">
            <v>0</v>
          </cell>
          <cell r="X3942" t="str">
            <v>EST PUFF BRISTOL (C/ALCA) (FIBRA 10MM) OURO PRETO RASPADO - 0,4x0,4x0,4H</v>
          </cell>
          <cell r="Y3942">
            <v>3551.52</v>
          </cell>
          <cell r="Z3942">
            <v>0.5</v>
          </cell>
          <cell r="AA3942">
            <v>1775.76</v>
          </cell>
          <cell r="AB3942"/>
        </row>
        <row r="3943">
          <cell r="C3943">
            <v>1</v>
          </cell>
          <cell r="D3943">
            <v>0</v>
          </cell>
          <cell r="E3943">
            <v>0</v>
          </cell>
          <cell r="F3943">
            <v>0</v>
          </cell>
          <cell r="H3943">
            <v>2</v>
          </cell>
          <cell r="O3943">
            <v>151387</v>
          </cell>
          <cell r="P3943" t="str">
            <v>2014/219-0358-01</v>
          </cell>
          <cell r="Q3943" t="str">
            <v>EST PUFF BRISTOL (C/ALCA) (FIBRA 10MM) OURO PRETO RASPADO</v>
          </cell>
          <cell r="R3943"/>
          <cell r="S3943"/>
          <cell r="T3943">
            <v>0.4</v>
          </cell>
          <cell r="U3943">
            <v>0.4</v>
          </cell>
          <cell r="V3943">
            <v>0.4</v>
          </cell>
          <cell r="W3943">
            <v>0</v>
          </cell>
          <cell r="X3943" t="str">
            <v>EST PUFF BRISTOL (C/ALCA) (FIBRA 10MM) OURO PRETO RASPADO - 0,4x0,4x0,4H</v>
          </cell>
          <cell r="Y3943">
            <v>3551.52</v>
          </cell>
          <cell r="Z3943">
            <v>0.5</v>
          </cell>
          <cell r="AA3943">
            <v>1775.76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1</v>
          </cell>
          <cell r="O3944">
            <v>151462</v>
          </cell>
          <cell r="P3944"/>
          <cell r="Q3944" t="str">
            <v>EST PUFF RAVENNA (FIBRA BANANEIRA) PES MADEIRA MACICA</v>
          </cell>
          <cell r="R3944"/>
          <cell r="S3944"/>
          <cell r="T3944">
            <v>0.8</v>
          </cell>
          <cell r="U3944">
            <v>0.8</v>
          </cell>
          <cell r="V3944">
            <v>0.45</v>
          </cell>
          <cell r="W3944">
            <v>0</v>
          </cell>
          <cell r="X3944" t="str">
            <v>EST PUFF RAVENNA (FIBRA BANANEIRA) PES MADEIRA MACICA - 0,8x0,8x0,45H</v>
          </cell>
          <cell r="Y3944">
            <v>15680</v>
          </cell>
          <cell r="Z3944">
            <v>0.5</v>
          </cell>
          <cell r="AA3944">
            <v>7840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10</v>
          </cell>
          <cell r="O3945">
            <v>151468</v>
          </cell>
          <cell r="P3945"/>
          <cell r="Q3945" t="str">
            <v>EST POLTRONA JULIA II (JUNCO COR 10) (TC 47/C)</v>
          </cell>
          <cell r="R3945"/>
          <cell r="S3945"/>
          <cell r="T3945">
            <v>0.6</v>
          </cell>
          <cell r="U3945">
            <v>0.6</v>
          </cell>
          <cell r="V3945">
            <v>0.75</v>
          </cell>
          <cell r="W3945">
            <v>0</v>
          </cell>
          <cell r="X3945" t="str">
            <v>EST POLTRONA JULIA II (JUNCO COR 10) (TC 47/C) - 0,6x0,6x0,75H</v>
          </cell>
          <cell r="Y3945">
            <v>8064</v>
          </cell>
          <cell r="Z3945">
            <v>0.5</v>
          </cell>
          <cell r="AA3945">
            <v>4032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2</v>
          </cell>
          <cell r="O3946">
            <v>151533</v>
          </cell>
          <cell r="P3946" t="str">
            <v>2014/219-0105-01</v>
          </cell>
          <cell r="Q3946" t="str">
            <v>EST CADEIRA C/BARCO GIU (TC CHEVRON 11632/005)</v>
          </cell>
          <cell r="R3946"/>
          <cell r="S3946"/>
          <cell r="T3946">
            <v>0.57999999999999996</v>
          </cell>
          <cell r="U3946">
            <v>0.59</v>
          </cell>
          <cell r="V3946">
            <v>0.85</v>
          </cell>
          <cell r="W3946">
            <v>0</v>
          </cell>
          <cell r="X3946" t="str">
            <v>EST CADEIRA C/BARCO GIU (TC CHEVRON 11632/005) - 0,58x0,59x0,85H</v>
          </cell>
          <cell r="Y3946">
            <v>6205.38</v>
          </cell>
          <cell r="Z3946">
            <v>0.5</v>
          </cell>
          <cell r="AA3946">
            <v>3102.69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2</v>
          </cell>
          <cell r="O3947">
            <v>151533</v>
          </cell>
          <cell r="P3947" t="str">
            <v>2014/219-0106-01</v>
          </cell>
          <cell r="Q3947" t="str">
            <v>EST CADEIRA C/BARCO GIU (TC CHEVRON 11632/005)</v>
          </cell>
          <cell r="R3947"/>
          <cell r="S3947"/>
          <cell r="T3947">
            <v>0.57999999999999996</v>
          </cell>
          <cell r="U3947">
            <v>0.59</v>
          </cell>
          <cell r="V3947">
            <v>0.85</v>
          </cell>
          <cell r="W3947">
            <v>0</v>
          </cell>
          <cell r="X3947" t="str">
            <v>EST CADEIRA C/BARCO GIU (TC CHEVRON 11632/005) - 0,58x0,59x0,85H</v>
          </cell>
          <cell r="Y3947">
            <v>6205.38</v>
          </cell>
          <cell r="Z3947">
            <v>0.5</v>
          </cell>
          <cell r="AA3947">
            <v>3102.69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1</v>
          </cell>
          <cell r="O3948">
            <v>151548</v>
          </cell>
          <cell r="P3948"/>
          <cell r="Q3948" t="str">
            <v>EST POLTRONA STUART TC OFFWHITE</v>
          </cell>
          <cell r="R3948"/>
          <cell r="S3948"/>
          <cell r="T3948">
            <v>0.85</v>
          </cell>
          <cell r="U3948">
            <v>0.95</v>
          </cell>
          <cell r="V3948">
            <v>0.73</v>
          </cell>
          <cell r="W3948">
            <v>0</v>
          </cell>
          <cell r="X3948" t="str">
            <v>EST POLTRONA STUART TC OFFWHITE - 0,85x0,95x0,73H</v>
          </cell>
          <cell r="Y3948">
            <v>14851.2</v>
          </cell>
          <cell r="Z3948">
            <v>0.5</v>
          </cell>
          <cell r="AA3948">
            <v>7425.6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1</v>
          </cell>
          <cell r="O3949">
            <v>151549</v>
          </cell>
          <cell r="P3949" t="str">
            <v>2014/209-0085-01</v>
          </cell>
          <cell r="Q3949" t="str">
            <v>EST MODULO BRACO ESQ C/AVANCO BASE STUART (TC CINZA CLARO)</v>
          </cell>
          <cell r="R3949"/>
          <cell r="S3949"/>
          <cell r="T3949">
            <v>1.5</v>
          </cell>
          <cell r="U3949">
            <v>0.95</v>
          </cell>
          <cell r="V3949">
            <v>0.73</v>
          </cell>
          <cell r="W3949">
            <v>0</v>
          </cell>
          <cell r="X3949" t="str">
            <v>EST MODULO BRACO ESQ C/AVANCO BASE STUART (TC CINZA CLARO) - 1,5x0,95x0,73H</v>
          </cell>
          <cell r="Y3949">
            <v>18816</v>
          </cell>
          <cell r="Z3949">
            <v>0.5</v>
          </cell>
          <cell r="AA3949">
            <v>9408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2</v>
          </cell>
          <cell r="O3950">
            <v>151668</v>
          </cell>
          <cell r="P3950" t="str">
            <v>2014/218-0001-01</v>
          </cell>
          <cell r="Q3950" t="str">
            <v>EST MESA LATERAL EROS (INOX POLIDO) (TP CARV GRAFITE BRILHO)</v>
          </cell>
          <cell r="R3950"/>
          <cell r="S3950"/>
          <cell r="T3950">
            <v>0.56000000000000005</v>
          </cell>
          <cell r="U3950">
            <v>0.4</v>
          </cell>
          <cell r="V3950">
            <v>0.65</v>
          </cell>
          <cell r="W3950">
            <v>0</v>
          </cell>
          <cell r="X3950" t="str">
            <v>EST MESA LATERAL EROS (INOX POLIDO) (TP CARV GRAFITE BRILHO) - 0,56x0,4x0,65H</v>
          </cell>
          <cell r="Y3950">
            <v>9434.8799999999992</v>
          </cell>
          <cell r="Z3950">
            <v>0.5</v>
          </cell>
          <cell r="AA3950">
            <v>4717.4399999999996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151676</v>
          </cell>
          <cell r="P3951" t="str">
            <v>2014/197-0089-01</v>
          </cell>
          <cell r="Q3951" t="str">
            <v>EST TAMPO CRISTAL LAPIDADO (15MM) INCOLOR (CIRCULAR)</v>
          </cell>
          <cell r="R3951"/>
          <cell r="S3951"/>
          <cell r="T3951">
            <v>1</v>
          </cell>
          <cell r="U3951">
            <v>0</v>
          </cell>
          <cell r="V3951">
            <v>0.01</v>
          </cell>
          <cell r="W3951">
            <v>1</v>
          </cell>
          <cell r="X3951" t="str">
            <v>EST TAMPO CRISTAL LAPIDADO (15MM) INCOLOR (CIRCULAR) - Ø1x0,01H</v>
          </cell>
          <cell r="Y3951">
            <v>6579.24</v>
          </cell>
          <cell r="Z3951">
            <v>0.5</v>
          </cell>
          <cell r="AA3951">
            <v>3289.62</v>
          </cell>
          <cell r="AB3951"/>
        </row>
        <row r="3952"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H3952">
            <v>2</v>
          </cell>
          <cell r="O3952">
            <v>151722</v>
          </cell>
          <cell r="P3952" t="str">
            <v>2014/204-0099-01</v>
          </cell>
          <cell r="Q3952" t="str">
            <v>EST MESA JANTAR ALTAMIRA CARVALHO TITANIUM MTZ FOSCO</v>
          </cell>
          <cell r="R3952"/>
          <cell r="S3952"/>
          <cell r="T3952">
            <v>2.6</v>
          </cell>
          <cell r="U3952">
            <v>1.2</v>
          </cell>
          <cell r="V3952">
            <v>0.76</v>
          </cell>
          <cell r="W3952">
            <v>0</v>
          </cell>
          <cell r="X3952" t="str">
            <v>EST MESA JANTAR ALTAMIRA CARVALHO TITANIUM MTZ FOSCO - 2,6x1,2x0,76H</v>
          </cell>
          <cell r="Y3952">
            <v>40096</v>
          </cell>
          <cell r="Z3952">
            <v>0.5</v>
          </cell>
          <cell r="AA3952">
            <v>20048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151722</v>
          </cell>
          <cell r="P3953" t="str">
            <v>2014/199-0117-01</v>
          </cell>
          <cell r="Q3953" t="str">
            <v>EST MESA JANTAR ALTAMIRA CARVALHO TITANIUM MTZ FOSCO</v>
          </cell>
          <cell r="R3953"/>
          <cell r="S3953"/>
          <cell r="T3953">
            <v>2.6</v>
          </cell>
          <cell r="U3953">
            <v>1.2</v>
          </cell>
          <cell r="V3953">
            <v>0.76</v>
          </cell>
          <cell r="W3953">
            <v>0</v>
          </cell>
          <cell r="X3953" t="str">
            <v>EST MESA JANTAR ALTAMIRA CARVALHO TITANIUM MTZ FOSCO - 2,6x1,2x0,76H</v>
          </cell>
          <cell r="Y3953">
            <v>40096</v>
          </cell>
          <cell r="Z3953">
            <v>0.5</v>
          </cell>
          <cell r="AA3953">
            <v>20048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1</v>
          </cell>
          <cell r="O3954">
            <v>152614</v>
          </cell>
          <cell r="P3954" t="str">
            <v>2014/185-0109-01</v>
          </cell>
          <cell r="Q3954" t="str">
            <v>EST APARADOR PHOENIX (LACA POLIESTER BRILHO BRANCA)</v>
          </cell>
          <cell r="R3954"/>
          <cell r="S3954"/>
          <cell r="T3954">
            <v>1.8</v>
          </cell>
          <cell r="U3954">
            <v>0.55000000000000004</v>
          </cell>
          <cell r="V3954">
            <v>0.6</v>
          </cell>
          <cell r="W3954">
            <v>0</v>
          </cell>
          <cell r="X3954" t="str">
            <v>EST APARADOR PHOENIX (LACA POLIESTER BRILHO BRANCA) - 1,8x0,55x0,6H</v>
          </cell>
          <cell r="Y3954">
            <v>15023.81</v>
          </cell>
          <cell r="Z3954">
            <v>0.5</v>
          </cell>
          <cell r="AA3954">
            <v>7511.9049999999997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1</v>
          </cell>
          <cell r="O3955">
            <v>157538</v>
          </cell>
          <cell r="P3955"/>
          <cell r="Q3955" t="str">
            <v>EST BANQUETA BAR PHILLIPS (NOGUEIRA) ((BASE LATAO)</v>
          </cell>
          <cell r="R3955"/>
          <cell r="S3955"/>
          <cell r="T3955">
            <v>0.35</v>
          </cell>
          <cell r="U3955">
            <v>0</v>
          </cell>
          <cell r="V3955">
            <v>0.7</v>
          </cell>
          <cell r="W3955">
            <v>0.35</v>
          </cell>
          <cell r="X3955" t="str">
            <v>EST BANQUETA BAR PHILLIPS (NOGUEIRA) ((BASE LATAO) - Ø0,35x0,7H</v>
          </cell>
          <cell r="Y3955">
            <v>15008</v>
          </cell>
          <cell r="Z3955">
            <v>0.5</v>
          </cell>
          <cell r="AA3955">
            <v>7504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2</v>
          </cell>
          <cell r="O3956">
            <v>161699</v>
          </cell>
          <cell r="P3956"/>
          <cell r="Q3956" t="str">
            <v>EST TAMPO CRISTAL LAPIDADO (06MM) LAQUEADO BRONZE RETILINEO</v>
          </cell>
          <cell r="R3956"/>
          <cell r="S3956"/>
          <cell r="T3956">
            <v>0.43</v>
          </cell>
          <cell r="U3956">
            <v>0.4</v>
          </cell>
          <cell r="V3956">
            <v>0</v>
          </cell>
          <cell r="W3956">
            <v>0</v>
          </cell>
          <cell r="X3956" t="str">
            <v>EST TAMPO CRISTAL LAPIDADO (06MM) LAQUEADO BRONZE RETILINEO - 0,43x0,4x0H</v>
          </cell>
          <cell r="Y3956">
            <v>717.56</v>
          </cell>
          <cell r="Z3956">
            <v>0.5</v>
          </cell>
          <cell r="AA3956">
            <v>358.78</v>
          </cell>
          <cell r="AB3956"/>
        </row>
        <row r="3957">
          <cell r="C3957">
            <v>0</v>
          </cell>
          <cell r="D3957">
            <v>1</v>
          </cell>
          <cell r="E3957">
            <v>0</v>
          </cell>
          <cell r="F3957">
            <v>0</v>
          </cell>
          <cell r="H3957">
            <v>1</v>
          </cell>
          <cell r="O3957">
            <v>163826</v>
          </cell>
          <cell r="P3957"/>
          <cell r="Q3957" t="str">
            <v>EST BUFFET CURVO (LC CINZA 70010CZ) JEQUITIBA NATURAL</v>
          </cell>
          <cell r="R3957"/>
          <cell r="S3957"/>
          <cell r="T3957">
            <v>2</v>
          </cell>
          <cell r="U3957">
            <v>0.5</v>
          </cell>
          <cell r="V3957">
            <v>0.67</v>
          </cell>
          <cell r="W3957">
            <v>0</v>
          </cell>
          <cell r="X3957" t="str">
            <v>EST BUFFET CURVO (LC CINZA 70010CZ) JEQUITIBA NATURAL - 2x0,5x0,67H</v>
          </cell>
          <cell r="Y3957">
            <v>20182.400000000001</v>
          </cell>
          <cell r="Z3957">
            <v>0.5</v>
          </cell>
          <cell r="AA3957">
            <v>10091.200000000001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1</v>
          </cell>
          <cell r="O3958">
            <v>164378</v>
          </cell>
          <cell r="P3958"/>
          <cell r="Q3958" t="str">
            <v>EST MESA CENTRO TRAVES MAIOR (LACA BRILHO BEGE)</v>
          </cell>
          <cell r="R3958"/>
          <cell r="S3958"/>
          <cell r="T3958">
            <v>2.4</v>
          </cell>
          <cell r="U3958">
            <v>0.7</v>
          </cell>
          <cell r="V3958">
            <v>0.26</v>
          </cell>
          <cell r="W3958">
            <v>0</v>
          </cell>
          <cell r="X3958" t="str">
            <v>EST MESA CENTRO TRAVES MAIOR (LACA BRILHO BEGE) - 2,4x0,7x0,26H</v>
          </cell>
          <cell r="Y3958">
            <v>9856</v>
          </cell>
          <cell r="Z3958">
            <v>0.5</v>
          </cell>
          <cell r="AA3958">
            <v>4928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164393</v>
          </cell>
          <cell r="P3959" t="str">
            <v>2015/062-0066-01</v>
          </cell>
          <cell r="Q3959" t="str">
            <v>EST POLTRONA ACCOR FX D4034</v>
          </cell>
          <cell r="R3959"/>
          <cell r="S3959"/>
          <cell r="T3959">
            <v>0</v>
          </cell>
          <cell r="U3959">
            <v>0</v>
          </cell>
          <cell r="V3959">
            <v>0</v>
          </cell>
          <cell r="W3959">
            <v>0</v>
          </cell>
          <cell r="X3959" t="str">
            <v>EST POLTRONA ACCOR FX D4034 - Ø0x0H</v>
          </cell>
          <cell r="Y3959">
            <v>7436.8</v>
          </cell>
          <cell r="Z3959">
            <v>0.5</v>
          </cell>
          <cell r="AA3959">
            <v>3718.4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2</v>
          </cell>
          <cell r="O3960">
            <v>174050</v>
          </cell>
          <cell r="P3960"/>
          <cell r="Q3960" t="str">
            <v>EST CADEIRA GIO C/BRACO ESTOFADA (TAUARI COR 01) (TC 90#5)</v>
          </cell>
          <cell r="R3960"/>
          <cell r="S3960"/>
          <cell r="T3960">
            <v>0.54</v>
          </cell>
          <cell r="U3960">
            <v>0.6</v>
          </cell>
          <cell r="V3960">
            <v>0.83</v>
          </cell>
          <cell r="W3960">
            <v>0</v>
          </cell>
          <cell r="X3960" t="str">
            <v>EST CADEIRA GIO C/BRACO ESTOFADA (TAUARI COR 01) (TC 90#5) - 0,54x0,6x0,83H</v>
          </cell>
          <cell r="Y3960">
            <v>5461.12</v>
          </cell>
          <cell r="Z3960">
            <v>0.5</v>
          </cell>
          <cell r="AA3960">
            <v>2730.56</v>
          </cell>
          <cell r="AB3960"/>
        </row>
        <row r="3961">
          <cell r="C3961">
            <v>0</v>
          </cell>
          <cell r="D3961">
            <v>0</v>
          </cell>
          <cell r="E3961">
            <v>0</v>
          </cell>
          <cell r="F3961">
            <v>0</v>
          </cell>
          <cell r="H3961">
            <v>2</v>
          </cell>
          <cell r="O3961">
            <v>174077</v>
          </cell>
          <cell r="P3961" t="str">
            <v>2015/309-0012-01</v>
          </cell>
          <cell r="Q3961" t="str">
            <v>EST PUFF ELLUS (C/RODIZIOS) COURO CINZA CLARO</v>
          </cell>
          <cell r="R3961"/>
          <cell r="S3961"/>
          <cell r="T3961">
            <v>0.86</v>
          </cell>
          <cell r="U3961">
            <v>0.6</v>
          </cell>
          <cell r="V3961">
            <v>0.42</v>
          </cell>
          <cell r="W3961">
            <v>0</v>
          </cell>
          <cell r="X3961" t="str">
            <v>EST PUFF ELLUS (C/RODIZIOS) COURO CINZA CLARO - 0,86x0,6x0,42H</v>
          </cell>
          <cell r="Y3961">
            <v>12417.13</v>
          </cell>
          <cell r="Z3961">
            <v>0.5</v>
          </cell>
          <cell r="AA3961">
            <v>6208.5649999999996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2</v>
          </cell>
          <cell r="O3962">
            <v>174077</v>
          </cell>
          <cell r="P3962" t="str">
            <v>2015/309-0013-01</v>
          </cell>
          <cell r="Q3962" t="str">
            <v>EST PUFF ELLUS (C/RODIZIOS) COURO CINZA CLARO</v>
          </cell>
          <cell r="R3962"/>
          <cell r="S3962"/>
          <cell r="T3962">
            <v>0.86</v>
          </cell>
          <cell r="U3962">
            <v>0.6</v>
          </cell>
          <cell r="V3962">
            <v>0.42</v>
          </cell>
          <cell r="W3962">
            <v>0</v>
          </cell>
          <cell r="X3962" t="str">
            <v>EST PUFF ELLUS (C/RODIZIOS) COURO CINZA CLARO - 0,86x0,6x0,42H</v>
          </cell>
          <cell r="Y3962">
            <v>12417.13</v>
          </cell>
          <cell r="Z3962">
            <v>0.5</v>
          </cell>
          <cell r="AA3962">
            <v>6208.5649999999996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1</v>
          </cell>
          <cell r="O3963">
            <v>176810</v>
          </cell>
          <cell r="P3963"/>
          <cell r="Q3963" t="str">
            <v>EST SOFA ARMANI CODE (BASE FRONTAL) TC 244 00686 TRAM AL</v>
          </cell>
          <cell r="R3963"/>
          <cell r="S3963"/>
          <cell r="T3963">
            <v>3</v>
          </cell>
          <cell r="U3963">
            <v>1.1000000000000001</v>
          </cell>
          <cell r="V3963">
            <v>0.8</v>
          </cell>
          <cell r="W3963">
            <v>0</v>
          </cell>
          <cell r="X3963" t="str">
            <v>EST SOFA ARMANI CODE (BASE FRONTAL) TC 244 00686 TRAM AL - 3x1,1x0,8H</v>
          </cell>
          <cell r="Y3963">
            <v>38990.870000000003</v>
          </cell>
          <cell r="Z3963">
            <v>0.5</v>
          </cell>
          <cell r="AA3963">
            <v>19495.435000000001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2</v>
          </cell>
          <cell r="O3964">
            <v>178054</v>
          </cell>
          <cell r="P3964"/>
          <cell r="Q3964" t="str">
            <v>EST BANCO SALOMI (FIBRA BANANEIRA) 14B TC 48/C</v>
          </cell>
          <cell r="R3964"/>
          <cell r="S3964"/>
          <cell r="T3964">
            <v>0.5</v>
          </cell>
          <cell r="U3964">
            <v>0</v>
          </cell>
          <cell r="V3964">
            <v>0.47</v>
          </cell>
          <cell r="W3964">
            <v>0.5</v>
          </cell>
          <cell r="X3964" t="str">
            <v>EST BANCO SALOMI (FIBRA BANANEIRA) 14B TC 48/C - Ø0,5x0,47H</v>
          </cell>
          <cell r="Y3964">
            <v>8960</v>
          </cell>
          <cell r="Z3964">
            <v>0.5</v>
          </cell>
          <cell r="AA3964">
            <v>4480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1</v>
          </cell>
          <cell r="O3965">
            <v>178893</v>
          </cell>
          <cell r="P3965"/>
          <cell r="Q3965" t="str">
            <v>EST BANCO CHINO MARROM ESCURO</v>
          </cell>
          <cell r="R3965"/>
          <cell r="S3965"/>
          <cell r="T3965">
            <v>0.45</v>
          </cell>
          <cell r="U3965">
            <v>0.45</v>
          </cell>
          <cell r="V3965">
            <v>0.45</v>
          </cell>
          <cell r="W3965">
            <v>0</v>
          </cell>
          <cell r="X3965" t="str">
            <v>EST BANCO CHINO MARROM ESCURO - 0,45x0,45x0,45H</v>
          </cell>
          <cell r="Y3965">
            <v>2542.71</v>
          </cell>
          <cell r="Z3965">
            <v>0.5</v>
          </cell>
          <cell r="AA3965">
            <v>1271.355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2</v>
          </cell>
          <cell r="O3966">
            <v>178920</v>
          </cell>
          <cell r="P3966"/>
          <cell r="Q3966" t="str">
            <v>EST POLTRONA CUBO ECO (C/ASS MOVEL) TC 12830</v>
          </cell>
          <cell r="R3966"/>
          <cell r="S3966"/>
          <cell r="T3966">
            <v>1.28</v>
          </cell>
          <cell r="U3966">
            <v>1.08</v>
          </cell>
          <cell r="V3966">
            <v>0.85</v>
          </cell>
          <cell r="W3966">
            <v>0</v>
          </cell>
          <cell r="X3966" t="str">
            <v>EST POLTRONA CUBO ECO (C/ASS MOVEL) TC 12830 - 1,28x1,08x0,85H</v>
          </cell>
          <cell r="Y3966">
            <v>13120.8</v>
          </cell>
          <cell r="Z3966">
            <v>0.5</v>
          </cell>
          <cell r="AA3966">
            <v>6560.4</v>
          </cell>
          <cell r="AB3966"/>
        </row>
        <row r="3967">
          <cell r="C3967">
            <v>0</v>
          </cell>
          <cell r="D3967">
            <v>0</v>
          </cell>
          <cell r="E3967">
            <v>0</v>
          </cell>
          <cell r="F3967">
            <v>0</v>
          </cell>
          <cell r="H3967">
            <v>2</v>
          </cell>
          <cell r="O3967">
            <v>179149</v>
          </cell>
          <cell r="P3967"/>
          <cell r="Q3967" t="str">
            <v>EST POLTRONA FLEX (BC 20CM) PES LC BRANC FSC/TC 10945</v>
          </cell>
          <cell r="R3967"/>
          <cell r="S3967"/>
          <cell r="T3967">
            <v>0.8</v>
          </cell>
          <cell r="U3967">
            <v>1.03</v>
          </cell>
          <cell r="V3967">
            <v>0.83</v>
          </cell>
          <cell r="W3967">
            <v>0</v>
          </cell>
          <cell r="X3967" t="str">
            <v>EST POLTRONA FLEX (BC 20CM) PES LC BRANC FSC/TC 10945 - 0,8x1,03x0,83H</v>
          </cell>
          <cell r="Y3967">
            <v>13022.11</v>
          </cell>
          <cell r="Z3967">
            <v>0.5</v>
          </cell>
          <cell r="AA3967">
            <v>6511.0550000000003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180804</v>
          </cell>
          <cell r="P3968"/>
          <cell r="Q3968" t="str">
            <v>EST MESA CENTRO CHINO MARROM CLARO</v>
          </cell>
          <cell r="R3968"/>
          <cell r="S3968"/>
          <cell r="T3968">
            <v>1.6</v>
          </cell>
          <cell r="U3968">
            <v>0.45</v>
          </cell>
          <cell r="V3968">
            <v>0.35</v>
          </cell>
          <cell r="W3968">
            <v>0</v>
          </cell>
          <cell r="X3968" t="str">
            <v>EST MESA CENTRO CHINO MARROM CLARO - 1,6x0,45x0,35H</v>
          </cell>
          <cell r="Y3968">
            <v>4206.18</v>
          </cell>
          <cell r="Z3968">
            <v>0.5</v>
          </cell>
          <cell r="AA3968">
            <v>2103.09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2</v>
          </cell>
          <cell r="O3969">
            <v>181321</v>
          </cell>
          <cell r="P3969"/>
          <cell r="Q3969" t="str">
            <v>EST BANQUETA BAR BOSSA (TELA NATURAL) (SAYER L-137)</v>
          </cell>
          <cell r="R3969"/>
          <cell r="S3969"/>
          <cell r="T3969">
            <v>0.44</v>
          </cell>
          <cell r="U3969">
            <v>0.51</v>
          </cell>
          <cell r="V3969">
            <v>1</v>
          </cell>
          <cell r="W3969">
            <v>0</v>
          </cell>
          <cell r="X3969" t="str">
            <v>EST BANQUETA BAR BOSSA (TELA NATURAL) (SAYER L-137) - 0,44x0,51x1H</v>
          </cell>
          <cell r="Y3969">
            <v>6720</v>
          </cell>
          <cell r="Z3969">
            <v>0.5</v>
          </cell>
          <cell r="AA3969">
            <v>3360</v>
          </cell>
          <cell r="AB3969"/>
        </row>
        <row r="3970">
          <cell r="C3970" t="e">
            <v>#N/A</v>
          </cell>
          <cell r="D3970" t="e">
            <v>#N/A</v>
          </cell>
          <cell r="E3970" t="e">
            <v>#N/A</v>
          </cell>
          <cell r="F3970" t="e">
            <v>#N/A</v>
          </cell>
          <cell r="H3970" t="e">
            <v>#N/A</v>
          </cell>
          <cell r="O3970">
            <v>183925</v>
          </cell>
          <cell r="P3970"/>
          <cell r="Q3970" t="e">
            <v>#N/A</v>
          </cell>
          <cell r="R3970"/>
          <cell r="S3970"/>
          <cell r="T3970" t="e">
            <v>#N/A</v>
          </cell>
          <cell r="U3970" t="e">
            <v>#N/A</v>
          </cell>
          <cell r="V3970" t="e">
            <v>#N/A</v>
          </cell>
          <cell r="W3970" t="e">
            <v>#N/A</v>
          </cell>
          <cell r="X3970" t="e">
            <v>#N/A</v>
          </cell>
          <cell r="Y3970">
            <v>70040.05</v>
          </cell>
          <cell r="Z3970">
            <v>0.5</v>
          </cell>
          <cell r="AA3970">
            <v>35020.025000000001</v>
          </cell>
          <cell r="AB3970"/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H3971">
            <v>1</v>
          </cell>
          <cell r="O3971">
            <v>187162</v>
          </cell>
          <cell r="P3971" t="str">
            <v>2016/119-0014-01</v>
          </cell>
          <cell r="Q3971" t="str">
            <v>EST POLTRONA CAPITU MEL CLARO/TELA NOG/TC521</v>
          </cell>
          <cell r="R3971"/>
          <cell r="S3971"/>
          <cell r="T3971">
            <v>0.8</v>
          </cell>
          <cell r="U3971">
            <v>0.76</v>
          </cell>
          <cell r="V3971">
            <v>0.76</v>
          </cell>
          <cell r="W3971">
            <v>0</v>
          </cell>
          <cell r="X3971" t="str">
            <v>EST POLTRONA CAPITU MEL CLARO/TELA NOG/TC521 - 0,8x0,76x0,76H</v>
          </cell>
          <cell r="Y3971">
            <v>17028.48</v>
          </cell>
          <cell r="Z3971">
            <v>0.5</v>
          </cell>
          <cell r="AA3971">
            <v>8514.24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190129</v>
          </cell>
          <cell r="P3972"/>
          <cell r="Q3972" t="str">
            <v>EST POLTRONA CUBO ECO (C/ASS MOVEL) TC 14830</v>
          </cell>
          <cell r="R3972"/>
          <cell r="S3972"/>
          <cell r="T3972">
            <v>1.28</v>
          </cell>
          <cell r="U3972">
            <v>1.08</v>
          </cell>
          <cell r="V3972">
            <v>0.85</v>
          </cell>
          <cell r="W3972">
            <v>0</v>
          </cell>
          <cell r="X3972" t="str">
            <v>EST POLTRONA CUBO ECO (C/ASS MOVEL) TC 14830 - 1,28x1,08x0,85H</v>
          </cell>
          <cell r="Y3972">
            <v>12250.2</v>
          </cell>
          <cell r="Z3972">
            <v>0.5</v>
          </cell>
          <cell r="AA3972">
            <v>6125.1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191075</v>
          </cell>
          <cell r="P3973" t="str">
            <v>2016/145-0011-01</v>
          </cell>
          <cell r="Q3973" t="str">
            <v>EST MESA CENTRO PEAO BAND INF LAM NOGUEIR/MTX JH014</v>
          </cell>
          <cell r="R3973"/>
          <cell r="S3973"/>
          <cell r="T3973">
            <v>0.59</v>
          </cell>
          <cell r="U3973">
            <v>0.59</v>
          </cell>
          <cell r="V3973">
            <v>0.32</v>
          </cell>
          <cell r="W3973">
            <v>0</v>
          </cell>
          <cell r="X3973" t="str">
            <v>EST MESA CENTRO PEAO BAND INF LAM NOGUEIR/MTX JH014 - 0,59x0,59x0,32H</v>
          </cell>
          <cell r="Y3973">
            <v>5532.8</v>
          </cell>
          <cell r="Z3973">
            <v>0.5</v>
          </cell>
          <cell r="AA3973">
            <v>2766.4</v>
          </cell>
          <cell r="AB3973"/>
        </row>
        <row r="3974"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H3974">
            <v>1</v>
          </cell>
          <cell r="O3974">
            <v>191078</v>
          </cell>
          <cell r="P3974" t="str">
            <v>2016/204-0056-01</v>
          </cell>
          <cell r="Q3974" t="str">
            <v>EST MESA CENTRO PEAO CUBO LAM NOGUEIR/MTX JH014</v>
          </cell>
          <cell r="R3974"/>
          <cell r="S3974"/>
          <cell r="T3974">
            <v>0.6</v>
          </cell>
          <cell r="U3974">
            <v>0.6</v>
          </cell>
          <cell r="V3974">
            <v>0.32</v>
          </cell>
          <cell r="W3974">
            <v>0</v>
          </cell>
          <cell r="X3974" t="str">
            <v>EST MESA CENTRO PEAO CUBO LAM NOGUEIR/MTX JH014 - 0,6x0,6x0,32H</v>
          </cell>
          <cell r="Y3974">
            <v>5640.32</v>
          </cell>
          <cell r="Z3974">
            <v>0.5</v>
          </cell>
          <cell r="AA3974">
            <v>2820.16</v>
          </cell>
          <cell r="AB3974"/>
        </row>
        <row r="3975">
          <cell r="C3975">
            <v>0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203138</v>
          </cell>
          <cell r="P3975"/>
          <cell r="Q3975" t="str">
            <v>EST CADEIRA PRADA MADEIRA MEL TC G2229</v>
          </cell>
          <cell r="R3975"/>
          <cell r="S3975"/>
          <cell r="T3975">
            <v>0.44</v>
          </cell>
          <cell r="U3975">
            <v>0.51</v>
          </cell>
          <cell r="V3975">
            <v>0.86</v>
          </cell>
          <cell r="W3975">
            <v>0</v>
          </cell>
          <cell r="X3975" t="str">
            <v>EST CADEIRA PRADA MADEIRA MEL TC G2229 - 0,44x0,51x0,86H</v>
          </cell>
          <cell r="Y3975">
            <v>1704.1</v>
          </cell>
          <cell r="Z3975">
            <v>0.5</v>
          </cell>
          <cell r="AA3975">
            <v>852.05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2</v>
          </cell>
          <cell r="O3976">
            <v>203621</v>
          </cell>
          <cell r="P3976" t="str">
            <v>2016/330-0019-01</v>
          </cell>
          <cell r="Q3976" t="str">
            <v>EST PUFF FREMONT (TC D4073)</v>
          </cell>
          <cell r="R3976"/>
          <cell r="S3976"/>
          <cell r="T3976">
            <v>0.7</v>
          </cell>
          <cell r="U3976">
            <v>0.7</v>
          </cell>
          <cell r="V3976">
            <v>0.45</v>
          </cell>
          <cell r="W3976">
            <v>0</v>
          </cell>
          <cell r="X3976" t="str">
            <v>EST PUFF FREMONT (TC D4073) - 0,7x0,7x0,45H</v>
          </cell>
          <cell r="Y3976">
            <v>4175.3599999999997</v>
          </cell>
          <cell r="Z3976">
            <v>0.5</v>
          </cell>
          <cell r="AA3976">
            <v>2087.6799999999998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2</v>
          </cell>
          <cell r="O3977">
            <v>203621</v>
          </cell>
          <cell r="P3977" t="str">
            <v>2016/330-0020-01</v>
          </cell>
          <cell r="Q3977" t="str">
            <v>EST PUFF FREMONT (TC D4073)</v>
          </cell>
          <cell r="R3977"/>
          <cell r="S3977"/>
          <cell r="T3977">
            <v>0.7</v>
          </cell>
          <cell r="U3977">
            <v>0.7</v>
          </cell>
          <cell r="V3977">
            <v>0.45</v>
          </cell>
          <cell r="W3977">
            <v>0</v>
          </cell>
          <cell r="X3977" t="str">
            <v>EST PUFF FREMONT (TC D4073) - 0,7x0,7x0,45H</v>
          </cell>
          <cell r="Y3977">
            <v>4175.3599999999997</v>
          </cell>
          <cell r="Z3977">
            <v>0.5</v>
          </cell>
          <cell r="AA3977">
            <v>2087.6799999999998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204057</v>
          </cell>
          <cell r="P3978"/>
          <cell r="Q3978" t="str">
            <v>EST BANQUETA BAR BOSSA (TELA NATURAL) (TAUARI COR 02)</v>
          </cell>
          <cell r="R3978"/>
          <cell r="S3978"/>
          <cell r="T3978">
            <v>0.44</v>
          </cell>
          <cell r="U3978">
            <v>0.51</v>
          </cell>
          <cell r="V3978">
            <v>1</v>
          </cell>
          <cell r="W3978">
            <v>0</v>
          </cell>
          <cell r="X3978" t="str">
            <v>EST BANQUETA BAR BOSSA (TELA NATURAL) (TAUARI COR 02) - 0,44x0,51x1H</v>
          </cell>
          <cell r="Y3978">
            <v>6720</v>
          </cell>
          <cell r="Z3978">
            <v>0.5</v>
          </cell>
          <cell r="AA3978">
            <v>3360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204485</v>
          </cell>
          <cell r="P3979"/>
          <cell r="Q3979" t="str">
            <v>EST MESA LATERAL BUNI (GANE OURO ROSA BRILHO)</v>
          </cell>
          <cell r="R3979"/>
          <cell r="S3979"/>
          <cell r="T3979">
            <v>0.45</v>
          </cell>
          <cell r="U3979">
            <v>0</v>
          </cell>
          <cell r="V3979">
            <v>0.4</v>
          </cell>
          <cell r="W3979">
            <v>0.45</v>
          </cell>
          <cell r="X3979" t="str">
            <v>EST MESA LATERAL BUNI (GANE OURO ROSA BRILHO) - Ø0,45x0,4H</v>
          </cell>
          <cell r="Y3979">
            <v>8781.92</v>
          </cell>
          <cell r="Z3979">
            <v>0.5</v>
          </cell>
          <cell r="AA3979">
            <v>4390.96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2</v>
          </cell>
          <cell r="O3980">
            <v>210359</v>
          </cell>
          <cell r="P3980"/>
          <cell r="Q3980" t="str">
            <v>EST BANCO GAL (PINTURA COBRE)</v>
          </cell>
          <cell r="R3980"/>
          <cell r="S3980"/>
          <cell r="T3980">
            <v>0.45</v>
          </cell>
          <cell r="U3980">
            <v>0.45</v>
          </cell>
          <cell r="V3980">
            <v>0.45</v>
          </cell>
          <cell r="W3980">
            <v>0</v>
          </cell>
          <cell r="X3980" t="str">
            <v>EST BANCO GAL (PINTURA COBRE) - 0,45x0,45x0,45H</v>
          </cell>
          <cell r="Y3980">
            <v>7934.75</v>
          </cell>
          <cell r="Z3980">
            <v>0.5</v>
          </cell>
          <cell r="AA3980">
            <v>3967.375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210370</v>
          </cell>
          <cell r="P3981"/>
          <cell r="Q3981" t="str">
            <v>EST BANQUETA BAR GIU (TC 7008) (TING CASTANHO)</v>
          </cell>
          <cell r="R3981"/>
          <cell r="S3981"/>
          <cell r="T3981">
            <v>0.43</v>
          </cell>
          <cell r="U3981">
            <v>0.51</v>
          </cell>
          <cell r="V3981">
            <v>1</v>
          </cell>
          <cell r="W3981">
            <v>0</v>
          </cell>
          <cell r="X3981" t="str">
            <v>EST BANQUETA BAR GIU (TC 7008) (TING CASTANHO) - 0,43x0,51x1H</v>
          </cell>
          <cell r="Y3981">
            <v>5766.07</v>
          </cell>
          <cell r="Z3981">
            <v>0.5</v>
          </cell>
          <cell r="AA3981">
            <v>2883.0349999999999</v>
          </cell>
          <cell r="AB3981"/>
        </row>
        <row r="3982">
          <cell r="C3982">
            <v>0</v>
          </cell>
          <cell r="D3982">
            <v>0</v>
          </cell>
          <cell r="E3982">
            <v>0</v>
          </cell>
          <cell r="F3982">
            <v>0</v>
          </cell>
          <cell r="H3982">
            <v>2</v>
          </cell>
          <cell r="O3982">
            <v>210381</v>
          </cell>
          <cell r="P3982"/>
          <cell r="Q3982" t="str">
            <v>EST APARADOR BARCENA (FREIJO) (BASE LACA FOSCA H155)</v>
          </cell>
          <cell r="R3982"/>
          <cell r="S3982"/>
          <cell r="T3982">
            <v>1.8</v>
          </cell>
          <cell r="U3982">
            <v>0.45</v>
          </cell>
          <cell r="V3982">
            <v>0.76</v>
          </cell>
          <cell r="W3982">
            <v>0</v>
          </cell>
          <cell r="X3982" t="str">
            <v>EST APARADOR BARCENA (FREIJO) (BASE LACA FOSCA H155) - 1,8x0,45x0,76H</v>
          </cell>
          <cell r="Y3982">
            <v>21389.45</v>
          </cell>
          <cell r="Z3982">
            <v>0.5</v>
          </cell>
          <cell r="AA3982">
            <v>10694.725</v>
          </cell>
          <cell r="AB3982"/>
        </row>
        <row r="3983">
          <cell r="C3983">
            <v>0</v>
          </cell>
          <cell r="D3983">
            <v>0</v>
          </cell>
          <cell r="E3983">
            <v>0</v>
          </cell>
          <cell r="F3983">
            <v>0</v>
          </cell>
          <cell r="H3983">
            <v>0</v>
          </cell>
          <cell r="O3983">
            <v>210387</v>
          </cell>
          <cell r="P3983" t="str">
            <v>2017/151-0012-01</v>
          </cell>
          <cell r="Q3983" t="str">
            <v>EST CADEIRA DIX (ESTOFADA) (NATURAL) TC 403A</v>
          </cell>
          <cell r="R3983"/>
          <cell r="S3983"/>
          <cell r="T3983">
            <v>0.56000000000000005</v>
          </cell>
          <cell r="U3983">
            <v>0.56999999999999995</v>
          </cell>
          <cell r="V3983">
            <v>0.81</v>
          </cell>
          <cell r="W3983">
            <v>0</v>
          </cell>
          <cell r="X3983" t="str">
            <v>EST CADEIRA DIX (ESTOFADA) (NATURAL) TC 403A - 0,56x0,57x0,81H</v>
          </cell>
          <cell r="Y3983">
            <v>3808</v>
          </cell>
          <cell r="Z3983">
            <v>0.5</v>
          </cell>
          <cell r="AA3983">
            <v>1904</v>
          </cell>
          <cell r="AB3983"/>
        </row>
        <row r="3984">
          <cell r="C3984">
            <v>0</v>
          </cell>
          <cell r="D3984">
            <v>0</v>
          </cell>
          <cell r="E3984">
            <v>0</v>
          </cell>
          <cell r="F3984">
            <v>0</v>
          </cell>
          <cell r="H3984">
            <v>1</v>
          </cell>
          <cell r="O3984">
            <v>210409</v>
          </cell>
          <cell r="P3984"/>
          <cell r="Q3984" t="str">
            <v>EST APARADOR LISA (LACA BRILHO CONCRETO)</v>
          </cell>
          <cell r="R3984"/>
          <cell r="S3984"/>
          <cell r="T3984">
            <v>2.2999999999999998</v>
          </cell>
          <cell r="U3984">
            <v>0.4</v>
          </cell>
          <cell r="V3984">
            <v>0.76</v>
          </cell>
          <cell r="W3984">
            <v>0</v>
          </cell>
          <cell r="X3984" t="str">
            <v>EST APARADOR LISA (LACA BRILHO CONCRETO) - 2,3x0,4x0,76H</v>
          </cell>
          <cell r="Y3984">
            <v>7526.4</v>
          </cell>
          <cell r="Z3984">
            <v>0.5</v>
          </cell>
          <cell r="AA3984">
            <v>3763.2</v>
          </cell>
          <cell r="AB3984"/>
        </row>
        <row r="3985">
          <cell r="C3985">
            <v>0</v>
          </cell>
          <cell r="D3985">
            <v>0</v>
          </cell>
          <cell r="E3985">
            <v>0</v>
          </cell>
          <cell r="F3985">
            <v>0</v>
          </cell>
          <cell r="H3985">
            <v>1</v>
          </cell>
          <cell r="O3985">
            <v>210423</v>
          </cell>
          <cell r="P3985" t="str">
            <v>2017/152-0025-01</v>
          </cell>
          <cell r="Q3985" t="str">
            <v>EST BANCO STRONGER (ALUMINIO CHAMPAGNE)</v>
          </cell>
          <cell r="R3985"/>
          <cell r="S3985"/>
          <cell r="T3985">
            <v>2</v>
          </cell>
          <cell r="U3985">
            <v>0.6</v>
          </cell>
          <cell r="V3985">
            <v>0.45</v>
          </cell>
          <cell r="W3985">
            <v>0</v>
          </cell>
          <cell r="X3985" t="str">
            <v>EST BANCO STRONGER (ALUMINIO CHAMPAGNE) - 2x0,6x0,45H</v>
          </cell>
          <cell r="Y3985">
            <v>9340.7999999999993</v>
          </cell>
          <cell r="Z3985">
            <v>0.5</v>
          </cell>
          <cell r="AA3985">
            <v>4670.3999999999996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210555</v>
          </cell>
          <cell r="P3986"/>
          <cell r="Q3986" t="str">
            <v>EST BANQUETA BAR AYLA ACAB MEL TC 2013</v>
          </cell>
          <cell r="R3986"/>
          <cell r="S3986"/>
          <cell r="T3986">
            <v>0.42</v>
          </cell>
          <cell r="U3986">
            <v>0.43</v>
          </cell>
          <cell r="V3986">
            <v>1.08</v>
          </cell>
          <cell r="W3986">
            <v>0</v>
          </cell>
          <cell r="X3986" t="str">
            <v>EST BANQUETA BAR AYLA ACAB MEL TC 2013 - 0,42x0,43x1,08H</v>
          </cell>
          <cell r="Y3986">
            <v>2291.34</v>
          </cell>
          <cell r="Z3986">
            <v>0.5</v>
          </cell>
          <cell r="AA3986">
            <v>1145.67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210569</v>
          </cell>
          <cell r="P3987"/>
          <cell r="Q3987" t="str">
            <v>EST MESA LATERAL ZARA ESPELHO PRATA</v>
          </cell>
          <cell r="R3987"/>
          <cell r="S3987"/>
          <cell r="T3987">
            <v>0.6</v>
          </cell>
          <cell r="U3987">
            <v>0.6</v>
          </cell>
          <cell r="V3987">
            <v>0.6</v>
          </cell>
          <cell r="W3987">
            <v>0</v>
          </cell>
          <cell r="X3987" t="str">
            <v>EST MESA LATERAL ZARA ESPELHO PRATA - 0,6x0,6x0,6H</v>
          </cell>
          <cell r="Y3987">
            <v>6852.16</v>
          </cell>
          <cell r="Z3987">
            <v>0.5</v>
          </cell>
          <cell r="AA3987">
            <v>3426.08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2</v>
          </cell>
          <cell r="O3988">
            <v>212906</v>
          </cell>
          <cell r="P3988"/>
          <cell r="Q3988" t="str">
            <v>EST CADEIRA 128 ASS TC120#4/LAMNINA NOGUEIRA</v>
          </cell>
          <cell r="R3988"/>
          <cell r="S3988"/>
          <cell r="T3988">
            <v>0.59</v>
          </cell>
          <cell r="U3988">
            <v>0.55000000000000004</v>
          </cell>
          <cell r="V3988">
            <v>0.83</v>
          </cell>
          <cell r="W3988">
            <v>0</v>
          </cell>
          <cell r="X3988" t="str">
            <v>EST CADEIRA 128 ASS TC120#4/LAMNINA NOGUEIRA - 0,59x0,55x0,83H</v>
          </cell>
          <cell r="Y3988">
            <v>4606.34</v>
          </cell>
          <cell r="Z3988">
            <v>0.5</v>
          </cell>
          <cell r="AA3988">
            <v>2303.17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1</v>
          </cell>
          <cell r="O3989">
            <v>212974</v>
          </cell>
          <cell r="P3989"/>
          <cell r="Q3989" t="str">
            <v>EST BANQUETA BAR PLATTA RETA (COR 102) (COURO 50118 #7)</v>
          </cell>
          <cell r="R3989"/>
          <cell r="S3989"/>
          <cell r="T3989">
            <v>0.43</v>
          </cell>
          <cell r="U3989">
            <v>0.45</v>
          </cell>
          <cell r="V3989">
            <v>0.97</v>
          </cell>
          <cell r="W3989">
            <v>0</v>
          </cell>
          <cell r="X3989" t="str">
            <v>EST BANQUETA BAR PLATTA RETA (COR 102) (COURO 50118 #7) - 0,43x0,45x0,97H</v>
          </cell>
          <cell r="Y3989">
            <v>6837.78</v>
          </cell>
          <cell r="Z3989">
            <v>0.5</v>
          </cell>
          <cell r="AA3989">
            <v>3418.89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1</v>
          </cell>
          <cell r="O3990">
            <v>212975</v>
          </cell>
          <cell r="P3990"/>
          <cell r="Q3990" t="str">
            <v>EST BANQUETA BAR PHILLIPS (LOURO PRETO) (BASE PRETO MTX)</v>
          </cell>
          <cell r="R3990"/>
          <cell r="S3990"/>
          <cell r="T3990">
            <v>0.35</v>
          </cell>
          <cell r="U3990">
            <v>0</v>
          </cell>
          <cell r="V3990">
            <v>0.7</v>
          </cell>
          <cell r="W3990">
            <v>0.35</v>
          </cell>
          <cell r="X3990" t="str">
            <v>EST BANQUETA BAR PHILLIPS (LOURO PRETO) (BASE PRETO MTX) - Ø0,35x0,7H</v>
          </cell>
          <cell r="Y3990">
            <v>15008</v>
          </cell>
          <cell r="Z3990">
            <v>0.5</v>
          </cell>
          <cell r="AA3990">
            <v>7504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1</v>
          </cell>
          <cell r="O3991">
            <v>214530</v>
          </cell>
          <cell r="P3991"/>
          <cell r="Q3991" t="str">
            <v>EST BANQUETA BAR AYLA TC2013/ESTRUTURA MEL</v>
          </cell>
          <cell r="R3991"/>
          <cell r="S3991"/>
          <cell r="T3991">
            <v>0.42</v>
          </cell>
          <cell r="U3991">
            <v>0.42</v>
          </cell>
          <cell r="V3991">
            <v>1.08</v>
          </cell>
          <cell r="W3991">
            <v>0</v>
          </cell>
          <cell r="X3991" t="str">
            <v>EST BANQUETA BAR AYLA TC2013/ESTRUTURA MEL - 0,42x0,42x1,08H</v>
          </cell>
          <cell r="Y3991">
            <v>2291.34</v>
          </cell>
          <cell r="Z3991">
            <v>0.5</v>
          </cell>
          <cell r="AA3991">
            <v>1145.67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1</v>
          </cell>
          <cell r="O3992">
            <v>214577</v>
          </cell>
          <cell r="P3992"/>
          <cell r="Q3992" t="str">
            <v>EST BANQUETA BAR PRIMA (NOGUEIRA) TC 127 #3</v>
          </cell>
          <cell r="R3992"/>
          <cell r="S3992"/>
          <cell r="T3992">
            <v>0.52</v>
          </cell>
          <cell r="U3992">
            <v>0.57999999999999996</v>
          </cell>
          <cell r="V3992">
            <v>0.95</v>
          </cell>
          <cell r="W3992">
            <v>0</v>
          </cell>
          <cell r="X3992" t="str">
            <v>EST BANQUETA BAR PRIMA (NOGUEIRA) TC 127 #3 - 0,52x0,58x0,95H</v>
          </cell>
          <cell r="Y3992">
            <v>5223.68</v>
          </cell>
          <cell r="Z3992">
            <v>0.5</v>
          </cell>
          <cell r="AA3992">
            <v>2611.84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1</v>
          </cell>
          <cell r="O3993">
            <v>217682</v>
          </cell>
          <cell r="P3993"/>
          <cell r="Q3993" t="str">
            <v>EST BANQUETA BAR PAULISTA REAL/TELA CRU SEXTAVADA/TC124</v>
          </cell>
          <cell r="R3993"/>
          <cell r="S3993"/>
          <cell r="T3993">
            <v>0.46</v>
          </cell>
          <cell r="U3993">
            <v>0.54</v>
          </cell>
          <cell r="V3993">
            <v>0.98</v>
          </cell>
          <cell r="W3993">
            <v>0</v>
          </cell>
          <cell r="X3993" t="str">
            <v>EST BANQUETA BAR PAULISTA REAL/TELA CRU SEXTAVADA/TC124 - 0,46x0,54x0,98H</v>
          </cell>
          <cell r="Y3993">
            <v>3380.12</v>
          </cell>
          <cell r="Z3993">
            <v>0.5</v>
          </cell>
          <cell r="AA3993">
            <v>1690.06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2</v>
          </cell>
          <cell r="O3994">
            <v>217687</v>
          </cell>
          <cell r="P3994"/>
          <cell r="Q3994" t="str">
            <v>EST PUFF SOHO (FX F8160) (TING IMBUIA)</v>
          </cell>
          <cell r="R3994"/>
          <cell r="S3994"/>
          <cell r="T3994">
            <v>1.1000000000000001</v>
          </cell>
          <cell r="U3994">
            <v>0</v>
          </cell>
          <cell r="V3994">
            <v>0.3</v>
          </cell>
          <cell r="W3994">
            <v>1.1000000000000001</v>
          </cell>
          <cell r="X3994" t="str">
            <v>EST PUFF SOHO (FX F8160) (TING IMBUIA) - Ø1,1x0,3H</v>
          </cell>
          <cell r="Y3994">
            <v>7874.14</v>
          </cell>
          <cell r="Z3994">
            <v>0.5</v>
          </cell>
          <cell r="AA3994">
            <v>3937.07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1</v>
          </cell>
          <cell r="O3995">
            <v>217873</v>
          </cell>
          <cell r="P3995"/>
          <cell r="Q3995" t="str">
            <v>EST MESA JANTAR MATRIZ (INT LAMIANA NOGUEIRA) (EXT ACO CRU)</v>
          </cell>
          <cell r="R3995"/>
          <cell r="S3995"/>
          <cell r="T3995">
            <v>1.9</v>
          </cell>
          <cell r="U3995">
            <v>0.7</v>
          </cell>
          <cell r="V3995">
            <v>0.75</v>
          </cell>
          <cell r="W3995">
            <v>0</v>
          </cell>
          <cell r="X3995" t="str">
            <v>EST MESA JANTAR MATRIZ (INT LAMIANA NOGUEIRA) (EXT ACO CRU) - 1,9x0,7x0,75H</v>
          </cell>
          <cell r="Y3995">
            <v>34496</v>
          </cell>
          <cell r="Z3995">
            <v>0.5</v>
          </cell>
          <cell r="AA3995">
            <v>17248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1</v>
          </cell>
          <cell r="O3996">
            <v>218640</v>
          </cell>
          <cell r="P3996"/>
          <cell r="Q3996" t="str">
            <v>EST CADEIRA BOSSA PALHA (TAUARI COR 03) TELA NATURAL</v>
          </cell>
          <cell r="R3996"/>
          <cell r="S3996"/>
          <cell r="T3996">
            <v>0.5</v>
          </cell>
          <cell r="U3996">
            <v>0.52</v>
          </cell>
          <cell r="V3996">
            <v>0.87</v>
          </cell>
          <cell r="W3996">
            <v>0</v>
          </cell>
          <cell r="X3996" t="str">
            <v>EST CADEIRA BOSSA PALHA (TAUARI COR 03) TELA NATURAL - 0,5x0,52x0,87H</v>
          </cell>
          <cell r="Y3996">
            <v>6035.72</v>
          </cell>
          <cell r="Z3996">
            <v>0.5</v>
          </cell>
          <cell r="AA3996">
            <v>3017.86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219073</v>
          </cell>
          <cell r="P3997" t="str">
            <v>2017/312-0010-01</v>
          </cell>
          <cell r="Q3997" t="str">
            <v>EST BANCO UZI (MAD DEMOLICAO) PEROBA ROSA IMBUIA NITRO</v>
          </cell>
          <cell r="R3997"/>
          <cell r="S3997"/>
          <cell r="T3997">
            <v>2.4</v>
          </cell>
          <cell r="U3997">
            <v>0.5</v>
          </cell>
          <cell r="V3997">
            <v>0.45</v>
          </cell>
          <cell r="W3997">
            <v>0</v>
          </cell>
          <cell r="X3997" t="str">
            <v>EST BANCO UZI (MAD DEMOLICAO) PEROBA ROSA IMBUIA NITRO - 2,4x0,5x0,45H</v>
          </cell>
          <cell r="Y3997">
            <v>10080</v>
          </cell>
          <cell r="Z3997">
            <v>0.5</v>
          </cell>
          <cell r="AA3997">
            <v>5040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4</v>
          </cell>
          <cell r="O3998">
            <v>221136</v>
          </cell>
          <cell r="P3998" t="str">
            <v>2018/082-0032-01</v>
          </cell>
          <cell r="Q3998" t="str">
            <v>EST CADEIRA JOY ESTOFADA (IMBUIA) (COURO 515 AZUL CLARO)</v>
          </cell>
          <cell r="R3998"/>
          <cell r="S3998"/>
          <cell r="T3998">
            <v>0.44</v>
          </cell>
          <cell r="U3998">
            <v>0.56999999999999995</v>
          </cell>
          <cell r="V3998">
            <v>0.8</v>
          </cell>
          <cell r="W3998">
            <v>0</v>
          </cell>
          <cell r="X3998" t="str">
            <v>EST CADEIRA JOY ESTOFADA (IMBUIA) (COURO 515 AZUL CLARO) - 0,44x0,57x0,8H</v>
          </cell>
          <cell r="Y3998">
            <v>7223.91</v>
          </cell>
          <cell r="Z3998">
            <v>0.5</v>
          </cell>
          <cell r="AA3998">
            <v>3611.9549999999999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4</v>
          </cell>
          <cell r="O3999">
            <v>221136</v>
          </cell>
          <cell r="P3999" t="str">
            <v>2018/082-0033-01</v>
          </cell>
          <cell r="Q3999" t="str">
            <v>EST CADEIRA JOY ESTOFADA (IMBUIA) (COURO 515 AZUL CLARO)</v>
          </cell>
          <cell r="R3999"/>
          <cell r="S3999"/>
          <cell r="T3999">
            <v>0.44</v>
          </cell>
          <cell r="U3999">
            <v>0.56999999999999995</v>
          </cell>
          <cell r="V3999">
            <v>0.8</v>
          </cell>
          <cell r="W3999">
            <v>0</v>
          </cell>
          <cell r="X3999" t="str">
            <v>EST CADEIRA JOY ESTOFADA (IMBUIA) (COURO 515 AZUL CLARO) - 0,44x0,57x0,8H</v>
          </cell>
          <cell r="Y3999">
            <v>7223.91</v>
          </cell>
          <cell r="Z3999">
            <v>0.5</v>
          </cell>
          <cell r="AA3999">
            <v>3611.9549999999999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4</v>
          </cell>
          <cell r="O4000">
            <v>221136</v>
          </cell>
          <cell r="P4000" t="str">
            <v>2018/082-0034-01</v>
          </cell>
          <cell r="Q4000" t="str">
            <v>EST CADEIRA JOY ESTOFADA (IMBUIA) (COURO 515 AZUL CLARO)</v>
          </cell>
          <cell r="R4000"/>
          <cell r="S4000"/>
          <cell r="T4000">
            <v>0.44</v>
          </cell>
          <cell r="U4000">
            <v>0.56999999999999995</v>
          </cell>
          <cell r="V4000">
            <v>0.8</v>
          </cell>
          <cell r="W4000">
            <v>0</v>
          </cell>
          <cell r="X4000" t="str">
            <v>EST CADEIRA JOY ESTOFADA (IMBUIA) (COURO 515 AZUL CLARO) - 0,44x0,57x0,8H</v>
          </cell>
          <cell r="Y4000">
            <v>7223.91</v>
          </cell>
          <cell r="Z4000">
            <v>0.5</v>
          </cell>
          <cell r="AA4000">
            <v>3611.9549999999999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4</v>
          </cell>
          <cell r="O4001">
            <v>221136</v>
          </cell>
          <cell r="P4001" t="str">
            <v>2018/082-0035-01</v>
          </cell>
          <cell r="Q4001" t="str">
            <v>EST CADEIRA JOY ESTOFADA (IMBUIA) (COURO 515 AZUL CLARO)</v>
          </cell>
          <cell r="R4001"/>
          <cell r="S4001"/>
          <cell r="T4001">
            <v>0.44</v>
          </cell>
          <cell r="U4001">
            <v>0.56999999999999995</v>
          </cell>
          <cell r="V4001">
            <v>0.8</v>
          </cell>
          <cell r="W4001">
            <v>0</v>
          </cell>
          <cell r="X4001" t="str">
            <v>EST CADEIRA JOY ESTOFADA (IMBUIA) (COURO 515 AZUL CLARO) - 0,44x0,57x0,8H</v>
          </cell>
          <cell r="Y4001">
            <v>7223.91</v>
          </cell>
          <cell r="Z4001">
            <v>0.5</v>
          </cell>
          <cell r="AA4001">
            <v>3611.9549999999999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221623</v>
          </cell>
          <cell r="P4002"/>
          <cell r="Q4002" t="str">
            <v>EST POLTRONA SOHO (COURO TP2 MATTE SAFARI/MATTE FENDI) PRETO</v>
          </cell>
          <cell r="R4002"/>
          <cell r="S4002"/>
          <cell r="T4002">
            <v>0.85</v>
          </cell>
          <cell r="U4002">
            <v>0.85</v>
          </cell>
          <cell r="V4002">
            <v>0.79</v>
          </cell>
          <cell r="W4002">
            <v>0</v>
          </cell>
          <cell r="X4002" t="str">
            <v>EST POLTRONA SOHO (COURO TP2 MATTE SAFARI/MATTE FENDI) PRETO - 0,85x0,85x0,79H</v>
          </cell>
          <cell r="Y4002">
            <v>15680</v>
          </cell>
          <cell r="Z4002">
            <v>0.5</v>
          </cell>
          <cell r="AA4002">
            <v>7840</v>
          </cell>
          <cell r="AB4002"/>
        </row>
        <row r="4003">
          <cell r="C4003">
            <v>1</v>
          </cell>
          <cell r="D4003">
            <v>0</v>
          </cell>
          <cell r="E4003">
            <v>0</v>
          </cell>
          <cell r="F4003">
            <v>0</v>
          </cell>
          <cell r="H4003">
            <v>0</v>
          </cell>
          <cell r="O4003">
            <v>223326</v>
          </cell>
          <cell r="P4003" t="str">
            <v>2019/074-0059-01</v>
          </cell>
          <cell r="Q4003" t="str">
            <v>EST APARADOR ZINA (LAMINA 3 PAU FERRO PC) (LACA FOSCA PRETA)</v>
          </cell>
          <cell r="R4003"/>
          <cell r="S4003"/>
          <cell r="T4003">
            <v>1.9</v>
          </cell>
          <cell r="U4003">
            <v>0.5</v>
          </cell>
          <cell r="V4003">
            <v>0.8</v>
          </cell>
          <cell r="W4003">
            <v>0</v>
          </cell>
          <cell r="X4003" t="str">
            <v>EST APARADOR ZINA (LAMINA 3 PAU FERRO PC) (LACA FOSCA PRETA) - 1,9x0,5x0,8H</v>
          </cell>
          <cell r="Y4003">
            <v>26879.42</v>
          </cell>
          <cell r="Z4003">
            <v>0.5</v>
          </cell>
          <cell r="AA4003">
            <v>13439.71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0</v>
          </cell>
          <cell r="O4004">
            <v>223326</v>
          </cell>
          <cell r="P4004" t="str">
            <v>2020/155-0087-01</v>
          </cell>
          <cell r="Q4004" t="str">
            <v>EST APARADOR ZINA (LAMINA 3 PAU FERRO PC) (LACA FOSCA PRETA)</v>
          </cell>
          <cell r="R4004"/>
          <cell r="S4004"/>
          <cell r="T4004">
            <v>1.9</v>
          </cell>
          <cell r="U4004">
            <v>0.5</v>
          </cell>
          <cell r="V4004">
            <v>0.8</v>
          </cell>
          <cell r="W4004">
            <v>0</v>
          </cell>
          <cell r="X4004" t="str">
            <v>EST APARADOR ZINA (LAMINA 3 PAU FERRO PC) (LACA FOSCA PRETA) - 1,9x0,5x0,8H</v>
          </cell>
          <cell r="Y4004">
            <v>26879.42</v>
          </cell>
          <cell r="Z4004">
            <v>0.5</v>
          </cell>
          <cell r="AA4004">
            <v>13439.71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2</v>
          </cell>
          <cell r="O4005">
            <v>223331</v>
          </cell>
          <cell r="P4005" t="str">
            <v>2018/171-0184-01</v>
          </cell>
          <cell r="Q4005" t="str">
            <v>EST POLTRONA DORA TC 835 VELUDO VINHO</v>
          </cell>
          <cell r="R4005"/>
          <cell r="S4005"/>
          <cell r="T4005">
            <v>0.76</v>
          </cell>
          <cell r="U4005">
            <v>0.87</v>
          </cell>
          <cell r="V4005">
            <v>0.71</v>
          </cell>
          <cell r="W4005">
            <v>0</v>
          </cell>
          <cell r="X4005" t="str">
            <v>EST POLTRONA DORA TC 835 VELUDO VINHO - 0,76x0,87x0,71H</v>
          </cell>
          <cell r="Y4005">
            <v>17726.02</v>
          </cell>
          <cell r="Z4005">
            <v>0.5</v>
          </cell>
          <cell r="AA4005">
            <v>8863.01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2</v>
          </cell>
          <cell r="O4006">
            <v>223331</v>
          </cell>
          <cell r="P4006" t="str">
            <v>2018/171-0185-01</v>
          </cell>
          <cell r="Q4006" t="str">
            <v>EST POLTRONA DORA TC 835 VELUDO VINHO</v>
          </cell>
          <cell r="R4006"/>
          <cell r="S4006"/>
          <cell r="T4006">
            <v>0.76</v>
          </cell>
          <cell r="U4006">
            <v>0.87</v>
          </cell>
          <cell r="V4006">
            <v>0.71</v>
          </cell>
          <cell r="W4006">
            <v>0</v>
          </cell>
          <cell r="X4006" t="str">
            <v>EST POLTRONA DORA TC 835 VELUDO VINHO - 0,76x0,87x0,71H</v>
          </cell>
          <cell r="Y4006">
            <v>17726.02</v>
          </cell>
          <cell r="Z4006">
            <v>0.5</v>
          </cell>
          <cell r="AA4006">
            <v>8863.01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223338</v>
          </cell>
          <cell r="P4007" t="str">
            <v>2018/214-0031-01</v>
          </cell>
          <cell r="Q4007" t="str">
            <v>EST APARADOR TAY II (C/GAV) (LACA POLIESTER BRILHO F100)</v>
          </cell>
          <cell r="R4007"/>
          <cell r="S4007"/>
          <cell r="T4007">
            <v>2</v>
          </cell>
          <cell r="U4007">
            <v>0.45</v>
          </cell>
          <cell r="V4007">
            <v>0.76</v>
          </cell>
          <cell r="W4007">
            <v>0</v>
          </cell>
          <cell r="X4007" t="str">
            <v>EST APARADOR TAY II (C/GAV) (LACA POLIESTER BRILHO F100) - 2x0,45x0,76H</v>
          </cell>
          <cell r="Y4007">
            <v>20925.990000000002</v>
          </cell>
          <cell r="Z4007">
            <v>0.5</v>
          </cell>
          <cell r="AA4007">
            <v>10462.995000000001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2</v>
          </cell>
          <cell r="O4008">
            <v>223394</v>
          </cell>
          <cell r="P4008" t="str">
            <v>2018/214-0019-01</v>
          </cell>
          <cell r="Q4008" t="str">
            <v>EST MESA CENTRO TUNIS (LACA POLIESTER BRILHO J155)</v>
          </cell>
          <cell r="R4008"/>
          <cell r="S4008"/>
          <cell r="T4008">
            <v>1.8</v>
          </cell>
          <cell r="U4008">
            <v>0.7</v>
          </cell>
          <cell r="V4008">
            <v>0.23</v>
          </cell>
          <cell r="W4008">
            <v>0</v>
          </cell>
          <cell r="X4008" t="str">
            <v>EST MESA CENTRO TUNIS (LACA POLIESTER BRILHO J155) - 1,8x0,7x0,23H</v>
          </cell>
          <cell r="Y4008">
            <v>16035.13</v>
          </cell>
          <cell r="Z4008">
            <v>0.5</v>
          </cell>
          <cell r="AA4008">
            <v>8017.5649999999996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4</v>
          </cell>
          <cell r="O4009">
            <v>224131</v>
          </cell>
          <cell r="P4009" t="str">
            <v>2018/176-0043-01</v>
          </cell>
          <cell r="Q4009" t="str">
            <v>EST CADEIRA GAVEA (MEL CLARO) TC 310A</v>
          </cell>
          <cell r="R4009"/>
          <cell r="S4009"/>
          <cell r="T4009">
            <v>0.51</v>
          </cell>
          <cell r="U4009">
            <v>0.62</v>
          </cell>
          <cell r="V4009">
            <v>0.87</v>
          </cell>
          <cell r="W4009">
            <v>0</v>
          </cell>
          <cell r="X4009" t="str">
            <v>EST CADEIRA GAVEA (MEL CLARO) TC 310A - 0,51x0,62x0,87H</v>
          </cell>
          <cell r="Y4009">
            <v>4928</v>
          </cell>
          <cell r="Z4009">
            <v>0.5</v>
          </cell>
          <cell r="AA4009">
            <v>2464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4</v>
          </cell>
          <cell r="O4010">
            <v>224131</v>
          </cell>
          <cell r="P4010" t="str">
            <v>2018/212-0081-01</v>
          </cell>
          <cell r="Q4010" t="str">
            <v>EST CADEIRA GAVEA (MEL CLARO) TC 310A</v>
          </cell>
          <cell r="R4010"/>
          <cell r="S4010"/>
          <cell r="T4010">
            <v>0.51</v>
          </cell>
          <cell r="U4010">
            <v>0.62</v>
          </cell>
          <cell r="V4010">
            <v>0.87</v>
          </cell>
          <cell r="W4010">
            <v>0</v>
          </cell>
          <cell r="X4010" t="str">
            <v>EST CADEIRA GAVEA (MEL CLARO) TC 310A - 0,51x0,62x0,87H</v>
          </cell>
          <cell r="Y4010">
            <v>4928</v>
          </cell>
          <cell r="Z4010">
            <v>0.5</v>
          </cell>
          <cell r="AA4010">
            <v>2464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4</v>
          </cell>
          <cell r="O4011">
            <v>224131</v>
          </cell>
          <cell r="P4011" t="str">
            <v>2018/212-0082-01</v>
          </cell>
          <cell r="Q4011" t="str">
            <v>EST CADEIRA GAVEA (MEL CLARO) TC 310A</v>
          </cell>
          <cell r="R4011"/>
          <cell r="S4011"/>
          <cell r="T4011">
            <v>0.51</v>
          </cell>
          <cell r="U4011">
            <v>0.62</v>
          </cell>
          <cell r="V4011">
            <v>0.87</v>
          </cell>
          <cell r="W4011">
            <v>0</v>
          </cell>
          <cell r="X4011" t="str">
            <v>EST CADEIRA GAVEA (MEL CLARO) TC 310A - 0,51x0,62x0,87H</v>
          </cell>
          <cell r="Y4011">
            <v>4928</v>
          </cell>
          <cell r="Z4011">
            <v>0.5</v>
          </cell>
          <cell r="AA4011">
            <v>2464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4</v>
          </cell>
          <cell r="O4012">
            <v>224131</v>
          </cell>
          <cell r="P4012" t="str">
            <v>2018/212-0083-01</v>
          </cell>
          <cell r="Q4012" t="str">
            <v>EST CADEIRA GAVEA (MEL CLARO) TC 310A</v>
          </cell>
          <cell r="R4012"/>
          <cell r="S4012"/>
          <cell r="T4012">
            <v>0.51</v>
          </cell>
          <cell r="U4012">
            <v>0.62</v>
          </cell>
          <cell r="V4012">
            <v>0.87</v>
          </cell>
          <cell r="W4012">
            <v>0</v>
          </cell>
          <cell r="X4012" t="str">
            <v>EST CADEIRA GAVEA (MEL CLARO) TC 310A - 0,51x0,62x0,87H</v>
          </cell>
          <cell r="Y4012">
            <v>4928</v>
          </cell>
          <cell r="Z4012">
            <v>0.5</v>
          </cell>
          <cell r="AA4012">
            <v>2464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224531</v>
          </cell>
          <cell r="P4013" t="str">
            <v>2018/207-0005-01</v>
          </cell>
          <cell r="Q4013" t="str">
            <v>EST BUFFET TOKYO SUSPENSO (CORPO/PORTA NOG/DET MTX PRETO)</v>
          </cell>
          <cell r="R4013"/>
          <cell r="S4013"/>
          <cell r="T4013">
            <v>2.4</v>
          </cell>
          <cell r="U4013">
            <v>0.45</v>
          </cell>
          <cell r="V4013">
            <v>0.45</v>
          </cell>
          <cell r="W4013">
            <v>0</v>
          </cell>
          <cell r="X4013" t="str">
            <v>EST BUFFET TOKYO SUSPENSO (CORPO/PORTA NOG/DET MTX PRETO) - 2,4x0,45x0,45H</v>
          </cell>
          <cell r="Y4013">
            <v>36012.93</v>
          </cell>
          <cell r="Z4013">
            <v>0.5</v>
          </cell>
          <cell r="AA4013">
            <v>18006.465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2</v>
          </cell>
          <cell r="O4014">
            <v>224531</v>
          </cell>
          <cell r="P4014" t="str">
            <v>2018/234-0011-01</v>
          </cell>
          <cell r="Q4014" t="str">
            <v>EST BUFFET TOKYO SUSPENSO (CORPO/PORTA NOG/DET MTX PRETO)</v>
          </cell>
          <cell r="R4014"/>
          <cell r="S4014"/>
          <cell r="T4014">
            <v>2.4</v>
          </cell>
          <cell r="U4014">
            <v>0.45</v>
          </cell>
          <cell r="V4014">
            <v>0.45</v>
          </cell>
          <cell r="W4014">
            <v>0</v>
          </cell>
          <cell r="X4014" t="str">
            <v>EST BUFFET TOKYO SUSPENSO (CORPO/PORTA NOG/DET MTX PRETO) - 2,4x0,45x0,45H</v>
          </cell>
          <cell r="Y4014">
            <v>36012.93</v>
          </cell>
          <cell r="Z4014">
            <v>0.5</v>
          </cell>
          <cell r="AA4014">
            <v>18006.465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226719</v>
          </cell>
          <cell r="P4015" t="str">
            <v>2018/233-0044-01</v>
          </cell>
          <cell r="Q4015" t="str">
            <v>EST CADEIRA EVO C/BRACO (TAP DISTRESS 20363) MAD MEL CLARO</v>
          </cell>
          <cell r="R4015"/>
          <cell r="S4015"/>
          <cell r="T4015">
            <v>0.53</v>
          </cell>
          <cell r="U4015">
            <v>0.47</v>
          </cell>
          <cell r="V4015">
            <v>0.82</v>
          </cell>
          <cell r="W4015">
            <v>0</v>
          </cell>
          <cell r="X4015" t="str">
            <v>EST CADEIRA EVO C/BRACO (TAP DISTRESS 20363) MAD MEL CLARO - 0,53x0,47x0,82H</v>
          </cell>
          <cell r="Y4015">
            <v>6988.67</v>
          </cell>
          <cell r="Z4015">
            <v>0.5</v>
          </cell>
          <cell r="AA4015">
            <v>3494.335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2</v>
          </cell>
          <cell r="O4016">
            <v>230075</v>
          </cell>
          <cell r="P4016"/>
          <cell r="Q4016" t="str">
            <v>EST BANCO PHILLIPS (LACA NUDE GRADIENTE FOSCA)</v>
          </cell>
          <cell r="R4016"/>
          <cell r="S4016"/>
          <cell r="T4016">
            <v>0.35</v>
          </cell>
          <cell r="U4016">
            <v>0</v>
          </cell>
          <cell r="V4016">
            <v>0.45</v>
          </cell>
          <cell r="W4016">
            <v>0.35</v>
          </cell>
          <cell r="X4016" t="str">
            <v>EST BANCO PHILLIPS (LACA NUDE GRADIENTE FOSCA) - Ø0,35x0,45H</v>
          </cell>
          <cell r="Y4016">
            <v>7271.35</v>
          </cell>
          <cell r="Z4016">
            <v>0.5</v>
          </cell>
          <cell r="AA4016">
            <v>3635.6750000000002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2</v>
          </cell>
          <cell r="O4017">
            <v>232359</v>
          </cell>
          <cell r="P4017"/>
          <cell r="Q4017" t="str">
            <v>EST ESTANTE MORE (LAM CARBO LISO ESTR FAKE BRONZE)</v>
          </cell>
          <cell r="R4017"/>
          <cell r="S4017"/>
          <cell r="T4017">
            <v>1.2</v>
          </cell>
          <cell r="U4017">
            <v>0.4</v>
          </cell>
          <cell r="V4017">
            <v>1.6</v>
          </cell>
          <cell r="W4017">
            <v>0</v>
          </cell>
          <cell r="X4017" t="str">
            <v>EST ESTANTE MORE (LAM CARBO LISO ESTR FAKE BRONZE) - 1,2x0,4x1,6H</v>
          </cell>
          <cell r="Y4017">
            <v>33137.129999999997</v>
          </cell>
          <cell r="Z4017">
            <v>0.5</v>
          </cell>
          <cell r="AA4017">
            <v>16568.564999999999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1</v>
          </cell>
          <cell r="O4018">
            <v>233108</v>
          </cell>
          <cell r="P4018" t="str">
            <v>2019/106-0045-01</v>
          </cell>
          <cell r="Q4018" t="str">
            <v>EST MESA LATERAL MARI (SAYRELACK M524)</v>
          </cell>
          <cell r="R4018"/>
          <cell r="S4018"/>
          <cell r="T4018">
            <v>0.32</v>
          </cell>
          <cell r="U4018">
            <v>0</v>
          </cell>
          <cell r="V4018">
            <v>0.5</v>
          </cell>
          <cell r="W4018">
            <v>0.32</v>
          </cell>
          <cell r="X4018" t="str">
            <v>EST MESA LATERAL MARI (SAYRELACK M524) - Ø0,32x0,5H</v>
          </cell>
          <cell r="Y4018">
            <v>5155.3999999999996</v>
          </cell>
          <cell r="Z4018">
            <v>0.5</v>
          </cell>
          <cell r="AA4018">
            <v>2577.6999999999998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2</v>
          </cell>
          <cell r="O4019">
            <v>233159</v>
          </cell>
          <cell r="P4019" t="str">
            <v>2019/108-0010-01</v>
          </cell>
          <cell r="Q4019" t="str">
            <v>EST PUFF UFO Ø75 TC C3081/ZIPER PRETO</v>
          </cell>
          <cell r="R4019"/>
          <cell r="S4019"/>
          <cell r="T4019">
            <v>0</v>
          </cell>
          <cell r="U4019">
            <v>0</v>
          </cell>
          <cell r="V4019">
            <v>0.44</v>
          </cell>
          <cell r="W4019">
            <v>0.75</v>
          </cell>
          <cell r="X4019" t="str">
            <v>EST PUFF UFO Ø75 TC C3081/ZIPER PRETO - Ø0,75x0,44H</v>
          </cell>
          <cell r="Y4019">
            <v>5926.73</v>
          </cell>
          <cell r="Z4019">
            <v>0.5</v>
          </cell>
          <cell r="AA4019">
            <v>2963.3649999999998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2</v>
          </cell>
          <cell r="O4020">
            <v>233159</v>
          </cell>
          <cell r="P4020" t="str">
            <v>2019/105-0083-01</v>
          </cell>
          <cell r="Q4020" t="str">
            <v>EST PUFF UFO Ø75 TC C3081/ZIPER PRETO</v>
          </cell>
          <cell r="R4020"/>
          <cell r="S4020"/>
          <cell r="T4020">
            <v>0</v>
          </cell>
          <cell r="U4020">
            <v>0</v>
          </cell>
          <cell r="V4020">
            <v>0.44</v>
          </cell>
          <cell r="W4020">
            <v>0.75</v>
          </cell>
          <cell r="X4020" t="str">
            <v>EST PUFF UFO Ø75 TC C3081/ZIPER PRETO - Ø0,75x0,44H</v>
          </cell>
          <cell r="Y4020">
            <v>5926.73</v>
          </cell>
          <cell r="Z4020">
            <v>0.5</v>
          </cell>
          <cell r="AA4020">
            <v>2963.3649999999998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2</v>
          </cell>
          <cell r="O4021">
            <v>233552</v>
          </cell>
          <cell r="P4021" t="str">
            <v>2019/149-0089-01</v>
          </cell>
          <cell r="Q4021" t="str">
            <v>EST CADEIRA LIA (ASS/ENC EST) (TAUARI TING 2) TC ROCKYRO CHA</v>
          </cell>
          <cell r="R4021"/>
          <cell r="S4021"/>
          <cell r="T4021">
            <v>0.46</v>
          </cell>
          <cell r="U4021">
            <v>0.55000000000000004</v>
          </cell>
          <cell r="V4021">
            <v>0.8</v>
          </cell>
          <cell r="W4021">
            <v>0</v>
          </cell>
          <cell r="X4021" t="str">
            <v>EST CADEIRA LIA (ASS/ENC EST) (TAUARI TING 2) TC ROCKYRO CHA - 0,46x0,55x0,8H</v>
          </cell>
          <cell r="Y4021">
            <v>4928</v>
          </cell>
          <cell r="Z4021">
            <v>0.5</v>
          </cell>
          <cell r="AA4021">
            <v>2464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2</v>
          </cell>
          <cell r="O4022">
            <v>233552</v>
          </cell>
          <cell r="P4022" t="str">
            <v>2019/149-0101-01</v>
          </cell>
          <cell r="Q4022" t="str">
            <v>EST CADEIRA LIA (ASS/ENC EST) (TAUARI TING 2) TC ROCKYRO CHA</v>
          </cell>
          <cell r="R4022"/>
          <cell r="S4022"/>
          <cell r="T4022">
            <v>0.46</v>
          </cell>
          <cell r="U4022">
            <v>0.55000000000000004</v>
          </cell>
          <cell r="V4022">
            <v>0.8</v>
          </cell>
          <cell r="W4022">
            <v>0</v>
          </cell>
          <cell r="X4022" t="str">
            <v>EST CADEIRA LIA (ASS/ENC EST) (TAUARI TING 2) TC ROCKYRO CHA - 0,46x0,55x0,8H</v>
          </cell>
          <cell r="Y4022">
            <v>4928</v>
          </cell>
          <cell r="Z4022">
            <v>0.5</v>
          </cell>
          <cell r="AA4022">
            <v>2464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2</v>
          </cell>
          <cell r="O4023">
            <v>233552</v>
          </cell>
          <cell r="P4023" t="str">
            <v>2019/149-0141-01</v>
          </cell>
          <cell r="Q4023" t="str">
            <v>EST CADEIRA LIA (ASS/ENC EST) (TAUARI TING 2) TC ROCKYRO CHA</v>
          </cell>
          <cell r="R4023"/>
          <cell r="S4023"/>
          <cell r="T4023">
            <v>0.46</v>
          </cell>
          <cell r="U4023">
            <v>0.55000000000000004</v>
          </cell>
          <cell r="V4023">
            <v>0.8</v>
          </cell>
          <cell r="W4023">
            <v>0</v>
          </cell>
          <cell r="X4023" t="str">
            <v>EST CADEIRA LIA (ASS/ENC EST) (TAUARI TING 2) TC ROCKYRO CHA - 0,46x0,55x0,8H</v>
          </cell>
          <cell r="Y4023">
            <v>4928</v>
          </cell>
          <cell r="Z4023">
            <v>0.5</v>
          </cell>
          <cell r="AA4023">
            <v>2464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2</v>
          </cell>
          <cell r="O4024">
            <v>234069</v>
          </cell>
          <cell r="P4024" t="str">
            <v>2019/105-0011-01</v>
          </cell>
          <cell r="Q4024" t="str">
            <v>EST CADEIRA GOLF (TING EBANIZ/TELA SEXT NAT) TC213</v>
          </cell>
          <cell r="R4024"/>
          <cell r="S4024"/>
          <cell r="T4024">
            <v>0.51</v>
          </cell>
          <cell r="U4024">
            <v>0.6</v>
          </cell>
          <cell r="V4024">
            <v>0.9</v>
          </cell>
          <cell r="W4024">
            <v>0</v>
          </cell>
          <cell r="X4024" t="str">
            <v>EST CADEIRA GOLF (TING EBANIZ/TELA SEXT NAT) TC213 - 0,51x0,6x0,9H</v>
          </cell>
          <cell r="Y4024">
            <v>3953.96</v>
          </cell>
          <cell r="Z4024">
            <v>0.5</v>
          </cell>
          <cell r="AA4024">
            <v>1976.98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2</v>
          </cell>
          <cell r="O4025">
            <v>234069</v>
          </cell>
          <cell r="P4025" t="str">
            <v>2019/143-0083-01</v>
          </cell>
          <cell r="Q4025" t="str">
            <v>EST CADEIRA GOLF (TING EBANIZ/TELA SEXT NAT) TC213</v>
          </cell>
          <cell r="R4025"/>
          <cell r="S4025"/>
          <cell r="T4025">
            <v>0.51</v>
          </cell>
          <cell r="U4025">
            <v>0.6</v>
          </cell>
          <cell r="V4025">
            <v>0.9</v>
          </cell>
          <cell r="W4025">
            <v>0</v>
          </cell>
          <cell r="X4025" t="str">
            <v>EST CADEIRA GOLF (TING EBANIZ/TELA SEXT NAT) TC213 - 0,51x0,6x0,9H</v>
          </cell>
          <cell r="Y4025">
            <v>3953.96</v>
          </cell>
          <cell r="Z4025">
            <v>0.5</v>
          </cell>
          <cell r="AA4025">
            <v>1976.98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2</v>
          </cell>
          <cell r="O4026">
            <v>234069</v>
          </cell>
          <cell r="P4026" t="str">
            <v>2019/143-0088-01</v>
          </cell>
          <cell r="Q4026" t="str">
            <v>EST CADEIRA GOLF (TING EBANIZ/TELA SEXT NAT) TC213</v>
          </cell>
          <cell r="R4026"/>
          <cell r="S4026"/>
          <cell r="T4026">
            <v>0.51</v>
          </cell>
          <cell r="U4026">
            <v>0.6</v>
          </cell>
          <cell r="V4026">
            <v>0.9</v>
          </cell>
          <cell r="W4026">
            <v>0</v>
          </cell>
          <cell r="X4026" t="str">
            <v>EST CADEIRA GOLF (TING EBANIZ/TELA SEXT NAT) TC213 - 0,51x0,6x0,9H</v>
          </cell>
          <cell r="Y4026">
            <v>3953.96</v>
          </cell>
          <cell r="Z4026">
            <v>0.5</v>
          </cell>
          <cell r="AA4026">
            <v>1976.98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2</v>
          </cell>
          <cell r="O4027">
            <v>234069</v>
          </cell>
          <cell r="P4027" t="str">
            <v>2019/326-0001-01</v>
          </cell>
          <cell r="Q4027" t="str">
            <v>EST CADEIRA GOLF (TING EBANIZ/TELA SEXT NAT) TC213</v>
          </cell>
          <cell r="R4027"/>
          <cell r="S4027"/>
          <cell r="T4027">
            <v>0.51</v>
          </cell>
          <cell r="U4027">
            <v>0.6</v>
          </cell>
          <cell r="V4027">
            <v>0.9</v>
          </cell>
          <cell r="W4027">
            <v>0</v>
          </cell>
          <cell r="X4027" t="str">
            <v>EST CADEIRA GOLF (TING EBANIZ/TELA SEXT NAT) TC213 - 0,51x0,6x0,9H</v>
          </cell>
          <cell r="Y4027">
            <v>3953.96</v>
          </cell>
          <cell r="Z4027">
            <v>0.5</v>
          </cell>
          <cell r="AA4027">
            <v>1976.98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234229</v>
          </cell>
          <cell r="P4028" t="str">
            <v>2019/149-0201-01</v>
          </cell>
          <cell r="Q4028" t="str">
            <v>EST MESA CENTRO VERSO (EBANIZADO) (PRETO FSC)</v>
          </cell>
          <cell r="R4028"/>
          <cell r="S4028"/>
          <cell r="T4028">
            <v>1.2</v>
          </cell>
          <cell r="U4028">
            <v>0.4</v>
          </cell>
          <cell r="V4028">
            <v>0.3</v>
          </cell>
          <cell r="W4028">
            <v>0</v>
          </cell>
          <cell r="X4028" t="str">
            <v>EST MESA CENTRO VERSO (EBANIZADO) (PRETO FSC) - 1,2x0,4x0,3H</v>
          </cell>
          <cell r="Y4028">
            <v>7526.4</v>
          </cell>
          <cell r="Z4028">
            <v>0.5</v>
          </cell>
          <cell r="AA4028">
            <v>3763.2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234340</v>
          </cell>
          <cell r="P4029" t="str">
            <v>2019/212-0036-01</v>
          </cell>
          <cell r="Q4029" t="str">
            <v>EST MESA CENTRO LODD (MOD 4) TP VD FUME/HS/BS PRETO</v>
          </cell>
          <cell r="R4029"/>
          <cell r="S4029"/>
          <cell r="T4029">
            <v>1</v>
          </cell>
          <cell r="U4029">
            <v>0</v>
          </cell>
          <cell r="V4029">
            <v>0.4</v>
          </cell>
          <cell r="W4029">
            <v>1</v>
          </cell>
          <cell r="X4029" t="str">
            <v>EST MESA CENTRO LODD (MOD 4) TP VD FUME/HS/BS PRETO - Ø1x0,4H</v>
          </cell>
          <cell r="Y4029">
            <v>19504.669999999998</v>
          </cell>
          <cell r="Z4029">
            <v>0.5</v>
          </cell>
          <cell r="AA4029">
            <v>9752.3349999999991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1</v>
          </cell>
          <cell r="O4030">
            <v>234546</v>
          </cell>
          <cell r="P4030" t="str">
            <v>2019/261-0111-01</v>
          </cell>
          <cell r="Q4030" t="str">
            <v>EST CADEIRA ELLA MD1 (COU OXI#7) BANHO OXID TAUAR FEU 2</v>
          </cell>
          <cell r="R4030"/>
          <cell r="S4030"/>
          <cell r="T4030">
            <v>0.6</v>
          </cell>
          <cell r="U4030">
            <v>0.63</v>
          </cell>
          <cell r="V4030">
            <v>0.76</v>
          </cell>
          <cell r="W4030">
            <v>0</v>
          </cell>
          <cell r="X4030" t="str">
            <v>EST CADEIRA ELLA MD1 (COU OXI#7) BANHO OXID TAUAR FEU 2 - 0,6x0,63x0,76H</v>
          </cell>
          <cell r="Y4030">
            <v>17691.52</v>
          </cell>
          <cell r="Z4030">
            <v>0.5</v>
          </cell>
          <cell r="AA4030">
            <v>8845.76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1</v>
          </cell>
          <cell r="H4031">
            <v>1</v>
          </cell>
          <cell r="O4031">
            <v>234734</v>
          </cell>
          <cell r="P4031" t="str">
            <v>2019/168-0045-01</v>
          </cell>
          <cell r="Q4031" t="str">
            <v>EST CADEIRA ALE (LAM CARV PT) (REC MARROM) SOLETA MARROM</v>
          </cell>
          <cell r="R4031"/>
          <cell r="S4031"/>
          <cell r="T4031">
            <v>0.56000000000000005</v>
          </cell>
          <cell r="U4031">
            <v>0.55000000000000004</v>
          </cell>
          <cell r="V4031">
            <v>0.78</v>
          </cell>
          <cell r="W4031">
            <v>0</v>
          </cell>
          <cell r="X4031" t="str">
            <v>EST CADEIRA ALE (LAM CARV PT) (REC MARROM) SOLETA MARROM - 0,56x0,55x0,78H</v>
          </cell>
          <cell r="Y4031">
            <v>9327.9</v>
          </cell>
          <cell r="Z4031">
            <v>0.5</v>
          </cell>
          <cell r="AA4031">
            <v>4663.95</v>
          </cell>
          <cell r="AB4031"/>
        </row>
        <row r="4032"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H4032">
            <v>1</v>
          </cell>
          <cell r="O4032">
            <v>238325</v>
          </cell>
          <cell r="P4032" t="str">
            <v>2019/169-0128-01</v>
          </cell>
          <cell r="Q4032" t="str">
            <v>EST CADEIRA EVO (MADEIRA IMBUIA NEGRA)</v>
          </cell>
          <cell r="R4032"/>
          <cell r="S4032"/>
          <cell r="T4032">
            <v>0.49</v>
          </cell>
          <cell r="U4032">
            <v>0.47</v>
          </cell>
          <cell r="V4032">
            <v>0.82</v>
          </cell>
          <cell r="W4032">
            <v>0</v>
          </cell>
          <cell r="X4032" t="str">
            <v>EST CADEIRA EVO (MADEIRA IMBUIA NEGRA) - 0,49x0,47x0,82H</v>
          </cell>
          <cell r="Y4032">
            <v>5314.67</v>
          </cell>
          <cell r="Z4032">
            <v>0.5</v>
          </cell>
          <cell r="AA4032">
            <v>2657.335</v>
          </cell>
          <cell r="AB4032"/>
        </row>
        <row r="4033">
          <cell r="C4033">
            <v>0</v>
          </cell>
          <cell r="D4033">
            <v>0</v>
          </cell>
          <cell r="E4033">
            <v>0</v>
          </cell>
          <cell r="F4033">
            <v>0</v>
          </cell>
          <cell r="H4033">
            <v>1</v>
          </cell>
          <cell r="O4033">
            <v>250026</v>
          </cell>
          <cell r="P4033" t="str">
            <v>2019/224-0076-01</v>
          </cell>
          <cell r="Q4033" t="str">
            <v>EST BANQUETA BAR EVO (MADEIRA MEL)</v>
          </cell>
          <cell r="R4033"/>
          <cell r="S4033"/>
          <cell r="T4033">
            <v>0.43</v>
          </cell>
          <cell r="U4033">
            <v>0.42</v>
          </cell>
          <cell r="V4033">
            <v>1.03</v>
          </cell>
          <cell r="W4033">
            <v>0</v>
          </cell>
          <cell r="X4033" t="str">
            <v>EST BANQUETA BAR EVO (MADEIRA MEL) - 0,43x0,42x1,03H</v>
          </cell>
          <cell r="Y4033">
            <v>5392.44</v>
          </cell>
          <cell r="Z4033">
            <v>0.5</v>
          </cell>
          <cell r="AA4033">
            <v>2696.22</v>
          </cell>
          <cell r="AB4033"/>
        </row>
        <row r="4034"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H4034">
            <v>1</v>
          </cell>
          <cell r="O4034">
            <v>250027</v>
          </cell>
          <cell r="P4034" t="str">
            <v>2019/238-0057-01</v>
          </cell>
          <cell r="Q4034" t="str">
            <v>EST BANQUETA BAR EVO (MADEIRA EBANIZADA)</v>
          </cell>
          <cell r="R4034"/>
          <cell r="S4034"/>
          <cell r="T4034">
            <v>0.43</v>
          </cell>
          <cell r="U4034">
            <v>0.42</v>
          </cell>
          <cell r="V4034">
            <v>1.03</v>
          </cell>
          <cell r="W4034">
            <v>0</v>
          </cell>
          <cell r="X4034" t="str">
            <v>EST BANQUETA BAR EVO (MADEIRA EBANIZADA) - 0,43x0,42x1,03H</v>
          </cell>
          <cell r="Y4034">
            <v>5392.44</v>
          </cell>
          <cell r="Z4034">
            <v>0.5</v>
          </cell>
          <cell r="AA4034">
            <v>2696.22</v>
          </cell>
          <cell r="AB4034"/>
        </row>
        <row r="4035">
          <cell r="C4035">
            <v>0</v>
          </cell>
          <cell r="D4035">
            <v>0</v>
          </cell>
          <cell r="E4035">
            <v>0</v>
          </cell>
          <cell r="F4035">
            <v>0</v>
          </cell>
          <cell r="H4035">
            <v>1</v>
          </cell>
          <cell r="O4035">
            <v>250143</v>
          </cell>
          <cell r="P4035" t="str">
            <v>2019/252-0145-01</v>
          </cell>
          <cell r="Q4035" t="str">
            <v>EST PUFF MAFALDA TERRACOTA M2 AVESSA COD 4042</v>
          </cell>
          <cell r="R4035"/>
          <cell r="S4035"/>
          <cell r="T4035">
            <v>0.6</v>
          </cell>
          <cell r="U4035">
            <v>0</v>
          </cell>
          <cell r="V4035">
            <v>0.5</v>
          </cell>
          <cell r="W4035">
            <v>0.6</v>
          </cell>
          <cell r="X4035" t="str">
            <v>EST PUFF MAFALDA TERRACOTA M2 AVESSA COD 4042 - Ø0,6x0,5H</v>
          </cell>
          <cell r="Y4035">
            <v>3296.38</v>
          </cell>
          <cell r="Z4035">
            <v>0.5</v>
          </cell>
          <cell r="AA4035">
            <v>1648.19</v>
          </cell>
          <cell r="AB4035"/>
        </row>
        <row r="4036">
          <cell r="C4036">
            <v>0</v>
          </cell>
          <cell r="D4036">
            <v>0</v>
          </cell>
          <cell r="E4036">
            <v>0</v>
          </cell>
          <cell r="F4036">
            <v>0</v>
          </cell>
          <cell r="H4036">
            <v>2</v>
          </cell>
          <cell r="O4036">
            <v>250144</v>
          </cell>
          <cell r="P4036" t="str">
            <v>2019/252-0147-01</v>
          </cell>
          <cell r="Q4036" t="str">
            <v>EST PUFF MAFALDA NATURAL M3 TRANCA LARGA COD 4041</v>
          </cell>
          <cell r="R4036"/>
          <cell r="S4036"/>
          <cell r="T4036">
            <v>0.5</v>
          </cell>
          <cell r="U4036">
            <v>0</v>
          </cell>
          <cell r="V4036">
            <v>0.45</v>
          </cell>
          <cell r="W4036">
            <v>0.5</v>
          </cell>
          <cell r="X4036" t="str">
            <v>EST PUFF MAFALDA NATURAL M3 TRANCA LARGA COD 4041 - Ø0,5x0,45H</v>
          </cell>
          <cell r="Y4036">
            <v>2887.45</v>
          </cell>
          <cell r="Z4036">
            <v>0.5</v>
          </cell>
          <cell r="AA4036">
            <v>1443.7249999999999</v>
          </cell>
          <cell r="AB4036"/>
        </row>
        <row r="4037">
          <cell r="C4037">
            <v>0</v>
          </cell>
          <cell r="D4037">
            <v>0</v>
          </cell>
          <cell r="E4037">
            <v>0</v>
          </cell>
          <cell r="F4037">
            <v>0</v>
          </cell>
          <cell r="H4037">
            <v>2</v>
          </cell>
          <cell r="O4037">
            <v>250144</v>
          </cell>
          <cell r="P4037" t="str">
            <v>2019/252-0148-01</v>
          </cell>
          <cell r="Q4037" t="str">
            <v>EST PUFF MAFALDA NATURAL M3 TRANCA LARGA COD 4041</v>
          </cell>
          <cell r="R4037"/>
          <cell r="S4037"/>
          <cell r="T4037">
            <v>0.5</v>
          </cell>
          <cell r="U4037">
            <v>0</v>
          </cell>
          <cell r="V4037">
            <v>0.45</v>
          </cell>
          <cell r="W4037">
            <v>0.5</v>
          </cell>
          <cell r="X4037" t="str">
            <v>EST PUFF MAFALDA NATURAL M3 TRANCA LARGA COD 4041 - Ø0,5x0,45H</v>
          </cell>
          <cell r="Y4037">
            <v>2887.45</v>
          </cell>
          <cell r="Z4037">
            <v>0.5</v>
          </cell>
          <cell r="AA4037">
            <v>1443.7249999999999</v>
          </cell>
          <cell r="AB4037"/>
        </row>
        <row r="4038">
          <cell r="C4038">
            <v>0</v>
          </cell>
          <cell r="D4038">
            <v>0</v>
          </cell>
          <cell r="E4038">
            <v>0</v>
          </cell>
          <cell r="F4038">
            <v>0</v>
          </cell>
          <cell r="H4038">
            <v>3</v>
          </cell>
          <cell r="O4038">
            <v>250460</v>
          </cell>
          <cell r="P4038" t="str">
            <v>2019/260-0043-01</v>
          </cell>
          <cell r="Q4038" t="str">
            <v>EST BANQUETA KAZZ FX C4010/REC 2562/PINT PRETO</v>
          </cell>
          <cell r="R4038"/>
          <cell r="S4038"/>
          <cell r="T4038">
            <v>0.72</v>
          </cell>
          <cell r="U4038">
            <v>0.52</v>
          </cell>
          <cell r="V4038">
            <v>0.4</v>
          </cell>
          <cell r="W4038">
            <v>0</v>
          </cell>
          <cell r="X4038" t="str">
            <v>EST BANQUETA KAZZ FX C4010/REC 2562/PINT PRETO - 0,72x0,52x0,4H</v>
          </cell>
          <cell r="Y4038">
            <v>9267.8700000000008</v>
          </cell>
          <cell r="Z4038">
            <v>0.5</v>
          </cell>
          <cell r="AA4038">
            <v>4633.9350000000004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3</v>
          </cell>
          <cell r="O4039">
            <v>250460</v>
          </cell>
          <cell r="P4039" t="str">
            <v>2019/260-0045-01</v>
          </cell>
          <cell r="Q4039" t="str">
            <v>EST BANQUETA KAZZ FX C4010/REC 2562/PINT PRETO</v>
          </cell>
          <cell r="R4039"/>
          <cell r="S4039"/>
          <cell r="T4039">
            <v>0.72</v>
          </cell>
          <cell r="U4039">
            <v>0.52</v>
          </cell>
          <cell r="V4039">
            <v>0.4</v>
          </cell>
          <cell r="W4039">
            <v>0</v>
          </cell>
          <cell r="X4039" t="str">
            <v>EST BANQUETA KAZZ FX C4010/REC 2562/PINT PRETO - 0,72x0,52x0,4H</v>
          </cell>
          <cell r="Y4039">
            <v>9267.8700000000008</v>
          </cell>
          <cell r="Z4039">
            <v>0.5</v>
          </cell>
          <cell r="AA4039">
            <v>4633.9350000000004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3</v>
          </cell>
          <cell r="O4040">
            <v>250460</v>
          </cell>
          <cell r="P4040" t="str">
            <v>2019/260-0061-01</v>
          </cell>
          <cell r="Q4040" t="str">
            <v>EST BANQUETA KAZZ FX C4010/REC 2562/PINT PRETO</v>
          </cell>
          <cell r="R4040"/>
          <cell r="S4040"/>
          <cell r="T4040">
            <v>0.72</v>
          </cell>
          <cell r="U4040">
            <v>0.52</v>
          </cell>
          <cell r="V4040">
            <v>0.4</v>
          </cell>
          <cell r="W4040">
            <v>0</v>
          </cell>
          <cell r="X4040" t="str">
            <v>EST BANQUETA KAZZ FX C4010/REC 2562/PINT PRETO - 0,72x0,52x0,4H</v>
          </cell>
          <cell r="Y4040">
            <v>9267.8700000000008</v>
          </cell>
          <cell r="Z4040">
            <v>0.5</v>
          </cell>
          <cell r="AA4040">
            <v>4633.9350000000004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2</v>
          </cell>
          <cell r="O4041">
            <v>252100</v>
          </cell>
          <cell r="P4041" t="str">
            <v>2019/284-0001-01</v>
          </cell>
          <cell r="Q4041" t="str">
            <v>EST POLTRONA LUNA ESTOFADA TC1118 MTZ MARROM FOSCO</v>
          </cell>
          <cell r="R4041"/>
          <cell r="S4041"/>
          <cell r="T4041">
            <v>0.71</v>
          </cell>
          <cell r="U4041">
            <v>0.78</v>
          </cell>
          <cell r="V4041">
            <v>0.9</v>
          </cell>
          <cell r="W4041">
            <v>0</v>
          </cell>
          <cell r="X4041" t="str">
            <v>EST POLTRONA LUNA ESTOFADA TC1118 MTZ MARROM FOSCO - 0,71x0,78x0,9H</v>
          </cell>
          <cell r="Y4041">
            <v>13653.38</v>
          </cell>
          <cell r="Z4041">
            <v>0.5</v>
          </cell>
          <cell r="AA4041">
            <v>6826.69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2</v>
          </cell>
          <cell r="O4042">
            <v>252100</v>
          </cell>
          <cell r="P4042" t="str">
            <v>2019/284-0002-01</v>
          </cell>
          <cell r="Q4042" t="str">
            <v>EST POLTRONA LUNA ESTOFADA TC1118 MTZ MARROM FOSCO</v>
          </cell>
          <cell r="R4042"/>
          <cell r="S4042"/>
          <cell r="T4042">
            <v>0.71</v>
          </cell>
          <cell r="U4042">
            <v>0.78</v>
          </cell>
          <cell r="V4042">
            <v>0.9</v>
          </cell>
          <cell r="W4042">
            <v>0</v>
          </cell>
          <cell r="X4042" t="str">
            <v>EST POLTRONA LUNA ESTOFADA TC1118 MTZ MARROM FOSCO - 0,71x0,78x0,9H</v>
          </cell>
          <cell r="Y4042">
            <v>13653.38</v>
          </cell>
          <cell r="Z4042">
            <v>0.5</v>
          </cell>
          <cell r="AA4042">
            <v>6826.69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4</v>
          </cell>
          <cell r="O4043">
            <v>252101</v>
          </cell>
          <cell r="P4043" t="str">
            <v>2019/291-0026-01</v>
          </cell>
          <cell r="Q4043" t="str">
            <v>EST POLTRONA LUNA LAMINA 37 TC3305 MTZ MARROM FOSCO</v>
          </cell>
          <cell r="R4043"/>
          <cell r="S4043"/>
          <cell r="T4043">
            <v>0.71</v>
          </cell>
          <cell r="U4043">
            <v>0.78</v>
          </cell>
          <cell r="V4043">
            <v>0.9</v>
          </cell>
          <cell r="W4043">
            <v>0</v>
          </cell>
          <cell r="X4043" t="str">
            <v>EST POLTRONA LUNA LAMINA 37 TC3305 MTZ MARROM FOSCO - 0,71x0,78x0,9H</v>
          </cell>
          <cell r="Y4043">
            <v>13653.38</v>
          </cell>
          <cell r="Z4043">
            <v>0.5</v>
          </cell>
          <cell r="AA4043">
            <v>6826.69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4</v>
          </cell>
          <cell r="O4044">
            <v>252101</v>
          </cell>
          <cell r="P4044" t="str">
            <v>2019/291-0027-01</v>
          </cell>
          <cell r="Q4044" t="str">
            <v>EST POLTRONA LUNA LAMINA 37 TC3305 MTZ MARROM FOSCO</v>
          </cell>
          <cell r="R4044"/>
          <cell r="S4044"/>
          <cell r="T4044">
            <v>0.71</v>
          </cell>
          <cell r="U4044">
            <v>0.78</v>
          </cell>
          <cell r="V4044">
            <v>0.9</v>
          </cell>
          <cell r="W4044">
            <v>0</v>
          </cell>
          <cell r="X4044" t="str">
            <v>EST POLTRONA LUNA LAMINA 37 TC3305 MTZ MARROM FOSCO - 0,71x0,78x0,9H</v>
          </cell>
          <cell r="Y4044">
            <v>13653.38</v>
          </cell>
          <cell r="Z4044">
            <v>0.5</v>
          </cell>
          <cell r="AA4044">
            <v>6826.69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4</v>
          </cell>
          <cell r="O4045">
            <v>252101</v>
          </cell>
          <cell r="P4045" t="str">
            <v>2019/291-0028-01</v>
          </cell>
          <cell r="Q4045" t="str">
            <v>EST POLTRONA LUNA LAMINA 37 TC3305 MTZ MARROM FOSCO</v>
          </cell>
          <cell r="R4045"/>
          <cell r="S4045"/>
          <cell r="T4045">
            <v>0.71</v>
          </cell>
          <cell r="U4045">
            <v>0.78</v>
          </cell>
          <cell r="V4045">
            <v>0.9</v>
          </cell>
          <cell r="W4045">
            <v>0</v>
          </cell>
          <cell r="X4045" t="str">
            <v>EST POLTRONA LUNA LAMINA 37 TC3305 MTZ MARROM FOSCO - 0,71x0,78x0,9H</v>
          </cell>
          <cell r="Y4045">
            <v>13653.38</v>
          </cell>
          <cell r="Z4045">
            <v>0.5</v>
          </cell>
          <cell r="AA4045">
            <v>6826.69</v>
          </cell>
          <cell r="AB4045"/>
        </row>
        <row r="4046"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H4046">
            <v>4</v>
          </cell>
          <cell r="O4046">
            <v>252101</v>
          </cell>
          <cell r="P4046" t="str">
            <v>2019/291-0029-01</v>
          </cell>
          <cell r="Q4046" t="str">
            <v>EST POLTRONA LUNA LAMINA 37 TC3305 MTZ MARROM FOSCO</v>
          </cell>
          <cell r="R4046"/>
          <cell r="S4046"/>
          <cell r="T4046">
            <v>0.71</v>
          </cell>
          <cell r="U4046">
            <v>0.78</v>
          </cell>
          <cell r="V4046">
            <v>0.9</v>
          </cell>
          <cell r="W4046">
            <v>0</v>
          </cell>
          <cell r="X4046" t="str">
            <v>EST POLTRONA LUNA LAMINA 37 TC3305 MTZ MARROM FOSCO - 0,71x0,78x0,9H</v>
          </cell>
          <cell r="Y4046">
            <v>13653.38</v>
          </cell>
          <cell r="Z4046">
            <v>0.5</v>
          </cell>
          <cell r="AA4046">
            <v>6826.69</v>
          </cell>
          <cell r="AB4046"/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H4047">
            <v>3</v>
          </cell>
          <cell r="O4047">
            <v>253216</v>
          </cell>
          <cell r="P4047" t="str">
            <v>2019/326-0115-01</v>
          </cell>
          <cell r="Q4047" t="str">
            <v>EST CADEIRA MADRE TC F21/EST NOGUEIRA</v>
          </cell>
          <cell r="R4047"/>
          <cell r="S4047"/>
          <cell r="T4047">
            <v>0.85</v>
          </cell>
          <cell r="U4047">
            <v>0.54</v>
          </cell>
          <cell r="V4047">
            <v>0.61</v>
          </cell>
          <cell r="W4047">
            <v>0</v>
          </cell>
          <cell r="X4047" t="str">
            <v>EST CADEIRA MADRE TC F21/EST NOGUEIRA - 0,85x0,54x0,61H</v>
          </cell>
          <cell r="Y4047">
            <v>4256</v>
          </cell>
          <cell r="Z4047">
            <v>0.5</v>
          </cell>
          <cell r="AA4047">
            <v>2128</v>
          </cell>
          <cell r="AB4047"/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H4048">
            <v>3</v>
          </cell>
          <cell r="O4048">
            <v>253216</v>
          </cell>
          <cell r="P4048" t="str">
            <v>2019/326-0116-01</v>
          </cell>
          <cell r="Q4048" t="str">
            <v>EST CADEIRA MADRE TC F21/EST NOGUEIRA</v>
          </cell>
          <cell r="R4048"/>
          <cell r="S4048"/>
          <cell r="T4048">
            <v>0.85</v>
          </cell>
          <cell r="U4048">
            <v>0.54</v>
          </cell>
          <cell r="V4048">
            <v>0.61</v>
          </cell>
          <cell r="W4048">
            <v>0</v>
          </cell>
          <cell r="X4048" t="str">
            <v>EST CADEIRA MADRE TC F21/EST NOGUEIRA - 0,85x0,54x0,61H</v>
          </cell>
          <cell r="Y4048">
            <v>4256</v>
          </cell>
          <cell r="Z4048">
            <v>0.5</v>
          </cell>
          <cell r="AA4048">
            <v>2128</v>
          </cell>
          <cell r="AB4048"/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H4049">
            <v>3</v>
          </cell>
          <cell r="O4049">
            <v>253216</v>
          </cell>
          <cell r="P4049" t="str">
            <v>2019/326-0117-01</v>
          </cell>
          <cell r="Q4049" t="str">
            <v>EST CADEIRA MADRE TC F21/EST NOGUEIRA</v>
          </cell>
          <cell r="R4049"/>
          <cell r="S4049"/>
          <cell r="T4049">
            <v>0.85</v>
          </cell>
          <cell r="U4049">
            <v>0.54</v>
          </cell>
          <cell r="V4049">
            <v>0.61</v>
          </cell>
          <cell r="W4049">
            <v>0</v>
          </cell>
          <cell r="X4049" t="str">
            <v>EST CADEIRA MADRE TC F21/EST NOGUEIRA - 0,85x0,54x0,61H</v>
          </cell>
          <cell r="Y4049">
            <v>4256</v>
          </cell>
          <cell r="Z4049">
            <v>0.5</v>
          </cell>
          <cell r="AA4049">
            <v>2128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2</v>
          </cell>
          <cell r="O4050">
            <v>253546</v>
          </cell>
          <cell r="P4050" t="str">
            <v>2019/323-0137-01</v>
          </cell>
          <cell r="Q4050" t="str">
            <v>EST POLTRONA EOS TC673 VERDE/PRETO</v>
          </cell>
          <cell r="R4050"/>
          <cell r="S4050"/>
          <cell r="T4050">
            <v>0.84</v>
          </cell>
          <cell r="U4050">
            <v>0.74</v>
          </cell>
          <cell r="V4050">
            <v>0.68</v>
          </cell>
          <cell r="W4050">
            <v>0</v>
          </cell>
          <cell r="X4050" t="str">
            <v>EST POLTRONA EOS TC673 VERDE/PRETO - 0,84x0,74x0,68H</v>
          </cell>
          <cell r="Y4050">
            <v>9856</v>
          </cell>
          <cell r="Z4050">
            <v>0.5</v>
          </cell>
          <cell r="AA4050">
            <v>4928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2</v>
          </cell>
          <cell r="O4051">
            <v>253546</v>
          </cell>
          <cell r="P4051" t="str">
            <v>2019/323-0138-01</v>
          </cell>
          <cell r="Q4051" t="str">
            <v>EST POLTRONA EOS TC673 VERDE/PRETO</v>
          </cell>
          <cell r="R4051"/>
          <cell r="S4051"/>
          <cell r="T4051">
            <v>0.84</v>
          </cell>
          <cell r="U4051">
            <v>0.74</v>
          </cell>
          <cell r="V4051">
            <v>0.68</v>
          </cell>
          <cell r="W4051">
            <v>0</v>
          </cell>
          <cell r="X4051" t="str">
            <v>EST POLTRONA EOS TC673 VERDE/PRETO - 0,84x0,74x0,68H</v>
          </cell>
          <cell r="Y4051">
            <v>9856</v>
          </cell>
          <cell r="Z4051">
            <v>0.5</v>
          </cell>
          <cell r="AA4051">
            <v>4928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1</v>
          </cell>
          <cell r="O4052">
            <v>253732</v>
          </cell>
          <cell r="P4052" t="str">
            <v>2019/301-0095-01</v>
          </cell>
          <cell r="Q4052" t="str">
            <v>EST TAMPO CRISTAL BISOTADO (15MM) INCOLOR CANTO TICK</v>
          </cell>
          <cell r="R4052"/>
          <cell r="S4052"/>
          <cell r="T4052">
            <v>2.8</v>
          </cell>
          <cell r="U4052">
            <v>1.2</v>
          </cell>
          <cell r="V4052">
            <v>0.01</v>
          </cell>
          <cell r="W4052">
            <v>0</v>
          </cell>
          <cell r="X4052" t="str">
            <v>EST TAMPO CRISTAL BISOTADO (15MM) INCOLOR CANTO TICK - 2,8x1,2x0,01H</v>
          </cell>
          <cell r="Y4052">
            <v>19375.809599999997</v>
          </cell>
          <cell r="Z4052">
            <v>0.5</v>
          </cell>
          <cell r="AA4052">
            <v>9687.9047999999984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1</v>
          </cell>
          <cell r="O4053">
            <v>253860</v>
          </cell>
          <cell r="P4053" t="str">
            <v>2019/330-0018-01</v>
          </cell>
          <cell r="Q4053" t="str">
            <v>EST APARADOR UNI (LAMINA 1 SUCUPIRA PAG) BASE PRETA FOSCA</v>
          </cell>
          <cell r="R4053"/>
          <cell r="S4053"/>
          <cell r="T4053">
            <v>1.83</v>
          </cell>
          <cell r="U4053">
            <v>0.5</v>
          </cell>
          <cell r="V4053">
            <v>0.82</v>
          </cell>
          <cell r="W4053">
            <v>0</v>
          </cell>
          <cell r="X4053" t="str">
            <v>EST APARADOR UNI (LAMINA 1 SUCUPIRA PAG) BASE PRETA FOSCA - 1,83x0,5x0,82H</v>
          </cell>
          <cell r="Y4053">
            <v>54996.57</v>
          </cell>
          <cell r="Z4053">
            <v>0.5</v>
          </cell>
          <cell r="AA4053">
            <v>27498.285</v>
          </cell>
          <cell r="AB4053"/>
        </row>
        <row r="4054">
          <cell r="C4054">
            <v>0</v>
          </cell>
          <cell r="D4054">
            <v>1</v>
          </cell>
          <cell r="E4054">
            <v>0</v>
          </cell>
          <cell r="F4054">
            <v>0</v>
          </cell>
          <cell r="H4054">
            <v>1</v>
          </cell>
          <cell r="O4054">
            <v>255059</v>
          </cell>
          <cell r="P4054" t="str">
            <v>2020/066-0043-01</v>
          </cell>
          <cell r="Q4054" t="str">
            <v>EST MESA CENTRO NOMAN (TP LAM FAJO) (AUT FRAPE)</v>
          </cell>
          <cell r="R4054"/>
          <cell r="S4054"/>
          <cell r="T4054">
            <v>0.91</v>
          </cell>
          <cell r="U4054">
            <v>0.91</v>
          </cell>
          <cell r="V4054">
            <v>0.24</v>
          </cell>
          <cell r="W4054">
            <v>0</v>
          </cell>
          <cell r="X4054" t="str">
            <v>EST MESA CENTRO NOMAN (TP LAM FAJO) (AUT FRAPE) - 0,91x0,91x0,24H</v>
          </cell>
          <cell r="Y4054">
            <v>12763.52</v>
          </cell>
          <cell r="Z4054">
            <v>0.5</v>
          </cell>
          <cell r="AA4054">
            <v>6381.76</v>
          </cell>
          <cell r="AB4054"/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H4055">
            <v>2</v>
          </cell>
          <cell r="O4055">
            <v>255073</v>
          </cell>
          <cell r="P4055" t="str">
            <v>2020/051-0052-01</v>
          </cell>
          <cell r="Q4055" t="str">
            <v>EST CARRINHO BAR MIMO FREIJO NAT/PT GAV LACA FENDI</v>
          </cell>
          <cell r="R4055"/>
          <cell r="S4055"/>
          <cell r="T4055">
            <v>0.51</v>
          </cell>
          <cell r="U4055">
            <v>0.4</v>
          </cell>
          <cell r="V4055">
            <v>1.5</v>
          </cell>
          <cell r="W4055">
            <v>0</v>
          </cell>
          <cell r="X4055" t="str">
            <v>EST CARRINHO BAR MIMO FREIJO NAT/PT GAV LACA FENDI - 0,51x0,4x1,5H</v>
          </cell>
          <cell r="Y4055">
            <v>23208.68</v>
          </cell>
          <cell r="Z4055">
            <v>0.5</v>
          </cell>
          <cell r="AA4055">
            <v>11604.34</v>
          </cell>
          <cell r="AB4055"/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H4056">
            <v>2</v>
          </cell>
          <cell r="O4056">
            <v>255776</v>
          </cell>
          <cell r="P4056" t="str">
            <v>2020/017-0004-01</v>
          </cell>
          <cell r="Q4056" t="str">
            <v>EST PUFF DIXON (FX E6235) (PES PRETOS FOSCOS)</v>
          </cell>
          <cell r="R4056"/>
          <cell r="S4056"/>
          <cell r="T4056">
            <v>1</v>
          </cell>
          <cell r="U4056">
            <v>1</v>
          </cell>
          <cell r="V4056">
            <v>0.44</v>
          </cell>
          <cell r="W4056">
            <v>0</v>
          </cell>
          <cell r="X4056" t="str">
            <v>EST PUFF DIXON (FX E6235) (PES PRETOS FOSCOS) - 1x1x0,44H</v>
          </cell>
          <cell r="Y4056">
            <v>8976.93</v>
          </cell>
          <cell r="Z4056">
            <v>0.5</v>
          </cell>
          <cell r="AA4056">
            <v>4488.4650000000001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2</v>
          </cell>
          <cell r="O4057">
            <v>255776</v>
          </cell>
          <cell r="P4057" t="str">
            <v>2020/017-0005-01</v>
          </cell>
          <cell r="Q4057" t="str">
            <v>EST PUFF DIXON (FX E6235) (PES PRETOS FOSCOS)</v>
          </cell>
          <cell r="R4057"/>
          <cell r="S4057"/>
          <cell r="T4057">
            <v>1</v>
          </cell>
          <cell r="U4057">
            <v>1</v>
          </cell>
          <cell r="V4057">
            <v>0.44</v>
          </cell>
          <cell r="W4057">
            <v>0</v>
          </cell>
          <cell r="X4057" t="str">
            <v>EST PUFF DIXON (FX E6235) (PES PRETOS FOSCOS) - 1x1x0,44H</v>
          </cell>
          <cell r="Y4057">
            <v>8976.93</v>
          </cell>
          <cell r="Z4057">
            <v>0.5</v>
          </cell>
          <cell r="AA4057">
            <v>4488.4650000000001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255780</v>
          </cell>
          <cell r="P4058" t="str">
            <v>2020/016-0026-01</v>
          </cell>
          <cell r="Q4058" t="str">
            <v>EST APARADOR COOLER (TP LAM MATT BLACK) (PRETO FSC)</v>
          </cell>
          <cell r="R4058"/>
          <cell r="S4058"/>
          <cell r="T4058">
            <v>2.2000000000000002</v>
          </cell>
          <cell r="U4058">
            <v>0.45</v>
          </cell>
          <cell r="V4058">
            <v>0.75</v>
          </cell>
          <cell r="W4058">
            <v>0</v>
          </cell>
          <cell r="X4058" t="str">
            <v>EST APARADOR COOLER (TP LAM MATT BLACK) (PRETO FSC) - 2,2x0,45x0,75H</v>
          </cell>
          <cell r="Y4058">
            <v>16329.51</v>
          </cell>
          <cell r="Z4058">
            <v>0.5</v>
          </cell>
          <cell r="AA4058">
            <v>8164.7550000000001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1</v>
          </cell>
          <cell r="O4059">
            <v>256184</v>
          </cell>
          <cell r="P4059" t="str">
            <v>2021/183-0057-01</v>
          </cell>
          <cell r="Q4059" t="str">
            <v>EST MESA CENTRO POSH BD MROM MSC/CARV PALH/C CAMEL</v>
          </cell>
          <cell r="R4059"/>
          <cell r="S4059"/>
          <cell r="T4059">
            <v>2</v>
          </cell>
          <cell r="U4059">
            <v>0.45</v>
          </cell>
          <cell r="V4059">
            <v>0.49</v>
          </cell>
          <cell r="W4059">
            <v>0</v>
          </cell>
          <cell r="X4059" t="str">
            <v>EST MESA CENTRO POSH BD MROM MSC/CARV PALH/C CAMEL - 2x0,45x0,49H</v>
          </cell>
          <cell r="Y4059">
            <v>13180.16</v>
          </cell>
          <cell r="Z4059">
            <v>0.5</v>
          </cell>
          <cell r="AA4059">
            <v>6590.08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0</v>
          </cell>
          <cell r="O4060">
            <v>257375</v>
          </cell>
          <cell r="P4060" t="str">
            <v>2020/105-0017-01</v>
          </cell>
          <cell r="Q4060" t="str">
            <v>EST BUFFET MUMBAI (PES CHAMP) NOGUEIRA/TP CRISTAL CHAMP</v>
          </cell>
          <cell r="R4060"/>
          <cell r="S4060"/>
          <cell r="T4060">
            <v>2.4</v>
          </cell>
          <cell r="U4060">
            <v>0.5</v>
          </cell>
          <cell r="V4060">
            <v>0.8</v>
          </cell>
          <cell r="W4060">
            <v>0</v>
          </cell>
          <cell r="X4060" t="str">
            <v>EST BUFFET MUMBAI (PES CHAMP) NOGUEIRA/TP CRISTAL CHAMP - 2,4x0,5x0,8H</v>
          </cell>
          <cell r="Y4060">
            <v>31190.07</v>
          </cell>
          <cell r="Z4060">
            <v>0.5</v>
          </cell>
          <cell r="AA4060">
            <v>15595.035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258015</v>
          </cell>
          <cell r="P4061" t="str">
            <v>2020/126-0079-01</v>
          </cell>
          <cell r="Q4061" t="str">
            <v>EST BUFFET CHAN C/PTAS CARV TING IMBUIA MEL CLARO</v>
          </cell>
          <cell r="R4061"/>
          <cell r="S4061"/>
          <cell r="T4061">
            <v>1.8</v>
          </cell>
          <cell r="U4061">
            <v>0.5</v>
          </cell>
          <cell r="V4061">
            <v>0.75</v>
          </cell>
          <cell r="W4061">
            <v>0</v>
          </cell>
          <cell r="X4061" t="str">
            <v>EST BUFFET CHAN C/PTAS CARV TING IMBUIA MEL CLARO - 1,8x0,5x0,75H</v>
          </cell>
          <cell r="Y4061">
            <v>29489.15</v>
          </cell>
          <cell r="Z4061">
            <v>0.5</v>
          </cell>
          <cell r="AA4061">
            <v>14744.575000000001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260823</v>
          </cell>
          <cell r="P4062" t="str">
            <v>2020/177-0019-01</v>
          </cell>
          <cell r="Q4062" t="str">
            <v>EST MESA JANTAR MANZANA LIGHT (VD COMUM OXI/BS NOG/MTZ OXI)</v>
          </cell>
          <cell r="R4062"/>
          <cell r="S4062"/>
          <cell r="T4062">
            <v>2.69</v>
          </cell>
          <cell r="U4062">
            <v>1.18</v>
          </cell>
          <cell r="V4062">
            <v>0.75</v>
          </cell>
          <cell r="W4062">
            <v>0</v>
          </cell>
          <cell r="X4062" t="str">
            <v>EST MESA JANTAR MANZANA LIGHT (VD COMUM OXI/BS NOG/MTZ OXI) - 2,69x1,18x0,75H</v>
          </cell>
          <cell r="Y4062">
            <v>51913.66</v>
          </cell>
          <cell r="Z4062">
            <v>0.5</v>
          </cell>
          <cell r="AA4062">
            <v>25956.83</v>
          </cell>
          <cell r="AB4062"/>
        </row>
        <row r="4063">
          <cell r="C4063">
            <v>0</v>
          </cell>
          <cell r="D4063">
            <v>1</v>
          </cell>
          <cell r="E4063">
            <v>0</v>
          </cell>
          <cell r="F4063">
            <v>0</v>
          </cell>
          <cell r="H4063">
            <v>1</v>
          </cell>
          <cell r="O4063">
            <v>260959</v>
          </cell>
          <cell r="P4063" t="str">
            <v>2020/192-0031-01</v>
          </cell>
          <cell r="Q4063" t="str">
            <v>EST MESA LATERAL MARINA (IMBUIA) CAMURCA AVELA 25/LT ENV</v>
          </cell>
          <cell r="R4063"/>
          <cell r="S4063"/>
          <cell r="T4063">
            <v>0.85</v>
          </cell>
          <cell r="U4063">
            <v>0.5</v>
          </cell>
          <cell r="V4063">
            <v>0.45</v>
          </cell>
          <cell r="W4063">
            <v>0</v>
          </cell>
          <cell r="X4063" t="str">
            <v>EST MESA LATERAL MARINA (IMBUIA) CAMURCA AVELA 25/LT ENV - 0,85x0,5x0,45H</v>
          </cell>
          <cell r="Y4063">
            <v>15154.94</v>
          </cell>
          <cell r="Z4063">
            <v>0.5</v>
          </cell>
          <cell r="AA4063">
            <v>7577.47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261383</v>
          </cell>
          <cell r="P4064" t="str">
            <v>2020/184-0007-01</v>
          </cell>
          <cell r="Q4064" t="str">
            <v>EST MESA JANTAR PREMIUM (LAMINA A3 P FERRO COMP) BS PRET FSC</v>
          </cell>
          <cell r="R4064"/>
          <cell r="S4064"/>
          <cell r="T4064">
            <v>3</v>
          </cell>
          <cell r="U4064">
            <v>1.2</v>
          </cell>
          <cell r="V4064">
            <v>0.76</v>
          </cell>
          <cell r="W4064">
            <v>0</v>
          </cell>
          <cell r="X4064" t="str">
            <v>EST MESA JANTAR PREMIUM (LAMINA A3 P FERRO COMP) BS PRET FSC - 3x1,2x0,76H</v>
          </cell>
          <cell r="Y4064">
            <v>59702.18</v>
          </cell>
          <cell r="Z4064">
            <v>0.5</v>
          </cell>
          <cell r="AA4064">
            <v>29851.09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3</v>
          </cell>
          <cell r="O4065">
            <v>266776</v>
          </cell>
          <cell r="P4065" t="str">
            <v>2020/302-0132-01</v>
          </cell>
          <cell r="Q4065" t="str">
            <v>EST CADEIRA MUNICK (TAUARI TING IMBUIA MEL 3) ( TC#8 SANDED)</v>
          </cell>
          <cell r="R4065"/>
          <cell r="S4065"/>
          <cell r="T4065">
            <v>0.63</v>
          </cell>
          <cell r="U4065">
            <v>0.65</v>
          </cell>
          <cell r="V4065">
            <v>0.81</v>
          </cell>
          <cell r="W4065">
            <v>0</v>
          </cell>
          <cell r="X4065" t="str">
            <v>EST CADEIRA MUNICK (TAUARI TING IMBUIA MEL 3) ( TC#8 SANDED) - 0,63x0,65x0,81H</v>
          </cell>
          <cell r="Y4065">
            <v>20361.599999999999</v>
          </cell>
          <cell r="Z4065">
            <v>0.5</v>
          </cell>
          <cell r="AA4065">
            <v>10180.799999999999</v>
          </cell>
          <cell r="AB4065"/>
        </row>
        <row r="4066">
          <cell r="C4066">
            <v>0</v>
          </cell>
          <cell r="D4066">
            <v>0</v>
          </cell>
          <cell r="E4066">
            <v>0</v>
          </cell>
          <cell r="F4066">
            <v>0</v>
          </cell>
          <cell r="H4066">
            <v>3</v>
          </cell>
          <cell r="O4066">
            <v>266776</v>
          </cell>
          <cell r="P4066" t="str">
            <v>2020/302-0135-01</v>
          </cell>
          <cell r="Q4066" t="str">
            <v>EST CADEIRA MUNICK (TAUARI TING IMBUIA MEL 3) ( TC#8 SANDED)</v>
          </cell>
          <cell r="R4066"/>
          <cell r="S4066"/>
          <cell r="T4066">
            <v>0.63</v>
          </cell>
          <cell r="U4066">
            <v>0.65</v>
          </cell>
          <cell r="V4066">
            <v>0.81</v>
          </cell>
          <cell r="W4066">
            <v>0</v>
          </cell>
          <cell r="X4066" t="str">
            <v>EST CADEIRA MUNICK (TAUARI TING IMBUIA MEL 3) ( TC#8 SANDED) - 0,63x0,65x0,81H</v>
          </cell>
          <cell r="Y4066">
            <v>20361.599999999999</v>
          </cell>
          <cell r="Z4066">
            <v>0.5</v>
          </cell>
          <cell r="AA4066">
            <v>10180.799999999999</v>
          </cell>
          <cell r="AB4066"/>
        </row>
        <row r="4067">
          <cell r="C4067">
            <v>0</v>
          </cell>
          <cell r="D4067">
            <v>0</v>
          </cell>
          <cell r="E4067">
            <v>0</v>
          </cell>
          <cell r="F4067">
            <v>0</v>
          </cell>
          <cell r="H4067">
            <v>3</v>
          </cell>
          <cell r="O4067">
            <v>266776</v>
          </cell>
          <cell r="P4067" t="str">
            <v>2020/302-0134-01</v>
          </cell>
          <cell r="Q4067" t="str">
            <v>EST CADEIRA MUNICK (TAUARI TING IMBUIA MEL 3) ( TC#8 SANDED)</v>
          </cell>
          <cell r="R4067"/>
          <cell r="S4067"/>
          <cell r="T4067">
            <v>0.63</v>
          </cell>
          <cell r="U4067">
            <v>0.65</v>
          </cell>
          <cell r="V4067">
            <v>0.81</v>
          </cell>
          <cell r="W4067">
            <v>0</v>
          </cell>
          <cell r="X4067" t="str">
            <v>EST CADEIRA MUNICK (TAUARI TING IMBUIA MEL 3) ( TC#8 SANDED) - 0,63x0,65x0,81H</v>
          </cell>
          <cell r="Y4067">
            <v>20361.599999999999</v>
          </cell>
          <cell r="Z4067">
            <v>0.5</v>
          </cell>
          <cell r="AA4067">
            <v>10180.799999999999</v>
          </cell>
          <cell r="AB4067"/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H4068">
            <v>1</v>
          </cell>
          <cell r="O4068">
            <v>269183</v>
          </cell>
          <cell r="P4068" t="str">
            <v>2020/303-0249-01</v>
          </cell>
          <cell r="Q4068" t="str">
            <v>EST APARADOR RENE (TP G2 FREIJO BRANCO/EST PINT MARROM 235)</v>
          </cell>
          <cell r="R4068"/>
          <cell r="S4068"/>
          <cell r="T4068">
            <v>2.2000000000000002</v>
          </cell>
          <cell r="U4068">
            <v>0.4</v>
          </cell>
          <cell r="V4068">
            <v>0.75</v>
          </cell>
          <cell r="W4068">
            <v>0</v>
          </cell>
          <cell r="X4068" t="str">
            <v>EST APARADOR RENE (TP G2 FREIJO BRANCO/EST PINT MARROM 235) - 2,2x0,4x0,75H</v>
          </cell>
          <cell r="Y4068">
            <v>15464.74</v>
          </cell>
          <cell r="Z4068">
            <v>0.5</v>
          </cell>
          <cell r="AA4068">
            <v>7732.37</v>
          </cell>
          <cell r="AB4068"/>
        </row>
        <row r="4069">
          <cell r="C4069">
            <v>0</v>
          </cell>
          <cell r="D4069">
            <v>0</v>
          </cell>
          <cell r="E4069">
            <v>1</v>
          </cell>
          <cell r="F4069">
            <v>0</v>
          </cell>
          <cell r="H4069">
            <v>1</v>
          </cell>
          <cell r="O4069">
            <v>270428</v>
          </cell>
          <cell r="P4069" t="str">
            <v>2021/053-0011401</v>
          </cell>
          <cell r="Q4069" t="str">
            <v>EST CADEIRA FINA C/B (FREIJO) (TELA RATTAN AB NT)</v>
          </cell>
          <cell r="R4069"/>
          <cell r="S4069"/>
          <cell r="T4069">
            <v>0.55000000000000004</v>
          </cell>
          <cell r="U4069">
            <v>0.57999999999999996</v>
          </cell>
          <cell r="V4069">
            <v>0.85</v>
          </cell>
          <cell r="W4069">
            <v>0</v>
          </cell>
          <cell r="X4069" t="str">
            <v>EST CADEIRA FINA C/B (FREIJO) (TELA RATTAN AB NT) - 0,55x0,58x0,85H</v>
          </cell>
          <cell r="Y4069">
            <v>9924.99</v>
          </cell>
          <cell r="Z4069">
            <v>0.5</v>
          </cell>
          <cell r="AA4069">
            <v>4962.4949999999999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1</v>
          </cell>
          <cell r="O4070">
            <v>270463</v>
          </cell>
          <cell r="P4070"/>
          <cell r="Q4070" t="str">
            <v>EST CADEIRA TWIN (GIR) (EBANIZADO) TC 4019</v>
          </cell>
          <cell r="R4070"/>
          <cell r="S4070"/>
          <cell r="T4070">
            <v>0.51</v>
          </cell>
          <cell r="U4070">
            <v>0.6</v>
          </cell>
          <cell r="V4070">
            <v>0.83</v>
          </cell>
          <cell r="W4070">
            <v>0</v>
          </cell>
          <cell r="X4070" t="str">
            <v>EST CADEIRA TWIN (GIR) (EBANIZADO) TC 4019 - 0,51x0,6x0,83H</v>
          </cell>
          <cell r="Y4070">
            <v>4002.66</v>
          </cell>
          <cell r="Z4070">
            <v>0.5</v>
          </cell>
          <cell r="AA4070">
            <v>2001.33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0</v>
          </cell>
          <cell r="O4071">
            <v>270467</v>
          </cell>
          <cell r="P4071" t="str">
            <v>2020/290-0004-01</v>
          </cell>
          <cell r="Q4071" t="str">
            <v>EST MESA CENTRO OFFSET TP CRIST BRONZE/ESP BRONZE ACID/PINT</v>
          </cell>
          <cell r="R4071"/>
          <cell r="S4071"/>
          <cell r="T4071">
            <v>1.8</v>
          </cell>
          <cell r="U4071">
            <v>0.9</v>
          </cell>
          <cell r="V4071">
            <v>0.32</v>
          </cell>
          <cell r="W4071">
            <v>0</v>
          </cell>
          <cell r="X4071" t="str">
            <v>EST MESA CENTRO OFFSET TP CRIST BRONZE/ESP BRONZE ACID/PINT - 1,8x0,9x0,32H</v>
          </cell>
          <cell r="Y4071">
            <v>24639.55</v>
          </cell>
          <cell r="Z4071">
            <v>0.5</v>
          </cell>
          <cell r="AA4071">
            <v>12319.775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270491</v>
          </cell>
          <cell r="P4072" t="str">
            <v>2020/331-0068-01</v>
          </cell>
          <cell r="Q4072" t="str">
            <v>EST MESA CENTRO SMITH (PINT ELETRO MARROM CORTEN/TP VD FUME)</v>
          </cell>
          <cell r="R4072"/>
          <cell r="S4072"/>
          <cell r="T4072">
            <v>0.9</v>
          </cell>
          <cell r="U4072">
            <v>0</v>
          </cell>
          <cell r="V4072">
            <v>0.32</v>
          </cell>
          <cell r="W4072">
            <v>0.9</v>
          </cell>
          <cell r="X4072" t="str">
            <v>EST MESA CENTRO SMITH (PINT ELETRO MARROM CORTEN/TP VD FUME) - Ø0,9x0,32H</v>
          </cell>
          <cell r="Y4072">
            <v>6182.4</v>
          </cell>
          <cell r="Z4072">
            <v>0.5</v>
          </cell>
          <cell r="AA4072">
            <v>3091.2</v>
          </cell>
          <cell r="AB4072"/>
        </row>
        <row r="4073">
          <cell r="C4073">
            <v>0</v>
          </cell>
          <cell r="D4073">
            <v>1</v>
          </cell>
          <cell r="E4073">
            <v>0</v>
          </cell>
          <cell r="F4073">
            <v>0</v>
          </cell>
          <cell r="H4073">
            <v>1</v>
          </cell>
          <cell r="O4073">
            <v>270548</v>
          </cell>
          <cell r="P4073" t="str">
            <v>2020/332-0003-01</v>
          </cell>
          <cell r="Q4073" t="str">
            <v>EST CADEIRA MEG C/BRACO (MARFIM CASTANHO) (COURO CARAMELO)</v>
          </cell>
          <cell r="R4073"/>
          <cell r="S4073"/>
          <cell r="T4073">
            <v>0.63</v>
          </cell>
          <cell r="U4073">
            <v>0.63</v>
          </cell>
          <cell r="V4073">
            <v>0.81</v>
          </cell>
          <cell r="W4073">
            <v>0</v>
          </cell>
          <cell r="X4073" t="str">
            <v>EST CADEIRA MEG C/BRACO (MARFIM CASTANHO) (COURO CARAMELO) - 0,63x0,63x0,81H</v>
          </cell>
          <cell r="Y4073">
            <v>7312.66</v>
          </cell>
          <cell r="Z4073">
            <v>0.5</v>
          </cell>
          <cell r="AA4073">
            <v>3656.33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270550</v>
          </cell>
          <cell r="P4074" t="str">
            <v>2020/332-0011-01</v>
          </cell>
          <cell r="Q4074" t="str">
            <v>EST CADEIRA DYLAN (MARFIM NOCCE) (FX A1097)</v>
          </cell>
          <cell r="R4074"/>
          <cell r="S4074"/>
          <cell r="T4074">
            <v>0.5</v>
          </cell>
          <cell r="U4074">
            <v>0.57999999999999996</v>
          </cell>
          <cell r="V4074">
            <v>0.8</v>
          </cell>
          <cell r="W4074">
            <v>0</v>
          </cell>
          <cell r="X4074" t="str">
            <v>EST CADEIRA DYLAN (MARFIM NOCCE) (FX A1097) - 0,5x0,58x0,8H</v>
          </cell>
          <cell r="Y4074">
            <v>2949.41</v>
          </cell>
          <cell r="Z4074">
            <v>0.5</v>
          </cell>
          <cell r="AA4074">
            <v>1474.7049999999999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270550</v>
          </cell>
          <cell r="P4075" t="str">
            <v>2020/332-0010-01</v>
          </cell>
          <cell r="Q4075" t="str">
            <v>EST CADEIRA DYLAN (MARFIM NOCCE) (FX A1097)</v>
          </cell>
          <cell r="R4075"/>
          <cell r="S4075"/>
          <cell r="T4075">
            <v>0.5</v>
          </cell>
          <cell r="U4075">
            <v>0.57999999999999996</v>
          </cell>
          <cell r="V4075">
            <v>0.8</v>
          </cell>
          <cell r="W4075">
            <v>0</v>
          </cell>
          <cell r="X4075" t="str">
            <v>EST CADEIRA DYLAN (MARFIM NOCCE) (FX A1097) - 0,5x0,58x0,8H</v>
          </cell>
          <cell r="Y4075">
            <v>2949.41</v>
          </cell>
          <cell r="Z4075">
            <v>0.5</v>
          </cell>
          <cell r="AA4075">
            <v>1474.7049999999999</v>
          </cell>
          <cell r="AB4075"/>
        </row>
        <row r="4076">
          <cell r="C4076">
            <v>6</v>
          </cell>
          <cell r="D4076">
            <v>0</v>
          </cell>
          <cell r="E4076">
            <v>0</v>
          </cell>
          <cell r="F4076">
            <v>0</v>
          </cell>
          <cell r="H4076">
            <v>2</v>
          </cell>
          <cell r="O4076">
            <v>270562</v>
          </cell>
          <cell r="P4076" t="str">
            <v>2020/356-0034-01</v>
          </cell>
          <cell r="Q4076" t="str">
            <v>EST CADEIRA LUIZA C/BRACO COU 2 MARROM ENVELH/JEQ CAST CLARO</v>
          </cell>
          <cell r="R4076"/>
          <cell r="S4076"/>
          <cell r="T4076">
            <v>0.59</v>
          </cell>
          <cell r="U4076">
            <v>0.56000000000000005</v>
          </cell>
          <cell r="V4076">
            <v>0.74</v>
          </cell>
          <cell r="W4076">
            <v>0</v>
          </cell>
          <cell r="X4076" t="str">
            <v>EST CADEIRA LUIZA C/BRACO COU 2 MARROM ENVELH/JEQ CAST CLARO - 0,59x0,56x0,74H</v>
          </cell>
          <cell r="Y4076">
            <v>9433.94</v>
          </cell>
          <cell r="Z4076">
            <v>0.5</v>
          </cell>
          <cell r="AA4076">
            <v>4716.97</v>
          </cell>
          <cell r="AB4076"/>
        </row>
        <row r="4077">
          <cell r="C4077">
            <v>6</v>
          </cell>
          <cell r="D4077">
            <v>0</v>
          </cell>
          <cell r="E4077">
            <v>0</v>
          </cell>
          <cell r="F4077">
            <v>0</v>
          </cell>
          <cell r="H4077">
            <v>2</v>
          </cell>
          <cell r="O4077">
            <v>270562</v>
          </cell>
          <cell r="P4077" t="str">
            <v>2020/356-0035-01</v>
          </cell>
          <cell r="Q4077" t="str">
            <v>EST CADEIRA LUIZA C/BRACO COU 2 MARROM ENVELH/JEQ CAST CLARO</v>
          </cell>
          <cell r="R4077"/>
          <cell r="S4077"/>
          <cell r="T4077">
            <v>0.59</v>
          </cell>
          <cell r="U4077">
            <v>0.56000000000000005</v>
          </cell>
          <cell r="V4077">
            <v>0.74</v>
          </cell>
          <cell r="W4077">
            <v>0</v>
          </cell>
          <cell r="X4077" t="str">
            <v>EST CADEIRA LUIZA C/BRACO COU 2 MARROM ENVELH/JEQ CAST CLARO - 0,59x0,56x0,74H</v>
          </cell>
          <cell r="Y4077">
            <v>9433.94</v>
          </cell>
          <cell r="Z4077">
            <v>0.5</v>
          </cell>
          <cell r="AA4077">
            <v>4716.97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270701</v>
          </cell>
          <cell r="P4078" t="str">
            <v>2020/315-0026-01</v>
          </cell>
          <cell r="Q4078" t="str">
            <v>EST POLTRONA LEYVA FX C3130/BS GIR ACO CARB PIN MTZ PRETO</v>
          </cell>
          <cell r="R4078"/>
          <cell r="S4078"/>
          <cell r="T4078">
            <v>0.8</v>
          </cell>
          <cell r="U4078">
            <v>0.83</v>
          </cell>
          <cell r="V4078">
            <v>0.86</v>
          </cell>
          <cell r="W4078">
            <v>0</v>
          </cell>
          <cell r="X4078" t="str">
            <v>EST POLTRONA LEYVA FX C3130/BS GIR ACO CARB PIN MTZ PRETO - 0,8x0,83x0,86H</v>
          </cell>
          <cell r="Y4078">
            <v>12735.16</v>
          </cell>
          <cell r="Z4078">
            <v>0.5</v>
          </cell>
          <cell r="AA4078">
            <v>6367.58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1</v>
          </cell>
          <cell r="O4079">
            <v>270755</v>
          </cell>
          <cell r="P4079" t="str">
            <v>2020/338-0106-01</v>
          </cell>
          <cell r="Q4079" t="str">
            <v>EST MODULO CHAISE BRACO DIR TARANTO TC B2109</v>
          </cell>
          <cell r="R4079"/>
          <cell r="S4079"/>
          <cell r="T4079">
            <v>1.1000000000000001</v>
          </cell>
          <cell r="U4079">
            <v>1.6</v>
          </cell>
          <cell r="V4079">
            <v>0.95</v>
          </cell>
          <cell r="W4079">
            <v>0</v>
          </cell>
          <cell r="X4079" t="str">
            <v>EST MODULO CHAISE BRACO DIR TARANTO TC B2109 - 1,1x1,6x0,95H</v>
          </cell>
          <cell r="Y4079">
            <v>14629.4</v>
          </cell>
          <cell r="Z4079">
            <v>0.5</v>
          </cell>
          <cell r="AA4079">
            <v>7314.7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1</v>
          </cell>
          <cell r="O4080">
            <v>271264</v>
          </cell>
          <cell r="P4080" t="str">
            <v>2021/021-0022-01</v>
          </cell>
          <cell r="Q4080" t="str">
            <v>EST SOFA ANDROS (2B) FX C3079 (BASE LAMINA WALNUT)</v>
          </cell>
          <cell r="R4080"/>
          <cell r="S4080"/>
          <cell r="T4080">
            <v>3</v>
          </cell>
          <cell r="U4080">
            <v>1.5</v>
          </cell>
          <cell r="V4080">
            <v>0.76</v>
          </cell>
          <cell r="W4080">
            <v>0</v>
          </cell>
          <cell r="X4080" t="str">
            <v>EST SOFA ANDROS (2B) FX C3079 (BASE LAMINA WALNUT) - 3x1,5x0,76H</v>
          </cell>
          <cell r="Y4080">
            <v>48220.08</v>
          </cell>
          <cell r="Z4080">
            <v>0.5</v>
          </cell>
          <cell r="AA4080">
            <v>24110.04</v>
          </cell>
          <cell r="AB4080"/>
        </row>
        <row r="4081">
          <cell r="C4081">
            <v>0</v>
          </cell>
          <cell r="D4081">
            <v>0</v>
          </cell>
          <cell r="E4081">
            <v>0</v>
          </cell>
          <cell r="F4081">
            <v>0</v>
          </cell>
          <cell r="H4081">
            <v>1</v>
          </cell>
          <cell r="O4081">
            <v>271418</v>
          </cell>
          <cell r="P4081" t="str">
            <v>2020/354-0028-01</v>
          </cell>
          <cell r="Q4081" t="str">
            <v>EST QUADRO GRAMPH VERTICAL G2 (1394) MOLDURA BRONZE</v>
          </cell>
          <cell r="R4081"/>
          <cell r="S4081"/>
          <cell r="T4081">
            <v>0.6</v>
          </cell>
          <cell r="U4081">
            <v>0.9</v>
          </cell>
          <cell r="V4081">
            <v>0</v>
          </cell>
          <cell r="W4081">
            <v>0</v>
          </cell>
          <cell r="X4081" t="str">
            <v>EST QUADRO GRAMPH VERTICAL G2 (1394) MOLDURA BRONZE - 0,6x0,9x0H</v>
          </cell>
          <cell r="Y4081">
            <v>1952.16</v>
          </cell>
          <cell r="Z4081">
            <v>0.5</v>
          </cell>
          <cell r="AA4081">
            <v>976.08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273329</v>
          </cell>
          <cell r="P4082" t="str">
            <v>2021/048-0023-01</v>
          </cell>
          <cell r="Q4082" t="str">
            <v>EST CHAISE MARAIS TC CURATOR GALACTICA WHITE/BS PRETA FSC</v>
          </cell>
          <cell r="R4082"/>
          <cell r="S4082"/>
          <cell r="T4082">
            <v>2.02</v>
          </cell>
          <cell r="U4082">
            <v>0.81</v>
          </cell>
          <cell r="V4082">
            <v>0.57999999999999996</v>
          </cell>
          <cell r="W4082">
            <v>0</v>
          </cell>
          <cell r="X4082" t="str">
            <v>EST CHAISE MARAIS TC CURATOR GALACTICA WHITE/BS PRETA FSC - 2,02x0,81x0,58H</v>
          </cell>
          <cell r="Y4082">
            <v>27825.15</v>
          </cell>
          <cell r="Z4082">
            <v>0.5</v>
          </cell>
          <cell r="AA4082">
            <v>13912.575000000001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273330</v>
          </cell>
          <cell r="P4083" t="str">
            <v>2021/076-0101-01</v>
          </cell>
          <cell r="Q4083" t="str">
            <v>EST CHAISE MARAIS TC LINHO C531/BS PRETO FSC</v>
          </cell>
          <cell r="R4083"/>
          <cell r="S4083"/>
          <cell r="T4083">
            <v>2.02</v>
          </cell>
          <cell r="U4083">
            <v>0.81</v>
          </cell>
          <cell r="V4083">
            <v>0.57999999999999996</v>
          </cell>
          <cell r="W4083">
            <v>0</v>
          </cell>
          <cell r="X4083" t="str">
            <v>EST CHAISE MARAIS TC LINHO C531/BS PRETO FSC - 2,02x0,81x0,58H</v>
          </cell>
          <cell r="Y4083">
            <v>27825.15</v>
          </cell>
          <cell r="Z4083">
            <v>0.5</v>
          </cell>
          <cell r="AA4083">
            <v>13912.575000000001</v>
          </cell>
          <cell r="AB4083"/>
        </row>
        <row r="4084">
          <cell r="C4084">
            <v>0</v>
          </cell>
          <cell r="D4084">
            <v>1</v>
          </cell>
          <cell r="E4084">
            <v>0</v>
          </cell>
          <cell r="F4084">
            <v>1</v>
          </cell>
          <cell r="H4084">
            <v>3</v>
          </cell>
          <cell r="O4084">
            <v>273338</v>
          </cell>
          <cell r="P4084" t="str">
            <v>2021/076-0102-01</v>
          </cell>
          <cell r="Q4084" t="str">
            <v>EST CADEIRA RAMONA (COURO BOUT LA PAZ PINHAO) PINT PRETA</v>
          </cell>
          <cell r="R4084"/>
          <cell r="S4084"/>
          <cell r="T4084">
            <v>0.5</v>
          </cell>
          <cell r="U4084">
            <v>0.56000000000000005</v>
          </cell>
          <cell r="V4084">
            <v>0.76</v>
          </cell>
          <cell r="W4084">
            <v>0</v>
          </cell>
          <cell r="X4084" t="str">
            <v>EST CADEIRA RAMONA (COURO BOUT LA PAZ PINHAO) PINT PRETA - 0,5x0,56x0,76H</v>
          </cell>
          <cell r="Y4084">
            <v>10826.37</v>
          </cell>
          <cell r="Z4084">
            <v>0.5</v>
          </cell>
          <cell r="AA4084">
            <v>5413.1850000000004</v>
          </cell>
          <cell r="AB4084"/>
        </row>
        <row r="4085">
          <cell r="C4085">
            <v>0</v>
          </cell>
          <cell r="D4085">
            <v>1</v>
          </cell>
          <cell r="E4085">
            <v>0</v>
          </cell>
          <cell r="F4085">
            <v>1</v>
          </cell>
          <cell r="H4085">
            <v>3</v>
          </cell>
          <cell r="O4085">
            <v>273338</v>
          </cell>
          <cell r="P4085" t="str">
            <v>2021/076-0104-01</v>
          </cell>
          <cell r="Q4085" t="str">
            <v>EST CADEIRA RAMONA (COURO BOUT LA PAZ PINHAO) PINT PRETA</v>
          </cell>
          <cell r="R4085"/>
          <cell r="S4085"/>
          <cell r="T4085">
            <v>0.5</v>
          </cell>
          <cell r="U4085">
            <v>0.56000000000000005</v>
          </cell>
          <cell r="V4085">
            <v>0.76</v>
          </cell>
          <cell r="W4085">
            <v>0</v>
          </cell>
          <cell r="X4085" t="str">
            <v>EST CADEIRA RAMONA (COURO BOUT LA PAZ PINHAO) PINT PRETA - 0,5x0,56x0,76H</v>
          </cell>
          <cell r="Y4085">
            <v>10826.37</v>
          </cell>
          <cell r="Z4085">
            <v>0.5</v>
          </cell>
          <cell r="AA4085">
            <v>5413.1850000000004</v>
          </cell>
          <cell r="AB4085"/>
        </row>
        <row r="4086">
          <cell r="C4086">
            <v>0</v>
          </cell>
          <cell r="D4086">
            <v>1</v>
          </cell>
          <cell r="E4086">
            <v>0</v>
          </cell>
          <cell r="F4086">
            <v>1</v>
          </cell>
          <cell r="H4086">
            <v>3</v>
          </cell>
          <cell r="O4086">
            <v>273338</v>
          </cell>
          <cell r="P4086" t="str">
            <v>2021/076-0106-01</v>
          </cell>
          <cell r="Q4086" t="str">
            <v>EST CADEIRA RAMONA (COURO BOUT LA PAZ PINHAO) PINT PRETA</v>
          </cell>
          <cell r="R4086"/>
          <cell r="S4086"/>
          <cell r="T4086">
            <v>0.5</v>
          </cell>
          <cell r="U4086">
            <v>0.56000000000000005</v>
          </cell>
          <cell r="V4086">
            <v>0.76</v>
          </cell>
          <cell r="W4086">
            <v>0</v>
          </cell>
          <cell r="X4086" t="str">
            <v>EST CADEIRA RAMONA (COURO BOUT LA PAZ PINHAO) PINT PRETA - 0,5x0,56x0,76H</v>
          </cell>
          <cell r="Y4086">
            <v>10826.37</v>
          </cell>
          <cell r="Z4086">
            <v>0.5</v>
          </cell>
          <cell r="AA4086">
            <v>5413.1850000000004</v>
          </cell>
          <cell r="AB4086"/>
        </row>
        <row r="4087">
          <cell r="C4087">
            <v>0</v>
          </cell>
          <cell r="D4087">
            <v>1</v>
          </cell>
          <cell r="E4087">
            <v>0</v>
          </cell>
          <cell r="F4087">
            <v>1</v>
          </cell>
          <cell r="H4087">
            <v>3</v>
          </cell>
          <cell r="O4087">
            <v>273338</v>
          </cell>
          <cell r="P4087" t="str">
            <v>2021/076-0111-01</v>
          </cell>
          <cell r="Q4087" t="str">
            <v>EST CADEIRA RAMONA (COURO BOUT LA PAZ PINHAO) PINT PRETA</v>
          </cell>
          <cell r="R4087"/>
          <cell r="S4087"/>
          <cell r="T4087">
            <v>0.5</v>
          </cell>
          <cell r="U4087">
            <v>0.56000000000000005</v>
          </cell>
          <cell r="V4087">
            <v>0.76</v>
          </cell>
          <cell r="W4087">
            <v>0</v>
          </cell>
          <cell r="X4087" t="str">
            <v>EST CADEIRA RAMONA (COURO BOUT LA PAZ PINHAO) PINT PRETA - 0,5x0,56x0,76H</v>
          </cell>
          <cell r="Y4087">
            <v>10826.37</v>
          </cell>
          <cell r="Z4087">
            <v>0.5</v>
          </cell>
          <cell r="AA4087">
            <v>5413.1850000000004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273340</v>
          </cell>
          <cell r="P4088" t="str">
            <v>2021/124-0088-01</v>
          </cell>
          <cell r="Q4088" t="str">
            <v>EST POLTRONA RAMONA (COURO BOUT LA PAZ CAMEL) PINT PRETA</v>
          </cell>
          <cell r="R4088"/>
          <cell r="S4088"/>
          <cell r="T4088">
            <v>0.63</v>
          </cell>
          <cell r="U4088">
            <v>0.77</v>
          </cell>
          <cell r="V4088">
            <v>0.66</v>
          </cell>
          <cell r="W4088">
            <v>0</v>
          </cell>
          <cell r="X4088" t="str">
            <v>EST POLTRONA RAMONA (COURO BOUT LA PAZ CAMEL) PINT PRETA - 0,63x0,77x0,66H</v>
          </cell>
          <cell r="Y4088">
            <v>20720.990000000002</v>
          </cell>
          <cell r="Z4088">
            <v>0.5</v>
          </cell>
          <cell r="AA4088">
            <v>10360.495000000001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273340</v>
          </cell>
          <cell r="P4089" t="str">
            <v>2021/124-0087-01</v>
          </cell>
          <cell r="Q4089" t="str">
            <v>EST POLTRONA RAMONA (COURO BOUT LA PAZ CAMEL) PINT PRETA</v>
          </cell>
          <cell r="R4089"/>
          <cell r="S4089"/>
          <cell r="T4089">
            <v>0.63</v>
          </cell>
          <cell r="U4089">
            <v>0.77</v>
          </cell>
          <cell r="V4089">
            <v>0.66</v>
          </cell>
          <cell r="W4089">
            <v>0</v>
          </cell>
          <cell r="X4089" t="str">
            <v>EST POLTRONA RAMONA (COURO BOUT LA PAZ CAMEL) PINT PRETA - 0,63x0,77x0,66H</v>
          </cell>
          <cell r="Y4089">
            <v>20720.990000000002</v>
          </cell>
          <cell r="Z4089">
            <v>0.5</v>
          </cell>
          <cell r="AA4089">
            <v>10360.495000000001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3</v>
          </cell>
          <cell r="O4090">
            <v>274154</v>
          </cell>
          <cell r="P4090" t="str">
            <v>2021/067-0035-01</v>
          </cell>
          <cell r="Q4090" t="str">
            <v>EST CADEIRA GOLF (TING EBANIZ/TELA SEXT NAT) TC213</v>
          </cell>
          <cell r="R4090"/>
          <cell r="S4090"/>
          <cell r="T4090">
            <v>0.59</v>
          </cell>
          <cell r="U4090">
            <v>0.6</v>
          </cell>
          <cell r="V4090">
            <v>0.9</v>
          </cell>
          <cell r="W4090">
            <v>0</v>
          </cell>
          <cell r="X4090" t="str">
            <v>EST CADEIRA GOLF (TING EBANIZ/TELA SEXT NAT) TC213 - 0,59x0,6x0,9H</v>
          </cell>
          <cell r="Y4090">
            <v>3953.96</v>
          </cell>
          <cell r="Z4090">
            <v>0.5</v>
          </cell>
          <cell r="AA4090">
            <v>1976.98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3</v>
          </cell>
          <cell r="O4091">
            <v>274154</v>
          </cell>
          <cell r="P4091" t="str">
            <v>2021/067-0036-01</v>
          </cell>
          <cell r="Q4091" t="str">
            <v>EST CADEIRA GOLF (TING EBANIZ/TELA SEXT NAT) TC213</v>
          </cell>
          <cell r="R4091"/>
          <cell r="S4091"/>
          <cell r="T4091">
            <v>0.59</v>
          </cell>
          <cell r="U4091">
            <v>0.6</v>
          </cell>
          <cell r="V4091">
            <v>0.9</v>
          </cell>
          <cell r="W4091">
            <v>0</v>
          </cell>
          <cell r="X4091" t="str">
            <v>EST CADEIRA GOLF (TING EBANIZ/TELA SEXT NAT) TC213 - 0,59x0,6x0,9H</v>
          </cell>
          <cell r="Y4091">
            <v>3953.96</v>
          </cell>
          <cell r="Z4091">
            <v>0.5</v>
          </cell>
          <cell r="AA4091">
            <v>1976.98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3</v>
          </cell>
          <cell r="O4092">
            <v>274154</v>
          </cell>
          <cell r="P4092" t="str">
            <v>2021/067-0037-01</v>
          </cell>
          <cell r="Q4092" t="str">
            <v>EST CADEIRA GOLF (TING EBANIZ/TELA SEXT NAT) TC213</v>
          </cell>
          <cell r="R4092"/>
          <cell r="S4092"/>
          <cell r="T4092">
            <v>0.59</v>
          </cell>
          <cell r="U4092">
            <v>0.6</v>
          </cell>
          <cell r="V4092">
            <v>0.9</v>
          </cell>
          <cell r="W4092">
            <v>0</v>
          </cell>
          <cell r="X4092" t="str">
            <v>EST CADEIRA GOLF (TING EBANIZ/TELA SEXT NAT) TC213 - 0,59x0,6x0,9H</v>
          </cell>
          <cell r="Y4092">
            <v>3953.96</v>
          </cell>
          <cell r="Z4092">
            <v>0.5</v>
          </cell>
          <cell r="AA4092">
            <v>1976.98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3</v>
          </cell>
          <cell r="O4093">
            <v>274363</v>
          </cell>
          <cell r="P4093" t="str">
            <v>2021/041-0005-01</v>
          </cell>
          <cell r="Q4093" t="str">
            <v>EST CADEIRA MADRE TC1107/EST NOGUEIRA</v>
          </cell>
          <cell r="R4093"/>
          <cell r="S4093"/>
          <cell r="T4093">
            <v>0.85</v>
          </cell>
          <cell r="U4093">
            <v>0.54</v>
          </cell>
          <cell r="V4093">
            <v>0.61</v>
          </cell>
          <cell r="W4093">
            <v>0</v>
          </cell>
          <cell r="X4093" t="str">
            <v>EST CADEIRA MADRE TC1107/EST NOGUEIRA - 0,85x0,54x0,61H</v>
          </cell>
          <cell r="Y4093">
            <v>4256</v>
          </cell>
          <cell r="Z4093">
            <v>0.5</v>
          </cell>
          <cell r="AA4093">
            <v>2128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3</v>
          </cell>
          <cell r="O4094">
            <v>274363</v>
          </cell>
          <cell r="P4094" t="str">
            <v>2021/041-0007-01</v>
          </cell>
          <cell r="Q4094" t="str">
            <v>EST CADEIRA MADRE TC1107/EST NOGUEIRA</v>
          </cell>
          <cell r="R4094"/>
          <cell r="S4094"/>
          <cell r="T4094">
            <v>0.85</v>
          </cell>
          <cell r="U4094">
            <v>0.54</v>
          </cell>
          <cell r="V4094">
            <v>0.61</v>
          </cell>
          <cell r="W4094">
            <v>0</v>
          </cell>
          <cell r="X4094" t="str">
            <v>EST CADEIRA MADRE TC1107/EST NOGUEIRA - 0,85x0,54x0,61H</v>
          </cell>
          <cell r="Y4094">
            <v>4256</v>
          </cell>
          <cell r="Z4094">
            <v>0.5</v>
          </cell>
          <cell r="AA4094">
            <v>2128</v>
          </cell>
          <cell r="AB4094"/>
        </row>
        <row r="4095">
          <cell r="C4095">
            <v>0</v>
          </cell>
          <cell r="D4095">
            <v>0</v>
          </cell>
          <cell r="E4095">
            <v>0</v>
          </cell>
          <cell r="F4095">
            <v>0</v>
          </cell>
          <cell r="H4095">
            <v>3</v>
          </cell>
          <cell r="O4095">
            <v>274363</v>
          </cell>
          <cell r="P4095" t="str">
            <v>2021/041-0011-01</v>
          </cell>
          <cell r="Q4095" t="str">
            <v>EST CADEIRA MADRE TC1107/EST NOGUEIRA</v>
          </cell>
          <cell r="R4095"/>
          <cell r="S4095"/>
          <cell r="T4095">
            <v>0.85</v>
          </cell>
          <cell r="U4095">
            <v>0.54</v>
          </cell>
          <cell r="V4095">
            <v>0.61</v>
          </cell>
          <cell r="W4095">
            <v>0</v>
          </cell>
          <cell r="X4095" t="str">
            <v>EST CADEIRA MADRE TC1107/EST NOGUEIRA - 0,85x0,54x0,61H</v>
          </cell>
          <cell r="Y4095">
            <v>4256</v>
          </cell>
          <cell r="Z4095">
            <v>0.5</v>
          </cell>
          <cell r="AA4095">
            <v>2128</v>
          </cell>
          <cell r="AB4095"/>
        </row>
        <row r="4096"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H4096">
            <v>3</v>
          </cell>
          <cell r="O4096">
            <v>274740</v>
          </cell>
          <cell r="P4096" t="str">
            <v>20211/400-037-01</v>
          </cell>
          <cell r="Q4096" t="str">
            <v>EST PUFF ALCALA (BASE LAMINADA EBONY PT) FX C3079</v>
          </cell>
          <cell r="R4096"/>
          <cell r="S4096"/>
          <cell r="T4096">
            <v>1</v>
          </cell>
          <cell r="U4096">
            <v>1</v>
          </cell>
          <cell r="V4096">
            <v>0.4</v>
          </cell>
          <cell r="W4096">
            <v>0</v>
          </cell>
          <cell r="X4096" t="str">
            <v>EST PUFF ALCALA (BASE LAMINADA EBONY PT) FX C3079 - 1x1x0,4H</v>
          </cell>
          <cell r="Y4096">
            <v>11735.58</v>
          </cell>
          <cell r="Z4096">
            <v>0.5</v>
          </cell>
          <cell r="AA4096">
            <v>5867.79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3</v>
          </cell>
          <cell r="O4097">
            <v>274740</v>
          </cell>
          <cell r="P4097" t="str">
            <v>20211/400-038-01</v>
          </cell>
          <cell r="Q4097" t="str">
            <v>EST PUFF ALCALA (BASE LAMINADA EBONY PT) FX C3079</v>
          </cell>
          <cell r="R4097"/>
          <cell r="S4097"/>
          <cell r="T4097">
            <v>1</v>
          </cell>
          <cell r="U4097">
            <v>1</v>
          </cell>
          <cell r="V4097">
            <v>0.4</v>
          </cell>
          <cell r="W4097">
            <v>0</v>
          </cell>
          <cell r="X4097" t="str">
            <v>EST PUFF ALCALA (BASE LAMINADA EBONY PT) FX C3079 - 1x1x0,4H</v>
          </cell>
          <cell r="Y4097">
            <v>11735.58</v>
          </cell>
          <cell r="Z4097">
            <v>0.5</v>
          </cell>
          <cell r="AA4097">
            <v>5867.79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3</v>
          </cell>
          <cell r="O4098">
            <v>274740</v>
          </cell>
          <cell r="P4098" t="str">
            <v>20211/400-039-01</v>
          </cell>
          <cell r="Q4098" t="str">
            <v>EST PUFF ALCALA (BASE LAMINADA EBONY PT) FX C3079</v>
          </cell>
          <cell r="R4098"/>
          <cell r="S4098"/>
          <cell r="T4098">
            <v>1</v>
          </cell>
          <cell r="U4098">
            <v>1</v>
          </cell>
          <cell r="V4098">
            <v>0.4</v>
          </cell>
          <cell r="W4098">
            <v>0</v>
          </cell>
          <cell r="X4098" t="str">
            <v>EST PUFF ALCALA (BASE LAMINADA EBONY PT) FX C3079 - 1x1x0,4H</v>
          </cell>
          <cell r="Y4098">
            <v>11735.58</v>
          </cell>
          <cell r="Z4098">
            <v>0.5</v>
          </cell>
          <cell r="AA4098">
            <v>5867.79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274900</v>
          </cell>
          <cell r="P4099" t="str">
            <v>2022/094-0004-01</v>
          </cell>
          <cell r="Q4099" t="str">
            <v>EST MODULO PUFF LENCOIS M (RVST BG4) (FX6509)</v>
          </cell>
          <cell r="R4099"/>
          <cell r="S4099"/>
          <cell r="T4099">
            <v>1.18</v>
          </cell>
          <cell r="U4099">
            <v>0.6</v>
          </cell>
          <cell r="V4099">
            <v>0.38</v>
          </cell>
          <cell r="W4099">
            <v>0</v>
          </cell>
          <cell r="X4099" t="str">
            <v>EST MODULO PUFF LENCOIS M (RVST BG4) (FX6509) - 1,18x0,6x0,38H</v>
          </cell>
          <cell r="Y4099">
            <v>16064.34</v>
          </cell>
          <cell r="Z4099">
            <v>0.5</v>
          </cell>
          <cell r="AA4099">
            <v>8032.17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275008</v>
          </cell>
          <cell r="P4100" t="str">
            <v>2021/165-0085-01</v>
          </cell>
          <cell r="Q4100" t="str">
            <v>EST MESA CENTRO ARAL (TP FREIJO/BS MTX M BLANC)</v>
          </cell>
          <cell r="R4100"/>
          <cell r="S4100"/>
          <cell r="T4100">
            <v>1.25</v>
          </cell>
          <cell r="U4100">
            <v>1.1000000000000001</v>
          </cell>
          <cell r="V4100">
            <v>0.27</v>
          </cell>
          <cell r="W4100">
            <v>0</v>
          </cell>
          <cell r="X4100" t="str">
            <v>EST MESA CENTRO ARAL (TP FREIJO/BS MTX M BLANC) - 1,25x1,1x0,27H</v>
          </cell>
          <cell r="Y4100">
            <v>19842.86</v>
          </cell>
          <cell r="Z4100">
            <v>0.5</v>
          </cell>
          <cell r="AA4100">
            <v>9921.43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0</v>
          </cell>
          <cell r="O4101">
            <v>275016</v>
          </cell>
          <cell r="P4101" t="str">
            <v>2021/162-0038-01</v>
          </cell>
          <cell r="Q4101" t="str">
            <v>EST ESTANTE FARMACO (LAMINADO NOGUEIRA/NICHO M NERO)</v>
          </cell>
          <cell r="R4101"/>
          <cell r="S4101"/>
          <cell r="T4101">
            <v>0.7</v>
          </cell>
          <cell r="U4101">
            <v>0.3</v>
          </cell>
          <cell r="V4101">
            <v>1.6</v>
          </cell>
          <cell r="W4101">
            <v>0</v>
          </cell>
          <cell r="X4101" t="str">
            <v>EST ESTANTE FARMACO (LAMINADO NOGUEIRA/NICHO M NERO) - 0,7x0,3x1,6H</v>
          </cell>
          <cell r="Y4101">
            <v>35707.97</v>
          </cell>
          <cell r="Z4101">
            <v>0.5</v>
          </cell>
          <cell r="AA4101">
            <v>17853.985000000001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2</v>
          </cell>
          <cell r="O4102">
            <v>275019</v>
          </cell>
          <cell r="P4102" t="str">
            <v>2021/162-0041-01</v>
          </cell>
          <cell r="Q4102" t="str">
            <v>EST MESA CENTRO ORGAN (TP FREIJO MACICO/PES LAMINADO FREIJO)</v>
          </cell>
          <cell r="R4102"/>
          <cell r="S4102"/>
          <cell r="T4102">
            <v>1.2</v>
          </cell>
          <cell r="U4102">
            <v>1.2</v>
          </cell>
          <cell r="V4102">
            <v>0.27</v>
          </cell>
          <cell r="W4102">
            <v>0</v>
          </cell>
          <cell r="X4102" t="str">
            <v>EST MESA CENTRO ORGAN (TP FREIJO MACICO/PES LAMINADO FREIJO) - 1,2x1,2x0,27H</v>
          </cell>
          <cell r="Y4102">
            <v>27701.18</v>
          </cell>
          <cell r="Z4102">
            <v>0.5</v>
          </cell>
          <cell r="AA4102">
            <v>13850.59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275019</v>
          </cell>
          <cell r="P4103" t="str">
            <v>2021/165-0117-01</v>
          </cell>
          <cell r="Q4103" t="str">
            <v>EST MESA CENTRO ORGAN (TP FREIJO MACICO/PES LAMINADO FREIJO)</v>
          </cell>
          <cell r="R4103"/>
          <cell r="S4103"/>
          <cell r="T4103">
            <v>1.2</v>
          </cell>
          <cell r="U4103">
            <v>1.2</v>
          </cell>
          <cell r="V4103">
            <v>0.27</v>
          </cell>
          <cell r="W4103">
            <v>0</v>
          </cell>
          <cell r="X4103" t="str">
            <v>EST MESA CENTRO ORGAN (TP FREIJO MACICO/PES LAMINADO FREIJO) - 1,2x1,2x0,27H</v>
          </cell>
          <cell r="Y4103">
            <v>27701.18</v>
          </cell>
          <cell r="Z4103">
            <v>0.5</v>
          </cell>
          <cell r="AA4103">
            <v>13850.59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1</v>
          </cell>
          <cell r="O4104">
            <v>275020</v>
          </cell>
          <cell r="P4104" t="str">
            <v>2021/165-0092-01</v>
          </cell>
          <cell r="Q4104" t="str">
            <v>EST MESA CENTRO ORGAN (TP MARMORE TRAVERTINO/PES FREIJO)</v>
          </cell>
          <cell r="R4104"/>
          <cell r="S4104"/>
          <cell r="T4104">
            <v>1.1000000000000001</v>
          </cell>
          <cell r="U4104">
            <v>1.1000000000000001</v>
          </cell>
          <cell r="V4104">
            <v>0.27</v>
          </cell>
          <cell r="W4104">
            <v>0</v>
          </cell>
          <cell r="X4104" t="str">
            <v>EST MESA CENTRO ORGAN (TP MARMORE TRAVERTINO/PES FREIJO) - 1,1x1,1x0,27H</v>
          </cell>
          <cell r="Y4104">
            <v>42642.879999999997</v>
          </cell>
          <cell r="Z4104">
            <v>0.5</v>
          </cell>
          <cell r="AA4104">
            <v>21321.439999999999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275020</v>
          </cell>
          <cell r="P4105" t="str">
            <v>2021/162-0042-01</v>
          </cell>
          <cell r="Q4105" t="str">
            <v>EST MESA CENTRO ORGAN (TP MARMORE TRAVERTINO/PES FREIJO)</v>
          </cell>
          <cell r="R4105"/>
          <cell r="S4105"/>
          <cell r="T4105">
            <v>1.1000000000000001</v>
          </cell>
          <cell r="U4105">
            <v>1.1000000000000001</v>
          </cell>
          <cell r="V4105">
            <v>0.27</v>
          </cell>
          <cell r="W4105">
            <v>0</v>
          </cell>
          <cell r="X4105" t="str">
            <v>EST MESA CENTRO ORGAN (TP MARMORE TRAVERTINO/PES FREIJO) - 1,1x1,1x0,27H</v>
          </cell>
          <cell r="Y4105">
            <v>42642.879999999997</v>
          </cell>
          <cell r="Z4105">
            <v>0.5</v>
          </cell>
          <cell r="AA4105">
            <v>21321.439999999999</v>
          </cell>
          <cell r="AB4105"/>
        </row>
        <row r="4106">
          <cell r="C4106">
            <v>1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275021</v>
          </cell>
          <cell r="P4106" t="str">
            <v>2022/245-0073-01</v>
          </cell>
          <cell r="Q4106" t="str">
            <v>EST MESA JANTAR TRIBECA (TP/BS NOGUEIRA) DETALHE MTZ OXI</v>
          </cell>
          <cell r="R4106"/>
          <cell r="S4106"/>
          <cell r="T4106">
            <v>2.7</v>
          </cell>
          <cell r="U4106">
            <v>1.2</v>
          </cell>
          <cell r="V4106">
            <v>0.75</v>
          </cell>
          <cell r="W4106">
            <v>0</v>
          </cell>
          <cell r="X4106" t="str">
            <v>EST MESA JANTAR TRIBECA (TP/BS NOGUEIRA) DETALHE MTZ OXI - 2,7x1,2x0,75H</v>
          </cell>
          <cell r="Y4106">
            <v>53412.44</v>
          </cell>
          <cell r="Z4106">
            <v>0.5</v>
          </cell>
          <cell r="AA4106">
            <v>26706.22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275022</v>
          </cell>
          <cell r="P4107" t="str">
            <v>2021/162-0043-01</v>
          </cell>
          <cell r="Q4107" t="str">
            <v>EST MESA JANTAR TRIBECA (TP/BASE FREIJO NAT) DET MTX M BLANC</v>
          </cell>
          <cell r="R4107"/>
          <cell r="S4107"/>
          <cell r="T4107">
            <v>2.7</v>
          </cell>
          <cell r="U4107">
            <v>1.2</v>
          </cell>
          <cell r="V4107">
            <v>0.75</v>
          </cell>
          <cell r="W4107">
            <v>0</v>
          </cell>
          <cell r="X4107" t="str">
            <v>EST MESA JANTAR TRIBECA (TP/BASE FREIJO NAT) DET MTX M BLANC - 2,7x1,2x0,75H</v>
          </cell>
          <cell r="Y4107">
            <v>53412.44</v>
          </cell>
          <cell r="Z4107">
            <v>0.5</v>
          </cell>
          <cell r="AA4107">
            <v>26706.22</v>
          </cell>
          <cell r="AB4107"/>
        </row>
        <row r="4108">
          <cell r="C4108">
            <v>0</v>
          </cell>
          <cell r="D4108">
            <v>0</v>
          </cell>
          <cell r="E4108">
            <v>0</v>
          </cell>
          <cell r="F4108">
            <v>0</v>
          </cell>
          <cell r="H4108">
            <v>1</v>
          </cell>
          <cell r="O4108">
            <v>277919</v>
          </cell>
          <cell r="P4108" t="str">
            <v>2021/203-0036-01</v>
          </cell>
          <cell r="Q4108" t="str">
            <v>EST POLTRONA MARE COURO TP2 (PROMO) GRANO SANDSTORM/CHAMPAG</v>
          </cell>
          <cell r="R4108"/>
          <cell r="S4108"/>
          <cell r="T4108">
            <v>0.93</v>
          </cell>
          <cell r="U4108">
            <v>1.06</v>
          </cell>
          <cell r="V4108">
            <v>0.83</v>
          </cell>
          <cell r="W4108">
            <v>0</v>
          </cell>
          <cell r="X4108" t="str">
            <v>EST POLTRONA MARE COURO TP2 (PROMO) GRANO SANDSTORM/CHAMPAG - 0,93x1,06x0,83H</v>
          </cell>
          <cell r="Y4108">
            <v>20456.93</v>
          </cell>
          <cell r="Z4108">
            <v>0.5</v>
          </cell>
          <cell r="AA4108">
            <v>10228.465</v>
          </cell>
          <cell r="AB4108"/>
        </row>
        <row r="4109">
          <cell r="C4109">
            <v>0</v>
          </cell>
          <cell r="D4109">
            <v>0</v>
          </cell>
          <cell r="E4109">
            <v>0</v>
          </cell>
          <cell r="F4109">
            <v>0</v>
          </cell>
          <cell r="H4109">
            <v>1</v>
          </cell>
          <cell r="O4109">
            <v>277920</v>
          </cell>
          <cell r="P4109" t="str">
            <v>2021/203-0030-01</v>
          </cell>
          <cell r="Q4109" t="str">
            <v>EST POLTRONA MARE (COURO TP2 MATTE GREY) PRETO</v>
          </cell>
          <cell r="R4109"/>
          <cell r="S4109"/>
          <cell r="T4109">
            <v>0.93</v>
          </cell>
          <cell r="U4109">
            <v>1.06</v>
          </cell>
          <cell r="V4109">
            <v>0.83</v>
          </cell>
          <cell r="W4109">
            <v>0</v>
          </cell>
          <cell r="X4109" t="str">
            <v>EST POLTRONA MARE (COURO TP2 MATTE GREY) PRETO - 0,93x1,06x0,83H</v>
          </cell>
          <cell r="Y4109">
            <v>22036.58</v>
          </cell>
          <cell r="Z4109">
            <v>0.5</v>
          </cell>
          <cell r="AA4109">
            <v>11018.29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277922</v>
          </cell>
          <cell r="P4110" t="str">
            <v>2021/203-0037-01</v>
          </cell>
          <cell r="Q4110" t="str">
            <v>EST BANQUETA MARE COURO TP2 (PROMO) GRANO SANDSTORM/CHAMPAG</v>
          </cell>
          <cell r="R4110"/>
          <cell r="S4110"/>
          <cell r="T4110">
            <v>0.91</v>
          </cell>
          <cell r="U4110">
            <v>0.56999999999999995</v>
          </cell>
          <cell r="V4110">
            <v>0.4</v>
          </cell>
          <cell r="W4110">
            <v>0</v>
          </cell>
          <cell r="X4110" t="str">
            <v>EST BANQUETA MARE COURO TP2 (PROMO) GRANO SANDSTORM/CHAMPAG - 0,91x0,57x0,4H</v>
          </cell>
          <cell r="Y4110">
            <v>8620.24</v>
          </cell>
          <cell r="Z4110">
            <v>0.5</v>
          </cell>
          <cell r="AA4110">
            <v>4310.12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1</v>
          </cell>
          <cell r="O4111">
            <v>277923</v>
          </cell>
          <cell r="P4111" t="str">
            <v>2021/203-0031-01</v>
          </cell>
          <cell r="Q4111" t="str">
            <v>EST BANQUETA MARE (COURO TP2 MATTE GREY) PRETO</v>
          </cell>
          <cell r="R4111"/>
          <cell r="S4111"/>
          <cell r="T4111">
            <v>0.91</v>
          </cell>
          <cell r="U4111">
            <v>0.56999999999999995</v>
          </cell>
          <cell r="V4111">
            <v>0.4</v>
          </cell>
          <cell r="W4111">
            <v>0</v>
          </cell>
          <cell r="X4111" t="str">
            <v>EST BANQUETA MARE (COURO TP2 MATTE GREY) PRETO - 0,91x0,57x0,4H</v>
          </cell>
          <cell r="Y4111">
            <v>10221.34</v>
          </cell>
          <cell r="Z4111">
            <v>0.5</v>
          </cell>
          <cell r="AA4111">
            <v>5110.67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2</v>
          </cell>
          <cell r="O4112">
            <v>278062</v>
          </cell>
          <cell r="P4112" t="str">
            <v>2021/182-0039-01</v>
          </cell>
          <cell r="Q4112" t="str">
            <v>EST CADEIRA RENDEIRA (FX 50038/TELA LEVE NAT) (NATURE MATT)</v>
          </cell>
          <cell r="R4112"/>
          <cell r="S4112"/>
          <cell r="T4112">
            <v>0.48</v>
          </cell>
          <cell r="U4112">
            <v>0.59</v>
          </cell>
          <cell r="V4112">
            <v>0.8</v>
          </cell>
          <cell r="W4112">
            <v>0</v>
          </cell>
          <cell r="X4112" t="str">
            <v>EST CADEIRA RENDEIRA (FX 50038/TELA LEVE NAT) (NATURE MATT) - 0,48x0,59x0,8H</v>
          </cell>
          <cell r="Y4112">
            <v>6796.25</v>
          </cell>
          <cell r="Z4112">
            <v>0.5</v>
          </cell>
          <cell r="AA4112">
            <v>3398.125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2</v>
          </cell>
          <cell r="O4113">
            <v>278062</v>
          </cell>
          <cell r="P4113" t="str">
            <v>2021/182-0040-01</v>
          </cell>
          <cell r="Q4113" t="str">
            <v>EST CADEIRA RENDEIRA (FX 50038/TELA LEVE NAT) (NATURE MATT)</v>
          </cell>
          <cell r="R4113"/>
          <cell r="S4113"/>
          <cell r="T4113">
            <v>0.48</v>
          </cell>
          <cell r="U4113">
            <v>0.59</v>
          </cell>
          <cell r="V4113">
            <v>0.8</v>
          </cell>
          <cell r="W4113">
            <v>0</v>
          </cell>
          <cell r="X4113" t="str">
            <v>EST CADEIRA RENDEIRA (FX 50038/TELA LEVE NAT) (NATURE MATT) - 0,48x0,59x0,8H</v>
          </cell>
          <cell r="Y4113">
            <v>6796.25</v>
          </cell>
          <cell r="Z4113">
            <v>0.5</v>
          </cell>
          <cell r="AA4113">
            <v>3398.125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2</v>
          </cell>
          <cell r="O4114">
            <v>299525</v>
          </cell>
          <cell r="P4114" t="str">
            <v>2021/354-0045-01</v>
          </cell>
          <cell r="Q4114" t="str">
            <v>EST PUFF OLY H45 FX E7120/HASTE METAL 2415</v>
          </cell>
          <cell r="R4114"/>
          <cell r="S4114"/>
          <cell r="T4114">
            <v>0.6</v>
          </cell>
          <cell r="U4114">
            <v>0</v>
          </cell>
          <cell r="V4114">
            <v>0.45</v>
          </cell>
          <cell r="W4114">
            <v>0.6</v>
          </cell>
          <cell r="X4114" t="str">
            <v>EST PUFF OLY H45 FX E7120/HASTE METAL 2415 - Ø0,6x0,45H</v>
          </cell>
          <cell r="Y4114">
            <v>7411.49</v>
          </cell>
          <cell r="Z4114">
            <v>0.5</v>
          </cell>
          <cell r="AA4114">
            <v>3705.7449999999999</v>
          </cell>
          <cell r="AB4114"/>
        </row>
        <row r="4115">
          <cell r="C4115">
            <v>0</v>
          </cell>
          <cell r="D4115">
            <v>0</v>
          </cell>
          <cell r="E4115">
            <v>0</v>
          </cell>
          <cell r="F4115">
            <v>0</v>
          </cell>
          <cell r="H4115">
            <v>2</v>
          </cell>
          <cell r="O4115">
            <v>299525</v>
          </cell>
          <cell r="P4115" t="str">
            <v>2021/354-0046-01</v>
          </cell>
          <cell r="Q4115" t="str">
            <v>EST PUFF OLY H45 FX E7120/HASTE METAL 2415</v>
          </cell>
          <cell r="R4115"/>
          <cell r="S4115"/>
          <cell r="T4115">
            <v>0.6</v>
          </cell>
          <cell r="U4115">
            <v>0</v>
          </cell>
          <cell r="V4115">
            <v>0.45</v>
          </cell>
          <cell r="W4115">
            <v>0.6</v>
          </cell>
          <cell r="X4115" t="str">
            <v>EST PUFF OLY H45 FX E7120/HASTE METAL 2415 - Ø0,6x0,45H</v>
          </cell>
          <cell r="Y4115">
            <v>7411.49</v>
          </cell>
          <cell r="Z4115">
            <v>0.5</v>
          </cell>
          <cell r="AA4115">
            <v>3705.7449999999999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299531</v>
          </cell>
          <cell r="P4116" t="str">
            <v>2022/034-0012-01</v>
          </cell>
          <cell r="Q4116" t="str">
            <v>EST APARADOR REGIA (LAMINA 3 LOURO PRETO)</v>
          </cell>
          <cell r="R4116"/>
          <cell r="S4116"/>
          <cell r="T4116">
            <v>2.2000000000000002</v>
          </cell>
          <cell r="U4116">
            <v>0.7</v>
          </cell>
          <cell r="V4116">
            <v>0.82</v>
          </cell>
          <cell r="W4116">
            <v>0</v>
          </cell>
          <cell r="X4116" t="str">
            <v>EST APARADOR REGIA (LAMINA 3 LOURO PRETO) - 2,2x0,7x0,82H</v>
          </cell>
          <cell r="Y4116">
            <v>37230.19</v>
          </cell>
          <cell r="Z4116">
            <v>0.5</v>
          </cell>
          <cell r="AA4116">
            <v>18615.095000000001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300252</v>
          </cell>
          <cell r="P4117" t="str">
            <v>2022/007-0003-01</v>
          </cell>
          <cell r="Q4117" t="str">
            <v>EST MODULO CHAISE S/BRACO DALOA FX B2072 FREIJO</v>
          </cell>
          <cell r="R4117"/>
          <cell r="S4117"/>
          <cell r="T4117">
            <v>1.55</v>
          </cell>
          <cell r="U4117">
            <v>1.8</v>
          </cell>
          <cell r="V4117">
            <v>0</v>
          </cell>
          <cell r="W4117">
            <v>0</v>
          </cell>
          <cell r="X4117" t="str">
            <v>EST MODULO CHAISE S/BRACO DALOA FX B2072 FREIJO - 1,55x1,8x0H</v>
          </cell>
          <cell r="Y4117">
            <v>28305</v>
          </cell>
          <cell r="Z4117">
            <v>0.5</v>
          </cell>
          <cell r="AA4117">
            <v>14152.5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302827</v>
          </cell>
          <cell r="P4118" t="str">
            <v>2021/308-0022-01</v>
          </cell>
          <cell r="Q4118" t="str">
            <v>EST MESA CENTRO WHITE (PINT PX) (TC LISO LINHO PT) (TP CER)</v>
          </cell>
          <cell r="R4118"/>
          <cell r="S4118"/>
          <cell r="T4118">
            <v>1.4</v>
          </cell>
          <cell r="U4118">
            <v>0.95</v>
          </cell>
          <cell r="V4118">
            <v>0.34</v>
          </cell>
          <cell r="W4118">
            <v>0</v>
          </cell>
          <cell r="X4118" t="str">
            <v>EST MESA CENTRO WHITE (PINT PX) (TC LISO LINHO PT) (TP CER) - 1,4x0,95x0,34H</v>
          </cell>
          <cell r="Y4118">
            <v>15362.77</v>
          </cell>
          <cell r="Z4118">
            <v>0.5</v>
          </cell>
          <cell r="AA4118">
            <v>7681.3850000000002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8</v>
          </cell>
          <cell r="O4119">
            <v>307826</v>
          </cell>
          <cell r="P4119" t="str">
            <v>2021/350-0123-01</v>
          </cell>
          <cell r="Q4119" t="str">
            <v>EST CADEIRA KEEF C/BRACO (JEQ TING NOG) (MISTA) (C4 PINHAO)</v>
          </cell>
          <cell r="R4119"/>
          <cell r="S4119"/>
          <cell r="T4119">
            <v>0.55000000000000004</v>
          </cell>
          <cell r="U4119">
            <v>0.54</v>
          </cell>
          <cell r="V4119">
            <v>0.89</v>
          </cell>
          <cell r="W4119">
            <v>0</v>
          </cell>
          <cell r="X4119" t="str">
            <v>EST CADEIRA KEEF C/BRACO (JEQ TING NOG) (MISTA) (C4 PINHAO) - 0,55x0,54x0,89H</v>
          </cell>
          <cell r="Y4119">
            <v>9927.3700000000008</v>
          </cell>
          <cell r="Z4119">
            <v>0.5</v>
          </cell>
          <cell r="AA4119">
            <v>4963.6850000000004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8</v>
          </cell>
          <cell r="O4120">
            <v>307826</v>
          </cell>
          <cell r="P4120" t="str">
            <v>2021/350-0121-01</v>
          </cell>
          <cell r="Q4120" t="str">
            <v>EST CADEIRA KEEF C/BRACO (JEQ TING NOG) (MISTA) (C4 PINHAO)</v>
          </cell>
          <cell r="R4120"/>
          <cell r="S4120"/>
          <cell r="T4120">
            <v>0.55000000000000004</v>
          </cell>
          <cell r="U4120">
            <v>0.54</v>
          </cell>
          <cell r="V4120">
            <v>0.89</v>
          </cell>
          <cell r="W4120">
            <v>0</v>
          </cell>
          <cell r="X4120" t="str">
            <v>EST CADEIRA KEEF C/BRACO (JEQ TING NOG) (MISTA) (C4 PINHAO) - 0,55x0,54x0,89H</v>
          </cell>
          <cell r="Y4120">
            <v>9927.3700000000008</v>
          </cell>
          <cell r="Z4120">
            <v>0.5</v>
          </cell>
          <cell r="AA4120">
            <v>4963.6850000000004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8</v>
          </cell>
          <cell r="O4121">
            <v>307831</v>
          </cell>
          <cell r="P4121" t="str">
            <v>2021/350-0143-01</v>
          </cell>
          <cell r="Q4121" t="str">
            <v>EST CADEIRA KEEF C/BRACO (JEQ TING NOG) (MADEIRA)</v>
          </cell>
          <cell r="R4121"/>
          <cell r="S4121"/>
          <cell r="T4121">
            <v>0.55000000000000004</v>
          </cell>
          <cell r="U4121">
            <v>0.54</v>
          </cell>
          <cell r="V4121">
            <v>0.89</v>
          </cell>
          <cell r="W4121">
            <v>0</v>
          </cell>
          <cell r="X4121" t="str">
            <v>EST CADEIRA KEEF C/BRACO (JEQ TING NOG) (MADEIRA) - 0,55x0,54x0,89H</v>
          </cell>
          <cell r="Y4121">
            <v>9339.19</v>
          </cell>
          <cell r="Z4121">
            <v>0.5</v>
          </cell>
          <cell r="AA4121">
            <v>4669.5950000000003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8</v>
          </cell>
          <cell r="O4122">
            <v>307831</v>
          </cell>
          <cell r="P4122" t="str">
            <v>2021/350-0140-01</v>
          </cell>
          <cell r="Q4122" t="str">
            <v>EST CADEIRA KEEF C/BRACO (JEQ TING NOG) (MADEIRA)</v>
          </cell>
          <cell r="R4122"/>
          <cell r="S4122"/>
          <cell r="T4122">
            <v>0.55000000000000004</v>
          </cell>
          <cell r="U4122">
            <v>0.54</v>
          </cell>
          <cell r="V4122">
            <v>0.89</v>
          </cell>
          <cell r="W4122">
            <v>0</v>
          </cell>
          <cell r="X4122" t="str">
            <v>EST CADEIRA KEEF C/BRACO (JEQ TING NOG) (MADEIRA) - 0,55x0,54x0,89H</v>
          </cell>
          <cell r="Y4122">
            <v>9339.19</v>
          </cell>
          <cell r="Z4122">
            <v>0.5</v>
          </cell>
          <cell r="AA4122">
            <v>4669.5950000000003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8</v>
          </cell>
          <cell r="O4123">
            <v>307831</v>
          </cell>
          <cell r="P4123" t="str">
            <v>2021/350-0142-01</v>
          </cell>
          <cell r="Q4123" t="str">
            <v>EST CADEIRA KEEF C/BRACO (JEQ TING NOG) (MADEIRA)</v>
          </cell>
          <cell r="R4123"/>
          <cell r="S4123"/>
          <cell r="T4123">
            <v>0.55000000000000004</v>
          </cell>
          <cell r="U4123">
            <v>0.54</v>
          </cell>
          <cell r="V4123">
            <v>0.89</v>
          </cell>
          <cell r="W4123">
            <v>0</v>
          </cell>
          <cell r="X4123" t="str">
            <v>EST CADEIRA KEEF C/BRACO (JEQ TING NOG) (MADEIRA) - 0,55x0,54x0,89H</v>
          </cell>
          <cell r="Y4123">
            <v>9339.19</v>
          </cell>
          <cell r="Z4123">
            <v>0.5</v>
          </cell>
          <cell r="AA4123">
            <v>4669.5950000000003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8</v>
          </cell>
          <cell r="O4124">
            <v>307831</v>
          </cell>
          <cell r="P4124" t="str">
            <v>2021/350-0138-01</v>
          </cell>
          <cell r="Q4124" t="str">
            <v>EST CADEIRA KEEF C/BRACO (JEQ TING NOG) (MADEIRA)</v>
          </cell>
          <cell r="R4124"/>
          <cell r="S4124"/>
          <cell r="T4124">
            <v>0.55000000000000004</v>
          </cell>
          <cell r="U4124">
            <v>0.54</v>
          </cell>
          <cell r="V4124">
            <v>0.89</v>
          </cell>
          <cell r="W4124">
            <v>0</v>
          </cell>
          <cell r="X4124" t="str">
            <v>EST CADEIRA KEEF C/BRACO (JEQ TING NOG) (MADEIRA) - 0,55x0,54x0,89H</v>
          </cell>
          <cell r="Y4124">
            <v>9339.19</v>
          </cell>
          <cell r="Z4124">
            <v>0.5</v>
          </cell>
          <cell r="AA4124">
            <v>4669.5950000000003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8</v>
          </cell>
          <cell r="O4125">
            <v>307831</v>
          </cell>
          <cell r="P4125" t="str">
            <v>2021/350-0145-01</v>
          </cell>
          <cell r="Q4125" t="str">
            <v>EST CADEIRA KEEF C/BRACO (JEQ TING NOG) (MADEIRA)</v>
          </cell>
          <cell r="R4125"/>
          <cell r="S4125"/>
          <cell r="T4125">
            <v>0.55000000000000004</v>
          </cell>
          <cell r="U4125">
            <v>0.54</v>
          </cell>
          <cell r="V4125">
            <v>0.89</v>
          </cell>
          <cell r="W4125">
            <v>0</v>
          </cell>
          <cell r="X4125" t="str">
            <v>EST CADEIRA KEEF C/BRACO (JEQ TING NOG) (MADEIRA) - 0,55x0,54x0,89H</v>
          </cell>
          <cell r="Y4125">
            <v>9339.19</v>
          </cell>
          <cell r="Z4125">
            <v>0.5</v>
          </cell>
          <cell r="AA4125">
            <v>4669.5950000000003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8</v>
          </cell>
          <cell r="O4126">
            <v>307831</v>
          </cell>
          <cell r="P4126" t="str">
            <v>2021/350-0139-01</v>
          </cell>
          <cell r="Q4126" t="str">
            <v>EST CADEIRA KEEF C/BRACO (JEQ TING NOG) (MADEIRA)</v>
          </cell>
          <cell r="R4126"/>
          <cell r="S4126"/>
          <cell r="T4126">
            <v>0.55000000000000004</v>
          </cell>
          <cell r="U4126">
            <v>0.54</v>
          </cell>
          <cell r="V4126">
            <v>0.89</v>
          </cell>
          <cell r="W4126">
            <v>0</v>
          </cell>
          <cell r="X4126" t="str">
            <v>EST CADEIRA KEEF C/BRACO (JEQ TING NOG) (MADEIRA) - 0,55x0,54x0,89H</v>
          </cell>
          <cell r="Y4126">
            <v>9339.19</v>
          </cell>
          <cell r="Z4126">
            <v>0.5</v>
          </cell>
          <cell r="AA4126">
            <v>4669.5950000000003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</v>
          </cell>
          <cell r="O4127">
            <v>308170</v>
          </cell>
          <cell r="P4127" t="str">
            <v>2022/018-0059-01</v>
          </cell>
          <cell r="Q4127" t="str">
            <v>EST CHAISE REGIA COURO VQ604/TC V8003/PES MTZ RB03</v>
          </cell>
          <cell r="R4127"/>
          <cell r="S4127"/>
          <cell r="T4127">
            <v>1.68</v>
          </cell>
          <cell r="U4127">
            <v>1.65</v>
          </cell>
          <cell r="V4127">
            <v>0.85</v>
          </cell>
          <cell r="W4127">
            <v>0</v>
          </cell>
          <cell r="X4127" t="str">
            <v>EST CHAISE REGIA COURO VQ604/TC V8003/PES MTZ RB03 - 1,68x1,65x0,85H</v>
          </cell>
          <cell r="Y4127">
            <v>60453.75</v>
          </cell>
          <cell r="Z4127">
            <v>0.5</v>
          </cell>
          <cell r="AA4127">
            <v>30226.875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</v>
          </cell>
          <cell r="O4128">
            <v>308171</v>
          </cell>
          <cell r="P4128" t="str">
            <v>2022/018-0046-01</v>
          </cell>
          <cell r="Q4128" t="str">
            <v>EST POLTRONA CACAU TC N2021 (BRACO LADO DIREITO)</v>
          </cell>
          <cell r="R4128"/>
          <cell r="S4128"/>
          <cell r="T4128">
            <v>1.27</v>
          </cell>
          <cell r="U4128">
            <v>0.93</v>
          </cell>
          <cell r="V4128">
            <v>0.74</v>
          </cell>
          <cell r="W4128">
            <v>0</v>
          </cell>
          <cell r="X4128" t="str">
            <v>EST POLTRONA CACAU TC N2021 (BRACO LADO DIREITO) - 1,27x0,93x0,74H</v>
          </cell>
          <cell r="Y4128">
            <v>21825.040000000001</v>
          </cell>
          <cell r="Z4128">
            <v>0.5</v>
          </cell>
          <cell r="AA4128">
            <v>10912.52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308172</v>
          </cell>
          <cell r="P4129" t="str">
            <v>2022/018-0047-01</v>
          </cell>
          <cell r="Q4129" t="str">
            <v>EST BANQUETA CACAU TC N2021</v>
          </cell>
          <cell r="R4129"/>
          <cell r="S4129"/>
          <cell r="T4129">
            <v>0.92</v>
          </cell>
          <cell r="U4129">
            <v>0.57999999999999996</v>
          </cell>
          <cell r="V4129">
            <v>0.4</v>
          </cell>
          <cell r="W4129">
            <v>0</v>
          </cell>
          <cell r="X4129" t="str">
            <v>EST BANQUETA CACAU TC N2021 - 0,92x0,58x0,4H</v>
          </cell>
          <cell r="Y4129">
            <v>11427.76</v>
          </cell>
          <cell r="Z4129">
            <v>0.5</v>
          </cell>
          <cell r="AA4129">
            <v>5713.88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1</v>
          </cell>
          <cell r="O4130">
            <v>308175</v>
          </cell>
          <cell r="P4130" t="str">
            <v>2022/018-0037-01</v>
          </cell>
          <cell r="Q4130" t="str">
            <v>EST POLTRONA CACAU TC N2008 (BRACO LADO DIREITO)</v>
          </cell>
          <cell r="R4130"/>
          <cell r="S4130"/>
          <cell r="T4130">
            <v>1.27</v>
          </cell>
          <cell r="U4130">
            <v>0.93</v>
          </cell>
          <cell r="V4130">
            <v>0.74</v>
          </cell>
          <cell r="W4130">
            <v>0</v>
          </cell>
          <cell r="X4130" t="str">
            <v>EST POLTRONA CACAU TC N2008 (BRACO LADO DIREITO) - 1,27x0,93x0,74H</v>
          </cell>
          <cell r="Y4130">
            <v>21825.040000000001</v>
          </cell>
          <cell r="Z4130">
            <v>0.5</v>
          </cell>
          <cell r="AA4130">
            <v>10912.52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1</v>
          </cell>
          <cell r="O4131">
            <v>308176</v>
          </cell>
          <cell r="P4131" t="str">
            <v>2022/018-0038-01</v>
          </cell>
          <cell r="Q4131" t="str">
            <v>EST BANQUETA CACAU TC N2008</v>
          </cell>
          <cell r="R4131"/>
          <cell r="S4131"/>
          <cell r="T4131">
            <v>0.92</v>
          </cell>
          <cell r="U4131">
            <v>0.57999999999999996</v>
          </cell>
          <cell r="V4131">
            <v>0.4</v>
          </cell>
          <cell r="W4131">
            <v>0</v>
          </cell>
          <cell r="X4131" t="str">
            <v>EST BANQUETA CACAU TC N2008 - 0,92x0,58x0,4H</v>
          </cell>
          <cell r="Y4131">
            <v>11427.76</v>
          </cell>
          <cell r="Z4131">
            <v>0.5</v>
          </cell>
          <cell r="AA4131">
            <v>5713.88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2</v>
          </cell>
          <cell r="O4132">
            <v>308179</v>
          </cell>
          <cell r="P4132" t="str">
            <v>2021/354-0047-01</v>
          </cell>
          <cell r="Q4132" t="str">
            <v>EST ACESSORIO BANDEJA OCA MARMORE JADORE</v>
          </cell>
          <cell r="R4132"/>
          <cell r="S4132"/>
          <cell r="T4132">
            <v>0.3</v>
          </cell>
          <cell r="U4132">
            <v>0</v>
          </cell>
          <cell r="V4132">
            <v>0.02</v>
          </cell>
          <cell r="W4132">
            <v>0.32</v>
          </cell>
          <cell r="X4132" t="str">
            <v>EST ACESSORIO BANDEJA OCA MARMORE JADORE - Ø0,32x0,02H</v>
          </cell>
          <cell r="Y4132">
            <v>4243.68</v>
          </cell>
          <cell r="Z4132">
            <v>0.5</v>
          </cell>
          <cell r="AA4132">
            <v>2121.84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1</v>
          </cell>
          <cell r="O4133">
            <v>308716</v>
          </cell>
          <cell r="P4133" t="str">
            <v>2021/287-0004-01</v>
          </cell>
          <cell r="Q4133" t="str">
            <v>EST BUFFET DIXIE (TP NERO/LAMINADO CARV OAK PRETO/MTX PRETO)</v>
          </cell>
          <cell r="R4133"/>
          <cell r="S4133"/>
          <cell r="T4133">
            <v>1.6</v>
          </cell>
          <cell r="U4133">
            <v>0.51</v>
          </cell>
          <cell r="V4133">
            <v>0.76</v>
          </cell>
          <cell r="W4133">
            <v>0</v>
          </cell>
          <cell r="X4133" t="str">
            <v>EST BUFFET DIXIE (TP NERO/LAMINADO CARV OAK PRETO/MTX PRETO) - 1,6x0,51x0,76H</v>
          </cell>
          <cell r="Y4133">
            <v>59354.400000000001</v>
          </cell>
          <cell r="Z4133">
            <v>0.5</v>
          </cell>
          <cell r="AA4133">
            <v>29677.200000000001</v>
          </cell>
          <cell r="AB4133"/>
        </row>
        <row r="4134">
          <cell r="C4134">
            <v>0</v>
          </cell>
          <cell r="D4134">
            <v>1</v>
          </cell>
          <cell r="E4134">
            <v>0</v>
          </cell>
          <cell r="F4134">
            <v>0</v>
          </cell>
          <cell r="H4134">
            <v>7</v>
          </cell>
          <cell r="O4134">
            <v>308799</v>
          </cell>
          <cell r="P4134" t="str">
            <v>2022/165-0015-01</v>
          </cell>
          <cell r="Q4134" t="str">
            <v>EST CADEIRA 60 C/BRACO (EUC EBANIZ) CS0125/BOUT COURO 3815-1</v>
          </cell>
          <cell r="R4134"/>
          <cell r="S4134"/>
          <cell r="T4134">
            <v>0.56000000000000005</v>
          </cell>
          <cell r="U4134">
            <v>0.59</v>
          </cell>
          <cell r="V4134">
            <v>0.84</v>
          </cell>
          <cell r="W4134">
            <v>0</v>
          </cell>
          <cell r="X4134" t="str">
            <v>EST CADEIRA 60 C/BRACO (EUC EBANIZ) CS0125/BOUT COURO 3815-1 - 0,56x0,59x0,84H</v>
          </cell>
          <cell r="Y4134">
            <v>7016.8</v>
          </cell>
          <cell r="Z4134">
            <v>0.5</v>
          </cell>
          <cell r="AA4134">
            <v>3508.4</v>
          </cell>
          <cell r="AB4134"/>
        </row>
        <row r="4135">
          <cell r="C4135">
            <v>0</v>
          </cell>
          <cell r="D4135">
            <v>1</v>
          </cell>
          <cell r="E4135">
            <v>0</v>
          </cell>
          <cell r="F4135">
            <v>0</v>
          </cell>
          <cell r="H4135">
            <v>7</v>
          </cell>
          <cell r="O4135">
            <v>308799</v>
          </cell>
          <cell r="P4135" t="str">
            <v>2022/165-0016-01</v>
          </cell>
          <cell r="Q4135" t="str">
            <v>EST CADEIRA 60 C/BRACO (EUC EBANIZ) CS0125/BOUT COURO 3815-1</v>
          </cell>
          <cell r="R4135"/>
          <cell r="S4135"/>
          <cell r="T4135">
            <v>0.56000000000000005</v>
          </cell>
          <cell r="U4135">
            <v>0.59</v>
          </cell>
          <cell r="V4135">
            <v>0.84</v>
          </cell>
          <cell r="W4135">
            <v>0</v>
          </cell>
          <cell r="X4135" t="str">
            <v>EST CADEIRA 60 C/BRACO (EUC EBANIZ) CS0125/BOUT COURO 3815-1 - 0,56x0,59x0,84H</v>
          </cell>
          <cell r="Y4135">
            <v>7016.8</v>
          </cell>
          <cell r="Z4135">
            <v>0.5</v>
          </cell>
          <cell r="AA4135">
            <v>3508.4</v>
          </cell>
          <cell r="AB4135"/>
        </row>
        <row r="4136">
          <cell r="C4136">
            <v>0</v>
          </cell>
          <cell r="D4136">
            <v>1</v>
          </cell>
          <cell r="E4136">
            <v>0</v>
          </cell>
          <cell r="F4136">
            <v>0</v>
          </cell>
          <cell r="H4136">
            <v>7</v>
          </cell>
          <cell r="O4136">
            <v>308799</v>
          </cell>
          <cell r="P4136" t="str">
            <v>2022/165-0017-01</v>
          </cell>
          <cell r="Q4136" t="str">
            <v>EST CADEIRA 60 C/BRACO (EUC EBANIZ) CS0125/BOUT COURO 3815-1</v>
          </cell>
          <cell r="R4136"/>
          <cell r="S4136"/>
          <cell r="T4136">
            <v>0.56000000000000005</v>
          </cell>
          <cell r="U4136">
            <v>0.59</v>
          </cell>
          <cell r="V4136">
            <v>0.84</v>
          </cell>
          <cell r="W4136">
            <v>0</v>
          </cell>
          <cell r="X4136" t="str">
            <v>EST CADEIRA 60 C/BRACO (EUC EBANIZ) CS0125/BOUT COURO 3815-1 - 0,56x0,59x0,84H</v>
          </cell>
          <cell r="Y4136">
            <v>7016.8</v>
          </cell>
          <cell r="Z4136">
            <v>0.5</v>
          </cell>
          <cell r="AA4136">
            <v>3508.4</v>
          </cell>
          <cell r="AB4136"/>
        </row>
        <row r="4137">
          <cell r="C4137">
            <v>0</v>
          </cell>
          <cell r="D4137">
            <v>1</v>
          </cell>
          <cell r="E4137">
            <v>0</v>
          </cell>
          <cell r="F4137">
            <v>0</v>
          </cell>
          <cell r="H4137">
            <v>7</v>
          </cell>
          <cell r="O4137">
            <v>308799</v>
          </cell>
          <cell r="P4137" t="str">
            <v>2022/165-0018-01</v>
          </cell>
          <cell r="Q4137" t="str">
            <v>EST CADEIRA 60 C/BRACO (EUC EBANIZ) CS0125/BOUT COURO 3815-1</v>
          </cell>
          <cell r="R4137"/>
          <cell r="S4137"/>
          <cell r="T4137">
            <v>0.56000000000000005</v>
          </cell>
          <cell r="U4137">
            <v>0.59</v>
          </cell>
          <cell r="V4137">
            <v>0.84</v>
          </cell>
          <cell r="W4137">
            <v>0</v>
          </cell>
          <cell r="X4137" t="str">
            <v>EST CADEIRA 60 C/BRACO (EUC EBANIZ) CS0125/BOUT COURO 3815-1 - 0,56x0,59x0,84H</v>
          </cell>
          <cell r="Y4137">
            <v>7016.8</v>
          </cell>
          <cell r="Z4137">
            <v>0.5</v>
          </cell>
          <cell r="AA4137">
            <v>3508.4</v>
          </cell>
          <cell r="AB4137"/>
        </row>
        <row r="4138">
          <cell r="C4138">
            <v>0</v>
          </cell>
          <cell r="D4138">
            <v>1</v>
          </cell>
          <cell r="E4138">
            <v>0</v>
          </cell>
          <cell r="F4138">
            <v>0</v>
          </cell>
          <cell r="H4138">
            <v>7</v>
          </cell>
          <cell r="O4138">
            <v>308799</v>
          </cell>
          <cell r="P4138" t="str">
            <v>2022/165-0019-01</v>
          </cell>
          <cell r="Q4138" t="str">
            <v>EST CADEIRA 60 C/BRACO (EUC EBANIZ) CS0125/BOUT COURO 3815-1</v>
          </cell>
          <cell r="R4138"/>
          <cell r="S4138"/>
          <cell r="T4138">
            <v>0.56000000000000005</v>
          </cell>
          <cell r="U4138">
            <v>0.59</v>
          </cell>
          <cell r="V4138">
            <v>0.84</v>
          </cell>
          <cell r="W4138">
            <v>0</v>
          </cell>
          <cell r="X4138" t="str">
            <v>EST CADEIRA 60 C/BRACO (EUC EBANIZ) CS0125/BOUT COURO 3815-1 - 0,56x0,59x0,84H</v>
          </cell>
          <cell r="Y4138">
            <v>7016.8</v>
          </cell>
          <cell r="Z4138">
            <v>0.5</v>
          </cell>
          <cell r="AA4138">
            <v>3508.4</v>
          </cell>
          <cell r="AB4138"/>
        </row>
        <row r="4139">
          <cell r="C4139">
            <v>0</v>
          </cell>
          <cell r="D4139">
            <v>1</v>
          </cell>
          <cell r="E4139">
            <v>0</v>
          </cell>
          <cell r="F4139">
            <v>0</v>
          </cell>
          <cell r="H4139">
            <v>7</v>
          </cell>
          <cell r="O4139">
            <v>308799</v>
          </cell>
          <cell r="P4139" t="str">
            <v>2022/165-0020-01</v>
          </cell>
          <cell r="Q4139" t="str">
            <v>EST CADEIRA 60 C/BRACO (EUC EBANIZ) CS0125/BOUT COURO 3815-1</v>
          </cell>
          <cell r="R4139"/>
          <cell r="S4139"/>
          <cell r="T4139">
            <v>0.56000000000000005</v>
          </cell>
          <cell r="U4139">
            <v>0.59</v>
          </cell>
          <cell r="V4139">
            <v>0.84</v>
          </cell>
          <cell r="W4139">
            <v>0</v>
          </cell>
          <cell r="X4139" t="str">
            <v>EST CADEIRA 60 C/BRACO (EUC EBANIZ) CS0125/BOUT COURO 3815-1 - 0,56x0,59x0,84H</v>
          </cell>
          <cell r="Y4139">
            <v>7016.8</v>
          </cell>
          <cell r="Z4139">
            <v>0.5</v>
          </cell>
          <cell r="AA4139">
            <v>3508.4</v>
          </cell>
          <cell r="AB4139"/>
        </row>
        <row r="4140">
          <cell r="C4140">
            <v>0</v>
          </cell>
          <cell r="D4140">
            <v>1</v>
          </cell>
          <cell r="E4140">
            <v>0</v>
          </cell>
          <cell r="F4140">
            <v>0</v>
          </cell>
          <cell r="H4140">
            <v>7</v>
          </cell>
          <cell r="O4140">
            <v>308799</v>
          </cell>
          <cell r="P4140" t="str">
            <v>2022/165-0021-01</v>
          </cell>
          <cell r="Q4140" t="str">
            <v>EST CADEIRA 60 C/BRACO (EUC EBANIZ) CS0125/BOUT COURO 3815-1</v>
          </cell>
          <cell r="R4140"/>
          <cell r="S4140"/>
          <cell r="T4140">
            <v>0.56000000000000005</v>
          </cell>
          <cell r="U4140">
            <v>0.59</v>
          </cell>
          <cell r="V4140">
            <v>0.84</v>
          </cell>
          <cell r="W4140">
            <v>0</v>
          </cell>
          <cell r="X4140" t="str">
            <v>EST CADEIRA 60 C/BRACO (EUC EBANIZ) CS0125/BOUT COURO 3815-1 - 0,56x0,59x0,84H</v>
          </cell>
          <cell r="Y4140">
            <v>7016.8</v>
          </cell>
          <cell r="Z4140">
            <v>0.5</v>
          </cell>
          <cell r="AA4140">
            <v>3508.4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5</v>
          </cell>
          <cell r="O4141">
            <v>309891</v>
          </cell>
          <cell r="P4141" t="str">
            <v>2021/354-0039-01</v>
          </cell>
          <cell r="Q4141" t="str">
            <v>EST COMPONENTE PRATELEIRA ESTANTE VO (UNIAO) (LAM 2 NOG)</v>
          </cell>
          <cell r="R4141"/>
          <cell r="S4141"/>
          <cell r="T4141">
            <v>0.6</v>
          </cell>
          <cell r="U4141">
            <v>0.39</v>
          </cell>
          <cell r="V4141">
            <v>0.02</v>
          </cell>
          <cell r="W4141">
            <v>0</v>
          </cell>
          <cell r="X4141" t="str">
            <v>EST COMPONENTE PRATELEIRA ESTANTE VO (UNIAO) (LAM 2 NOG) - 0,6x0,39x0,02H</v>
          </cell>
          <cell r="Y4141">
            <v>2603.1</v>
          </cell>
          <cell r="Z4141">
            <v>0.5</v>
          </cell>
          <cell r="AA4141">
            <v>1301.55</v>
          </cell>
          <cell r="AB4141"/>
        </row>
        <row r="4142">
          <cell r="C4142">
            <v>0</v>
          </cell>
          <cell r="D4142">
            <v>0</v>
          </cell>
          <cell r="E4142">
            <v>0</v>
          </cell>
          <cell r="F4142">
            <v>0</v>
          </cell>
          <cell r="H4142">
            <v>5</v>
          </cell>
          <cell r="O4142">
            <v>309891</v>
          </cell>
          <cell r="P4142" t="str">
            <v>2021/354-0040-01</v>
          </cell>
          <cell r="Q4142" t="str">
            <v>EST COMPONENTE PRATELEIRA ESTANTE VO (UNIAO) (LAM 2 NOG)</v>
          </cell>
          <cell r="R4142"/>
          <cell r="S4142"/>
          <cell r="T4142">
            <v>0.6</v>
          </cell>
          <cell r="U4142">
            <v>0.39</v>
          </cell>
          <cell r="V4142">
            <v>0.02</v>
          </cell>
          <cell r="W4142">
            <v>0</v>
          </cell>
          <cell r="X4142" t="str">
            <v>EST COMPONENTE PRATELEIRA ESTANTE VO (UNIAO) (LAM 2 NOG) - 0,6x0,39x0,02H</v>
          </cell>
          <cell r="Y4142">
            <v>2603.1</v>
          </cell>
          <cell r="Z4142">
            <v>0.5</v>
          </cell>
          <cell r="AA4142">
            <v>1301.55</v>
          </cell>
          <cell r="AB4142"/>
        </row>
        <row r="4143">
          <cell r="C4143">
            <v>0</v>
          </cell>
          <cell r="D4143">
            <v>0</v>
          </cell>
          <cell r="E4143">
            <v>0</v>
          </cell>
          <cell r="F4143">
            <v>0</v>
          </cell>
          <cell r="H4143">
            <v>5</v>
          </cell>
          <cell r="O4143">
            <v>309891</v>
          </cell>
          <cell r="P4143" t="str">
            <v>2021/354-0041-01</v>
          </cell>
          <cell r="Q4143" t="str">
            <v>EST COMPONENTE PRATELEIRA ESTANTE VO (UNIAO) (LAM 2 NOG)</v>
          </cell>
          <cell r="R4143"/>
          <cell r="S4143"/>
          <cell r="T4143">
            <v>0.6</v>
          </cell>
          <cell r="U4143">
            <v>0.39</v>
          </cell>
          <cell r="V4143">
            <v>0.02</v>
          </cell>
          <cell r="W4143">
            <v>0</v>
          </cell>
          <cell r="X4143" t="str">
            <v>EST COMPONENTE PRATELEIRA ESTANTE VO (UNIAO) (LAM 2 NOG) - 0,6x0,39x0,02H</v>
          </cell>
          <cell r="Y4143">
            <v>2603.1</v>
          </cell>
          <cell r="Z4143">
            <v>0.5</v>
          </cell>
          <cell r="AA4143">
            <v>1301.55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5</v>
          </cell>
          <cell r="O4144">
            <v>309891</v>
          </cell>
          <cell r="P4144" t="str">
            <v>2021/354-0042-01</v>
          </cell>
          <cell r="Q4144" t="str">
            <v>EST COMPONENTE PRATELEIRA ESTANTE VO (UNIAO) (LAM 2 NOG)</v>
          </cell>
          <cell r="R4144"/>
          <cell r="S4144"/>
          <cell r="T4144">
            <v>0.6</v>
          </cell>
          <cell r="U4144">
            <v>0.39</v>
          </cell>
          <cell r="V4144">
            <v>0.02</v>
          </cell>
          <cell r="W4144">
            <v>0</v>
          </cell>
          <cell r="X4144" t="str">
            <v>EST COMPONENTE PRATELEIRA ESTANTE VO (UNIAO) (LAM 2 NOG) - 0,6x0,39x0,02H</v>
          </cell>
          <cell r="Y4144">
            <v>2603.1</v>
          </cell>
          <cell r="Z4144">
            <v>0.5</v>
          </cell>
          <cell r="AA4144">
            <v>1301.55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5</v>
          </cell>
          <cell r="O4145">
            <v>309891</v>
          </cell>
          <cell r="P4145" t="str">
            <v>2021/354-0043-01</v>
          </cell>
          <cell r="Q4145" t="str">
            <v>EST COMPONENTE PRATELEIRA ESTANTE VO (UNIAO) (LAM 2 NOG)</v>
          </cell>
          <cell r="R4145"/>
          <cell r="S4145"/>
          <cell r="T4145">
            <v>0.6</v>
          </cell>
          <cell r="U4145">
            <v>0.39</v>
          </cell>
          <cell r="V4145">
            <v>0.02</v>
          </cell>
          <cell r="W4145">
            <v>0</v>
          </cell>
          <cell r="X4145" t="str">
            <v>EST COMPONENTE PRATELEIRA ESTANTE VO (UNIAO) (LAM 2 NOG) - 0,6x0,39x0,02H</v>
          </cell>
          <cell r="Y4145">
            <v>2603.1</v>
          </cell>
          <cell r="Z4145">
            <v>0.5</v>
          </cell>
          <cell r="AA4145">
            <v>1301.55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5</v>
          </cell>
          <cell r="O4146">
            <v>309891</v>
          </cell>
          <cell r="P4146" t="str">
            <v>2021/354-0044-01</v>
          </cell>
          <cell r="Q4146" t="str">
            <v>EST COMPONENTE PRATELEIRA ESTANTE VO (UNIAO) (LAM 2 NOG)</v>
          </cell>
          <cell r="R4146"/>
          <cell r="S4146"/>
          <cell r="T4146">
            <v>0.6</v>
          </cell>
          <cell r="U4146">
            <v>0.39</v>
          </cell>
          <cell r="V4146">
            <v>0.02</v>
          </cell>
          <cell r="W4146">
            <v>0</v>
          </cell>
          <cell r="X4146" t="str">
            <v>EST COMPONENTE PRATELEIRA ESTANTE VO (UNIAO) (LAM 2 NOG) - 0,6x0,39x0,02H</v>
          </cell>
          <cell r="Y4146">
            <v>2603.1</v>
          </cell>
          <cell r="Z4146">
            <v>0.5</v>
          </cell>
          <cell r="AA4146">
            <v>1301.55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76865</v>
          </cell>
          <cell r="P4147" t="str">
            <v>1012/303-0355-01</v>
          </cell>
          <cell r="Q4147" t="str">
            <v>EST BASE JANTAR MULTILAMINADA (FREIJO NATURAL)</v>
          </cell>
          <cell r="R4147"/>
          <cell r="S4147"/>
          <cell r="T4147">
            <v>0.75</v>
          </cell>
          <cell r="U4147">
            <v>0</v>
          </cell>
          <cell r="V4147">
            <v>0.75</v>
          </cell>
          <cell r="W4147">
            <v>0.75</v>
          </cell>
          <cell r="X4147" t="str">
            <v>EST BASE JANTAR MULTILAMINADA (FREIJO NATURAL) - Ø0,75x0,75H</v>
          </cell>
          <cell r="Y4147">
            <v>4480</v>
          </cell>
          <cell r="Z4147">
            <v>0.5</v>
          </cell>
          <cell r="AA4147">
            <v>2240</v>
          </cell>
          <cell r="AB4147"/>
        </row>
        <row r="4148">
          <cell r="C4148">
            <v>0</v>
          </cell>
          <cell r="D4148">
            <v>0</v>
          </cell>
          <cell r="E4148">
            <v>1</v>
          </cell>
          <cell r="F4148">
            <v>0</v>
          </cell>
          <cell r="H4148">
            <v>1</v>
          </cell>
          <cell r="O4148">
            <v>312421</v>
          </cell>
          <cell r="P4148" t="str">
            <v>2022/039-0002-01</v>
          </cell>
          <cell r="Q4148" t="str">
            <v>EST QUADRO CARBONE DIAGONAL</v>
          </cell>
          <cell r="R4148"/>
          <cell r="S4148"/>
          <cell r="T4148">
            <v>1</v>
          </cell>
          <cell r="U4148">
            <v>0.7</v>
          </cell>
          <cell r="V4148">
            <v>0</v>
          </cell>
          <cell r="W4148">
            <v>0</v>
          </cell>
          <cell r="X4148" t="str">
            <v>EST QUADRO CARBONE DIAGONAL - 1x0,7x0H</v>
          </cell>
          <cell r="Y4148">
            <v>3245.76</v>
          </cell>
          <cell r="Z4148">
            <v>0.5</v>
          </cell>
          <cell r="AA4148">
            <v>1622.88</v>
          </cell>
          <cell r="AB4148"/>
        </row>
        <row r="4149">
          <cell r="C4149">
            <v>0</v>
          </cell>
          <cell r="D4149">
            <v>0</v>
          </cell>
          <cell r="E4149">
            <v>1</v>
          </cell>
          <cell r="F4149">
            <v>0</v>
          </cell>
          <cell r="H4149">
            <v>1</v>
          </cell>
          <cell r="O4149">
            <v>312421</v>
          </cell>
          <cell r="P4149" t="str">
            <v>2022/039-0004-01</v>
          </cell>
          <cell r="Q4149" t="str">
            <v>EST QUADRO CARBONE DIAGONAL</v>
          </cell>
          <cell r="R4149"/>
          <cell r="S4149"/>
          <cell r="T4149">
            <v>1</v>
          </cell>
          <cell r="U4149">
            <v>0.7</v>
          </cell>
          <cell r="V4149">
            <v>0</v>
          </cell>
          <cell r="W4149">
            <v>0</v>
          </cell>
          <cell r="X4149" t="str">
            <v>EST QUADRO CARBONE DIAGONAL - 1x0,7x0H</v>
          </cell>
          <cell r="Y4149">
            <v>3245.76</v>
          </cell>
          <cell r="Z4149">
            <v>0.5</v>
          </cell>
          <cell r="AA4149">
            <v>1622.88</v>
          </cell>
          <cell r="AB4149"/>
        </row>
        <row r="4150">
          <cell r="C4150">
            <v>0</v>
          </cell>
          <cell r="D4150">
            <v>0</v>
          </cell>
          <cell r="E4150">
            <v>2</v>
          </cell>
          <cell r="F4150">
            <v>0</v>
          </cell>
          <cell r="H4150">
            <v>0</v>
          </cell>
          <cell r="O4150">
            <v>312422</v>
          </cell>
          <cell r="P4150" t="str">
            <v>2022/039-0005-01</v>
          </cell>
          <cell r="Q4150" t="str">
            <v>EST QUADRO CARBONE VERTICAL</v>
          </cell>
          <cell r="R4150"/>
          <cell r="S4150"/>
          <cell r="T4150">
            <v>1</v>
          </cell>
          <cell r="U4150">
            <v>0.7</v>
          </cell>
          <cell r="V4150">
            <v>0</v>
          </cell>
          <cell r="W4150">
            <v>0</v>
          </cell>
          <cell r="X4150" t="str">
            <v>EST QUADRO CARBONE VERTICAL - 1x0,7x0H</v>
          </cell>
          <cell r="Y4150">
            <v>3245.76</v>
          </cell>
          <cell r="Z4150">
            <v>0.5</v>
          </cell>
          <cell r="AA4150">
            <v>1622.88</v>
          </cell>
          <cell r="AB4150"/>
        </row>
        <row r="4151">
          <cell r="C4151">
            <v>0</v>
          </cell>
          <cell r="D4151">
            <v>0</v>
          </cell>
          <cell r="E4151">
            <v>2</v>
          </cell>
          <cell r="F4151">
            <v>0</v>
          </cell>
          <cell r="H4151">
            <v>0</v>
          </cell>
          <cell r="O4151">
            <v>312422</v>
          </cell>
          <cell r="P4151" t="str">
            <v>2022/039-0007-01</v>
          </cell>
          <cell r="Q4151" t="str">
            <v>EST QUADRO CARBONE VERTICAL</v>
          </cell>
          <cell r="R4151"/>
          <cell r="S4151"/>
          <cell r="T4151">
            <v>1</v>
          </cell>
          <cell r="U4151">
            <v>0.7</v>
          </cell>
          <cell r="V4151">
            <v>0</v>
          </cell>
          <cell r="W4151">
            <v>0</v>
          </cell>
          <cell r="X4151" t="str">
            <v>EST QUADRO CARBONE VERTICAL - 1x0,7x0H</v>
          </cell>
          <cell r="Y4151">
            <v>3245.76</v>
          </cell>
          <cell r="Z4151">
            <v>0.5</v>
          </cell>
          <cell r="AA4151">
            <v>1622.88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H4152">
            <v>3</v>
          </cell>
          <cell r="O4152">
            <v>312427</v>
          </cell>
          <cell r="P4152" t="str">
            <v>2022/039-0018-01</v>
          </cell>
          <cell r="Q4152" t="str">
            <v>EST QUADRO GALEE BAEM (COD960)</v>
          </cell>
          <cell r="R4152"/>
          <cell r="S4152"/>
          <cell r="T4152">
            <v>1.7</v>
          </cell>
          <cell r="U4152">
            <v>1</v>
          </cell>
          <cell r="V4152">
            <v>0</v>
          </cell>
          <cell r="W4152">
            <v>0</v>
          </cell>
          <cell r="X4152" t="str">
            <v>EST QUADRO GALEE BAEM (COD960) - 1,7x1x0H</v>
          </cell>
          <cell r="Y4152">
            <v>5597.76</v>
          </cell>
          <cell r="Z4152">
            <v>0.5</v>
          </cell>
          <cell r="AA4152">
            <v>2798.88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0</v>
          </cell>
          <cell r="H4153">
            <v>3</v>
          </cell>
          <cell r="O4153">
            <v>312427</v>
          </cell>
          <cell r="P4153" t="str">
            <v>2022/039-0016-01</v>
          </cell>
          <cell r="Q4153" t="str">
            <v>EST QUADRO GALEE BAEM (COD960)</v>
          </cell>
          <cell r="R4153"/>
          <cell r="S4153"/>
          <cell r="T4153">
            <v>1.7</v>
          </cell>
          <cell r="U4153">
            <v>1</v>
          </cell>
          <cell r="V4153">
            <v>0</v>
          </cell>
          <cell r="W4153">
            <v>0</v>
          </cell>
          <cell r="X4153" t="str">
            <v>EST QUADRO GALEE BAEM (COD960) - 1,7x1x0H</v>
          </cell>
          <cell r="Y4153">
            <v>5597.76</v>
          </cell>
          <cell r="Z4153">
            <v>0.5</v>
          </cell>
          <cell r="AA4153">
            <v>2798.88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0</v>
          </cell>
          <cell r="H4154">
            <v>2</v>
          </cell>
          <cell r="O4154">
            <v>312428</v>
          </cell>
          <cell r="P4154" t="str">
            <v>2022/039-0021-01</v>
          </cell>
          <cell r="Q4154" t="str">
            <v>EST QUADRO GALEE SAREE (COD961)</v>
          </cell>
          <cell r="R4154"/>
          <cell r="S4154"/>
          <cell r="T4154">
            <v>1.7</v>
          </cell>
          <cell r="U4154">
            <v>1</v>
          </cell>
          <cell r="V4154">
            <v>0</v>
          </cell>
          <cell r="W4154">
            <v>0</v>
          </cell>
          <cell r="X4154" t="str">
            <v>EST QUADRO GALEE SAREE (COD961) - 1,7x1x0H</v>
          </cell>
          <cell r="Y4154">
            <v>5597.76</v>
          </cell>
          <cell r="Z4154">
            <v>0.5</v>
          </cell>
          <cell r="AA4154">
            <v>2798.88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2</v>
          </cell>
          <cell r="O4155">
            <v>312428</v>
          </cell>
          <cell r="P4155" t="str">
            <v>2024/289-0104-01</v>
          </cell>
          <cell r="Q4155" t="str">
            <v>EST QUADRO GALEE SAREE (COD961)</v>
          </cell>
          <cell r="R4155"/>
          <cell r="S4155"/>
          <cell r="T4155">
            <v>1.7</v>
          </cell>
          <cell r="U4155">
            <v>1</v>
          </cell>
          <cell r="V4155">
            <v>0</v>
          </cell>
          <cell r="W4155">
            <v>0</v>
          </cell>
          <cell r="X4155" t="str">
            <v>EST QUADRO GALEE SAREE (COD961) - 1,7x1x0H</v>
          </cell>
          <cell r="Y4155">
            <v>5597.76</v>
          </cell>
          <cell r="Z4155">
            <v>0.5</v>
          </cell>
          <cell r="AA4155">
            <v>2798.88</v>
          </cell>
          <cell r="AB4155"/>
        </row>
        <row r="4156">
          <cell r="C4156">
            <v>1</v>
          </cell>
          <cell r="D4156">
            <v>0</v>
          </cell>
          <cell r="E4156">
            <v>0</v>
          </cell>
          <cell r="F4156">
            <v>0</v>
          </cell>
          <cell r="H4156">
            <v>1</v>
          </cell>
          <cell r="O4156">
            <v>312433</v>
          </cell>
          <cell r="P4156" t="str">
            <v>2022/039-0036-01</v>
          </cell>
          <cell r="Q4156" t="str">
            <v>EST QUADRO SAVANA TARTARUGA (LADO DIREITO)</v>
          </cell>
          <cell r="R4156"/>
          <cell r="S4156"/>
          <cell r="T4156">
            <v>1</v>
          </cell>
          <cell r="U4156">
            <v>0.7</v>
          </cell>
          <cell r="V4156">
            <v>0</v>
          </cell>
          <cell r="W4156">
            <v>0</v>
          </cell>
          <cell r="X4156" t="str">
            <v>EST QUADRO SAVANA TARTARUGA (LADO DIREITO) - 1x0,7x0H</v>
          </cell>
          <cell r="Y4156">
            <v>2676.58</v>
          </cell>
          <cell r="Z4156">
            <v>0.5</v>
          </cell>
          <cell r="AA4156">
            <v>1338.29</v>
          </cell>
          <cell r="AB4156"/>
        </row>
        <row r="4157">
          <cell r="C4157">
            <v>2</v>
          </cell>
          <cell r="D4157">
            <v>4</v>
          </cell>
          <cell r="E4157">
            <v>0</v>
          </cell>
          <cell r="F4157">
            <v>0</v>
          </cell>
          <cell r="H4157">
            <v>0</v>
          </cell>
          <cell r="O4157">
            <v>314842</v>
          </cell>
          <cell r="P4157" t="str">
            <v>2021/344-0155-01</v>
          </cell>
          <cell r="Q4157" t="str">
            <v>EST ALMOFADA TRESSE CASTOR</v>
          </cell>
          <cell r="R4157"/>
          <cell r="S4157"/>
          <cell r="T4157">
            <v>0.5</v>
          </cell>
          <cell r="U4157">
            <v>0.5</v>
          </cell>
          <cell r="V4157">
            <v>0</v>
          </cell>
          <cell r="W4157">
            <v>0</v>
          </cell>
          <cell r="X4157" t="str">
            <v>EST ALMOFADA TRESSE CASTOR - 0,5x0,5x0H</v>
          </cell>
          <cell r="Y4157">
            <v>1320.7</v>
          </cell>
          <cell r="Z4157">
            <v>0.5</v>
          </cell>
          <cell r="AA4157">
            <v>660.35</v>
          </cell>
          <cell r="AB4157"/>
        </row>
        <row r="4158">
          <cell r="C4158">
            <v>2</v>
          </cell>
          <cell r="D4158">
            <v>4</v>
          </cell>
          <cell r="E4158">
            <v>0</v>
          </cell>
          <cell r="F4158">
            <v>0</v>
          </cell>
          <cell r="H4158">
            <v>0</v>
          </cell>
          <cell r="O4158">
            <v>314842</v>
          </cell>
          <cell r="P4158" t="str">
            <v>2021/344-0159-01</v>
          </cell>
          <cell r="Q4158" t="str">
            <v>EST ALMOFADA TRESSE CASTOR</v>
          </cell>
          <cell r="R4158"/>
          <cell r="S4158"/>
          <cell r="T4158">
            <v>0.5</v>
          </cell>
          <cell r="U4158">
            <v>0.5</v>
          </cell>
          <cell r="V4158">
            <v>0</v>
          </cell>
          <cell r="W4158">
            <v>0</v>
          </cell>
          <cell r="X4158" t="str">
            <v>EST ALMOFADA TRESSE CASTOR - 0,5x0,5x0H</v>
          </cell>
          <cell r="Y4158">
            <v>1320.7</v>
          </cell>
          <cell r="Z4158">
            <v>0.5</v>
          </cell>
          <cell r="AA4158">
            <v>660.35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316571</v>
          </cell>
          <cell r="P4159" t="str">
            <v>2022/034-0028-01</v>
          </cell>
          <cell r="Q4159" t="str">
            <v>EST ESTANTE VO (A) (MTZ ONIX PRETO) (LAM 2 NOGUEIRA)</v>
          </cell>
          <cell r="R4159"/>
          <cell r="S4159"/>
          <cell r="T4159">
            <v>1.04</v>
          </cell>
          <cell r="U4159">
            <v>0.45</v>
          </cell>
          <cell r="V4159">
            <v>2.11</v>
          </cell>
          <cell r="W4159">
            <v>0</v>
          </cell>
          <cell r="X4159" t="str">
            <v>EST ESTANTE VO (A) (MTZ ONIX PRETO) (LAM 2 NOGUEIRA) - 1,04x0,45x2,11H</v>
          </cell>
          <cell r="Y4159">
            <v>63617.43</v>
          </cell>
          <cell r="Z4159">
            <v>0.5</v>
          </cell>
          <cell r="AA4159">
            <v>31808.715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319905</v>
          </cell>
          <cell r="P4160" t="str">
            <v>2021/340-0001-01</v>
          </cell>
          <cell r="Q4160" t="str">
            <v>EST BANCO DALI FX D4163 PES ALUMINIO POLIDO</v>
          </cell>
          <cell r="R4160"/>
          <cell r="S4160"/>
          <cell r="T4160">
            <v>1.8</v>
          </cell>
          <cell r="U4160">
            <v>0.6</v>
          </cell>
          <cell r="V4160">
            <v>0.44</v>
          </cell>
          <cell r="W4160">
            <v>0</v>
          </cell>
          <cell r="X4160" t="str">
            <v>EST BANCO DALI FX D4163 PES ALUMINIO POLIDO - 1,8x0,6x0,44H</v>
          </cell>
          <cell r="Y4160">
            <v>11400.84</v>
          </cell>
          <cell r="Z4160">
            <v>0.5</v>
          </cell>
          <cell r="AA4160">
            <v>5700.42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8</v>
          </cell>
          <cell r="O4161">
            <v>320670</v>
          </cell>
          <cell r="P4161" t="str">
            <v>2022/083-0009-01</v>
          </cell>
          <cell r="Q4161" t="str">
            <v>EST CADEIRA JULIA C/BRACO (COURO PIG 42 VERDE) (PRETO FSC)</v>
          </cell>
          <cell r="R4161"/>
          <cell r="S4161"/>
          <cell r="T4161">
            <v>0.61</v>
          </cell>
          <cell r="U4161">
            <v>0.54</v>
          </cell>
          <cell r="V4161">
            <v>0.76</v>
          </cell>
          <cell r="W4161">
            <v>0</v>
          </cell>
          <cell r="X4161" t="str">
            <v>EST CADEIRA JULIA C/BRACO (COURO PIG 42 VERDE) (PRETO FSC) - 0,61x0,54x0,76H</v>
          </cell>
          <cell r="Y4161">
            <v>8798.630000000001</v>
          </cell>
          <cell r="Z4161">
            <v>0.5</v>
          </cell>
          <cell r="AA4161">
            <v>4399.3150000000005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8</v>
          </cell>
          <cell r="O4162">
            <v>320670</v>
          </cell>
          <cell r="P4162" t="str">
            <v>2022/083-0010-01</v>
          </cell>
          <cell r="Q4162" t="str">
            <v>EST CADEIRA JULIA C/BRACO (COURO PIG 42 VERDE) (PRETO FSC)</v>
          </cell>
          <cell r="R4162"/>
          <cell r="S4162"/>
          <cell r="T4162">
            <v>0.61</v>
          </cell>
          <cell r="U4162">
            <v>0.54</v>
          </cell>
          <cell r="V4162">
            <v>0.76</v>
          </cell>
          <cell r="W4162">
            <v>0</v>
          </cell>
          <cell r="X4162" t="str">
            <v>EST CADEIRA JULIA C/BRACO (COURO PIG 42 VERDE) (PRETO FSC) - 0,61x0,54x0,76H</v>
          </cell>
          <cell r="Y4162">
            <v>8798.630000000001</v>
          </cell>
          <cell r="Z4162">
            <v>0.5</v>
          </cell>
          <cell r="AA4162">
            <v>4399.3150000000005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320759</v>
          </cell>
          <cell r="P4163" t="str">
            <v>2022/053-0043-01</v>
          </cell>
          <cell r="Q4163" t="str">
            <v>EST POLTRONA PATER (IMBUIA) TAURUS 30/ALMOF FX6363</v>
          </cell>
          <cell r="R4163"/>
          <cell r="S4163"/>
          <cell r="T4163">
            <v>0.82</v>
          </cell>
          <cell r="U4163">
            <v>0.94</v>
          </cell>
          <cell r="V4163">
            <v>0.83</v>
          </cell>
          <cell r="W4163">
            <v>0</v>
          </cell>
          <cell r="X4163" t="str">
            <v>EST POLTRONA PATER (IMBUIA) TAURUS 30/ALMOF FX6363 - 0,82x0,94x0,83H</v>
          </cell>
          <cell r="Y4163">
            <v>30546.75</v>
          </cell>
          <cell r="Z4163">
            <v>0.5</v>
          </cell>
          <cell r="AA4163">
            <v>15273.375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320759</v>
          </cell>
          <cell r="P4164" t="str">
            <v>2022/061-0072-01</v>
          </cell>
          <cell r="Q4164" t="str">
            <v>EST POLTRONA PATER (IMBUIA) TAURUS 30/ALMOF FX6363</v>
          </cell>
          <cell r="R4164"/>
          <cell r="S4164"/>
          <cell r="T4164">
            <v>0.82</v>
          </cell>
          <cell r="U4164">
            <v>0.94</v>
          </cell>
          <cell r="V4164">
            <v>0.83</v>
          </cell>
          <cell r="W4164">
            <v>0</v>
          </cell>
          <cell r="X4164" t="str">
            <v>EST POLTRONA PATER (IMBUIA) TAURUS 30/ALMOF FX6363 - 0,82x0,94x0,83H</v>
          </cell>
          <cell r="Y4164">
            <v>30546.75</v>
          </cell>
          <cell r="Z4164">
            <v>0.5</v>
          </cell>
          <cell r="AA4164">
            <v>15273.375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1</v>
          </cell>
          <cell r="O4165">
            <v>320759</v>
          </cell>
          <cell r="P4165" t="str">
            <v>2022/061-0071-01</v>
          </cell>
          <cell r="Q4165" t="str">
            <v>EST POLTRONA PATER (IMBUIA) TAURUS 30/ALMOF FX6363</v>
          </cell>
          <cell r="R4165"/>
          <cell r="S4165"/>
          <cell r="T4165">
            <v>0.82</v>
          </cell>
          <cell r="U4165">
            <v>0.94</v>
          </cell>
          <cell r="V4165">
            <v>0.83</v>
          </cell>
          <cell r="W4165">
            <v>0</v>
          </cell>
          <cell r="X4165" t="str">
            <v>EST POLTRONA PATER (IMBUIA) TAURUS 30/ALMOF FX6363 - 0,82x0,94x0,83H</v>
          </cell>
          <cell r="Y4165">
            <v>30546.75</v>
          </cell>
          <cell r="Z4165">
            <v>0.5</v>
          </cell>
          <cell r="AA4165">
            <v>15273.375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1</v>
          </cell>
          <cell r="O4166">
            <v>320759</v>
          </cell>
          <cell r="P4166" t="str">
            <v>2022/053-0044-01</v>
          </cell>
          <cell r="Q4166" t="str">
            <v>EST POLTRONA PATER (IMBUIA) TAURUS 30/ALMOF FX6363</v>
          </cell>
          <cell r="R4166"/>
          <cell r="S4166"/>
          <cell r="T4166">
            <v>0.82</v>
          </cell>
          <cell r="U4166">
            <v>0.94</v>
          </cell>
          <cell r="V4166">
            <v>0.83</v>
          </cell>
          <cell r="W4166">
            <v>0</v>
          </cell>
          <cell r="X4166" t="str">
            <v>EST POLTRONA PATER (IMBUIA) TAURUS 30/ALMOF FX6363 - 0,82x0,94x0,83H</v>
          </cell>
          <cell r="Y4166">
            <v>30546.75</v>
          </cell>
          <cell r="Z4166">
            <v>0.5</v>
          </cell>
          <cell r="AA4166">
            <v>15273.375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1</v>
          </cell>
          <cell r="O4167">
            <v>320804</v>
          </cell>
          <cell r="P4167" t="str">
            <v>2021/347-0150-01</v>
          </cell>
          <cell r="Q4167" t="str">
            <v>EST MESA CENTRO PISAC (RET) (MTZ CAPUCCINO) (LAMINA WALNUT)</v>
          </cell>
          <cell r="R4167"/>
          <cell r="S4167"/>
          <cell r="T4167">
            <v>1.4</v>
          </cell>
          <cell r="U4167">
            <v>0.7</v>
          </cell>
          <cell r="V4167">
            <v>0.4</v>
          </cell>
          <cell r="W4167">
            <v>0</v>
          </cell>
          <cell r="X4167" t="str">
            <v>EST MESA CENTRO PISAC (RET) (MTZ CAPUCCINO) (LAMINA WALNUT) - 1,4x0,7x0,4H</v>
          </cell>
          <cell r="Y4167">
            <v>16851.34</v>
          </cell>
          <cell r="Z4167">
            <v>0.5</v>
          </cell>
          <cell r="AA4167">
            <v>8425.67</v>
          </cell>
          <cell r="AB4167"/>
        </row>
        <row r="4168">
          <cell r="C4168">
            <v>0</v>
          </cell>
          <cell r="D4168">
            <v>2</v>
          </cell>
          <cell r="E4168">
            <v>0</v>
          </cell>
          <cell r="F4168">
            <v>0</v>
          </cell>
          <cell r="H4168">
            <v>0</v>
          </cell>
          <cell r="O4168">
            <v>324018</v>
          </cell>
          <cell r="P4168" t="str">
            <v>2022/090-0055-01</v>
          </cell>
          <cell r="Q4168" t="str">
            <v>EST TAPETE PEROLA (LIST DENSO) (2 CORES) (10MM) F:1236/5061</v>
          </cell>
          <cell r="R4168"/>
          <cell r="S4168"/>
          <cell r="T4168">
            <v>3</v>
          </cell>
          <cell r="U4168">
            <v>4</v>
          </cell>
          <cell r="V4168">
            <v>0.01</v>
          </cell>
          <cell r="W4168">
            <v>0</v>
          </cell>
          <cell r="X4168" t="str">
            <v>EST TAPETE PEROLA (LIST DENSO) (2 CORES) (10MM) F:1236/5061 - 3x4x0,01H</v>
          </cell>
          <cell r="Y4168">
            <v>26772.48</v>
          </cell>
          <cell r="Z4168">
            <v>0.5</v>
          </cell>
          <cell r="AA4168">
            <v>13386.24</v>
          </cell>
          <cell r="AB4168"/>
        </row>
        <row r="4169">
          <cell r="C4169">
            <v>0</v>
          </cell>
          <cell r="D4169">
            <v>2</v>
          </cell>
          <cell r="E4169">
            <v>0</v>
          </cell>
          <cell r="F4169">
            <v>0</v>
          </cell>
          <cell r="H4169">
            <v>0</v>
          </cell>
          <cell r="O4169">
            <v>324018</v>
          </cell>
          <cell r="P4169" t="str">
            <v>2022/090-0056-01</v>
          </cell>
          <cell r="Q4169" t="str">
            <v>EST TAPETE PEROLA (LIST DENSO) (2 CORES) (10MM) F:1236/5061</v>
          </cell>
          <cell r="R4169"/>
          <cell r="S4169"/>
          <cell r="T4169">
            <v>3</v>
          </cell>
          <cell r="U4169">
            <v>4</v>
          </cell>
          <cell r="V4169">
            <v>0.01</v>
          </cell>
          <cell r="W4169">
            <v>0</v>
          </cell>
          <cell r="X4169" t="str">
            <v>EST TAPETE PEROLA (LIST DENSO) (2 CORES) (10MM) F:1236/5061 - 3x4x0,01H</v>
          </cell>
          <cell r="Y4169">
            <v>26772.48</v>
          </cell>
          <cell r="Z4169">
            <v>0.5</v>
          </cell>
          <cell r="AA4169">
            <v>13386.24</v>
          </cell>
          <cell r="AB4169"/>
        </row>
        <row r="4170">
          <cell r="C4170">
            <v>0</v>
          </cell>
          <cell r="D4170">
            <v>1</v>
          </cell>
          <cell r="E4170">
            <v>0</v>
          </cell>
          <cell r="F4170">
            <v>0</v>
          </cell>
          <cell r="H4170">
            <v>1</v>
          </cell>
          <cell r="O4170">
            <v>324020</v>
          </cell>
          <cell r="P4170" t="str">
            <v>2022/090-0057-01</v>
          </cell>
          <cell r="Q4170" t="str">
            <v>EST TAPETE ONDA (ESCULPIDO) (1 COR) (14MM) F: 5056</v>
          </cell>
          <cell r="R4170"/>
          <cell r="S4170"/>
          <cell r="T4170">
            <v>3.5</v>
          </cell>
          <cell r="U4170">
            <v>4.5</v>
          </cell>
          <cell r="V4170">
            <v>0.01</v>
          </cell>
          <cell r="W4170">
            <v>0</v>
          </cell>
          <cell r="X4170" t="str">
            <v>EST TAPETE ONDA (ESCULPIDO) (1 COR) (14MM) F: 5056 - 3,5x4,5x0,01H</v>
          </cell>
          <cell r="Y4170">
            <v>49039.199999999997</v>
          </cell>
          <cell r="Z4170">
            <v>0.5</v>
          </cell>
          <cell r="AA4170">
            <v>24519.599999999999</v>
          </cell>
          <cell r="AB4170"/>
        </row>
        <row r="4171">
          <cell r="C4171">
            <v>0</v>
          </cell>
          <cell r="D4171">
            <v>1</v>
          </cell>
          <cell r="E4171">
            <v>0</v>
          </cell>
          <cell r="F4171">
            <v>0</v>
          </cell>
          <cell r="H4171">
            <v>1</v>
          </cell>
          <cell r="O4171">
            <v>324020</v>
          </cell>
          <cell r="P4171" t="str">
            <v>2022/101-0066-01</v>
          </cell>
          <cell r="Q4171" t="str">
            <v>EST TAPETE ONDA (ESCULPIDO) (1 COR) (14MM) F: 5056</v>
          </cell>
          <cell r="R4171"/>
          <cell r="S4171"/>
          <cell r="T4171">
            <v>3.5</v>
          </cell>
          <cell r="U4171">
            <v>4.5</v>
          </cell>
          <cell r="V4171">
            <v>0.01</v>
          </cell>
          <cell r="W4171">
            <v>0</v>
          </cell>
          <cell r="X4171" t="str">
            <v>EST TAPETE ONDA (ESCULPIDO) (1 COR) (14MM) F: 5056 - 3,5x4,5x0,01H</v>
          </cell>
          <cell r="Y4171">
            <v>49039.199999999997</v>
          </cell>
          <cell r="Z4171">
            <v>0.5</v>
          </cell>
          <cell r="AA4171">
            <v>24519.599999999999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2</v>
          </cell>
          <cell r="O4172">
            <v>325591</v>
          </cell>
          <cell r="P4172"/>
          <cell r="Q4172" t="str">
            <v>EST CADEIRA MADRE TC FORN FAIRLEY DARKSTONE</v>
          </cell>
          <cell r="R4172"/>
          <cell r="S4172"/>
          <cell r="T4172">
            <v>0.85</v>
          </cell>
          <cell r="U4172">
            <v>0.54</v>
          </cell>
          <cell r="V4172">
            <v>0.61</v>
          </cell>
          <cell r="W4172">
            <v>0</v>
          </cell>
          <cell r="X4172" t="str">
            <v>EST CADEIRA MADRE TC FORN FAIRLEY DARKSTONE - 0,85x0,54x0,61H</v>
          </cell>
          <cell r="Y4172">
            <v>4928</v>
          </cell>
          <cell r="Z4172">
            <v>0.5</v>
          </cell>
          <cell r="AA4172">
            <v>2464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2</v>
          </cell>
          <cell r="O4173">
            <v>325591</v>
          </cell>
          <cell r="P4173"/>
          <cell r="Q4173" t="str">
            <v>EST CADEIRA MADRE TC FORN FAIRLEY DARKSTONE</v>
          </cell>
          <cell r="R4173"/>
          <cell r="S4173"/>
          <cell r="T4173">
            <v>0.85</v>
          </cell>
          <cell r="U4173">
            <v>0.54</v>
          </cell>
          <cell r="V4173">
            <v>0.61</v>
          </cell>
          <cell r="W4173">
            <v>0</v>
          </cell>
          <cell r="X4173" t="str">
            <v>EST CADEIRA MADRE TC FORN FAIRLEY DARKSTONE - 0,85x0,54x0,61H</v>
          </cell>
          <cell r="Y4173">
            <v>4928</v>
          </cell>
          <cell r="Z4173">
            <v>0.5</v>
          </cell>
          <cell r="AA4173">
            <v>2464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</v>
          </cell>
          <cell r="O4174">
            <v>328653</v>
          </cell>
          <cell r="P4174" t="str">
            <v>2022/181-0008-01</v>
          </cell>
          <cell r="Q4174" t="str">
            <v>EST PUFF ALCALA (BASE LAMINADA WALNUT) FX C3092</v>
          </cell>
          <cell r="R4174"/>
          <cell r="S4174"/>
          <cell r="T4174">
            <v>1</v>
          </cell>
          <cell r="U4174">
            <v>1</v>
          </cell>
          <cell r="V4174">
            <v>0.4</v>
          </cell>
          <cell r="W4174">
            <v>0</v>
          </cell>
          <cell r="X4174" t="str">
            <v>EST PUFF ALCALA (BASE LAMINADA WALNUT) FX C3092 - 1x1x0,4H</v>
          </cell>
          <cell r="Y4174">
            <v>11735.58</v>
          </cell>
          <cell r="Z4174">
            <v>0.5</v>
          </cell>
          <cell r="AA4174">
            <v>5867.79</v>
          </cell>
          <cell r="AB4174"/>
        </row>
        <row r="4175">
          <cell r="C4175">
            <v>1</v>
          </cell>
          <cell r="D4175">
            <v>6</v>
          </cell>
          <cell r="E4175">
            <v>0</v>
          </cell>
          <cell r="F4175">
            <v>0</v>
          </cell>
          <cell r="H4175">
            <v>1</v>
          </cell>
          <cell r="O4175">
            <v>328721</v>
          </cell>
          <cell r="P4175" t="str">
            <v>2022/172-0041-01</v>
          </cell>
          <cell r="Q4175" t="str">
            <v>EST CADEIRA MELIZA (GIR) (FX 60004) (TING NOGAL)</v>
          </cell>
          <cell r="R4175"/>
          <cell r="S4175"/>
          <cell r="T4175">
            <v>0.6</v>
          </cell>
          <cell r="U4175">
            <v>0.49</v>
          </cell>
          <cell r="V4175">
            <v>0.79</v>
          </cell>
          <cell r="W4175">
            <v>0</v>
          </cell>
          <cell r="X4175" t="str">
            <v>EST CADEIRA MELIZA (GIR) (FX 60004) (TING NOGAL) - 0,6x0,49x0,79H</v>
          </cell>
          <cell r="Y4175">
            <v>5980.67</v>
          </cell>
          <cell r="Z4175">
            <v>0.5</v>
          </cell>
          <cell r="AA4175">
            <v>2990.335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</v>
          </cell>
          <cell r="O4176">
            <v>328889</v>
          </cell>
          <cell r="P4176" t="str">
            <v>2022/207-0041-01</v>
          </cell>
          <cell r="Q4176" t="str">
            <v>EST MESA CENTRO BALLET II (FX5 SAARA FSC) (AUT SAND)</v>
          </cell>
          <cell r="R4176"/>
          <cell r="S4176"/>
          <cell r="T4176">
            <v>1</v>
          </cell>
          <cell r="U4176">
            <v>0</v>
          </cell>
          <cell r="V4176">
            <v>0.35</v>
          </cell>
          <cell r="W4176">
            <v>1</v>
          </cell>
          <cell r="X4176" t="str">
            <v>EST MESA CENTRO BALLET II (FX5 SAARA FSC) (AUT SAND) - Ø1x0,35H</v>
          </cell>
          <cell r="Y4176">
            <v>56312.26</v>
          </cell>
          <cell r="Z4176">
            <v>0.5</v>
          </cell>
          <cell r="AA4176">
            <v>28156.13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</v>
          </cell>
          <cell r="O4177">
            <v>329025</v>
          </cell>
          <cell r="P4177" t="str">
            <v>2022/196-0004-01</v>
          </cell>
          <cell r="Q4177" t="str">
            <v>EST APARADOR ZINA (LAMINA 3 LOURO PARDO) (LACA FOSCA PRETA)</v>
          </cell>
          <cell r="R4177"/>
          <cell r="S4177"/>
          <cell r="T4177">
            <v>1.9</v>
          </cell>
          <cell r="U4177">
            <v>0.5</v>
          </cell>
          <cell r="V4177">
            <v>0.8</v>
          </cell>
          <cell r="W4177">
            <v>0</v>
          </cell>
          <cell r="X4177" t="str">
            <v>EST APARADOR ZINA (LAMINA 3 LOURO PARDO) (LACA FOSCA PRETA) - 1,9x0,5x0,8H</v>
          </cell>
          <cell r="Y4177">
            <v>26879.42</v>
          </cell>
          <cell r="Z4177">
            <v>0.5</v>
          </cell>
          <cell r="AA4177">
            <v>13439.71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329026</v>
          </cell>
          <cell r="P4178" t="str">
            <v>2022/207-0042-01</v>
          </cell>
          <cell r="Q4178" t="str">
            <v>EST MESA CENTRO BALLET II (TP MAD PINT AUT SAND) (AUT SAND)</v>
          </cell>
          <cell r="R4178"/>
          <cell r="S4178"/>
          <cell r="T4178">
            <v>1</v>
          </cell>
          <cell r="U4178">
            <v>1</v>
          </cell>
          <cell r="V4178">
            <v>0.3</v>
          </cell>
          <cell r="W4178">
            <v>0</v>
          </cell>
          <cell r="X4178" t="str">
            <v>EST MESA CENTRO BALLET II (TP MAD PINT AUT SAND) (AUT SAND) - 1x1x0,3H</v>
          </cell>
          <cell r="Y4178">
            <v>32350.84</v>
          </cell>
          <cell r="Z4178">
            <v>0.5</v>
          </cell>
          <cell r="AA4178">
            <v>16175.42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330635</v>
          </cell>
          <cell r="P4179" t="str">
            <v>2022/161-0023-01</v>
          </cell>
          <cell r="Q4179" t="str">
            <v>EST POLTRONA CACAU TC N2063 (BRACO LADO DIREITO)</v>
          </cell>
          <cell r="R4179"/>
          <cell r="S4179"/>
          <cell r="T4179">
            <v>1.27</v>
          </cell>
          <cell r="U4179">
            <v>0.93</v>
          </cell>
          <cell r="V4179">
            <v>0.74</v>
          </cell>
          <cell r="W4179">
            <v>0</v>
          </cell>
          <cell r="X4179" t="str">
            <v>EST POLTRONA CACAU TC N2063 (BRACO LADO DIREITO) - 1,27x0,93x0,74H</v>
          </cell>
          <cell r="Y4179">
            <v>21825.040000000001</v>
          </cell>
          <cell r="Z4179">
            <v>0.5</v>
          </cell>
          <cell r="AA4179">
            <v>10912.52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330637</v>
          </cell>
          <cell r="P4180" t="str">
            <v>2022/161-0024-01</v>
          </cell>
          <cell r="Q4180" t="str">
            <v>EST BANQUETA CACAU TC N 2063</v>
          </cell>
          <cell r="R4180"/>
          <cell r="S4180"/>
          <cell r="T4180">
            <v>0.92</v>
          </cell>
          <cell r="U4180">
            <v>0.57999999999999996</v>
          </cell>
          <cell r="V4180">
            <v>0.4</v>
          </cell>
          <cell r="W4180">
            <v>0</v>
          </cell>
          <cell r="X4180" t="str">
            <v>EST BANQUETA CACAU TC N 2063 - 0,92x0,58x0,4H</v>
          </cell>
          <cell r="Y4180">
            <v>11427.76</v>
          </cell>
          <cell r="Z4180">
            <v>0.5</v>
          </cell>
          <cell r="AA4180">
            <v>5713.88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2</v>
          </cell>
          <cell r="O4181">
            <v>334160</v>
          </cell>
          <cell r="P4181" t="str">
            <v>2022/214-0022-01</v>
          </cell>
          <cell r="Q4181" t="str">
            <v>EST CADEIRA 60 C/BRACO (EUC TABACO) INOX/ BOUT COURO MARROM</v>
          </cell>
          <cell r="R4181"/>
          <cell r="S4181"/>
          <cell r="T4181">
            <v>0.56000000000000005</v>
          </cell>
          <cell r="U4181">
            <v>0.59</v>
          </cell>
          <cell r="V4181">
            <v>0.84</v>
          </cell>
          <cell r="W4181">
            <v>0</v>
          </cell>
          <cell r="X4181" t="str">
            <v>EST CADEIRA 60 C/BRACO (EUC TABACO) INOX/ BOUT COURO MARROM - 0,56x0,59x0,84H</v>
          </cell>
          <cell r="Y4181">
            <v>7016.8</v>
          </cell>
          <cell r="Z4181">
            <v>0.5</v>
          </cell>
          <cell r="AA4181">
            <v>3508.4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2</v>
          </cell>
          <cell r="O4182">
            <v>334160</v>
          </cell>
          <cell r="P4182" t="str">
            <v>2022/214-0026-01</v>
          </cell>
          <cell r="Q4182" t="str">
            <v>EST CADEIRA 60 C/BRACO (EUC TABACO) INOX/ BOUT COURO MARROM</v>
          </cell>
          <cell r="R4182"/>
          <cell r="S4182"/>
          <cell r="T4182">
            <v>0.56000000000000005</v>
          </cell>
          <cell r="U4182">
            <v>0.59</v>
          </cell>
          <cell r="V4182">
            <v>0.84</v>
          </cell>
          <cell r="W4182">
            <v>0</v>
          </cell>
          <cell r="X4182" t="str">
            <v>EST CADEIRA 60 C/BRACO (EUC TABACO) INOX/ BOUT COURO MARROM - 0,56x0,59x0,84H</v>
          </cell>
          <cell r="Y4182">
            <v>7016.8</v>
          </cell>
          <cell r="Z4182">
            <v>0.5</v>
          </cell>
          <cell r="AA4182">
            <v>3508.4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334162</v>
          </cell>
          <cell r="P4183" t="str">
            <v>2022/206-0042-01</v>
          </cell>
          <cell r="Q4183" t="str">
            <v>EST SOFA ANDROS (2B) FX D4142 (BASE LAMINA EBONY)</v>
          </cell>
          <cell r="R4183"/>
          <cell r="S4183"/>
          <cell r="T4183">
            <v>3</v>
          </cell>
          <cell r="U4183">
            <v>1.5</v>
          </cell>
          <cell r="V4183">
            <v>0.76</v>
          </cell>
          <cell r="W4183">
            <v>0</v>
          </cell>
          <cell r="X4183" t="str">
            <v>EST SOFA ANDROS (2B) FX D4142 (BASE LAMINA EBONY) - 3x1,5x0,76H</v>
          </cell>
          <cell r="Y4183">
            <v>50640.98</v>
          </cell>
          <cell r="Z4183">
            <v>0.5</v>
          </cell>
          <cell r="AA4183">
            <v>25320.49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334167</v>
          </cell>
          <cell r="P4184" t="str">
            <v>2022/214-0035-01</v>
          </cell>
          <cell r="Q4184" t="str">
            <v>EST APARADOR RENE (TP G4 GOF 235 MARROM/EST PINT PRETA)</v>
          </cell>
          <cell r="R4184"/>
          <cell r="S4184"/>
          <cell r="T4184">
            <v>1.8</v>
          </cell>
          <cell r="U4184">
            <v>0.4</v>
          </cell>
          <cell r="V4184">
            <v>0.75</v>
          </cell>
          <cell r="W4184">
            <v>0</v>
          </cell>
          <cell r="X4184" t="str">
            <v>EST APARADOR RENE (TP G4 GOF 235 MARROM/EST PINT PRETA) - 1,8x0,4x0,75H</v>
          </cell>
          <cell r="Y4184">
            <v>13869.32</v>
          </cell>
          <cell r="Z4184">
            <v>0.5</v>
          </cell>
          <cell r="AA4184">
            <v>6934.66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113384</v>
          </cell>
          <cell r="P4185" t="str">
            <v>1012/306-1998-01</v>
          </cell>
          <cell r="Q4185" t="str">
            <v>EST POLTRONA BEBELA INOX POLIDO/CORDA BEGE/CRU TC4588 ESC07</v>
          </cell>
          <cell r="R4185"/>
          <cell r="S4185"/>
          <cell r="T4185">
            <v>0.74</v>
          </cell>
          <cell r="U4185">
            <v>0.78</v>
          </cell>
          <cell r="V4185">
            <v>0.85</v>
          </cell>
          <cell r="W4185">
            <v>0</v>
          </cell>
          <cell r="X4185" t="str">
            <v>EST POLTRONA BEBELA INOX POLIDO/CORDA BEGE/CRU TC4588 ESC07 - 0,74x0,78x0,85H</v>
          </cell>
          <cell r="Y4185">
            <v>10719.16</v>
          </cell>
          <cell r="Z4185">
            <v>0.5</v>
          </cell>
          <cell r="AA4185">
            <v>5359.58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120615</v>
          </cell>
          <cell r="P4186" t="str">
            <v>1012/303-0422-01</v>
          </cell>
          <cell r="Q4186" t="str">
            <v>EST POLTRONA BEBELA ACO INOX PINT M017/CORDA AZUL/TC11202263</v>
          </cell>
          <cell r="R4186"/>
          <cell r="S4186"/>
          <cell r="T4186">
            <v>0.74</v>
          </cell>
          <cell r="U4186">
            <v>0.78</v>
          </cell>
          <cell r="V4186">
            <v>0.85</v>
          </cell>
          <cell r="W4186">
            <v>0</v>
          </cell>
          <cell r="X4186" t="str">
            <v>EST POLTRONA BEBELA ACO INOX PINT M017/CORDA AZUL/TC11202263 - 0,74x0,78x0,85H</v>
          </cell>
          <cell r="Y4186">
            <v>10719.16</v>
          </cell>
          <cell r="Z4186">
            <v>0.5</v>
          </cell>
          <cell r="AA4186">
            <v>5359.58</v>
          </cell>
          <cell r="AB4186"/>
        </row>
        <row r="4187">
          <cell r="C4187">
            <v>1</v>
          </cell>
          <cell r="D4187">
            <v>1</v>
          </cell>
          <cell r="E4187">
            <v>0</v>
          </cell>
          <cell r="F4187">
            <v>0</v>
          </cell>
          <cell r="H4187">
            <v>1</v>
          </cell>
          <cell r="O4187">
            <v>120741</v>
          </cell>
          <cell r="P4187" t="str">
            <v>1012/305-0004-01</v>
          </cell>
          <cell r="Q4187" t="str">
            <v>EST BANQUETA BAR CHICAGO (TELA DUP) (CATUABA AVELA)</v>
          </cell>
          <cell r="R4187"/>
          <cell r="S4187"/>
          <cell r="T4187">
            <v>0.45</v>
          </cell>
          <cell r="U4187">
            <v>0.49</v>
          </cell>
          <cell r="V4187">
            <v>1.03</v>
          </cell>
          <cell r="W4187">
            <v>0</v>
          </cell>
          <cell r="X4187" t="str">
            <v>EST BANQUETA BAR CHICAGO (TELA DUP) (CATUABA AVELA) - 0,45x0,49x1,03H</v>
          </cell>
          <cell r="Y4187">
            <v>5915.66</v>
          </cell>
          <cell r="Z4187">
            <v>0.5</v>
          </cell>
          <cell r="AA4187">
            <v>2957.83</v>
          </cell>
          <cell r="AB4187"/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H4188">
            <v>1</v>
          </cell>
          <cell r="O4188">
            <v>334176</v>
          </cell>
          <cell r="P4188" t="str">
            <v>2022/206-0009-01</v>
          </cell>
          <cell r="Q4188" t="str">
            <v>EST APARADOR X (FREIJO EBANIZADO) DET LC PRETA FSC</v>
          </cell>
          <cell r="R4188"/>
          <cell r="S4188"/>
          <cell r="T4188">
            <v>2.6</v>
          </cell>
          <cell r="U4188">
            <v>0.48</v>
          </cell>
          <cell r="V4188">
            <v>0.75</v>
          </cell>
          <cell r="W4188">
            <v>0</v>
          </cell>
          <cell r="X4188" t="str">
            <v>EST APARADOR X (FREIJO EBANIZADO) DET LC PRETA FSC - 2,6x0,48x0,75H</v>
          </cell>
          <cell r="Y4188">
            <v>30533.4</v>
          </cell>
          <cell r="Z4188">
            <v>0.5</v>
          </cell>
          <cell r="AA4188">
            <v>15266.7</v>
          </cell>
          <cell r="AB4188"/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H4189">
            <v>1</v>
          </cell>
          <cell r="O4189">
            <v>120867</v>
          </cell>
          <cell r="P4189"/>
          <cell r="Q4189" t="str">
            <v>EST PUFF TOPOGRAFIA H41 (CATUABA AVEL) TC11202-258</v>
          </cell>
          <cell r="R4189"/>
          <cell r="S4189"/>
          <cell r="T4189">
            <v>0.45</v>
          </cell>
          <cell r="U4189">
            <v>0</v>
          </cell>
          <cell r="V4189">
            <v>0.41</v>
          </cell>
          <cell r="W4189">
            <v>0.45</v>
          </cell>
          <cell r="X4189" t="str">
            <v>EST PUFF TOPOGRAFIA H41 (CATUABA AVEL) TC11202-258 - Ø0,45x0,41H</v>
          </cell>
          <cell r="Y4189">
            <v>5647.4</v>
          </cell>
          <cell r="Z4189">
            <v>0.5</v>
          </cell>
          <cell r="AA4189">
            <v>2823.7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128711</v>
          </cell>
          <cell r="P4190" t="str">
            <v>2013/169-0113-01</v>
          </cell>
          <cell r="Q4190" t="str">
            <v>EST POLTRONA CUSCO (CATUABA PU) LINHO BELGICA NAT17 COSTURA</v>
          </cell>
          <cell r="R4190"/>
          <cell r="S4190"/>
          <cell r="T4190">
            <v>1</v>
          </cell>
          <cell r="U4190">
            <v>0.82</v>
          </cell>
          <cell r="V4190">
            <v>0.72</v>
          </cell>
          <cell r="W4190">
            <v>0</v>
          </cell>
          <cell r="X4190" t="str">
            <v>EST POLTRONA CUSCO (CATUABA PU) LINHO BELGICA NAT17 COSTURA - 1x0,82x0,72H</v>
          </cell>
          <cell r="Y4190">
            <v>15648.64</v>
          </cell>
          <cell r="Z4190">
            <v>0.5</v>
          </cell>
          <cell r="AA4190">
            <v>7824.32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334189</v>
          </cell>
          <cell r="P4191" t="str">
            <v>2022/173-0033-01</v>
          </cell>
          <cell r="Q4191" t="str">
            <v>EST BANQUETA CACAU TC V8002</v>
          </cell>
          <cell r="R4191"/>
          <cell r="S4191"/>
          <cell r="T4191">
            <v>0.92</v>
          </cell>
          <cell r="U4191">
            <v>0.57999999999999996</v>
          </cell>
          <cell r="V4191">
            <v>0.4</v>
          </cell>
          <cell r="W4191">
            <v>0</v>
          </cell>
          <cell r="X4191" t="str">
            <v>EST BANQUETA CACAU TC V8002 - 0,92x0,58x0,4H</v>
          </cell>
          <cell r="Y4191">
            <v>11952.73</v>
          </cell>
          <cell r="Z4191">
            <v>0.5</v>
          </cell>
          <cell r="AA4191">
            <v>5976.3649999999998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334190</v>
          </cell>
          <cell r="P4192" t="str">
            <v>2022/173-0034-01</v>
          </cell>
          <cell r="Q4192" t="str">
            <v>EST POLTRONA CACAU TC V8002 (BRACO LADO ESQUERDO)</v>
          </cell>
          <cell r="R4192"/>
          <cell r="S4192"/>
          <cell r="T4192">
            <v>1.27</v>
          </cell>
          <cell r="U4192">
            <v>0.93</v>
          </cell>
          <cell r="V4192">
            <v>0.74</v>
          </cell>
          <cell r="W4192">
            <v>0</v>
          </cell>
          <cell r="X4192" t="str">
            <v>EST POLTRONA CACAU TC V8002 (BRACO LADO ESQUERDO) - 1,27x0,93x0,74H</v>
          </cell>
          <cell r="Y4192">
            <v>23254.07</v>
          </cell>
          <cell r="Z4192">
            <v>0.5</v>
          </cell>
          <cell r="AA4192">
            <v>11627.035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334217</v>
          </cell>
          <cell r="P4193" t="str">
            <v>2022/216-0088-01</v>
          </cell>
          <cell r="Q4193" t="str">
            <v>EST CHAISE MARAIS TC CURATOR 136195/003/BS CS125</v>
          </cell>
          <cell r="R4193"/>
          <cell r="S4193"/>
          <cell r="T4193">
            <v>2.02</v>
          </cell>
          <cell r="U4193">
            <v>0.81</v>
          </cell>
          <cell r="V4193">
            <v>0.57999999999999996</v>
          </cell>
          <cell r="W4193">
            <v>0</v>
          </cell>
          <cell r="X4193" t="str">
            <v>EST CHAISE MARAIS TC CURATOR 136195/003/BS CS125 - 2,02x0,81x0,58H</v>
          </cell>
          <cell r="Y4193">
            <v>27825.15</v>
          </cell>
          <cell r="Z4193">
            <v>0.5</v>
          </cell>
          <cell r="AA4193">
            <v>13912.575000000001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8</v>
          </cell>
          <cell r="O4194">
            <v>334219</v>
          </cell>
          <cell r="P4194" t="str">
            <v>2022/166-0087-01</v>
          </cell>
          <cell r="Q4194" t="str">
            <v>EST CADEIRA MOI (PINT MARROM FSC) (TC LISO BRUN CRU)</v>
          </cell>
          <cell r="R4194"/>
          <cell r="S4194"/>
          <cell r="T4194">
            <v>0.48</v>
          </cell>
          <cell r="U4194">
            <v>0.56999999999999995</v>
          </cell>
          <cell r="V4194">
            <v>0.82</v>
          </cell>
          <cell r="W4194">
            <v>0</v>
          </cell>
          <cell r="X4194" t="str">
            <v>EST CADEIRA MOI (PINT MARROM FSC) (TC LISO BRUN CRU) - 0,48x0,57x0,82H</v>
          </cell>
          <cell r="Y4194">
            <v>8103.02</v>
          </cell>
          <cell r="Z4194">
            <v>0.5</v>
          </cell>
          <cell r="AA4194">
            <v>4051.51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8</v>
          </cell>
          <cell r="O4195">
            <v>334219</v>
          </cell>
          <cell r="P4195" t="str">
            <v>2022/166-0094-01</v>
          </cell>
          <cell r="Q4195" t="str">
            <v>EST CADEIRA MOI (PINT MARROM FSC) (TC LISO BRUN CRU)</v>
          </cell>
          <cell r="R4195"/>
          <cell r="S4195"/>
          <cell r="T4195">
            <v>0.48</v>
          </cell>
          <cell r="U4195">
            <v>0.56999999999999995</v>
          </cell>
          <cell r="V4195">
            <v>0.82</v>
          </cell>
          <cell r="W4195">
            <v>0</v>
          </cell>
          <cell r="X4195" t="str">
            <v>EST CADEIRA MOI (PINT MARROM FSC) (TC LISO BRUN CRU) - 0,48x0,57x0,82H</v>
          </cell>
          <cell r="Y4195">
            <v>8103.02</v>
          </cell>
          <cell r="Z4195">
            <v>0.5</v>
          </cell>
          <cell r="AA4195">
            <v>4051.51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334228</v>
          </cell>
          <cell r="P4196" t="str">
            <v>2022/235-0067-01</v>
          </cell>
          <cell r="Q4196" t="str">
            <v>EST CHAISE ALF (BRACO ESQ) CURATOR 110115/910/CS 125</v>
          </cell>
          <cell r="R4196"/>
          <cell r="S4196"/>
          <cell r="T4196">
            <v>1.6</v>
          </cell>
          <cell r="U4196">
            <v>0.95</v>
          </cell>
          <cell r="V4196">
            <v>0.8</v>
          </cell>
          <cell r="W4196">
            <v>0</v>
          </cell>
          <cell r="X4196" t="str">
            <v>EST CHAISE ALF (BRACO ESQ) CURATOR 110115/910/CS 125 - 1,6x0,95x0,8H</v>
          </cell>
          <cell r="Y4196">
            <v>25862.86</v>
          </cell>
          <cell r="Z4196">
            <v>0.5</v>
          </cell>
          <cell r="AA4196">
            <v>12931.43</v>
          </cell>
          <cell r="AB4196"/>
        </row>
        <row r="4197">
          <cell r="C4197">
            <v>1</v>
          </cell>
          <cell r="D4197">
            <v>0</v>
          </cell>
          <cell r="E4197">
            <v>0</v>
          </cell>
          <cell r="F4197">
            <v>0</v>
          </cell>
          <cell r="H4197">
            <v>4</v>
          </cell>
          <cell r="O4197">
            <v>334238</v>
          </cell>
          <cell r="P4197" t="str">
            <v>2022/166-0100-01</v>
          </cell>
          <cell r="Q4197" t="str">
            <v>EST CADEIRA ALE (LAM FREIJO MEL) (REC CARAM) SOLETA CARAMELO</v>
          </cell>
          <cell r="R4197"/>
          <cell r="S4197"/>
          <cell r="T4197">
            <v>0.56000000000000005</v>
          </cell>
          <cell r="U4197">
            <v>0.55000000000000004</v>
          </cell>
          <cell r="V4197">
            <v>0.78</v>
          </cell>
          <cell r="W4197">
            <v>0</v>
          </cell>
          <cell r="X4197" t="str">
            <v>EST CADEIRA ALE (LAM FREIJO MEL) (REC CARAM) SOLETA CARAMELO - 0,56x0,55x0,78H</v>
          </cell>
          <cell r="Y4197">
            <v>9327.9</v>
          </cell>
          <cell r="Z4197">
            <v>0.5</v>
          </cell>
          <cell r="AA4197">
            <v>4663.95</v>
          </cell>
          <cell r="AB4197"/>
        </row>
        <row r="4198">
          <cell r="C4198">
            <v>1</v>
          </cell>
          <cell r="D4198">
            <v>0</v>
          </cell>
          <cell r="E4198">
            <v>0</v>
          </cell>
          <cell r="F4198">
            <v>0</v>
          </cell>
          <cell r="H4198">
            <v>4</v>
          </cell>
          <cell r="O4198">
            <v>334238</v>
          </cell>
          <cell r="P4198" t="str">
            <v>2022/166-0101-01</v>
          </cell>
          <cell r="Q4198" t="str">
            <v>EST CADEIRA ALE (LAM FREIJO MEL) (REC CARAM) SOLETA CARAMELO</v>
          </cell>
          <cell r="R4198"/>
          <cell r="S4198"/>
          <cell r="T4198">
            <v>0.56000000000000005</v>
          </cell>
          <cell r="U4198">
            <v>0.55000000000000004</v>
          </cell>
          <cell r="V4198">
            <v>0.78</v>
          </cell>
          <cell r="W4198">
            <v>0</v>
          </cell>
          <cell r="X4198" t="str">
            <v>EST CADEIRA ALE (LAM FREIJO MEL) (REC CARAM) SOLETA CARAMELO - 0,56x0,55x0,78H</v>
          </cell>
          <cell r="Y4198">
            <v>9327.9</v>
          </cell>
          <cell r="Z4198">
            <v>0.5</v>
          </cell>
          <cell r="AA4198">
            <v>4663.95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2</v>
          </cell>
          <cell r="O4199">
            <v>334250</v>
          </cell>
          <cell r="P4199" t="str">
            <v>2022/203-0089-01</v>
          </cell>
          <cell r="Q4199" t="str">
            <v>EST ALMOFADA BRACO PARATY (FX 40030) (COFFEE MATT)</v>
          </cell>
          <cell r="R4199"/>
          <cell r="S4199"/>
          <cell r="T4199">
            <v>0.52</v>
          </cell>
          <cell r="U4199">
            <v>0.23</v>
          </cell>
          <cell r="V4199">
            <v>0.14000000000000001</v>
          </cell>
          <cell r="W4199">
            <v>0</v>
          </cell>
          <cell r="X4199" t="str">
            <v>EST ALMOFADA BRACO PARATY (FX 40030) (COFFEE MATT) - 0,52x0,23x0,14H</v>
          </cell>
          <cell r="Y4199">
            <v>1513.39</v>
          </cell>
          <cell r="Z4199">
            <v>0.5</v>
          </cell>
          <cell r="AA4199">
            <v>756.69500000000005</v>
          </cell>
          <cell r="AB4199"/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H4200">
            <v>2</v>
          </cell>
          <cell r="O4200">
            <v>334250</v>
          </cell>
          <cell r="P4200" t="str">
            <v>2022/203-0090-01</v>
          </cell>
          <cell r="Q4200" t="str">
            <v>EST ALMOFADA BRACO PARATY (FX 40030) (COFFEE MATT)</v>
          </cell>
          <cell r="R4200"/>
          <cell r="S4200"/>
          <cell r="T4200">
            <v>0.52</v>
          </cell>
          <cell r="U4200">
            <v>0.23</v>
          </cell>
          <cell r="V4200">
            <v>0.14000000000000001</v>
          </cell>
          <cell r="W4200">
            <v>0</v>
          </cell>
          <cell r="X4200" t="str">
            <v>EST ALMOFADA BRACO PARATY (FX 40030) (COFFEE MATT) - 0,52x0,23x0,14H</v>
          </cell>
          <cell r="Y4200">
            <v>1513.39</v>
          </cell>
          <cell r="Z4200">
            <v>0.5</v>
          </cell>
          <cell r="AA4200">
            <v>756.69500000000005</v>
          </cell>
          <cell r="AB4200"/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H4201">
            <v>1</v>
          </cell>
          <cell r="O4201">
            <v>334270</v>
          </cell>
          <cell r="P4201" t="str">
            <v>2022/203-0131-01</v>
          </cell>
          <cell r="Q4201" t="str">
            <v>EST CHAISE SAN ANDRES (2B) (MTX MARROM) FX D4139/COUR EQUUS</v>
          </cell>
          <cell r="R4201"/>
          <cell r="S4201"/>
          <cell r="T4201">
            <v>1.1000000000000001</v>
          </cell>
          <cell r="U4201">
            <v>1.6</v>
          </cell>
          <cell r="V4201">
            <v>0.82</v>
          </cell>
          <cell r="W4201">
            <v>0</v>
          </cell>
          <cell r="X4201" t="str">
            <v>EST CHAISE SAN ANDRES (2B) (MTX MARROM) FX D4139/COUR EQUUS - 1,1x1,6x0,82H</v>
          </cell>
          <cell r="Y4201">
            <v>35362.480000000003</v>
          </cell>
          <cell r="Z4201">
            <v>0.5</v>
          </cell>
          <cell r="AA4201">
            <v>17681.240000000002</v>
          </cell>
          <cell r="AB4201"/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H4202">
            <v>1</v>
          </cell>
          <cell r="O4202">
            <v>334344</v>
          </cell>
          <cell r="P4202" t="str">
            <v>2022/157-0026-01</v>
          </cell>
          <cell r="Q4202" t="str">
            <v>EST BANQUETA YUMI COURO 2 8002/JEQ EBANIZADO</v>
          </cell>
          <cell r="R4202"/>
          <cell r="S4202"/>
          <cell r="T4202">
            <v>0.69</v>
          </cell>
          <cell r="U4202">
            <v>0.53</v>
          </cell>
          <cell r="V4202">
            <v>0.4</v>
          </cell>
          <cell r="W4202">
            <v>0</v>
          </cell>
          <cell r="X4202" t="str">
            <v>EST BANQUETA YUMI COURO 2 8002/JEQ EBANIZADO - 0,69x0,53x0,4H</v>
          </cell>
          <cell r="Y4202">
            <v>13868.56</v>
          </cell>
          <cell r="Z4202">
            <v>0.5</v>
          </cell>
          <cell r="AA4202">
            <v>6934.28</v>
          </cell>
          <cell r="AB4202"/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H4203">
            <v>1</v>
          </cell>
          <cell r="O4203">
            <v>334351</v>
          </cell>
          <cell r="P4203" t="str">
            <v>2022/185-0093-01</v>
          </cell>
          <cell r="Q4203" t="str">
            <v>EST CHAISE REGIA COURO VQ222/V8003/MTZ RB 02</v>
          </cell>
          <cell r="R4203"/>
          <cell r="S4203"/>
          <cell r="T4203">
            <v>1.68</v>
          </cell>
          <cell r="U4203">
            <v>1.65</v>
          </cell>
          <cell r="V4203">
            <v>0.85</v>
          </cell>
          <cell r="W4203">
            <v>0</v>
          </cell>
          <cell r="X4203" t="str">
            <v>EST CHAISE REGIA COURO VQ222/V8003/MTZ RB 02 - 1,68x1,65x0,85H</v>
          </cell>
          <cell r="Y4203">
            <v>60453.75</v>
          </cell>
          <cell r="Z4203">
            <v>0.5</v>
          </cell>
          <cell r="AA4203">
            <v>30226.875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334356</v>
          </cell>
          <cell r="P4204" t="str">
            <v>2024/022-0018-01</v>
          </cell>
          <cell r="Q4204" t="str">
            <v>EST MESA JANTAR MAR ADENTRO (LAMINA 1 EBANIZADO/BS PRETA)</v>
          </cell>
          <cell r="R4204"/>
          <cell r="S4204"/>
          <cell r="T4204">
            <v>3.5</v>
          </cell>
          <cell r="U4204">
            <v>1.2</v>
          </cell>
          <cell r="V4204">
            <v>0.75</v>
          </cell>
          <cell r="W4204">
            <v>0</v>
          </cell>
          <cell r="X4204" t="str">
            <v>EST MESA JANTAR MAR ADENTRO (LAMINA 1 EBANIZADO/BS PRETA) - 3,5x1,2x0,75H</v>
          </cell>
          <cell r="Y4204">
            <v>71290.42</v>
          </cell>
          <cell r="Z4204">
            <v>0.5</v>
          </cell>
          <cell r="AA4204">
            <v>35645.21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2</v>
          </cell>
          <cell r="O4205">
            <v>334436</v>
          </cell>
          <cell r="P4205" t="str">
            <v>2022/210-0068-01</v>
          </cell>
          <cell r="Q4205" t="str">
            <v>EST POLTRONA ALBA VERNIZ TABACO) FX G7092</v>
          </cell>
          <cell r="R4205"/>
          <cell r="S4205"/>
          <cell r="T4205">
            <v>0.63</v>
          </cell>
          <cell r="U4205">
            <v>0.79</v>
          </cell>
          <cell r="V4205">
            <v>0.76</v>
          </cell>
          <cell r="W4205">
            <v>0</v>
          </cell>
          <cell r="X4205" t="str">
            <v>EST POLTRONA ALBA VERNIZ TABACO) FX G7092 - 0,63x0,79x0,76H</v>
          </cell>
          <cell r="Y4205">
            <v>9392.23</v>
          </cell>
          <cell r="Z4205">
            <v>0.5</v>
          </cell>
          <cell r="AA4205">
            <v>4696.1149999999998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2</v>
          </cell>
          <cell r="O4206">
            <v>334436</v>
          </cell>
          <cell r="P4206" t="str">
            <v>2022/210-0069-01</v>
          </cell>
          <cell r="Q4206" t="str">
            <v>EST POLTRONA ALBA VERNIZ TABACO) FX G7092</v>
          </cell>
          <cell r="R4206"/>
          <cell r="S4206"/>
          <cell r="T4206">
            <v>0.63</v>
          </cell>
          <cell r="U4206">
            <v>0.79</v>
          </cell>
          <cell r="V4206">
            <v>0.76</v>
          </cell>
          <cell r="W4206">
            <v>0</v>
          </cell>
          <cell r="X4206" t="str">
            <v>EST POLTRONA ALBA VERNIZ TABACO) FX G7092 - 0,63x0,79x0,76H</v>
          </cell>
          <cell r="Y4206">
            <v>9392.23</v>
          </cell>
          <cell r="Z4206">
            <v>0.5</v>
          </cell>
          <cell r="AA4206">
            <v>4696.1149999999998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334437</v>
          </cell>
          <cell r="P4207" t="str">
            <v>2022/224-0048-01</v>
          </cell>
          <cell r="Q4207" t="str">
            <v>EST MESA CENTRO SANTIAGO (TRI) (MTX MARROM) (MARM VERDE)</v>
          </cell>
          <cell r="R4207"/>
          <cell r="S4207"/>
          <cell r="T4207">
            <v>1.4</v>
          </cell>
          <cell r="U4207">
            <v>1.5</v>
          </cell>
          <cell r="V4207">
            <v>0.32</v>
          </cell>
          <cell r="W4207">
            <v>0</v>
          </cell>
          <cell r="X4207" t="str">
            <v>EST MESA CENTRO SANTIAGO (TRI) (MTX MARROM) (MARM VERDE) - 1,4x1,5x0,32H</v>
          </cell>
          <cell r="Y4207">
            <v>32531.19</v>
          </cell>
          <cell r="Z4207">
            <v>0.5</v>
          </cell>
          <cell r="AA4207">
            <v>16265.594999999999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1</v>
          </cell>
          <cell r="O4208">
            <v>334446</v>
          </cell>
          <cell r="P4208" t="str">
            <v>2022/216-0089-01</v>
          </cell>
          <cell r="Q4208" t="str">
            <v>EST BANQUETA MARE COURO TP3 LA PAZ VERDE/MARROM</v>
          </cell>
          <cell r="R4208"/>
          <cell r="S4208"/>
          <cell r="T4208">
            <v>0.91</v>
          </cell>
          <cell r="U4208">
            <v>0.56999999999999995</v>
          </cell>
          <cell r="V4208">
            <v>0.4</v>
          </cell>
          <cell r="W4208">
            <v>0</v>
          </cell>
          <cell r="X4208" t="str">
            <v>EST BANQUETA MARE COURO TP3 LA PAZ VERDE/MARROM - 0,91x0,57x0,4H</v>
          </cell>
          <cell r="Y4208">
            <v>10778.88</v>
          </cell>
          <cell r="Z4208">
            <v>0.5</v>
          </cell>
          <cell r="AA4208">
            <v>5389.44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H4209">
            <v>1</v>
          </cell>
          <cell r="O4209">
            <v>334447</v>
          </cell>
          <cell r="P4209" t="str">
            <v>2022/216-0090-01</v>
          </cell>
          <cell r="Q4209" t="str">
            <v>EST POLTRONA MARE COURO TP3 LA PAZ VERDE/MARROM</v>
          </cell>
          <cell r="R4209"/>
          <cell r="S4209"/>
          <cell r="T4209">
            <v>0.93</v>
          </cell>
          <cell r="U4209">
            <v>1.06</v>
          </cell>
          <cell r="V4209">
            <v>0.83</v>
          </cell>
          <cell r="W4209">
            <v>0</v>
          </cell>
          <cell r="X4209" t="str">
            <v>EST POLTRONA MARE COURO TP3 LA PAZ VERDE/MARROM - 0,93x1,06x0,83H</v>
          </cell>
          <cell r="Y4209">
            <v>22958.66</v>
          </cell>
          <cell r="Z4209">
            <v>0.5</v>
          </cell>
          <cell r="AA4209">
            <v>11479.33</v>
          </cell>
          <cell r="AB4209"/>
        </row>
        <row r="4210">
          <cell r="C4210">
            <v>0</v>
          </cell>
          <cell r="D4210">
            <v>2</v>
          </cell>
          <cell r="E4210">
            <v>0</v>
          </cell>
          <cell r="F4210">
            <v>0</v>
          </cell>
          <cell r="H4210">
            <v>0</v>
          </cell>
          <cell r="O4210">
            <v>334448</v>
          </cell>
          <cell r="P4210" t="str">
            <v>2022/222-0015-01</v>
          </cell>
          <cell r="Q4210" t="str">
            <v>EST ESTANTE BURLE (MTX MARROM FSC) (LAM 2 PRAT NOGUEIRA)</v>
          </cell>
          <cell r="R4210"/>
          <cell r="S4210"/>
          <cell r="T4210">
            <v>1.3</v>
          </cell>
          <cell r="U4210">
            <v>1.45</v>
          </cell>
          <cell r="V4210">
            <v>1.83</v>
          </cell>
          <cell r="W4210">
            <v>0</v>
          </cell>
          <cell r="X4210" t="str">
            <v>EST ESTANTE BURLE (MTX MARROM FSC) (LAM 2 PRAT NOGUEIRA) - 1,3x1,45x1,83H</v>
          </cell>
          <cell r="Y4210">
            <v>44856.36</v>
          </cell>
          <cell r="Z4210">
            <v>0.5</v>
          </cell>
          <cell r="AA4210">
            <v>22428.18</v>
          </cell>
          <cell r="AB4210"/>
        </row>
        <row r="4211">
          <cell r="C4211">
            <v>0</v>
          </cell>
          <cell r="D4211">
            <v>2</v>
          </cell>
          <cell r="E4211">
            <v>0</v>
          </cell>
          <cell r="F4211">
            <v>0</v>
          </cell>
          <cell r="H4211">
            <v>0</v>
          </cell>
          <cell r="O4211">
            <v>334448</v>
          </cell>
          <cell r="P4211" t="str">
            <v>2022/222-0014-01</v>
          </cell>
          <cell r="Q4211" t="str">
            <v>EST ESTANTE BURLE (MTX MARROM FSC) (LAM 2 PRAT NOGUEIRA)</v>
          </cell>
          <cell r="R4211"/>
          <cell r="S4211"/>
          <cell r="T4211">
            <v>1.3</v>
          </cell>
          <cell r="U4211">
            <v>1.45</v>
          </cell>
          <cell r="V4211">
            <v>1.83</v>
          </cell>
          <cell r="W4211">
            <v>0</v>
          </cell>
          <cell r="X4211" t="str">
            <v>EST ESTANTE BURLE (MTX MARROM FSC) (LAM 2 PRAT NOGUEIRA) - 1,3x1,45x1,83H</v>
          </cell>
          <cell r="Y4211">
            <v>44856.36</v>
          </cell>
          <cell r="Z4211">
            <v>0.5</v>
          </cell>
          <cell r="AA4211">
            <v>22428.18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1</v>
          </cell>
          <cell r="O4212">
            <v>334454</v>
          </cell>
          <cell r="P4212" t="str">
            <v>2022/189-0020-01</v>
          </cell>
          <cell r="Q4212" t="str">
            <v>EST SOFA OCA COURO VQ425/PES PRETO/AVANCO DIREITO</v>
          </cell>
          <cell r="R4212"/>
          <cell r="S4212"/>
          <cell r="T4212">
            <v>2.75</v>
          </cell>
          <cell r="U4212">
            <v>1.01</v>
          </cell>
          <cell r="V4212">
            <v>0.78</v>
          </cell>
          <cell r="W4212">
            <v>0</v>
          </cell>
          <cell r="X4212" t="str">
            <v>EST SOFA OCA COURO VQ425/PES PRETO/AVANCO DIREITO - 2,75x1,01x0,78H</v>
          </cell>
          <cell r="Y4212">
            <v>87348.62</v>
          </cell>
          <cell r="Z4212">
            <v>0.5</v>
          </cell>
          <cell r="AA4212">
            <v>43674.31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H4213">
            <v>2</v>
          </cell>
          <cell r="O4213">
            <v>334521</v>
          </cell>
          <cell r="P4213" t="str">
            <v>2022/199-0087-01</v>
          </cell>
          <cell r="Q4213" t="str">
            <v>EST PUFF OLY H45 FX F8027 HASTE METAL MARROM CLARO</v>
          </cell>
          <cell r="R4213"/>
          <cell r="S4213"/>
          <cell r="T4213">
            <v>0.6</v>
          </cell>
          <cell r="U4213">
            <v>0</v>
          </cell>
          <cell r="V4213">
            <v>0.45</v>
          </cell>
          <cell r="W4213">
            <v>0.6</v>
          </cell>
          <cell r="X4213" t="str">
            <v>EST PUFF OLY H45 FX F8027 HASTE METAL MARROM CLARO - Ø0,6x0,45H</v>
          </cell>
          <cell r="Y4213">
            <v>7494.64</v>
          </cell>
          <cell r="Z4213">
            <v>0.5</v>
          </cell>
          <cell r="AA4213">
            <v>3747.32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1</v>
          </cell>
          <cell r="O4214">
            <v>334565</v>
          </cell>
          <cell r="P4214" t="str">
            <v>2022/228-0030-01</v>
          </cell>
          <cell r="Q4214" t="str">
            <v>EST MESA CENTRO IPANEMA (LACA BRILHO PRETA C/CRISTAL PRETO)</v>
          </cell>
          <cell r="R4214"/>
          <cell r="S4214"/>
          <cell r="T4214">
            <v>1</v>
          </cell>
          <cell r="U4214">
            <v>0</v>
          </cell>
          <cell r="V4214">
            <v>0.32</v>
          </cell>
          <cell r="W4214">
            <v>1</v>
          </cell>
          <cell r="X4214" t="str">
            <v>EST MESA CENTRO IPANEMA (LACA BRILHO PRETA C/CRISTAL PRETO) - Ø1x0,32H</v>
          </cell>
          <cell r="Y4214">
            <v>11298.47</v>
          </cell>
          <cell r="Z4214">
            <v>0.5</v>
          </cell>
          <cell r="AA4214">
            <v>5649.2349999999997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8</v>
          </cell>
          <cell r="O4215">
            <v>334629</v>
          </cell>
          <cell r="P4215" t="str">
            <v>2022/259-0048-01</v>
          </cell>
          <cell r="Q4215" t="str">
            <v>EST CADEIRA KEEF C/BRACO (JEQ TING DARK) (MISTA) (C4 COFFEE)</v>
          </cell>
          <cell r="R4215"/>
          <cell r="S4215"/>
          <cell r="T4215">
            <v>0.55000000000000004</v>
          </cell>
          <cell r="U4215">
            <v>0.54</v>
          </cell>
          <cell r="V4215">
            <v>0.89</v>
          </cell>
          <cell r="W4215">
            <v>0</v>
          </cell>
          <cell r="X4215" t="str">
            <v>EST CADEIRA KEEF C/BRACO (JEQ TING DARK) (MISTA) (C4 COFFEE) - 0,55x0,54x0,89H</v>
          </cell>
          <cell r="Y4215">
            <v>9927.3700000000008</v>
          </cell>
          <cell r="Z4215">
            <v>0.5</v>
          </cell>
          <cell r="AA4215">
            <v>4963.6850000000004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1</v>
          </cell>
          <cell r="O4216">
            <v>334648</v>
          </cell>
          <cell r="P4216" t="str">
            <v>2022/210-0133-01</v>
          </cell>
          <cell r="Q4216" t="str">
            <v>EST MESA CENTRO BALLET II (FX4 CALACATA FSC) (AUT OXI)</v>
          </cell>
          <cell r="R4216"/>
          <cell r="S4216"/>
          <cell r="T4216">
            <v>1.8</v>
          </cell>
          <cell r="U4216">
            <v>0.8</v>
          </cell>
          <cell r="V4216">
            <v>0.3</v>
          </cell>
          <cell r="W4216">
            <v>0</v>
          </cell>
          <cell r="X4216" t="str">
            <v>EST MESA CENTRO BALLET II (FX4 CALACATA FSC) (AUT OXI) - 1,8x0,8x0,3H</v>
          </cell>
          <cell r="Y4216">
            <v>56537.96</v>
          </cell>
          <cell r="Z4216">
            <v>0.5</v>
          </cell>
          <cell r="AA4216">
            <v>28268.98</v>
          </cell>
          <cell r="AB4216"/>
        </row>
        <row r="4217">
          <cell r="C4217">
            <v>1</v>
          </cell>
          <cell r="D4217">
            <v>0</v>
          </cell>
          <cell r="E4217">
            <v>1</v>
          </cell>
          <cell r="F4217">
            <v>0</v>
          </cell>
          <cell r="H4217">
            <v>1</v>
          </cell>
          <cell r="O4217">
            <v>335084</v>
          </cell>
          <cell r="P4217" t="str">
            <v>2022/349-0020-01</v>
          </cell>
          <cell r="Q4217" t="str">
            <v>EST LUMINARIA PISO TROY (2101) ACO/JEQ NT/CUP LIN OFF WHITE</v>
          </cell>
          <cell r="R4217"/>
          <cell r="S4217"/>
          <cell r="T4217">
            <v>0</v>
          </cell>
          <cell r="U4217">
            <v>0</v>
          </cell>
          <cell r="V4217">
            <v>0</v>
          </cell>
          <cell r="W4217">
            <v>0</v>
          </cell>
          <cell r="X4217" t="str">
            <v>EST LUMINARIA PISO TROY (2101) ACO/JEQ NT/CUP LIN OFF WHITE - Ø0x0H</v>
          </cell>
          <cell r="Y4217">
            <v>5152</v>
          </cell>
          <cell r="Z4217">
            <v>0.5</v>
          </cell>
          <cell r="AA4217">
            <v>2576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H4218">
            <v>1</v>
          </cell>
          <cell r="O4218">
            <v>146965</v>
          </cell>
          <cell r="P4218" t="str">
            <v>2016/053-0050-01</v>
          </cell>
          <cell r="Q4218" t="str">
            <v>EST CADEIRA CHICAGO C/B (TELA DUP) (CATUABA PU) FACTOR BR</v>
          </cell>
          <cell r="R4218"/>
          <cell r="S4218"/>
          <cell r="T4218">
            <v>0.45</v>
          </cell>
          <cell r="U4218">
            <v>0.52</v>
          </cell>
          <cell r="V4218">
            <v>0.84</v>
          </cell>
          <cell r="W4218">
            <v>0</v>
          </cell>
          <cell r="X4218" t="str">
            <v>EST CADEIRA CHICAGO C/B (TELA DUP) (CATUABA PU) FACTOR BR - 0,45x0,52x0,84H</v>
          </cell>
          <cell r="Y4218">
            <v>4403.21</v>
          </cell>
          <cell r="Z4218">
            <v>0.5</v>
          </cell>
          <cell r="AA4218">
            <v>2201.605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H4219">
            <v>1</v>
          </cell>
          <cell r="O4219">
            <v>335232</v>
          </cell>
          <cell r="P4219" t="str">
            <v>2022/217-0024-01</v>
          </cell>
          <cell r="Q4219" t="str">
            <v>EST BANCO EOS Ø40 (PINT MARROM) (BOU STELLA 225)</v>
          </cell>
          <cell r="R4219"/>
          <cell r="S4219"/>
          <cell r="T4219">
            <v>0.4</v>
          </cell>
          <cell r="U4219">
            <v>0</v>
          </cell>
          <cell r="V4219">
            <v>0.43</v>
          </cell>
          <cell r="W4219">
            <v>0.4</v>
          </cell>
          <cell r="X4219" t="str">
            <v>EST BANCO EOS Ø40 (PINT MARROM) (BOU STELLA 225) - Ø0,4x0,43H</v>
          </cell>
          <cell r="Y4219">
            <v>3801.28</v>
          </cell>
          <cell r="Z4219">
            <v>0.5</v>
          </cell>
          <cell r="AA4219">
            <v>1900.64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H4220">
            <v>1</v>
          </cell>
          <cell r="O4220">
            <v>335248</v>
          </cell>
          <cell r="P4220" t="str">
            <v>2022/221-0009-01</v>
          </cell>
          <cell r="Q4220" t="str">
            <v>EST MESA JANTAR MAR ADENTRO (LAMINA 2 LOURO PARDO/BS CS125)</v>
          </cell>
          <cell r="R4220"/>
          <cell r="S4220"/>
          <cell r="T4220">
            <v>3</v>
          </cell>
          <cell r="U4220">
            <v>1.2</v>
          </cell>
          <cell r="V4220">
            <v>0.75</v>
          </cell>
          <cell r="W4220">
            <v>0</v>
          </cell>
          <cell r="X4220" t="str">
            <v>EST MESA JANTAR MAR ADENTRO (LAMINA 2 LOURO PARDO/BS CS125) - 3x1,2x0,75H</v>
          </cell>
          <cell r="Y4220">
            <v>67216.62</v>
          </cell>
          <cell r="Z4220">
            <v>0.5</v>
          </cell>
          <cell r="AA4220">
            <v>33608.31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10</v>
          </cell>
          <cell r="O4221">
            <v>335331</v>
          </cell>
          <cell r="P4221" t="str">
            <v>2022/298-0071-01</v>
          </cell>
          <cell r="Q4221" t="str">
            <v>EST CADEIRA CLARA (JEQ TING NOG) (ESTOF) (C4 NERO)</v>
          </cell>
          <cell r="R4221"/>
          <cell r="S4221"/>
          <cell r="T4221">
            <v>0.48</v>
          </cell>
          <cell r="U4221">
            <v>0.56999999999999995</v>
          </cell>
          <cell r="V4221">
            <v>0.86</v>
          </cell>
          <cell r="W4221">
            <v>0</v>
          </cell>
          <cell r="X4221" t="str">
            <v>EST CADEIRA CLARA (JEQ TING NOG) (ESTOF) (C4 NERO) - 0,48x0,57x0,86H</v>
          </cell>
          <cell r="Y4221">
            <v>8042.5</v>
          </cell>
          <cell r="Z4221">
            <v>0.5</v>
          </cell>
          <cell r="AA4221">
            <v>4021.25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10</v>
          </cell>
          <cell r="O4222">
            <v>335331</v>
          </cell>
          <cell r="P4222" t="str">
            <v>2022/298-0072-01</v>
          </cell>
          <cell r="Q4222" t="str">
            <v>EST CADEIRA CLARA (JEQ TING NOG) (ESTOF) (C4 NERO)</v>
          </cell>
          <cell r="R4222"/>
          <cell r="S4222"/>
          <cell r="T4222">
            <v>0.48</v>
          </cell>
          <cell r="U4222">
            <v>0.56999999999999995</v>
          </cell>
          <cell r="V4222">
            <v>0.86</v>
          </cell>
          <cell r="W4222">
            <v>0</v>
          </cell>
          <cell r="X4222" t="str">
            <v>EST CADEIRA CLARA (JEQ TING NOG) (ESTOF) (C4 NERO) - 0,48x0,57x0,86H</v>
          </cell>
          <cell r="Y4222">
            <v>8042.5</v>
          </cell>
          <cell r="Z4222">
            <v>0.5</v>
          </cell>
          <cell r="AA4222">
            <v>4021.25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10</v>
          </cell>
          <cell r="O4223">
            <v>335331</v>
          </cell>
          <cell r="P4223" t="str">
            <v>2022/298-0073-01</v>
          </cell>
          <cell r="Q4223" t="str">
            <v>EST CADEIRA CLARA (JEQ TING NOG) (ESTOF) (C4 NERO)</v>
          </cell>
          <cell r="R4223"/>
          <cell r="S4223"/>
          <cell r="T4223">
            <v>0.48</v>
          </cell>
          <cell r="U4223">
            <v>0.56999999999999995</v>
          </cell>
          <cell r="V4223">
            <v>0.86</v>
          </cell>
          <cell r="W4223">
            <v>0</v>
          </cell>
          <cell r="X4223" t="str">
            <v>EST CADEIRA CLARA (JEQ TING NOG) (ESTOF) (C4 NERO) - 0,48x0,57x0,86H</v>
          </cell>
          <cell r="Y4223">
            <v>8042.5</v>
          </cell>
          <cell r="Z4223">
            <v>0.5</v>
          </cell>
          <cell r="AA4223">
            <v>4021.25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10</v>
          </cell>
          <cell r="O4224">
            <v>335331</v>
          </cell>
          <cell r="P4224" t="str">
            <v>2022/298-0074-01</v>
          </cell>
          <cell r="Q4224" t="str">
            <v>EST CADEIRA CLARA (JEQ TING NOG) (ESTOF) (C4 NERO)</v>
          </cell>
          <cell r="R4224"/>
          <cell r="S4224"/>
          <cell r="T4224">
            <v>0.48</v>
          </cell>
          <cell r="U4224">
            <v>0.56999999999999995</v>
          </cell>
          <cell r="V4224">
            <v>0.86</v>
          </cell>
          <cell r="W4224">
            <v>0</v>
          </cell>
          <cell r="X4224" t="str">
            <v>EST CADEIRA CLARA (JEQ TING NOG) (ESTOF) (C4 NERO) - 0,48x0,57x0,86H</v>
          </cell>
          <cell r="Y4224">
            <v>8042.5</v>
          </cell>
          <cell r="Z4224">
            <v>0.5</v>
          </cell>
          <cell r="AA4224">
            <v>4021.25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10</v>
          </cell>
          <cell r="O4225">
            <v>335331</v>
          </cell>
          <cell r="P4225" t="str">
            <v>2022/298-0075-01</v>
          </cell>
          <cell r="Q4225" t="str">
            <v>EST CADEIRA CLARA (JEQ TING NOG) (ESTOF) (C4 NERO)</v>
          </cell>
          <cell r="R4225"/>
          <cell r="S4225"/>
          <cell r="T4225">
            <v>0.48</v>
          </cell>
          <cell r="U4225">
            <v>0.56999999999999995</v>
          </cell>
          <cell r="V4225">
            <v>0.86</v>
          </cell>
          <cell r="W4225">
            <v>0</v>
          </cell>
          <cell r="X4225" t="str">
            <v>EST CADEIRA CLARA (JEQ TING NOG) (ESTOF) (C4 NERO) - 0,48x0,57x0,86H</v>
          </cell>
          <cell r="Y4225">
            <v>8042.5</v>
          </cell>
          <cell r="Z4225">
            <v>0.5</v>
          </cell>
          <cell r="AA4225">
            <v>4021.25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10</v>
          </cell>
          <cell r="O4226">
            <v>335331</v>
          </cell>
          <cell r="P4226" t="str">
            <v>2022/298-0077-01</v>
          </cell>
          <cell r="Q4226" t="str">
            <v>EST CADEIRA CLARA (JEQ TING NOG) (ESTOF) (C4 NERO)</v>
          </cell>
          <cell r="R4226"/>
          <cell r="S4226"/>
          <cell r="T4226">
            <v>0.48</v>
          </cell>
          <cell r="U4226">
            <v>0.56999999999999995</v>
          </cell>
          <cell r="V4226">
            <v>0.86</v>
          </cell>
          <cell r="W4226">
            <v>0</v>
          </cell>
          <cell r="X4226" t="str">
            <v>EST CADEIRA CLARA (JEQ TING NOG) (ESTOF) (C4 NERO) - 0,48x0,57x0,86H</v>
          </cell>
          <cell r="Y4226">
            <v>8042.5</v>
          </cell>
          <cell r="Z4226">
            <v>0.5</v>
          </cell>
          <cell r="AA4226">
            <v>4021.25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10</v>
          </cell>
          <cell r="O4227">
            <v>335331</v>
          </cell>
          <cell r="P4227" t="str">
            <v>2022/298-0079-01</v>
          </cell>
          <cell r="Q4227" t="str">
            <v>EST CADEIRA CLARA (JEQ TING NOG) (ESTOF) (C4 NERO)</v>
          </cell>
          <cell r="R4227"/>
          <cell r="S4227"/>
          <cell r="T4227">
            <v>0.48</v>
          </cell>
          <cell r="U4227">
            <v>0.56999999999999995</v>
          </cell>
          <cell r="V4227">
            <v>0.86</v>
          </cell>
          <cell r="W4227">
            <v>0</v>
          </cell>
          <cell r="X4227" t="str">
            <v>EST CADEIRA CLARA (JEQ TING NOG) (ESTOF) (C4 NERO) - 0,48x0,57x0,86H</v>
          </cell>
          <cell r="Y4227">
            <v>8042.5</v>
          </cell>
          <cell r="Z4227">
            <v>0.5</v>
          </cell>
          <cell r="AA4227">
            <v>4021.25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10</v>
          </cell>
          <cell r="O4228">
            <v>335331</v>
          </cell>
          <cell r="P4228" t="str">
            <v>2022/298-0080-01</v>
          </cell>
          <cell r="Q4228" t="str">
            <v>EST CADEIRA CLARA (JEQ TING NOG) (ESTOF) (C4 NERO)</v>
          </cell>
          <cell r="R4228"/>
          <cell r="S4228"/>
          <cell r="T4228">
            <v>0.48</v>
          </cell>
          <cell r="U4228">
            <v>0.56999999999999995</v>
          </cell>
          <cell r="V4228">
            <v>0.86</v>
          </cell>
          <cell r="W4228">
            <v>0</v>
          </cell>
          <cell r="X4228" t="str">
            <v>EST CADEIRA CLARA (JEQ TING NOG) (ESTOF) (C4 NERO) - 0,48x0,57x0,86H</v>
          </cell>
          <cell r="Y4228">
            <v>8042.5</v>
          </cell>
          <cell r="Z4228">
            <v>0.5</v>
          </cell>
          <cell r="AA4228">
            <v>4021.25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10</v>
          </cell>
          <cell r="O4229">
            <v>335331</v>
          </cell>
          <cell r="P4229" t="str">
            <v>2022/298-0076-01</v>
          </cell>
          <cell r="Q4229" t="str">
            <v>EST CADEIRA CLARA (JEQ TING NOG) (ESTOF) (C4 NERO)</v>
          </cell>
          <cell r="R4229"/>
          <cell r="S4229"/>
          <cell r="T4229">
            <v>0.48</v>
          </cell>
          <cell r="U4229">
            <v>0.56999999999999995</v>
          </cell>
          <cell r="V4229">
            <v>0.86</v>
          </cell>
          <cell r="W4229">
            <v>0</v>
          </cell>
          <cell r="X4229" t="str">
            <v>EST CADEIRA CLARA (JEQ TING NOG) (ESTOF) (C4 NERO) - 0,48x0,57x0,86H</v>
          </cell>
          <cell r="Y4229">
            <v>8042.5</v>
          </cell>
          <cell r="Z4229">
            <v>0.5</v>
          </cell>
          <cell r="AA4229">
            <v>4021.25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10</v>
          </cell>
          <cell r="O4230">
            <v>335331</v>
          </cell>
          <cell r="P4230" t="str">
            <v>2022/298-0078-01</v>
          </cell>
          <cell r="Q4230" t="str">
            <v>EST CADEIRA CLARA (JEQ TING NOG) (ESTOF) (C4 NERO)</v>
          </cell>
          <cell r="R4230"/>
          <cell r="S4230"/>
          <cell r="T4230">
            <v>0.48</v>
          </cell>
          <cell r="U4230">
            <v>0.56999999999999995</v>
          </cell>
          <cell r="V4230">
            <v>0.86</v>
          </cell>
          <cell r="W4230">
            <v>0</v>
          </cell>
          <cell r="X4230" t="str">
            <v>EST CADEIRA CLARA (JEQ TING NOG) (ESTOF) (C4 NERO) - 0,48x0,57x0,86H</v>
          </cell>
          <cell r="Y4230">
            <v>8042.5</v>
          </cell>
          <cell r="Z4230">
            <v>0.5</v>
          </cell>
          <cell r="AA4230">
            <v>4021.25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1</v>
          </cell>
          <cell r="O4231">
            <v>151224</v>
          </cell>
          <cell r="P4231"/>
          <cell r="Q4231" t="str">
            <v>EST POLTRONA HAPI (ANEL INOX) (CINAM NERO)/TC 11202-260#05</v>
          </cell>
          <cell r="R4231"/>
          <cell r="S4231"/>
          <cell r="T4231">
            <v>0.96</v>
          </cell>
          <cell r="U4231">
            <v>0.84</v>
          </cell>
          <cell r="V4231">
            <v>0.96</v>
          </cell>
          <cell r="W4231">
            <v>0</v>
          </cell>
          <cell r="X4231" t="str">
            <v>EST POLTRONA HAPI (ANEL INOX) (CINAM NERO)/TC 11202-260#05 - 0,96x0,84x0,96H</v>
          </cell>
          <cell r="Y4231">
            <v>14222.7</v>
          </cell>
          <cell r="Z4231">
            <v>0.5</v>
          </cell>
          <cell r="AA4231">
            <v>7111.35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4</v>
          </cell>
          <cell r="O4232">
            <v>178949</v>
          </cell>
          <cell r="P4232"/>
          <cell r="Q4232" t="str">
            <v>EST PUFF TOPOGRAFIA H41 (LC H155 FSC) VELVET BAMBOO AQ 4027</v>
          </cell>
          <cell r="R4232"/>
          <cell r="S4232"/>
          <cell r="T4232">
            <v>0.45</v>
          </cell>
          <cell r="U4232">
            <v>0</v>
          </cell>
          <cell r="V4232">
            <v>0.41</v>
          </cell>
          <cell r="W4232">
            <v>0.45</v>
          </cell>
          <cell r="X4232" t="str">
            <v>EST PUFF TOPOGRAFIA H41 (LC H155 FSC) VELVET BAMBOO AQ 4027 - Ø0,45x0,41H</v>
          </cell>
          <cell r="Y4232">
            <v>6230.25</v>
          </cell>
          <cell r="Z4232">
            <v>0.5</v>
          </cell>
          <cell r="AA4232">
            <v>3115.125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H4233">
            <v>0</v>
          </cell>
          <cell r="O4233">
            <v>196066</v>
          </cell>
          <cell r="P4233" t="str">
            <v>2018/047-0057-01</v>
          </cell>
          <cell r="Q4233" t="str">
            <v>EST MESA JANTAR BOSQUE (CATUABA AVELUDADA) (ARO LC BRANCA)</v>
          </cell>
          <cell r="R4233"/>
          <cell r="S4233"/>
          <cell r="T4233">
            <v>2.4</v>
          </cell>
          <cell r="U4233">
            <v>1.2</v>
          </cell>
          <cell r="V4233">
            <v>0.75</v>
          </cell>
          <cell r="W4233">
            <v>0</v>
          </cell>
          <cell r="X4233" t="str">
            <v>EST MESA JANTAR BOSQUE (CATUABA AVELUDADA) (ARO LC BRANCA) - 2,4x1,2x0,75H</v>
          </cell>
          <cell r="Y4233">
            <v>16520.63</v>
          </cell>
          <cell r="Z4233">
            <v>0.5</v>
          </cell>
          <cell r="AA4233">
            <v>8260.3150000000005</v>
          </cell>
          <cell r="AB4233"/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H4234">
            <v>0</v>
          </cell>
          <cell r="O4234">
            <v>196066</v>
          </cell>
          <cell r="P4234"/>
          <cell r="Q4234" t="str">
            <v>EST MESA JANTAR BOSQUE (CATUABA AVELUDADA) (ARO LC BRANCA)</v>
          </cell>
          <cell r="R4234"/>
          <cell r="S4234"/>
          <cell r="T4234">
            <v>2.4</v>
          </cell>
          <cell r="U4234">
            <v>1.2</v>
          </cell>
          <cell r="V4234">
            <v>0.75</v>
          </cell>
          <cell r="W4234">
            <v>0</v>
          </cell>
          <cell r="X4234" t="str">
            <v>EST MESA JANTAR BOSQUE (CATUABA AVELUDADA) (ARO LC BRANCA) - 2,4x1,2x0,75H</v>
          </cell>
          <cell r="Y4234">
            <v>16520.63</v>
          </cell>
          <cell r="Z4234">
            <v>0.5</v>
          </cell>
          <cell r="AA4234">
            <v>8260.3150000000005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2</v>
          </cell>
          <cell r="O4235">
            <v>210392</v>
          </cell>
          <cell r="P4235" t="str">
            <v>2017/150-0030-01</v>
          </cell>
          <cell r="Q4235" t="str">
            <v>EST POLTRONA CUSCO (CINAMOMO COLONIAL) TC11202-317/11202-335</v>
          </cell>
          <cell r="R4235"/>
          <cell r="S4235"/>
          <cell r="T4235">
            <v>1</v>
          </cell>
          <cell r="U4235">
            <v>0.82</v>
          </cell>
          <cell r="V4235">
            <v>0.72</v>
          </cell>
          <cell r="W4235">
            <v>0</v>
          </cell>
          <cell r="X4235" t="str">
            <v>EST POLTRONA CUSCO (CINAMOMO COLONIAL) TC11202-317/11202-335 - 1x0,82x0,72H</v>
          </cell>
          <cell r="Y4235">
            <v>17472</v>
          </cell>
          <cell r="Z4235">
            <v>0.5</v>
          </cell>
          <cell r="AA4235">
            <v>8736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2</v>
          </cell>
          <cell r="O4236">
            <v>210392</v>
          </cell>
          <cell r="P4236" t="str">
            <v>2017/170-0039-01</v>
          </cell>
          <cell r="Q4236" t="str">
            <v>EST POLTRONA CUSCO (CINAMOMO COLONIAL) TC11202-317/11202-335</v>
          </cell>
          <cell r="R4236"/>
          <cell r="S4236"/>
          <cell r="T4236">
            <v>1</v>
          </cell>
          <cell r="U4236">
            <v>0.82</v>
          </cell>
          <cell r="V4236">
            <v>0.72</v>
          </cell>
          <cell r="W4236">
            <v>0</v>
          </cell>
          <cell r="X4236" t="str">
            <v>EST POLTRONA CUSCO (CINAMOMO COLONIAL) TC11202-317/11202-335 - 1x0,82x0,72H</v>
          </cell>
          <cell r="Y4236">
            <v>17472</v>
          </cell>
          <cell r="Z4236">
            <v>0.5</v>
          </cell>
          <cell r="AA4236">
            <v>8736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216681</v>
          </cell>
          <cell r="P4237"/>
          <cell r="Q4237" t="str">
            <v>EST BANCO ROCCO (PINNUS ENVELHECIDO)</v>
          </cell>
          <cell r="R4237"/>
          <cell r="S4237"/>
          <cell r="T4237">
            <v>1.4</v>
          </cell>
          <cell r="U4237">
            <v>0.35</v>
          </cell>
          <cell r="V4237">
            <v>0.32</v>
          </cell>
          <cell r="W4237">
            <v>0</v>
          </cell>
          <cell r="X4237" t="str">
            <v>EST BANCO ROCCO (PINNUS ENVELHECIDO) - 1,4x0,35x0,32H</v>
          </cell>
          <cell r="Y4237">
            <v>8960</v>
          </cell>
          <cell r="Z4237">
            <v>0.5</v>
          </cell>
          <cell r="AA4237">
            <v>4480</v>
          </cell>
          <cell r="AB4237"/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H4238">
            <v>1</v>
          </cell>
          <cell r="O4238">
            <v>223617</v>
          </cell>
          <cell r="P4238" t="str">
            <v>2018/184-0101-01</v>
          </cell>
          <cell r="Q4238" t="str">
            <v>EST CARRINHO BAR CARRELLO (INOX ENV) (MAD A MUIRAC POA)</v>
          </cell>
          <cell r="R4238"/>
          <cell r="S4238"/>
          <cell r="T4238">
            <v>0.8</v>
          </cell>
          <cell r="U4238">
            <v>0.5</v>
          </cell>
          <cell r="V4238">
            <v>0.7</v>
          </cell>
          <cell r="W4238">
            <v>0</v>
          </cell>
          <cell r="X4238" t="str">
            <v>EST CARRINHO BAR CARRELLO (INOX ENV) (MAD A MUIRAC POA) - 0,8x0,5x0,7H</v>
          </cell>
          <cell r="Y4238">
            <v>16817.25</v>
          </cell>
          <cell r="Z4238">
            <v>0.5</v>
          </cell>
          <cell r="AA4238">
            <v>8408.625</v>
          </cell>
          <cell r="AB4238"/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H4239">
            <v>2</v>
          </cell>
          <cell r="O4239">
            <v>228451</v>
          </cell>
          <cell r="P4239" t="str">
            <v>2018/309-0057-01</v>
          </cell>
          <cell r="Q4239" t="str">
            <v>EST CARRINHO BAR CARRELLO (INOX ENV) (MAD A MUIRAC POA)</v>
          </cell>
          <cell r="R4239"/>
          <cell r="S4239"/>
          <cell r="T4239">
            <v>0.8</v>
          </cell>
          <cell r="U4239">
            <v>0.5</v>
          </cell>
          <cell r="V4239">
            <v>0.7</v>
          </cell>
          <cell r="W4239">
            <v>0</v>
          </cell>
          <cell r="X4239" t="str">
            <v>EST CARRINHO BAR CARRELLO (INOX ENV) (MAD A MUIRAC POA) - 0,8x0,5x0,7H</v>
          </cell>
          <cell r="Y4239">
            <v>16817.25</v>
          </cell>
          <cell r="Z4239">
            <v>0.5</v>
          </cell>
          <cell r="AA4239">
            <v>8408.625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2</v>
          </cell>
          <cell r="O4240">
            <v>228451</v>
          </cell>
          <cell r="P4240" t="str">
            <v>2024/281-0106-01</v>
          </cell>
          <cell r="Q4240" t="str">
            <v>EST CARRINHO BAR CARRELLO (INOX ENV) (MAD A MUIRAC POA)</v>
          </cell>
          <cell r="R4240"/>
          <cell r="S4240"/>
          <cell r="T4240">
            <v>0.8</v>
          </cell>
          <cell r="U4240">
            <v>0.5</v>
          </cell>
          <cell r="V4240">
            <v>0.7</v>
          </cell>
          <cell r="W4240">
            <v>0</v>
          </cell>
          <cell r="X4240" t="str">
            <v>EST CARRINHO BAR CARRELLO (INOX ENV) (MAD A MUIRAC POA) - 0,8x0,5x0,7H</v>
          </cell>
          <cell r="Y4240">
            <v>16817.25</v>
          </cell>
          <cell r="Z4240">
            <v>0.5</v>
          </cell>
          <cell r="AA4240">
            <v>8408.625</v>
          </cell>
          <cell r="AB4240"/>
        </row>
        <row r="4241">
          <cell r="C4241">
            <v>1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232126</v>
          </cell>
          <cell r="P4241" t="str">
            <v>2019/078-0065-01</v>
          </cell>
          <cell r="Q4241" t="str">
            <v>EST CADEIRA CHICAGO C/B (TELA DUP) (FREIJO NT) TC 11203353</v>
          </cell>
          <cell r="R4241"/>
          <cell r="S4241"/>
          <cell r="T4241">
            <v>0.52</v>
          </cell>
          <cell r="U4241">
            <v>0.53</v>
          </cell>
          <cell r="V4241">
            <v>0.84</v>
          </cell>
          <cell r="W4241">
            <v>0</v>
          </cell>
          <cell r="X4241" t="str">
            <v>EST CADEIRA CHICAGO C/B (TELA DUP) (FREIJO NT) TC 11203353 - 0,52x0,53x0,84H</v>
          </cell>
          <cell r="Y4241">
            <v>6255.16</v>
          </cell>
          <cell r="Z4241">
            <v>0.5</v>
          </cell>
          <cell r="AA4241">
            <v>3127.58</v>
          </cell>
          <cell r="AB4241"/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H4242">
            <v>2</v>
          </cell>
          <cell r="O4242">
            <v>232131</v>
          </cell>
          <cell r="P4242" t="str">
            <v>2019/122-0018-01</v>
          </cell>
          <cell r="Q4242" t="str">
            <v>EST POLTRONA ABAS (MAD B LOURO ESP) G11-11202300 AZ 907</v>
          </cell>
          <cell r="R4242"/>
          <cell r="S4242"/>
          <cell r="T4242">
            <v>0.9</v>
          </cell>
          <cell r="U4242">
            <v>0.97</v>
          </cell>
          <cell r="V4242">
            <v>0.61</v>
          </cell>
          <cell r="W4242">
            <v>0</v>
          </cell>
          <cell r="X4242" t="str">
            <v>EST POLTRONA ABAS (MAD B LOURO ESP) G11-11202300 AZ 907 - 0,9x0,97x0,61H</v>
          </cell>
          <cell r="Y4242">
            <v>10975.51</v>
          </cell>
          <cell r="Z4242">
            <v>0.5</v>
          </cell>
          <cell r="AA4242">
            <v>5487.7550000000001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2</v>
          </cell>
          <cell r="O4243">
            <v>232131</v>
          </cell>
          <cell r="P4243" t="str">
            <v>2019/122-0019-01</v>
          </cell>
          <cell r="Q4243" t="str">
            <v>EST POLTRONA ABAS (MAD B LOURO ESP) G11-11202300 AZ 907</v>
          </cell>
          <cell r="R4243"/>
          <cell r="S4243"/>
          <cell r="T4243">
            <v>0.9</v>
          </cell>
          <cell r="U4243">
            <v>0.97</v>
          </cell>
          <cell r="V4243">
            <v>0.61</v>
          </cell>
          <cell r="W4243">
            <v>0</v>
          </cell>
          <cell r="X4243" t="str">
            <v>EST POLTRONA ABAS (MAD B LOURO ESP) G11-11202300 AZ 907 - 0,9x0,97x0,61H</v>
          </cell>
          <cell r="Y4243">
            <v>10975.51</v>
          </cell>
          <cell r="Z4243">
            <v>0.5</v>
          </cell>
          <cell r="AA4243">
            <v>5487.7550000000001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0</v>
          </cell>
          <cell r="H4244">
            <v>2</v>
          </cell>
          <cell r="O4244">
            <v>238164</v>
          </cell>
          <cell r="P4244" t="str">
            <v>2019/211-0039-01</v>
          </cell>
          <cell r="Q4244" t="str">
            <v>EST BASE JANTAR GRAZ (MAD B LOURO ESPECIAL) (INOX ENV)</v>
          </cell>
          <cell r="R4244"/>
          <cell r="S4244"/>
          <cell r="T4244">
            <v>2.5499999999999998</v>
          </cell>
          <cell r="U4244">
            <v>1</v>
          </cell>
          <cell r="V4244">
            <v>0.74</v>
          </cell>
          <cell r="W4244">
            <v>0</v>
          </cell>
          <cell r="X4244" t="str">
            <v>EST BASE JANTAR GRAZ (MAD B LOURO ESPECIAL) (INOX ENV) - 2,55x1x0,74H</v>
          </cell>
          <cell r="Y4244">
            <v>43907.09</v>
          </cell>
          <cell r="Z4244">
            <v>0.5</v>
          </cell>
          <cell r="AA4244">
            <v>21953.544999999998</v>
          </cell>
          <cell r="AB4244"/>
        </row>
        <row r="4245">
          <cell r="C4245">
            <v>1</v>
          </cell>
          <cell r="D4245">
            <v>0</v>
          </cell>
          <cell r="E4245">
            <v>0</v>
          </cell>
          <cell r="F4245">
            <v>0</v>
          </cell>
          <cell r="H4245">
            <v>2</v>
          </cell>
          <cell r="O4245">
            <v>238164</v>
          </cell>
          <cell r="P4245" t="str">
            <v>2019/211-0044-01</v>
          </cell>
          <cell r="Q4245" t="str">
            <v>EST BASE JANTAR GRAZ (MAD B LOURO ESPECIAL) (INOX ENV)</v>
          </cell>
          <cell r="R4245"/>
          <cell r="S4245"/>
          <cell r="T4245">
            <v>2.5499999999999998</v>
          </cell>
          <cell r="U4245">
            <v>1</v>
          </cell>
          <cell r="V4245">
            <v>0.74</v>
          </cell>
          <cell r="W4245">
            <v>0</v>
          </cell>
          <cell r="X4245" t="str">
            <v>EST BASE JANTAR GRAZ (MAD B LOURO ESPECIAL) (INOX ENV) - 2,55x1x0,74H</v>
          </cell>
          <cell r="Y4245">
            <v>43907.09</v>
          </cell>
          <cell r="Z4245">
            <v>0.5</v>
          </cell>
          <cell r="AA4245">
            <v>21953.544999999998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276135</v>
          </cell>
          <cell r="P4246" t="str">
            <v>2021/165-0063-01</v>
          </cell>
          <cell r="Q4246" t="str">
            <v>EST BASE JANTAR GRAZ (MAD B FREIJO TING ENV) (INOX FSC)</v>
          </cell>
          <cell r="R4246"/>
          <cell r="S4246"/>
          <cell r="T4246">
            <v>1.6</v>
          </cell>
          <cell r="U4246">
            <v>1.6</v>
          </cell>
          <cell r="V4246">
            <v>0.73</v>
          </cell>
          <cell r="W4246">
            <v>0</v>
          </cell>
          <cell r="X4246" t="str">
            <v>EST BASE JANTAR GRAZ (MAD B FREIJO TING ENV) (INOX FSC) - 1,6x1,6x0,73H</v>
          </cell>
          <cell r="Y4246">
            <v>35313.47</v>
          </cell>
          <cell r="Z4246">
            <v>0.5</v>
          </cell>
          <cell r="AA4246">
            <v>17656.735000000001</v>
          </cell>
          <cell r="AB4246"/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H4247">
            <v>1</v>
          </cell>
          <cell r="O4247">
            <v>334173</v>
          </cell>
          <cell r="P4247" t="str">
            <v>2022/210-0040-01</v>
          </cell>
          <cell r="Q4247" t="str">
            <v>EST MESA CENTRO MATIZ (MOD 01) (CARRARA) (MAD A CINAM 05)</v>
          </cell>
          <cell r="R4247"/>
          <cell r="S4247"/>
          <cell r="T4247">
            <v>1.63</v>
          </cell>
          <cell r="U4247">
            <v>0.43</v>
          </cell>
          <cell r="V4247">
            <v>0.25</v>
          </cell>
          <cell r="W4247">
            <v>0</v>
          </cell>
          <cell r="X4247" t="str">
            <v>EST MESA CENTRO MATIZ (MOD 01) (CARRARA) (MAD A CINAM 05) - 1,63x0,43x0,25H</v>
          </cell>
          <cell r="Y4247">
            <v>36511.370000000003</v>
          </cell>
          <cell r="Z4247">
            <v>0.5</v>
          </cell>
          <cell r="AA4247">
            <v>18255.685000000001</v>
          </cell>
          <cell r="AB4247"/>
        </row>
        <row r="4248"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H4248">
            <v>1</v>
          </cell>
          <cell r="O4248">
            <v>334174</v>
          </cell>
          <cell r="P4248" t="str">
            <v>2022/210-0041-01</v>
          </cell>
          <cell r="Q4248" t="str">
            <v>EST MESA CENTRO MATIZ (MOD 02) (MAD A CINAM 05) PT FSC</v>
          </cell>
          <cell r="R4248"/>
          <cell r="S4248"/>
          <cell r="T4248">
            <v>1.63</v>
          </cell>
          <cell r="U4248">
            <v>0.52</v>
          </cell>
          <cell r="V4248">
            <v>0.25</v>
          </cell>
          <cell r="W4248">
            <v>0</v>
          </cell>
          <cell r="X4248" t="str">
            <v>EST MESA CENTRO MATIZ (MOD 02) (MAD A CINAM 05) PT FSC - 1,63x0,52x0,25H</v>
          </cell>
          <cell r="Y4248">
            <v>17104.009999999998</v>
          </cell>
          <cell r="Z4248">
            <v>0.5</v>
          </cell>
          <cell r="AA4248">
            <v>8552.0049999999992</v>
          </cell>
          <cell r="AB4248"/>
        </row>
        <row r="4249"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H4249">
            <v>1</v>
          </cell>
          <cell r="O4249">
            <v>335334</v>
          </cell>
          <cell r="P4249" t="str">
            <v>2022/251-0047-01</v>
          </cell>
          <cell r="Q4249" t="str">
            <v>EST MESA JANTAR LISBOA (MAD A CINAM NOG) INOX ENVELHECIDO</v>
          </cell>
          <cell r="R4249"/>
          <cell r="S4249"/>
          <cell r="T4249">
            <v>2.8</v>
          </cell>
          <cell r="U4249">
            <v>1.2</v>
          </cell>
          <cell r="V4249">
            <v>0.75</v>
          </cell>
          <cell r="W4249">
            <v>0</v>
          </cell>
          <cell r="X4249" t="str">
            <v>EST MESA JANTAR LISBOA (MAD A CINAM NOG) INOX ENVELHECIDO - 2,8x1,2x0,75H</v>
          </cell>
          <cell r="Y4249">
            <v>48074.43</v>
          </cell>
          <cell r="Z4249">
            <v>0.5</v>
          </cell>
          <cell r="AA4249">
            <v>24037.215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335340</v>
          </cell>
          <cell r="P4250" t="str">
            <v>2022/292-0037-01</v>
          </cell>
          <cell r="Q4250" t="str">
            <v>EST MESA LATERAL LUSA (RED CER AZUL) (MAD A CINAM NOG)</v>
          </cell>
          <cell r="R4250"/>
          <cell r="S4250"/>
          <cell r="T4250">
            <v>0.4</v>
          </cell>
          <cell r="U4250">
            <v>0</v>
          </cell>
          <cell r="V4250">
            <v>0.72</v>
          </cell>
          <cell r="W4250">
            <v>0.4</v>
          </cell>
          <cell r="X4250" t="str">
            <v>EST MESA LATERAL LUSA (RED CER AZUL) (MAD A CINAM NOG) - Ø0,4x0,72H</v>
          </cell>
          <cell r="Y4250">
            <v>13265.1</v>
          </cell>
          <cell r="Z4250">
            <v>0.5</v>
          </cell>
          <cell r="AA4250">
            <v>6632.55</v>
          </cell>
          <cell r="AB4250"/>
        </row>
        <row r="4251">
          <cell r="C4251">
            <v>0</v>
          </cell>
          <cell r="D4251">
            <v>0</v>
          </cell>
          <cell r="E4251">
            <v>0</v>
          </cell>
          <cell r="F4251">
            <v>0</v>
          </cell>
          <cell r="H4251">
            <v>1</v>
          </cell>
          <cell r="O4251">
            <v>335342</v>
          </cell>
          <cell r="P4251" t="str">
            <v>2022/277-0085-01</v>
          </cell>
          <cell r="Q4251" t="str">
            <v>EST MESA LATERAL LUSA (OBL CER BEGE) (MAD A CINAM NOG)</v>
          </cell>
          <cell r="R4251"/>
          <cell r="S4251"/>
          <cell r="T4251">
            <v>0.45</v>
          </cell>
          <cell r="U4251">
            <v>0.28000000000000003</v>
          </cell>
          <cell r="V4251">
            <v>0.62</v>
          </cell>
          <cell r="W4251">
            <v>0</v>
          </cell>
          <cell r="X4251" t="str">
            <v>EST MESA LATERAL LUSA (OBL CER BEGE) (MAD A CINAM NOG) - 0,45x0,28x0,62H</v>
          </cell>
          <cell r="Y4251">
            <v>12538.94</v>
          </cell>
          <cell r="Z4251">
            <v>0.5</v>
          </cell>
          <cell r="AA4251">
            <v>6269.47</v>
          </cell>
          <cell r="AB4251"/>
        </row>
        <row r="4252">
          <cell r="C4252">
            <v>0</v>
          </cell>
          <cell r="D4252">
            <v>0</v>
          </cell>
          <cell r="E4252">
            <v>0</v>
          </cell>
          <cell r="F4252">
            <v>0</v>
          </cell>
          <cell r="H4252">
            <v>1</v>
          </cell>
          <cell r="O4252">
            <v>335343</v>
          </cell>
          <cell r="P4252" t="str">
            <v>2022/292-0038-01</v>
          </cell>
          <cell r="Q4252" t="str">
            <v>EST MESA LATERAL LUSA (OBL CER AZUL) (MAD A CINAM NOG)</v>
          </cell>
          <cell r="R4252"/>
          <cell r="S4252"/>
          <cell r="T4252">
            <v>0.45</v>
          </cell>
          <cell r="U4252">
            <v>0.28000000000000003</v>
          </cell>
          <cell r="V4252">
            <v>0.62</v>
          </cell>
          <cell r="W4252">
            <v>0</v>
          </cell>
          <cell r="X4252" t="str">
            <v>EST MESA LATERAL LUSA (OBL CER AZUL) (MAD A CINAM NOG) - 0,45x0,28x0,62H</v>
          </cell>
          <cell r="Y4252">
            <v>12538.94</v>
          </cell>
          <cell r="Z4252">
            <v>0.5</v>
          </cell>
          <cell r="AA4252">
            <v>6269.47</v>
          </cell>
          <cell r="AB4252"/>
        </row>
        <row r="4253">
          <cell r="C4253">
            <v>0</v>
          </cell>
          <cell r="D4253">
            <v>0</v>
          </cell>
          <cell r="E4253">
            <v>0</v>
          </cell>
          <cell r="F4253">
            <v>1</v>
          </cell>
          <cell r="H4253">
            <v>6</v>
          </cell>
          <cell r="O4253">
            <v>336546</v>
          </cell>
          <cell r="P4253" t="str">
            <v>2022/248-0003-01</v>
          </cell>
          <cell r="Q4253" t="str">
            <v>EST CADEIRA NINA (MAD B LOURO ESP) 74 CAMEL/SEXT NAT</v>
          </cell>
          <cell r="R4253"/>
          <cell r="S4253"/>
          <cell r="T4253">
            <v>0.5</v>
          </cell>
          <cell r="U4253">
            <v>0.61</v>
          </cell>
          <cell r="V4253">
            <v>0.88</v>
          </cell>
          <cell r="W4253">
            <v>0</v>
          </cell>
          <cell r="X4253" t="str">
            <v>EST CADEIRA NINA (MAD B LOURO ESP) 74 CAMEL/SEXT NAT - 0,5x0,61x0,88H</v>
          </cell>
          <cell r="Y4253">
            <v>9597.32</v>
          </cell>
          <cell r="Z4253">
            <v>0.5</v>
          </cell>
          <cell r="AA4253">
            <v>4798.66</v>
          </cell>
          <cell r="AB4253"/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1</v>
          </cell>
          <cell r="H4254">
            <v>6</v>
          </cell>
          <cell r="O4254">
            <v>336546</v>
          </cell>
          <cell r="P4254" t="str">
            <v>2022/248-0004-01</v>
          </cell>
          <cell r="Q4254" t="str">
            <v>EST CADEIRA NINA (MAD B LOURO ESP) 74 CAMEL/SEXT NAT</v>
          </cell>
          <cell r="R4254"/>
          <cell r="S4254"/>
          <cell r="T4254">
            <v>0.5</v>
          </cell>
          <cell r="U4254">
            <v>0.61</v>
          </cell>
          <cell r="V4254">
            <v>0.88</v>
          </cell>
          <cell r="W4254">
            <v>0</v>
          </cell>
          <cell r="X4254" t="str">
            <v>EST CADEIRA NINA (MAD B LOURO ESP) 74 CAMEL/SEXT NAT - 0,5x0,61x0,88H</v>
          </cell>
          <cell r="Y4254">
            <v>9597.32</v>
          </cell>
          <cell r="Z4254">
            <v>0.5</v>
          </cell>
          <cell r="AA4254">
            <v>4798.66</v>
          </cell>
          <cell r="AB4254"/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1</v>
          </cell>
          <cell r="H4255">
            <v>6</v>
          </cell>
          <cell r="O4255">
            <v>336546</v>
          </cell>
          <cell r="P4255" t="str">
            <v>2022/248-0005-01</v>
          </cell>
          <cell r="Q4255" t="str">
            <v>EST CADEIRA NINA (MAD B LOURO ESP) 74 CAMEL/SEXT NAT</v>
          </cell>
          <cell r="R4255"/>
          <cell r="S4255"/>
          <cell r="T4255">
            <v>0.5</v>
          </cell>
          <cell r="U4255">
            <v>0.61</v>
          </cell>
          <cell r="V4255">
            <v>0.88</v>
          </cell>
          <cell r="W4255">
            <v>0</v>
          </cell>
          <cell r="X4255" t="str">
            <v>EST CADEIRA NINA (MAD B LOURO ESP) 74 CAMEL/SEXT NAT - 0,5x0,61x0,88H</v>
          </cell>
          <cell r="Y4255">
            <v>9597.32</v>
          </cell>
          <cell r="Z4255">
            <v>0.5</v>
          </cell>
          <cell r="AA4255">
            <v>4798.66</v>
          </cell>
          <cell r="AB4255"/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1</v>
          </cell>
          <cell r="H4256">
            <v>6</v>
          </cell>
          <cell r="O4256">
            <v>336546</v>
          </cell>
          <cell r="P4256" t="str">
            <v>2022/248-0006-01</v>
          </cell>
          <cell r="Q4256" t="str">
            <v>EST CADEIRA NINA (MAD B LOURO ESP) 74 CAMEL/SEXT NAT</v>
          </cell>
          <cell r="R4256"/>
          <cell r="S4256"/>
          <cell r="T4256">
            <v>0.5</v>
          </cell>
          <cell r="U4256">
            <v>0.61</v>
          </cell>
          <cell r="V4256">
            <v>0.88</v>
          </cell>
          <cell r="W4256">
            <v>0</v>
          </cell>
          <cell r="X4256" t="str">
            <v>EST CADEIRA NINA (MAD B LOURO ESP) 74 CAMEL/SEXT NAT - 0,5x0,61x0,88H</v>
          </cell>
          <cell r="Y4256">
            <v>9597.32</v>
          </cell>
          <cell r="Z4256">
            <v>0.5</v>
          </cell>
          <cell r="AA4256">
            <v>4798.66</v>
          </cell>
          <cell r="AB4256"/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H4257">
            <v>1</v>
          </cell>
          <cell r="O4257">
            <v>336616</v>
          </cell>
          <cell r="P4257" t="str">
            <v>2022/236-0046-01</v>
          </cell>
          <cell r="Q4257" t="str">
            <v>EST APARADOR MAR ADENTRO (PINTURA CS125)</v>
          </cell>
          <cell r="R4257"/>
          <cell r="S4257"/>
          <cell r="T4257">
            <v>2.0699999999999998</v>
          </cell>
          <cell r="U4257">
            <v>0.47</v>
          </cell>
          <cell r="V4257">
            <v>0.84</v>
          </cell>
          <cell r="W4257">
            <v>0</v>
          </cell>
          <cell r="X4257" t="str">
            <v>EST APARADOR MAR ADENTRO (PINTURA CS125) - 2,07x0,47x0,84H</v>
          </cell>
          <cell r="Y4257">
            <v>29795.05</v>
          </cell>
          <cell r="Z4257">
            <v>0.5</v>
          </cell>
          <cell r="AA4257">
            <v>14897.525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1</v>
          </cell>
          <cell r="H4258">
            <v>6</v>
          </cell>
          <cell r="O4258">
            <v>336546</v>
          </cell>
          <cell r="P4258" t="str">
            <v>2022/248-0008-01</v>
          </cell>
          <cell r="Q4258" t="str">
            <v>EST CADEIRA NINA (MAD B LOURO ESP) 74 CAMEL/SEXT NAT</v>
          </cell>
          <cell r="R4258"/>
          <cell r="S4258"/>
          <cell r="T4258">
            <v>0.5</v>
          </cell>
          <cell r="U4258">
            <v>0.61</v>
          </cell>
          <cell r="V4258">
            <v>0.88</v>
          </cell>
          <cell r="W4258">
            <v>0</v>
          </cell>
          <cell r="X4258" t="str">
            <v>EST CADEIRA NINA (MAD B LOURO ESP) 74 CAMEL/SEXT NAT - 0,5x0,61x0,88H</v>
          </cell>
          <cell r="Y4258">
            <v>9597.32</v>
          </cell>
          <cell r="Z4258">
            <v>0.5</v>
          </cell>
          <cell r="AA4258">
            <v>4798.66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1</v>
          </cell>
          <cell r="H4259">
            <v>6</v>
          </cell>
          <cell r="O4259">
            <v>336546</v>
          </cell>
          <cell r="P4259" t="str">
            <v>2022/248-0009-01</v>
          </cell>
          <cell r="Q4259" t="str">
            <v>EST CADEIRA NINA (MAD B LOURO ESP) 74 CAMEL/SEXT NAT</v>
          </cell>
          <cell r="R4259"/>
          <cell r="S4259"/>
          <cell r="T4259">
            <v>0.5</v>
          </cell>
          <cell r="U4259">
            <v>0.61</v>
          </cell>
          <cell r="V4259">
            <v>0.88</v>
          </cell>
          <cell r="W4259">
            <v>0</v>
          </cell>
          <cell r="X4259" t="str">
            <v>EST CADEIRA NINA (MAD B LOURO ESP) 74 CAMEL/SEXT NAT - 0,5x0,61x0,88H</v>
          </cell>
          <cell r="Y4259">
            <v>9597.32</v>
          </cell>
          <cell r="Z4259">
            <v>0.5</v>
          </cell>
          <cell r="AA4259">
            <v>4798.66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1</v>
          </cell>
          <cell r="H4260">
            <v>6</v>
          </cell>
          <cell r="O4260">
            <v>336546</v>
          </cell>
          <cell r="P4260" t="str">
            <v>2022/248-0010-01</v>
          </cell>
          <cell r="Q4260" t="str">
            <v>EST CADEIRA NINA (MAD B LOURO ESP) 74 CAMEL/SEXT NAT</v>
          </cell>
          <cell r="R4260"/>
          <cell r="S4260"/>
          <cell r="T4260">
            <v>0.5</v>
          </cell>
          <cell r="U4260">
            <v>0.61</v>
          </cell>
          <cell r="V4260">
            <v>0.88</v>
          </cell>
          <cell r="W4260">
            <v>0</v>
          </cell>
          <cell r="X4260" t="str">
            <v>EST CADEIRA NINA (MAD B LOURO ESP) 74 CAMEL/SEXT NAT - 0,5x0,61x0,88H</v>
          </cell>
          <cell r="Y4260">
            <v>9597.32</v>
          </cell>
          <cell r="Z4260">
            <v>0.5</v>
          </cell>
          <cell r="AA4260">
            <v>4798.66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336556</v>
          </cell>
          <cell r="P4261" t="str">
            <v>2022/248-0013-01</v>
          </cell>
          <cell r="Q4261" t="str">
            <v>EST POLTRONA PACO (MAD A TAUARI POA) TC RUST BRUN 5230/231</v>
          </cell>
          <cell r="R4261"/>
          <cell r="S4261"/>
          <cell r="T4261">
            <v>0.88</v>
          </cell>
          <cell r="U4261">
            <v>1.04</v>
          </cell>
          <cell r="V4261">
            <v>0.81</v>
          </cell>
          <cell r="W4261">
            <v>0</v>
          </cell>
          <cell r="X4261" t="str">
            <v>EST POLTRONA PACO (MAD A TAUARI POA) TC RUST BRUN 5230/231 - 0,88x1,04x0,81H</v>
          </cell>
          <cell r="Y4261">
            <v>35879.56</v>
          </cell>
          <cell r="Z4261">
            <v>0.5</v>
          </cell>
          <cell r="AA4261">
            <v>17939.78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336619</v>
          </cell>
          <cell r="P4262" t="str">
            <v>2022/307-0063-01</v>
          </cell>
          <cell r="Q4262" t="str">
            <v>EST MESA LATERAL LUSA (RED CER BEGE) (MAD A TAUAR ENV)</v>
          </cell>
          <cell r="R4262"/>
          <cell r="S4262"/>
          <cell r="T4262">
            <v>0.4</v>
          </cell>
          <cell r="U4262">
            <v>0.45</v>
          </cell>
          <cell r="V4262">
            <v>0.67</v>
          </cell>
          <cell r="W4262">
            <v>0</v>
          </cell>
          <cell r="X4262" t="str">
            <v>EST MESA LATERAL LUSA (RED CER BEGE) (MAD A TAUAR ENV) - 0,4x0,45x0,67H</v>
          </cell>
          <cell r="Y4262">
            <v>12723.96</v>
          </cell>
          <cell r="Z4262">
            <v>0.5</v>
          </cell>
          <cell r="AA4262">
            <v>6361.98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3</v>
          </cell>
          <cell r="O4263">
            <v>336696</v>
          </cell>
          <cell r="P4263" t="str">
            <v>2022/243-0016-01</v>
          </cell>
          <cell r="Q4263" t="str">
            <v>EST POLTRONA PACO (MAD A TAUARI ENV) TC G10-11202-343</v>
          </cell>
          <cell r="R4263"/>
          <cell r="S4263"/>
          <cell r="T4263">
            <v>0.88</v>
          </cell>
          <cell r="U4263">
            <v>1.04</v>
          </cell>
          <cell r="V4263">
            <v>0.81</v>
          </cell>
          <cell r="W4263">
            <v>0</v>
          </cell>
          <cell r="X4263" t="str">
            <v>EST POLTRONA PACO (MAD A TAUARI ENV) TC G10-11202-343 - 0,88x1,04x0,81H</v>
          </cell>
          <cell r="Y4263">
            <v>37838.620000000003</v>
          </cell>
          <cell r="Z4263">
            <v>0.5</v>
          </cell>
          <cell r="AA4263">
            <v>18919.310000000001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336697</v>
          </cell>
          <cell r="P4264" t="str">
            <v>2022/230-0031-01</v>
          </cell>
          <cell r="Q4264" t="str">
            <v>EST MESA JANTAR LISBOA (MAD A CINAM NOG) INOX ENVELHECIDO</v>
          </cell>
          <cell r="R4264"/>
          <cell r="S4264"/>
          <cell r="T4264">
            <v>3</v>
          </cell>
          <cell r="U4264">
            <v>1.2</v>
          </cell>
          <cell r="V4264">
            <v>0.75</v>
          </cell>
          <cell r="W4264">
            <v>0</v>
          </cell>
          <cell r="X4264" t="str">
            <v>EST MESA JANTAR LISBOA (MAD A CINAM NOG) INOX ENVELHECIDO - 3x1,2x0,75H</v>
          </cell>
          <cell r="Y4264">
            <v>51922.57</v>
          </cell>
          <cell r="Z4264">
            <v>0.5</v>
          </cell>
          <cell r="AA4264">
            <v>25961.285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336699</v>
          </cell>
          <cell r="P4265" t="str">
            <v>2022/277-0065-01</v>
          </cell>
          <cell r="Q4265" t="str">
            <v>EST MESA LATERAL LUSA (OBL CER BEGE) (MAD B FREIJO NT)</v>
          </cell>
          <cell r="R4265"/>
          <cell r="S4265"/>
          <cell r="T4265">
            <v>0.51</v>
          </cell>
          <cell r="U4265">
            <v>0.28000000000000003</v>
          </cell>
          <cell r="V4265">
            <v>0.62</v>
          </cell>
          <cell r="W4265">
            <v>0</v>
          </cell>
          <cell r="X4265" t="str">
            <v>EST MESA LATERAL LUSA (OBL CER BEGE) (MAD B FREIJO NT) - 0,51x0,28x0,62H</v>
          </cell>
          <cell r="Y4265">
            <v>14419.781000000001</v>
          </cell>
          <cell r="Z4265">
            <v>0.5</v>
          </cell>
          <cell r="AA4265">
            <v>7209.8905000000004</v>
          </cell>
          <cell r="AB4265"/>
        </row>
        <row r="4266">
          <cell r="C4266">
            <v>0</v>
          </cell>
          <cell r="D4266">
            <v>0</v>
          </cell>
          <cell r="E4266">
            <v>0</v>
          </cell>
          <cell r="F4266">
            <v>0</v>
          </cell>
          <cell r="H4266">
            <v>1</v>
          </cell>
          <cell r="O4266">
            <v>336701</v>
          </cell>
          <cell r="P4266" t="str">
            <v>2022/277-0066-01</v>
          </cell>
          <cell r="Q4266" t="str">
            <v>EST MESA LATERAL LUSA (RED CER AZUL) (MAD B FREIJO NT)</v>
          </cell>
          <cell r="R4266"/>
          <cell r="S4266"/>
          <cell r="T4266">
            <v>0.4</v>
          </cell>
          <cell r="U4266">
            <v>0.45</v>
          </cell>
          <cell r="V4266">
            <v>0.72</v>
          </cell>
          <cell r="W4266">
            <v>0</v>
          </cell>
          <cell r="X4266" t="str">
            <v>EST MESA LATERAL LUSA (RED CER AZUL) (MAD B FREIJO NT) - 0,4x0,45x0,72H</v>
          </cell>
          <cell r="Y4266">
            <v>15254.865</v>
          </cell>
          <cell r="Z4266">
            <v>0.5</v>
          </cell>
          <cell r="AA4266">
            <v>7627.4324999999999</v>
          </cell>
          <cell r="AB4266"/>
        </row>
        <row r="4267">
          <cell r="C4267">
            <v>0</v>
          </cell>
          <cell r="D4267">
            <v>0</v>
          </cell>
          <cell r="E4267">
            <v>1</v>
          </cell>
          <cell r="F4267">
            <v>0</v>
          </cell>
          <cell r="H4267">
            <v>5</v>
          </cell>
          <cell r="O4267">
            <v>336728</v>
          </cell>
          <cell r="P4267" t="str">
            <v>2022/223-0045-01</v>
          </cell>
          <cell r="Q4267" t="str">
            <v>EST CADEIRA PLIE (MAD A TAUARI ENV) COURO 74 CAMEL</v>
          </cell>
          <cell r="R4267"/>
          <cell r="S4267"/>
          <cell r="T4267">
            <v>0.47</v>
          </cell>
          <cell r="U4267">
            <v>0.55000000000000004</v>
          </cell>
          <cell r="V4267">
            <v>0.8</v>
          </cell>
          <cell r="W4267">
            <v>0</v>
          </cell>
          <cell r="X4267" t="str">
            <v>EST CADEIRA PLIE (MAD A TAUARI ENV) COURO 74 CAMEL - 0,47x0,55x0,8H</v>
          </cell>
          <cell r="Y4267">
            <v>13574.98</v>
          </cell>
          <cell r="Z4267">
            <v>0.5</v>
          </cell>
          <cell r="AA4267">
            <v>6787.49</v>
          </cell>
          <cell r="AB4267"/>
        </row>
        <row r="4268">
          <cell r="C4268">
            <v>0</v>
          </cell>
          <cell r="D4268">
            <v>0</v>
          </cell>
          <cell r="E4268">
            <v>1</v>
          </cell>
          <cell r="F4268">
            <v>0</v>
          </cell>
          <cell r="H4268">
            <v>5</v>
          </cell>
          <cell r="O4268">
            <v>336728</v>
          </cell>
          <cell r="P4268" t="str">
            <v>2022/223-0046-01</v>
          </cell>
          <cell r="Q4268" t="str">
            <v>EST CADEIRA PLIE (MAD A TAUARI ENV) COURO 74 CAMEL</v>
          </cell>
          <cell r="R4268"/>
          <cell r="S4268"/>
          <cell r="T4268">
            <v>0.47</v>
          </cell>
          <cell r="U4268">
            <v>0.55000000000000004</v>
          </cell>
          <cell r="V4268">
            <v>0.8</v>
          </cell>
          <cell r="W4268">
            <v>0</v>
          </cell>
          <cell r="X4268" t="str">
            <v>EST CADEIRA PLIE (MAD A TAUARI ENV) COURO 74 CAMEL - 0,47x0,55x0,8H</v>
          </cell>
          <cell r="Y4268">
            <v>13574.98</v>
          </cell>
          <cell r="Z4268">
            <v>0.5</v>
          </cell>
          <cell r="AA4268">
            <v>6787.49</v>
          </cell>
          <cell r="AB4268"/>
        </row>
        <row r="4269">
          <cell r="C4269">
            <v>0</v>
          </cell>
          <cell r="D4269">
            <v>0</v>
          </cell>
          <cell r="E4269">
            <v>1</v>
          </cell>
          <cell r="F4269">
            <v>0</v>
          </cell>
          <cell r="H4269">
            <v>5</v>
          </cell>
          <cell r="O4269">
            <v>336728</v>
          </cell>
          <cell r="P4269" t="str">
            <v>2022/223-0048-01</v>
          </cell>
          <cell r="Q4269" t="str">
            <v>EST CADEIRA PLIE (MAD A TAUARI ENV) COURO 74 CAMEL</v>
          </cell>
          <cell r="R4269"/>
          <cell r="S4269"/>
          <cell r="T4269">
            <v>0.47</v>
          </cell>
          <cell r="U4269">
            <v>0.55000000000000004</v>
          </cell>
          <cell r="V4269">
            <v>0.8</v>
          </cell>
          <cell r="W4269">
            <v>0</v>
          </cell>
          <cell r="X4269" t="str">
            <v>EST CADEIRA PLIE (MAD A TAUARI ENV) COURO 74 CAMEL - 0,47x0,55x0,8H</v>
          </cell>
          <cell r="Y4269">
            <v>13574.98</v>
          </cell>
          <cell r="Z4269">
            <v>0.5</v>
          </cell>
          <cell r="AA4269">
            <v>6787.49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377302</v>
          </cell>
          <cell r="P4270" t="str">
            <v>2023/331-0025-01</v>
          </cell>
          <cell r="Q4270" t="str">
            <v>EST MESA JANTAR LISBOA (MAD A TAUARI ENV) INOX ENV</v>
          </cell>
          <cell r="R4270"/>
          <cell r="S4270"/>
          <cell r="T4270">
            <v>3</v>
          </cell>
          <cell r="U4270">
            <v>1.2</v>
          </cell>
          <cell r="V4270">
            <v>0.75</v>
          </cell>
          <cell r="W4270">
            <v>0</v>
          </cell>
          <cell r="X4270" t="str">
            <v>EST MESA JANTAR LISBOA (MAD A TAUARI ENV) INOX ENV - 3x1,2x0,75H</v>
          </cell>
          <cell r="Y4270">
            <v>51922.57</v>
          </cell>
          <cell r="Z4270">
            <v>0.5</v>
          </cell>
          <cell r="AA4270">
            <v>25961.285</v>
          </cell>
          <cell r="AB4270"/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0</v>
          </cell>
          <cell r="H4271">
            <v>1</v>
          </cell>
          <cell r="O4271">
            <v>336715</v>
          </cell>
          <cell r="P4271" t="str">
            <v>2022/251-0008-01</v>
          </cell>
          <cell r="Q4271" t="str">
            <v>EST APARADOR VELL 02 (JEQ FENDI) (TP JEQ FENDI) (PRETO TXT)</v>
          </cell>
          <cell r="R4271"/>
          <cell r="S4271"/>
          <cell r="T4271">
            <v>2.2000000000000002</v>
          </cell>
          <cell r="U4271">
            <v>0.5</v>
          </cell>
          <cell r="V4271">
            <v>0.75</v>
          </cell>
          <cell r="W4271">
            <v>0</v>
          </cell>
          <cell r="X4271" t="str">
            <v>EST APARADOR VELL 02 (JEQ FENDI) (TP JEQ FENDI) (PRETO TXT) - 2,2x0,5x0,75H</v>
          </cell>
          <cell r="Y4271">
            <v>29653.97</v>
          </cell>
          <cell r="Z4271">
            <v>0.5</v>
          </cell>
          <cell r="AA4271">
            <v>14826.985000000001</v>
          </cell>
          <cell r="AB4271"/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0</v>
          </cell>
          <cell r="H4272">
            <v>10</v>
          </cell>
          <cell r="O4272">
            <v>336720</v>
          </cell>
          <cell r="P4272" t="str">
            <v>2022/237-0041-01</v>
          </cell>
          <cell r="Q4272" t="str">
            <v>EST CADEIRA CLARA (JEQ TING SMOKE) (ESTOF) (C3 PRETO)</v>
          </cell>
          <cell r="R4272"/>
          <cell r="S4272"/>
          <cell r="T4272">
            <v>0.48</v>
          </cell>
          <cell r="U4272">
            <v>0.56999999999999995</v>
          </cell>
          <cell r="V4272">
            <v>0.86</v>
          </cell>
          <cell r="W4272">
            <v>0</v>
          </cell>
          <cell r="X4272" t="str">
            <v>EST CADEIRA CLARA (JEQ TING SMOKE) (ESTOF) (C3 PRETO) - 0,48x0,57x0,86H</v>
          </cell>
          <cell r="Y4272">
            <v>7637.06</v>
          </cell>
          <cell r="Z4272">
            <v>0.5</v>
          </cell>
          <cell r="AA4272">
            <v>3818.53</v>
          </cell>
          <cell r="AB4272"/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0</v>
          </cell>
          <cell r="H4273">
            <v>10</v>
          </cell>
          <cell r="O4273">
            <v>336720</v>
          </cell>
          <cell r="P4273" t="str">
            <v>2022/237-0042-01</v>
          </cell>
          <cell r="Q4273" t="str">
            <v>EST CADEIRA CLARA (JEQ TING SMOKE) (ESTOF) (C3 PRETO)</v>
          </cell>
          <cell r="R4273"/>
          <cell r="S4273"/>
          <cell r="T4273">
            <v>0.48</v>
          </cell>
          <cell r="U4273">
            <v>0.56999999999999995</v>
          </cell>
          <cell r="V4273">
            <v>0.86</v>
          </cell>
          <cell r="W4273">
            <v>0</v>
          </cell>
          <cell r="X4273" t="str">
            <v>EST CADEIRA CLARA (JEQ TING SMOKE) (ESTOF) (C3 PRETO) - 0,48x0,57x0,86H</v>
          </cell>
          <cell r="Y4273">
            <v>7637.06</v>
          </cell>
          <cell r="Z4273">
            <v>0.5</v>
          </cell>
          <cell r="AA4273">
            <v>3818.53</v>
          </cell>
          <cell r="AB4273"/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0</v>
          </cell>
          <cell r="H4274">
            <v>10</v>
          </cell>
          <cell r="O4274">
            <v>336720</v>
          </cell>
          <cell r="P4274" t="str">
            <v>2022/237-0043-01</v>
          </cell>
          <cell r="Q4274" t="str">
            <v>EST CADEIRA CLARA (JEQ TING SMOKE) (ESTOF) (C3 PRETO)</v>
          </cell>
          <cell r="R4274"/>
          <cell r="S4274"/>
          <cell r="T4274">
            <v>0.48</v>
          </cell>
          <cell r="U4274">
            <v>0.56999999999999995</v>
          </cell>
          <cell r="V4274">
            <v>0.86</v>
          </cell>
          <cell r="W4274">
            <v>0</v>
          </cell>
          <cell r="X4274" t="str">
            <v>EST CADEIRA CLARA (JEQ TING SMOKE) (ESTOF) (C3 PRETO) - 0,48x0,57x0,86H</v>
          </cell>
          <cell r="Y4274">
            <v>7637.06</v>
          </cell>
          <cell r="Z4274">
            <v>0.5</v>
          </cell>
          <cell r="AA4274">
            <v>3818.53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10</v>
          </cell>
          <cell r="O4275">
            <v>336720</v>
          </cell>
          <cell r="P4275" t="str">
            <v>2022/237-0044-01</v>
          </cell>
          <cell r="Q4275" t="str">
            <v>EST CADEIRA CLARA (JEQ TING SMOKE) (ESTOF) (C3 PRETO)</v>
          </cell>
          <cell r="R4275"/>
          <cell r="S4275"/>
          <cell r="T4275">
            <v>0.48</v>
          </cell>
          <cell r="U4275">
            <v>0.56999999999999995</v>
          </cell>
          <cell r="V4275">
            <v>0.86</v>
          </cell>
          <cell r="W4275">
            <v>0</v>
          </cell>
          <cell r="X4275" t="str">
            <v>EST CADEIRA CLARA (JEQ TING SMOKE) (ESTOF) (C3 PRETO) - 0,48x0,57x0,86H</v>
          </cell>
          <cell r="Y4275">
            <v>7637.06</v>
          </cell>
          <cell r="Z4275">
            <v>0.5</v>
          </cell>
          <cell r="AA4275">
            <v>3818.53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10</v>
          </cell>
          <cell r="O4276">
            <v>336720</v>
          </cell>
          <cell r="P4276" t="str">
            <v>2022/237-0045-01</v>
          </cell>
          <cell r="Q4276" t="str">
            <v>EST CADEIRA CLARA (JEQ TING SMOKE) (ESTOF) (C3 PRETO)</v>
          </cell>
          <cell r="R4276"/>
          <cell r="S4276"/>
          <cell r="T4276">
            <v>0.48</v>
          </cell>
          <cell r="U4276">
            <v>0.56999999999999995</v>
          </cell>
          <cell r="V4276">
            <v>0.86</v>
          </cell>
          <cell r="W4276">
            <v>0</v>
          </cell>
          <cell r="X4276" t="str">
            <v>EST CADEIRA CLARA (JEQ TING SMOKE) (ESTOF) (C3 PRETO) - 0,48x0,57x0,86H</v>
          </cell>
          <cell r="Y4276">
            <v>7637.06</v>
          </cell>
          <cell r="Z4276">
            <v>0.5</v>
          </cell>
          <cell r="AA4276">
            <v>3818.53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10</v>
          </cell>
          <cell r="O4277">
            <v>336720</v>
          </cell>
          <cell r="P4277" t="str">
            <v>2022/237-0046-01</v>
          </cell>
          <cell r="Q4277" t="str">
            <v>EST CADEIRA CLARA (JEQ TING SMOKE) (ESTOF) (C3 PRETO)</v>
          </cell>
          <cell r="R4277"/>
          <cell r="S4277"/>
          <cell r="T4277">
            <v>0.48</v>
          </cell>
          <cell r="U4277">
            <v>0.56999999999999995</v>
          </cell>
          <cell r="V4277">
            <v>0.86</v>
          </cell>
          <cell r="W4277">
            <v>0</v>
          </cell>
          <cell r="X4277" t="str">
            <v>EST CADEIRA CLARA (JEQ TING SMOKE) (ESTOF) (C3 PRETO) - 0,48x0,57x0,86H</v>
          </cell>
          <cell r="Y4277">
            <v>7637.06</v>
          </cell>
          <cell r="Z4277">
            <v>0.5</v>
          </cell>
          <cell r="AA4277">
            <v>3818.53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10</v>
          </cell>
          <cell r="O4278">
            <v>336720</v>
          </cell>
          <cell r="P4278" t="str">
            <v>2022/237-0047-01</v>
          </cell>
          <cell r="Q4278" t="str">
            <v>EST CADEIRA CLARA (JEQ TING SMOKE) (ESTOF) (C3 PRETO)</v>
          </cell>
          <cell r="R4278"/>
          <cell r="S4278"/>
          <cell r="T4278">
            <v>0.48</v>
          </cell>
          <cell r="U4278">
            <v>0.56999999999999995</v>
          </cell>
          <cell r="V4278">
            <v>0.86</v>
          </cell>
          <cell r="W4278">
            <v>0</v>
          </cell>
          <cell r="X4278" t="str">
            <v>EST CADEIRA CLARA (JEQ TING SMOKE) (ESTOF) (C3 PRETO) - 0,48x0,57x0,86H</v>
          </cell>
          <cell r="Y4278">
            <v>7637.06</v>
          </cell>
          <cell r="Z4278">
            <v>0.5</v>
          </cell>
          <cell r="AA4278">
            <v>3818.53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10</v>
          </cell>
          <cell r="O4279">
            <v>336720</v>
          </cell>
          <cell r="P4279" t="str">
            <v>2022/237-0048-01</v>
          </cell>
          <cell r="Q4279" t="str">
            <v>EST CADEIRA CLARA (JEQ TING SMOKE) (ESTOF) (C3 PRETO)</v>
          </cell>
          <cell r="R4279"/>
          <cell r="S4279"/>
          <cell r="T4279">
            <v>0.48</v>
          </cell>
          <cell r="U4279">
            <v>0.56999999999999995</v>
          </cell>
          <cell r="V4279">
            <v>0.86</v>
          </cell>
          <cell r="W4279">
            <v>0</v>
          </cell>
          <cell r="X4279" t="str">
            <v>EST CADEIRA CLARA (JEQ TING SMOKE) (ESTOF) (C3 PRETO) - 0,48x0,57x0,86H</v>
          </cell>
          <cell r="Y4279">
            <v>7637.06</v>
          </cell>
          <cell r="Z4279">
            <v>0.5</v>
          </cell>
          <cell r="AA4279">
            <v>3818.53</v>
          </cell>
          <cell r="AB4279"/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0</v>
          </cell>
          <cell r="H4280">
            <v>1</v>
          </cell>
          <cell r="O4280">
            <v>337717</v>
          </cell>
          <cell r="P4280" t="str">
            <v>2022/222-0046-01</v>
          </cell>
          <cell r="Q4280" t="str">
            <v>EST BANQUETA PATER (IMBUIA) TAURUS 30/ ALMOF FX6363</v>
          </cell>
          <cell r="R4280"/>
          <cell r="S4280"/>
          <cell r="T4280">
            <v>0.66</v>
          </cell>
          <cell r="U4280">
            <v>0.51</v>
          </cell>
          <cell r="V4280">
            <v>0.47</v>
          </cell>
          <cell r="W4280">
            <v>0</v>
          </cell>
          <cell r="X4280" t="str">
            <v>EST BANQUETA PATER (IMBUIA) TAURUS 30/ ALMOF FX6363 - 0,66x0,51x0,47H</v>
          </cell>
          <cell r="Y4280">
            <v>15911.39</v>
          </cell>
          <cell r="Z4280">
            <v>0.5</v>
          </cell>
          <cell r="AA4280">
            <v>7955.6949999999997</v>
          </cell>
          <cell r="AB4280"/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H4281">
            <v>1</v>
          </cell>
          <cell r="O4281">
            <v>337717</v>
          </cell>
          <cell r="P4281" t="str">
            <v>2022/222-0047-01</v>
          </cell>
          <cell r="Q4281" t="str">
            <v>EST BANQUETA PATER (IMBUIA) TAURUS 30/ ALMOF FX6363</v>
          </cell>
          <cell r="R4281"/>
          <cell r="S4281"/>
          <cell r="T4281">
            <v>0.66</v>
          </cell>
          <cell r="U4281">
            <v>0.51</v>
          </cell>
          <cell r="V4281">
            <v>0.47</v>
          </cell>
          <cell r="W4281">
            <v>0</v>
          </cell>
          <cell r="X4281" t="str">
            <v>EST BANQUETA PATER (IMBUIA) TAURUS 30/ ALMOF FX6363 - 0,66x0,51x0,47H</v>
          </cell>
          <cell r="Y4281">
            <v>15911.39</v>
          </cell>
          <cell r="Z4281">
            <v>0.5</v>
          </cell>
          <cell r="AA4281">
            <v>7955.6949999999997</v>
          </cell>
          <cell r="AB4281"/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H4282">
            <v>1</v>
          </cell>
          <cell r="O4282">
            <v>343998</v>
          </cell>
          <cell r="P4282" t="str">
            <v>2022/196-0001-01</v>
          </cell>
          <cell r="Q4282" t="str">
            <v>EST MESA JANTAR COOLER (TP LAM MATT BLACK) (PRETO FSC)</v>
          </cell>
          <cell r="R4282"/>
          <cell r="S4282"/>
          <cell r="T4282">
            <v>4</v>
          </cell>
          <cell r="U4282">
            <v>1.2</v>
          </cell>
          <cell r="V4282">
            <v>0.75</v>
          </cell>
          <cell r="W4282">
            <v>0</v>
          </cell>
          <cell r="X4282" t="str">
            <v>EST MESA JANTAR COOLER (TP LAM MATT BLACK) (PRETO FSC) - 4x1,2x0,75H</v>
          </cell>
          <cell r="Y4282">
            <v>37479.68</v>
          </cell>
          <cell r="Z4282">
            <v>0.5</v>
          </cell>
          <cell r="AA4282">
            <v>18739.84</v>
          </cell>
          <cell r="AB4282"/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H4283">
            <v>1</v>
          </cell>
          <cell r="O4283">
            <v>344043</v>
          </cell>
          <cell r="P4283" t="str">
            <v>2022/304-0010-01</v>
          </cell>
          <cell r="Q4283" t="str">
            <v>EST POLTRONA ONDAS (BASE ELETROS PRETO FSC) COURO PIG 101</v>
          </cell>
          <cell r="R4283"/>
          <cell r="S4283"/>
          <cell r="T4283">
            <v>0.83</v>
          </cell>
          <cell r="U4283">
            <v>0.67</v>
          </cell>
          <cell r="V4283">
            <v>0.83</v>
          </cell>
          <cell r="W4283">
            <v>0</v>
          </cell>
          <cell r="X4283" t="str">
            <v>EST POLTRONA ONDAS (BASE ELETROS PRETO FSC) COURO PIG 101 - 0,83x0,67x0,83H</v>
          </cell>
          <cell r="Y4283">
            <v>23962.36</v>
          </cell>
          <cell r="Z4283">
            <v>0.5</v>
          </cell>
          <cell r="AA4283">
            <v>11981.18</v>
          </cell>
          <cell r="AB4283"/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H4284">
            <v>1</v>
          </cell>
          <cell r="O4284">
            <v>344044</v>
          </cell>
          <cell r="P4284" t="str">
            <v>2022/304-0012-01</v>
          </cell>
          <cell r="Q4284" t="str">
            <v>EST POLTRONA ONDAS (BASE ELETROS PRETO FSC) COURO PIG 259</v>
          </cell>
          <cell r="R4284"/>
          <cell r="S4284"/>
          <cell r="T4284">
            <v>0.83</v>
          </cell>
          <cell r="U4284">
            <v>0.67</v>
          </cell>
          <cell r="V4284">
            <v>0.83</v>
          </cell>
          <cell r="W4284">
            <v>0</v>
          </cell>
          <cell r="X4284" t="str">
            <v>EST POLTRONA ONDAS (BASE ELETROS PRETO FSC) COURO PIG 259 - 0,83x0,67x0,83H</v>
          </cell>
          <cell r="Y4284">
            <v>23747.32</v>
          </cell>
          <cell r="Z4284">
            <v>0.5</v>
          </cell>
          <cell r="AA4284">
            <v>11873.66</v>
          </cell>
          <cell r="AB4284"/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H4285">
            <v>1</v>
          </cell>
          <cell r="O4285">
            <v>344045</v>
          </cell>
          <cell r="P4285" t="str">
            <v>2022/325-0038-01</v>
          </cell>
          <cell r="Q4285" t="str">
            <v>EST POLTRONA ONDAS (MTZ MARROM) COURO FIRENZE 500</v>
          </cell>
          <cell r="R4285"/>
          <cell r="S4285"/>
          <cell r="T4285">
            <v>0.83</v>
          </cell>
          <cell r="U4285">
            <v>0.67</v>
          </cell>
          <cell r="V4285">
            <v>0.83</v>
          </cell>
          <cell r="W4285">
            <v>0</v>
          </cell>
          <cell r="X4285" t="str">
            <v>EST POLTRONA ONDAS (MTZ MARROM) COURO FIRENZE 500 - 0,83x0,67x0,83H</v>
          </cell>
          <cell r="Y4285">
            <v>27013.24</v>
          </cell>
          <cell r="Z4285">
            <v>0.5</v>
          </cell>
          <cell r="AA4285">
            <v>13506.62</v>
          </cell>
          <cell r="AB4285"/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H4286">
            <v>1</v>
          </cell>
          <cell r="O4286">
            <v>344046</v>
          </cell>
          <cell r="P4286" t="str">
            <v>2022/304-0011-01</v>
          </cell>
          <cell r="Q4286" t="str">
            <v>EST BANQUETA ONDAS (BASE ELETROS PRETO FSC) FORN PIG 101</v>
          </cell>
          <cell r="R4286"/>
          <cell r="S4286"/>
          <cell r="T4286">
            <v>0.83</v>
          </cell>
          <cell r="U4286">
            <v>0.67</v>
          </cell>
          <cell r="V4286">
            <v>0.83</v>
          </cell>
          <cell r="W4286">
            <v>0</v>
          </cell>
          <cell r="X4286" t="str">
            <v>EST BANQUETA ONDAS (BASE ELETROS PRETO FSC) FORN PIG 101 - 0,83x0,67x0,83H</v>
          </cell>
          <cell r="Y4286">
            <v>14076.34</v>
          </cell>
          <cell r="Z4286">
            <v>0.5</v>
          </cell>
          <cell r="AA4286">
            <v>7038.17</v>
          </cell>
          <cell r="AB4286"/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H4287">
            <v>1</v>
          </cell>
          <cell r="O4287">
            <v>344047</v>
          </cell>
          <cell r="P4287" t="str">
            <v>2022/304-0013-01</v>
          </cell>
          <cell r="Q4287" t="str">
            <v>EST BANQUETA ONDAS (BASE ELETROS PRETO FSC) COURO PIG 259</v>
          </cell>
          <cell r="R4287"/>
          <cell r="S4287"/>
          <cell r="T4287">
            <v>0.83</v>
          </cell>
          <cell r="U4287">
            <v>0.5</v>
          </cell>
          <cell r="V4287">
            <v>0.39</v>
          </cell>
          <cell r="W4287">
            <v>0</v>
          </cell>
          <cell r="X4287" t="str">
            <v>EST BANQUETA ONDAS (BASE ELETROS PRETO FSC) COURO PIG 259 - 0,83x0,5x0,39H</v>
          </cell>
          <cell r="Y4287">
            <v>14076.34</v>
          </cell>
          <cell r="Z4287">
            <v>0.5</v>
          </cell>
          <cell r="AA4287">
            <v>7038.17</v>
          </cell>
          <cell r="AB4287"/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H4288">
            <v>1</v>
          </cell>
          <cell r="O4288">
            <v>344048</v>
          </cell>
          <cell r="P4288" t="str">
            <v>2022/325-0039-01</v>
          </cell>
          <cell r="Q4288" t="str">
            <v>EST BANQUETA ONDAS (MTZ MARROM) COURO FIRENZE MARROM 500</v>
          </cell>
          <cell r="R4288"/>
          <cell r="S4288"/>
          <cell r="T4288">
            <v>0.83</v>
          </cell>
          <cell r="U4288">
            <v>0.67</v>
          </cell>
          <cell r="V4288">
            <v>0.83</v>
          </cell>
          <cell r="W4288">
            <v>0</v>
          </cell>
          <cell r="X4288" t="str">
            <v>EST BANQUETA ONDAS (MTZ MARROM) COURO FIRENZE MARROM 500 - 0,83x0,67x0,83H</v>
          </cell>
          <cell r="Y4288">
            <v>15890.74</v>
          </cell>
          <cell r="Z4288">
            <v>0.5</v>
          </cell>
          <cell r="AA4288">
            <v>7945.37</v>
          </cell>
          <cell r="AB4288"/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H4289">
            <v>1</v>
          </cell>
          <cell r="O4289">
            <v>344146</v>
          </cell>
          <cell r="P4289" t="str">
            <v>2022/201-0003-01</v>
          </cell>
          <cell r="Q4289" t="str">
            <v>EST REVISTEIRO TECA (COURO FROST) (LATAO BRILHO)</v>
          </cell>
          <cell r="R4289"/>
          <cell r="S4289"/>
          <cell r="T4289">
            <v>0.55000000000000004</v>
          </cell>
          <cell r="U4289">
            <v>0.3</v>
          </cell>
          <cell r="V4289">
            <v>0.23</v>
          </cell>
          <cell r="W4289">
            <v>0</v>
          </cell>
          <cell r="X4289" t="str">
            <v>EST REVISTEIRO TECA (COURO FROST) (LATAO BRILHO) - 0,55x0,3x0,23H</v>
          </cell>
          <cell r="Y4289">
            <v>8960</v>
          </cell>
          <cell r="Z4289">
            <v>0.5</v>
          </cell>
          <cell r="AA4289">
            <v>4480</v>
          </cell>
          <cell r="AB4289"/>
        </row>
        <row r="4290">
          <cell r="C4290">
            <v>0</v>
          </cell>
          <cell r="D4290">
            <v>1</v>
          </cell>
          <cell r="E4290">
            <v>0</v>
          </cell>
          <cell r="F4290">
            <v>0</v>
          </cell>
          <cell r="H4290">
            <v>0</v>
          </cell>
          <cell r="O4290">
            <v>344186</v>
          </cell>
          <cell r="P4290" t="str">
            <v>2022/249-0012-01</v>
          </cell>
          <cell r="Q4290" t="str">
            <v>EST ESTANTE LINA (TAUARI TING NOGUEIRA) (LATAO ENV)</v>
          </cell>
          <cell r="R4290"/>
          <cell r="S4290"/>
          <cell r="T4290">
            <v>1.2</v>
          </cell>
          <cell r="U4290">
            <v>0.43</v>
          </cell>
          <cell r="V4290">
            <v>1.9</v>
          </cell>
          <cell r="W4290">
            <v>0</v>
          </cell>
          <cell r="X4290" t="str">
            <v>EST ESTANTE LINA (TAUARI TING NOGUEIRA) (LATAO ENV) - 1,2x0,43x1,9H</v>
          </cell>
          <cell r="Y4290">
            <v>34338.57</v>
          </cell>
          <cell r="Z4290">
            <v>0.5</v>
          </cell>
          <cell r="AA4290">
            <v>17169.285</v>
          </cell>
          <cell r="AB4290"/>
        </row>
        <row r="4291">
          <cell r="C4291">
            <v>0</v>
          </cell>
          <cell r="D4291">
            <v>1</v>
          </cell>
          <cell r="E4291">
            <v>0</v>
          </cell>
          <cell r="F4291">
            <v>0</v>
          </cell>
          <cell r="H4291">
            <v>0</v>
          </cell>
          <cell r="O4291">
            <v>344186</v>
          </cell>
          <cell r="P4291" t="str">
            <v>2022/249-0013-01</v>
          </cell>
          <cell r="Q4291" t="str">
            <v>EST ESTANTE LINA (TAUARI TING NOGUEIRA) (LATAO ENV)</v>
          </cell>
          <cell r="R4291"/>
          <cell r="S4291"/>
          <cell r="T4291">
            <v>1.2</v>
          </cell>
          <cell r="U4291">
            <v>0.43</v>
          </cell>
          <cell r="V4291">
            <v>1.9</v>
          </cell>
          <cell r="W4291">
            <v>0</v>
          </cell>
          <cell r="X4291" t="str">
            <v>EST ESTANTE LINA (TAUARI TING NOGUEIRA) (LATAO ENV) - 1,2x0,43x1,9H</v>
          </cell>
          <cell r="Y4291">
            <v>34338.57</v>
          </cell>
          <cell r="Z4291">
            <v>0.5</v>
          </cell>
          <cell r="AA4291">
            <v>17169.285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350003</v>
          </cell>
          <cell r="P4292" t="str">
            <v>2022/222-0004-01</v>
          </cell>
          <cell r="Q4292" t="str">
            <v>EST MESA JANTAR MATISSE (TP CARV GRIS C/DET) (BS CINZA CH)</v>
          </cell>
          <cell r="R4292"/>
          <cell r="S4292"/>
          <cell r="T4292">
            <v>1.83</v>
          </cell>
          <cell r="U4292">
            <v>0</v>
          </cell>
          <cell r="V4292">
            <v>0.75</v>
          </cell>
          <cell r="W4292">
            <v>1.83</v>
          </cell>
          <cell r="X4292" t="str">
            <v>EST MESA JANTAR MATISSE (TP CARV GRIS C/DET) (BS CINZA CH) - Ø1,83x0,75H</v>
          </cell>
          <cell r="Y4292">
            <v>51369.11</v>
          </cell>
          <cell r="Z4292">
            <v>0.5</v>
          </cell>
          <cell r="AA4292">
            <v>25684.555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1</v>
          </cell>
          <cell r="O4293">
            <v>350004</v>
          </cell>
          <cell r="P4293" t="str">
            <v>2022/222-0005-01</v>
          </cell>
          <cell r="Q4293" t="str">
            <v>EST MESA JANTAR MATISSE (TP CINZA CH C/DET) (BS CARV CRIS)</v>
          </cell>
          <cell r="R4293"/>
          <cell r="S4293"/>
          <cell r="T4293">
            <v>1.83</v>
          </cell>
          <cell r="U4293">
            <v>0</v>
          </cell>
          <cell r="V4293">
            <v>0.75</v>
          </cell>
          <cell r="W4293">
            <v>1.83</v>
          </cell>
          <cell r="X4293" t="str">
            <v>EST MESA JANTAR MATISSE (TP CINZA CH C/DET) (BS CARV CRIS) - Ø1,83x0,75H</v>
          </cell>
          <cell r="Y4293">
            <v>57574.85</v>
          </cell>
          <cell r="Z4293">
            <v>0.4</v>
          </cell>
          <cell r="AA4293">
            <v>34544.909999999996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1</v>
          </cell>
          <cell r="O4294">
            <v>350005</v>
          </cell>
          <cell r="P4294" t="str">
            <v>2022/222-0006-01</v>
          </cell>
          <cell r="Q4294" t="str">
            <v>EST MESA CENTRO MATISSE ORGANICA (BS CARV GRI) (TP CARV GRI)</v>
          </cell>
          <cell r="R4294"/>
          <cell r="S4294"/>
          <cell r="T4294">
            <v>1.9</v>
          </cell>
          <cell r="U4294">
            <v>1.8</v>
          </cell>
          <cell r="V4294">
            <v>0.3</v>
          </cell>
          <cell r="W4294">
            <v>0</v>
          </cell>
          <cell r="X4294" t="str">
            <v>EST MESA CENTRO MATISSE ORGANICA (BS CARV GRI) (TP CARV GRI) - 1,9x1,8x0,3H</v>
          </cell>
          <cell r="Y4294">
            <v>35157.29</v>
          </cell>
          <cell r="Z4294">
            <v>0.4</v>
          </cell>
          <cell r="AA4294">
            <v>21094.374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1</v>
          </cell>
          <cell r="O4295">
            <v>350007</v>
          </cell>
          <cell r="P4295" t="str">
            <v>2022/222-0008-01</v>
          </cell>
          <cell r="Q4295" t="str">
            <v>EST MESA CENTRO MATISSE (TP RIPADO GIOIA/NERO) (BS CINZA CH)</v>
          </cell>
          <cell r="R4295"/>
          <cell r="S4295"/>
          <cell r="T4295">
            <v>1.5</v>
          </cell>
          <cell r="U4295">
            <v>0</v>
          </cell>
          <cell r="V4295">
            <v>0.2</v>
          </cell>
          <cell r="W4295">
            <v>1.5</v>
          </cell>
          <cell r="X4295" t="str">
            <v>EST MESA CENTRO MATISSE (TP RIPADO GIOIA/NERO) (BS CINZA CH) - Ø1,5x0,2H</v>
          </cell>
          <cell r="Y4295">
            <v>49671.51</v>
          </cell>
          <cell r="Z4295">
            <v>0.4</v>
          </cell>
          <cell r="AA4295">
            <v>29802.905999999999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1</v>
          </cell>
          <cell r="O4296">
            <v>351057</v>
          </cell>
          <cell r="P4296"/>
          <cell r="Q4296" t="str">
            <v>EST BANDEJA MATISSE (CIRCULAR) (GRIS ARMANI INOX COOPER)</v>
          </cell>
          <cell r="R4296"/>
          <cell r="S4296"/>
          <cell r="T4296">
            <v>0.4</v>
          </cell>
          <cell r="U4296">
            <v>0</v>
          </cell>
          <cell r="V4296">
            <v>0.06</v>
          </cell>
          <cell r="W4296">
            <v>0.4</v>
          </cell>
          <cell r="X4296" t="str">
            <v>EST BANDEJA MATISSE (CIRCULAR) (GRIS ARMANI INOX COOPER) - Ø0,4x0,06H</v>
          </cell>
          <cell r="Y4296">
            <v>4349.1400000000003</v>
          </cell>
          <cell r="Z4296">
            <v>0.4</v>
          </cell>
          <cell r="AA4296">
            <v>2609.4840000000004</v>
          </cell>
          <cell r="AB4296"/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H4297">
            <v>1</v>
          </cell>
          <cell r="O4297">
            <v>351059</v>
          </cell>
          <cell r="P4297"/>
          <cell r="Q4297" t="str">
            <v>EST BANDEJA MATISSE (CIRCULAR) (CARRARA G PINT CINZA CHUMBO)</v>
          </cell>
          <cell r="R4297"/>
          <cell r="S4297"/>
          <cell r="T4297">
            <v>0.3</v>
          </cell>
          <cell r="U4297">
            <v>0</v>
          </cell>
          <cell r="V4297">
            <v>0.06</v>
          </cell>
          <cell r="W4297">
            <v>0.3</v>
          </cell>
          <cell r="X4297" t="str">
            <v>EST BANDEJA MATISSE (CIRCULAR) (CARRARA G PINT CINZA CHUMBO) - Ø0,3x0,06H</v>
          </cell>
          <cell r="Y4297">
            <v>2307.96</v>
          </cell>
          <cell r="Z4297">
            <v>0.4</v>
          </cell>
          <cell r="AA4297">
            <v>1384.7759999999998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1</v>
          </cell>
          <cell r="O4298">
            <v>351060</v>
          </cell>
          <cell r="P4298"/>
          <cell r="Q4298" t="str">
            <v>EST BANDEJA MATISSE (CIRCULAR) (CARRARA G PINT CINZA CHUMBO)</v>
          </cell>
          <cell r="R4298"/>
          <cell r="S4298"/>
          <cell r="T4298">
            <v>0.4</v>
          </cell>
          <cell r="U4298">
            <v>0</v>
          </cell>
          <cell r="V4298">
            <v>0.06</v>
          </cell>
          <cell r="W4298">
            <v>0.4</v>
          </cell>
          <cell r="X4298" t="str">
            <v>EST BANDEJA MATISSE (CIRCULAR) (CARRARA G PINT CINZA CHUMBO) - Ø0,4x0,06H</v>
          </cell>
          <cell r="Y4298">
            <v>3518.32</v>
          </cell>
          <cell r="Z4298">
            <v>0.4</v>
          </cell>
          <cell r="AA4298">
            <v>2110.9920000000002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351065</v>
          </cell>
          <cell r="P4299"/>
          <cell r="Q4299" t="str">
            <v>EST BANDEJA MATISSE (CIRCULAR) (NOGUEIRA) (INOX COOPER)</v>
          </cell>
          <cell r="R4299"/>
          <cell r="S4299"/>
          <cell r="T4299">
            <v>0.3</v>
          </cell>
          <cell r="U4299">
            <v>0</v>
          </cell>
          <cell r="V4299">
            <v>0.06</v>
          </cell>
          <cell r="W4299">
            <v>0.3</v>
          </cell>
          <cell r="X4299" t="str">
            <v>EST BANDEJA MATISSE (CIRCULAR) (NOGUEIRA) (INOX COOPER) - Ø0,3x0,06H</v>
          </cell>
          <cell r="Y4299">
            <v>1733.54</v>
          </cell>
          <cell r="Z4299">
            <v>0.4</v>
          </cell>
          <cell r="AA4299">
            <v>1040.1239999999998</v>
          </cell>
          <cell r="AB4299"/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H4300">
            <v>1</v>
          </cell>
          <cell r="O4300">
            <v>351069</v>
          </cell>
          <cell r="P4300"/>
          <cell r="Q4300" t="str">
            <v>EST BANDEJA MATISSE (DUETTO RUST) (PINT CHAMPAGNE)</v>
          </cell>
          <cell r="R4300"/>
          <cell r="S4300"/>
          <cell r="T4300">
            <v>0.6</v>
          </cell>
          <cell r="U4300">
            <v>0.3</v>
          </cell>
          <cell r="V4300">
            <v>0.06</v>
          </cell>
          <cell r="W4300">
            <v>0</v>
          </cell>
          <cell r="X4300" t="str">
            <v>EST BANDEJA MATISSE (DUETTO RUST) (PINT CHAMPAGNE) - 0,6x0,3x0,06H</v>
          </cell>
          <cell r="Y4300">
            <v>3779.87</v>
          </cell>
          <cell r="Z4300">
            <v>0.4</v>
          </cell>
          <cell r="AA4300">
            <v>2267.9219999999996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351076</v>
          </cell>
          <cell r="P4301"/>
          <cell r="Q4301" t="str">
            <v>EST BANDEJA MATISSE (NOGUEIRA) (INOX COOPER)</v>
          </cell>
          <cell r="R4301"/>
          <cell r="S4301"/>
          <cell r="T4301">
            <v>0.3</v>
          </cell>
          <cell r="U4301">
            <v>0.3</v>
          </cell>
          <cell r="V4301">
            <v>0.06</v>
          </cell>
          <cell r="W4301">
            <v>0</v>
          </cell>
          <cell r="X4301" t="str">
            <v>EST BANDEJA MATISSE (NOGUEIRA) (INOX COOPER) - 0,3x0,3x0,06H</v>
          </cell>
          <cell r="Y4301">
            <v>1733.54</v>
          </cell>
          <cell r="Z4301">
            <v>0.4</v>
          </cell>
          <cell r="AA4301">
            <v>1040.1239999999998</v>
          </cell>
          <cell r="AB4301"/>
        </row>
        <row r="4302">
          <cell r="C4302">
            <v>1</v>
          </cell>
          <cell r="D4302">
            <v>0</v>
          </cell>
          <cell r="E4302">
            <v>0</v>
          </cell>
          <cell r="F4302">
            <v>0</v>
          </cell>
          <cell r="H4302">
            <v>0</v>
          </cell>
          <cell r="O4302">
            <v>351679</v>
          </cell>
          <cell r="P4302"/>
          <cell r="Q4302" t="str">
            <v>EST ALMOFADA CLAMI 1 (PLUMA SINT) (BISTROL CRU/AZUL)</v>
          </cell>
          <cell r="R4302"/>
          <cell r="S4302"/>
          <cell r="T4302">
            <v>0.7</v>
          </cell>
          <cell r="U4302">
            <v>0.3</v>
          </cell>
          <cell r="V4302">
            <v>0.15</v>
          </cell>
          <cell r="W4302">
            <v>0</v>
          </cell>
          <cell r="X4302" t="str">
            <v>EST ALMOFADA CLAMI 1 (PLUMA SINT) (BISTROL CRU/AZUL) - 0,7x0,3x0,15H</v>
          </cell>
          <cell r="Y4302">
            <v>1200</v>
          </cell>
          <cell r="Z4302">
            <v>0.5</v>
          </cell>
          <cell r="AA4302">
            <v>600</v>
          </cell>
          <cell r="AB4302"/>
        </row>
        <row r="4303">
          <cell r="C4303">
            <v>1</v>
          </cell>
          <cell r="D4303">
            <v>0</v>
          </cell>
          <cell r="E4303">
            <v>0</v>
          </cell>
          <cell r="F4303">
            <v>0</v>
          </cell>
          <cell r="H4303">
            <v>0</v>
          </cell>
          <cell r="O4303">
            <v>351680</v>
          </cell>
          <cell r="P4303"/>
          <cell r="Q4303" t="str">
            <v>EST ALMOFADA CLAMI 1 (PLUMA SINT) (BISTROL CRU/AZUL)</v>
          </cell>
          <cell r="R4303"/>
          <cell r="S4303"/>
          <cell r="T4303">
            <v>0.6</v>
          </cell>
          <cell r="U4303">
            <v>0.25</v>
          </cell>
          <cell r="V4303">
            <v>0.15</v>
          </cell>
          <cell r="W4303">
            <v>0</v>
          </cell>
          <cell r="X4303" t="str">
            <v>EST ALMOFADA CLAMI 1 (PLUMA SINT) (BISTROL CRU/AZUL) - 0,6x0,25x0,15H</v>
          </cell>
          <cell r="Y4303">
            <v>500</v>
          </cell>
          <cell r="Z4303">
            <v>0.5</v>
          </cell>
          <cell r="AA4303">
            <v>250</v>
          </cell>
          <cell r="AB4303"/>
        </row>
        <row r="4304">
          <cell r="C4304">
            <v>1</v>
          </cell>
          <cell r="D4304">
            <v>0</v>
          </cell>
          <cell r="E4304">
            <v>0</v>
          </cell>
          <cell r="F4304">
            <v>0</v>
          </cell>
          <cell r="H4304">
            <v>0</v>
          </cell>
          <cell r="O4304">
            <v>351681</v>
          </cell>
          <cell r="P4304"/>
          <cell r="Q4304" t="str">
            <v>EST ALMOFADA CLAMI 1 (PLUMA SINT) (BISTROL CRU/AZUL)</v>
          </cell>
          <cell r="R4304"/>
          <cell r="S4304"/>
          <cell r="T4304">
            <v>0.5</v>
          </cell>
          <cell r="U4304">
            <v>0.35</v>
          </cell>
          <cell r="V4304">
            <v>0.15</v>
          </cell>
          <cell r="W4304">
            <v>0</v>
          </cell>
          <cell r="X4304" t="str">
            <v>EST ALMOFADA CLAMI 1 (PLUMA SINT) (BISTROL CRU/AZUL) - 0,5x0,35x0,15H</v>
          </cell>
          <cell r="Y4304">
            <v>500</v>
          </cell>
          <cell r="Z4304">
            <v>0.5</v>
          </cell>
          <cell r="AA4304">
            <v>250</v>
          </cell>
          <cell r="AB4304"/>
        </row>
        <row r="4305">
          <cell r="C4305">
            <v>1</v>
          </cell>
          <cell r="D4305">
            <v>0</v>
          </cell>
          <cell r="E4305">
            <v>0</v>
          </cell>
          <cell r="F4305">
            <v>0</v>
          </cell>
          <cell r="H4305">
            <v>0</v>
          </cell>
          <cell r="O4305">
            <v>351682</v>
          </cell>
          <cell r="P4305"/>
          <cell r="Q4305" t="str">
            <v>EST ALMOFADA CLAMI 1 (PLUMA SINT) (BISTROL CRU/AZUL)</v>
          </cell>
          <cell r="R4305"/>
          <cell r="S4305"/>
          <cell r="T4305">
            <v>0.4</v>
          </cell>
          <cell r="U4305">
            <v>0.3</v>
          </cell>
          <cell r="V4305">
            <v>0.15</v>
          </cell>
          <cell r="W4305">
            <v>0</v>
          </cell>
          <cell r="X4305" t="str">
            <v>EST ALMOFADA CLAMI 1 (PLUMA SINT) (BISTROL CRU/AZUL) - 0,4x0,3x0,15H</v>
          </cell>
          <cell r="Y4305">
            <v>500</v>
          </cell>
          <cell r="Z4305">
            <v>0.5</v>
          </cell>
          <cell r="AA4305">
            <v>250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351683</v>
          </cell>
          <cell r="P4306"/>
          <cell r="Q4306" t="str">
            <v>EST ALMOFADA CLAMI 1 (PLUMA SINT) (BISTROL CRU/CINZA)</v>
          </cell>
          <cell r="R4306"/>
          <cell r="S4306"/>
          <cell r="T4306">
            <v>0.7</v>
          </cell>
          <cell r="U4306">
            <v>0.3</v>
          </cell>
          <cell r="V4306">
            <v>0.15</v>
          </cell>
          <cell r="W4306">
            <v>0</v>
          </cell>
          <cell r="X4306" t="str">
            <v>EST ALMOFADA CLAMI 1 (PLUMA SINT) (BISTROL CRU/CINZA) - 0,7x0,3x0,15H</v>
          </cell>
          <cell r="Y4306">
            <v>770.52</v>
          </cell>
          <cell r="Z4306">
            <v>0.5</v>
          </cell>
          <cell r="AA4306">
            <v>385.26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1</v>
          </cell>
          <cell r="O4307">
            <v>351684</v>
          </cell>
          <cell r="P4307"/>
          <cell r="Q4307" t="str">
            <v>EST ALMOFADA CLAMI 1 (PLUMA SINT) (BISTROL CRU/CINZA)</v>
          </cell>
          <cell r="R4307"/>
          <cell r="S4307"/>
          <cell r="T4307">
            <v>0.6</v>
          </cell>
          <cell r="U4307">
            <v>0.25</v>
          </cell>
          <cell r="V4307">
            <v>0.15</v>
          </cell>
          <cell r="W4307">
            <v>0</v>
          </cell>
          <cell r="X4307" t="str">
            <v>EST ALMOFADA CLAMI 1 (PLUMA SINT) (BISTROL CRU/CINZA) - 0,6x0,25x0,15H</v>
          </cell>
          <cell r="Y4307">
            <v>550.37</v>
          </cell>
          <cell r="Z4307">
            <v>0.5</v>
          </cell>
          <cell r="AA4307">
            <v>275.185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1</v>
          </cell>
          <cell r="O4308">
            <v>351685</v>
          </cell>
          <cell r="P4308"/>
          <cell r="Q4308" t="str">
            <v>EST ALMOFADA CLAMI 1 (PLUMA SINT) (BISTROL CRU/CINZA)</v>
          </cell>
          <cell r="R4308"/>
          <cell r="S4308"/>
          <cell r="T4308">
            <v>0.5</v>
          </cell>
          <cell r="U4308">
            <v>0.35</v>
          </cell>
          <cell r="V4308">
            <v>0.15</v>
          </cell>
          <cell r="W4308">
            <v>0</v>
          </cell>
          <cell r="X4308" t="str">
            <v>EST ALMOFADA CLAMI 1 (PLUMA SINT) (BISTROL CRU/CINZA) - 0,5x0,35x0,15H</v>
          </cell>
          <cell r="Y4308">
            <v>642.12</v>
          </cell>
          <cell r="Z4308">
            <v>0.5</v>
          </cell>
          <cell r="AA4308">
            <v>321.06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1</v>
          </cell>
          <cell r="O4309">
            <v>351687</v>
          </cell>
          <cell r="P4309"/>
          <cell r="Q4309" t="str">
            <v>EST ALMOFADA CLAMI 1 (PLUMA SINT) (BISTROL CRU/CINZA)</v>
          </cell>
          <cell r="R4309"/>
          <cell r="S4309"/>
          <cell r="T4309">
            <v>0.4</v>
          </cell>
          <cell r="U4309">
            <v>0.3</v>
          </cell>
          <cell r="V4309">
            <v>0.15</v>
          </cell>
          <cell r="W4309">
            <v>0</v>
          </cell>
          <cell r="X4309" t="str">
            <v>EST ALMOFADA CLAMI 1 (PLUMA SINT) (BISTROL CRU/CINZA) - 0,4x0,3x0,15H</v>
          </cell>
          <cell r="Y4309">
            <v>440.29</v>
          </cell>
          <cell r="Z4309">
            <v>0.5</v>
          </cell>
          <cell r="AA4309">
            <v>220.14500000000001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2</v>
          </cell>
          <cell r="O4310">
            <v>351689</v>
          </cell>
          <cell r="P4310"/>
          <cell r="Q4310" t="str">
            <v>EST ALMOFADA CLAMI 1 (PLUMA SINT) (BISTROL NUVEM/CINZA)</v>
          </cell>
          <cell r="R4310"/>
          <cell r="S4310"/>
          <cell r="T4310">
            <v>0.6</v>
          </cell>
          <cell r="U4310">
            <v>0.25</v>
          </cell>
          <cell r="V4310">
            <v>0.15</v>
          </cell>
          <cell r="W4310">
            <v>0</v>
          </cell>
          <cell r="X4310" t="str">
            <v>EST ALMOFADA CLAMI 1 (PLUMA SINT) (BISTROL NUVEM/CINZA) - 0,6x0,25x0,15H</v>
          </cell>
          <cell r="Y4310">
            <v>550.37</v>
          </cell>
          <cell r="Z4310">
            <v>0.5</v>
          </cell>
          <cell r="AA4310">
            <v>275.185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1</v>
          </cell>
          <cell r="H4311">
            <v>1</v>
          </cell>
          <cell r="O4311">
            <v>351690</v>
          </cell>
          <cell r="P4311"/>
          <cell r="Q4311" t="str">
            <v>EST ALMOFADA CLAMI 1 (PLUMA SINT) (BISTROL NUVEM/CINZA)</v>
          </cell>
          <cell r="R4311"/>
          <cell r="S4311"/>
          <cell r="T4311">
            <v>0.5</v>
          </cell>
          <cell r="U4311">
            <v>0.35</v>
          </cell>
          <cell r="V4311">
            <v>0.15</v>
          </cell>
          <cell r="W4311">
            <v>0</v>
          </cell>
          <cell r="X4311" t="str">
            <v>EST ALMOFADA CLAMI 1 (PLUMA SINT) (BISTROL NUVEM/CINZA) - 0,5x0,35x0,15H</v>
          </cell>
          <cell r="Y4311">
            <v>642.12</v>
          </cell>
          <cell r="Z4311">
            <v>0.5</v>
          </cell>
          <cell r="AA4311">
            <v>321.06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2</v>
          </cell>
          <cell r="O4312">
            <v>351691</v>
          </cell>
          <cell r="P4312"/>
          <cell r="Q4312" t="str">
            <v>EST ALMOFADA CLAMI 1 (PLUMA SINT) (BISTROL NUVEM/CINZA)</v>
          </cell>
          <cell r="R4312"/>
          <cell r="S4312"/>
          <cell r="T4312">
            <v>0.4</v>
          </cell>
          <cell r="U4312">
            <v>0.3</v>
          </cell>
          <cell r="V4312">
            <v>0.15</v>
          </cell>
          <cell r="W4312">
            <v>0</v>
          </cell>
          <cell r="X4312" t="str">
            <v>EST ALMOFADA CLAMI 1 (PLUMA SINT) (BISTROL NUVEM/CINZA) - 0,4x0,3x0,15H</v>
          </cell>
          <cell r="Y4312">
            <v>440.29</v>
          </cell>
          <cell r="Z4312">
            <v>0.5</v>
          </cell>
          <cell r="AA4312">
            <v>220.14500000000001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1</v>
          </cell>
          <cell r="O4313">
            <v>351692</v>
          </cell>
          <cell r="P4313"/>
          <cell r="Q4313" t="str">
            <v>EST ALMOFADA CLAMI 1 (PLUMA SINT) (BISTROL NUVEM/CRU)</v>
          </cell>
          <cell r="R4313"/>
          <cell r="S4313"/>
          <cell r="T4313">
            <v>0.7</v>
          </cell>
          <cell r="U4313">
            <v>0.3</v>
          </cell>
          <cell r="V4313">
            <v>0.15</v>
          </cell>
          <cell r="W4313">
            <v>0</v>
          </cell>
          <cell r="X4313" t="str">
            <v>EST ALMOFADA CLAMI 1 (PLUMA SINT) (BISTROL NUVEM/CRU) - 0,7x0,3x0,15H</v>
          </cell>
          <cell r="Y4313">
            <v>770.52</v>
          </cell>
          <cell r="Z4313">
            <v>0.5</v>
          </cell>
          <cell r="AA4313">
            <v>385.26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2</v>
          </cell>
          <cell r="O4314">
            <v>351693</v>
          </cell>
          <cell r="P4314"/>
          <cell r="Q4314" t="str">
            <v>EST ALMOFADA CLAMI 1 (PLUMA SINT) (BISTROL NUVEM/CRU)</v>
          </cell>
          <cell r="R4314"/>
          <cell r="S4314"/>
          <cell r="T4314">
            <v>0.6</v>
          </cell>
          <cell r="U4314">
            <v>0.25</v>
          </cell>
          <cell r="V4314">
            <v>0.15</v>
          </cell>
          <cell r="W4314">
            <v>0</v>
          </cell>
          <cell r="X4314" t="str">
            <v>EST ALMOFADA CLAMI 1 (PLUMA SINT) (BISTROL NUVEM/CRU) - 0,6x0,25x0,15H</v>
          </cell>
          <cell r="Y4314">
            <v>550.37</v>
          </cell>
          <cell r="Z4314">
            <v>0.5</v>
          </cell>
          <cell r="AA4314">
            <v>275.185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1</v>
          </cell>
          <cell r="H4315">
            <v>1</v>
          </cell>
          <cell r="O4315">
            <v>351694</v>
          </cell>
          <cell r="P4315"/>
          <cell r="Q4315" t="str">
            <v>EST ALMOFADA CLAMI 1 (PLUMA SINT) (BISTROL NUVEM/CRU)</v>
          </cell>
          <cell r="R4315"/>
          <cell r="S4315"/>
          <cell r="T4315">
            <v>0.5</v>
          </cell>
          <cell r="U4315">
            <v>0.35</v>
          </cell>
          <cell r="V4315">
            <v>0.15</v>
          </cell>
          <cell r="W4315">
            <v>0</v>
          </cell>
          <cell r="X4315" t="str">
            <v>EST ALMOFADA CLAMI 1 (PLUMA SINT) (BISTROL NUVEM/CRU) - 0,5x0,35x0,15H</v>
          </cell>
          <cell r="Y4315">
            <v>642.12</v>
          </cell>
          <cell r="Z4315">
            <v>0.5</v>
          </cell>
          <cell r="AA4315">
            <v>321.06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351695</v>
          </cell>
          <cell r="P4316"/>
          <cell r="Q4316" t="str">
            <v>EST ALMOFADA CLAMI 1 (PLUMA SINT) (BISTROL NUVEM/CRU)</v>
          </cell>
          <cell r="R4316"/>
          <cell r="S4316"/>
          <cell r="T4316">
            <v>0.4</v>
          </cell>
          <cell r="U4316">
            <v>0.3</v>
          </cell>
          <cell r="V4316">
            <v>0.15</v>
          </cell>
          <cell r="W4316">
            <v>0</v>
          </cell>
          <cell r="X4316" t="str">
            <v>EST ALMOFADA CLAMI 1 (PLUMA SINT) (BISTROL NUVEM/CRU) - 0,4x0,3x0,15H</v>
          </cell>
          <cell r="Y4316">
            <v>440.29</v>
          </cell>
          <cell r="Z4316">
            <v>0.5</v>
          </cell>
          <cell r="AA4316">
            <v>220.14500000000001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351697</v>
          </cell>
          <cell r="P4317"/>
          <cell r="Q4317" t="str">
            <v>EST ALMOFADA CLAMI 2 (PLUMA SINT) (BISTROL NUVEM/CINZA)</v>
          </cell>
          <cell r="R4317"/>
          <cell r="S4317"/>
          <cell r="T4317">
            <v>0.6</v>
          </cell>
          <cell r="U4317">
            <v>0.25</v>
          </cell>
          <cell r="V4317">
            <v>0.15</v>
          </cell>
          <cell r="W4317">
            <v>0</v>
          </cell>
          <cell r="X4317" t="str">
            <v>EST ALMOFADA CLAMI 2 (PLUMA SINT) (BISTROL NUVEM/CINZA) - 0,6x0,25x0,15H</v>
          </cell>
          <cell r="Y4317">
            <v>550.37</v>
          </cell>
          <cell r="Z4317">
            <v>0.5</v>
          </cell>
          <cell r="AA4317">
            <v>275.185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351698</v>
          </cell>
          <cell r="P4318"/>
          <cell r="Q4318" t="str">
            <v>EST ALMOFADA CLAMI 2 (PLUMA SINT) (BISTROL NUVEM/CINZA)</v>
          </cell>
          <cell r="R4318"/>
          <cell r="S4318"/>
          <cell r="T4318">
            <v>0.5</v>
          </cell>
          <cell r="U4318">
            <v>0.35</v>
          </cell>
          <cell r="V4318">
            <v>0.15</v>
          </cell>
          <cell r="W4318">
            <v>0</v>
          </cell>
          <cell r="X4318" t="str">
            <v>EST ALMOFADA CLAMI 2 (PLUMA SINT) (BISTROL NUVEM/CINZA) - 0,5x0,35x0,15H</v>
          </cell>
          <cell r="Y4318">
            <v>642.12</v>
          </cell>
          <cell r="Z4318">
            <v>0.5</v>
          </cell>
          <cell r="AA4318">
            <v>321.06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1</v>
          </cell>
          <cell r="H4319">
            <v>1</v>
          </cell>
          <cell r="O4319">
            <v>351699</v>
          </cell>
          <cell r="P4319"/>
          <cell r="Q4319" t="str">
            <v>EST ALMOFADA CLAMI 2 (PLUMA SINT) (BISTROL NUVEM/CINZA)</v>
          </cell>
          <cell r="R4319"/>
          <cell r="S4319"/>
          <cell r="T4319">
            <v>0.4</v>
          </cell>
          <cell r="U4319">
            <v>0.3</v>
          </cell>
          <cell r="V4319">
            <v>0.15</v>
          </cell>
          <cell r="W4319">
            <v>0</v>
          </cell>
          <cell r="X4319" t="str">
            <v>EST ALMOFADA CLAMI 2 (PLUMA SINT) (BISTROL NUVEM/CINZA) - 0,4x0,3x0,15H</v>
          </cell>
          <cell r="Y4319">
            <v>440.29</v>
          </cell>
          <cell r="Z4319">
            <v>0.5</v>
          </cell>
          <cell r="AA4319">
            <v>220.14500000000001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1</v>
          </cell>
          <cell r="H4320">
            <v>1</v>
          </cell>
          <cell r="O4320">
            <v>351701</v>
          </cell>
          <cell r="P4320"/>
          <cell r="Q4320" t="str">
            <v>EST ALMOFADA CLAMI 2 (PLUMA SINT) (BISTROL NUVEM/CRU)</v>
          </cell>
          <cell r="R4320"/>
          <cell r="S4320"/>
          <cell r="T4320">
            <v>0.6</v>
          </cell>
          <cell r="U4320">
            <v>0.25</v>
          </cell>
          <cell r="V4320">
            <v>0.15</v>
          </cell>
          <cell r="W4320">
            <v>0</v>
          </cell>
          <cell r="X4320" t="str">
            <v>EST ALMOFADA CLAMI 2 (PLUMA SINT) (BISTROL NUVEM/CRU) - 0,6x0,25x0,15H</v>
          </cell>
          <cell r="Y4320">
            <v>550.37</v>
          </cell>
          <cell r="Z4320">
            <v>0.5</v>
          </cell>
          <cell r="AA4320">
            <v>275.185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1</v>
          </cell>
          <cell r="H4321">
            <v>1</v>
          </cell>
          <cell r="O4321">
            <v>351702</v>
          </cell>
          <cell r="P4321"/>
          <cell r="Q4321" t="str">
            <v>EST ALMOFADA CLAMI 2 (PLUMA SINT) (BISTROL NUVEM/CRU)</v>
          </cell>
          <cell r="R4321"/>
          <cell r="S4321"/>
          <cell r="T4321">
            <v>0.5</v>
          </cell>
          <cell r="U4321">
            <v>0.35</v>
          </cell>
          <cell r="V4321">
            <v>0.15</v>
          </cell>
          <cell r="W4321">
            <v>0</v>
          </cell>
          <cell r="X4321" t="str">
            <v>EST ALMOFADA CLAMI 2 (PLUMA SINT) (BISTROL NUVEM/CRU) - 0,5x0,35x0,15H</v>
          </cell>
          <cell r="Y4321">
            <v>642.12</v>
          </cell>
          <cell r="Z4321">
            <v>0.5</v>
          </cell>
          <cell r="AA4321">
            <v>321.06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1</v>
          </cell>
          <cell r="H4322">
            <v>1</v>
          </cell>
          <cell r="O4322">
            <v>351703</v>
          </cell>
          <cell r="P4322"/>
          <cell r="Q4322" t="str">
            <v>EST ALMOFADA CLAMI 2 (PLUMA SINT) (BISTROL NUVEM/CRU)</v>
          </cell>
          <cell r="R4322"/>
          <cell r="S4322"/>
          <cell r="T4322">
            <v>0.4</v>
          </cell>
          <cell r="U4322">
            <v>0.3</v>
          </cell>
          <cell r="V4322">
            <v>0.15</v>
          </cell>
          <cell r="W4322">
            <v>0</v>
          </cell>
          <cell r="X4322" t="str">
            <v>EST ALMOFADA CLAMI 2 (PLUMA SINT) (BISTROL NUVEM/CRU) - 0,4x0,3x0,15H</v>
          </cell>
          <cell r="Y4322">
            <v>440.29</v>
          </cell>
          <cell r="Z4322">
            <v>0.5</v>
          </cell>
          <cell r="AA4322">
            <v>220.14500000000001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351704</v>
          </cell>
          <cell r="P4323"/>
          <cell r="Q4323" t="str">
            <v>EST ALMOFADA CLAMI 1 (PLUMA SINT) (BISTROL MARROM/CRU)</v>
          </cell>
          <cell r="R4323"/>
          <cell r="S4323"/>
          <cell r="T4323">
            <v>0.7</v>
          </cell>
          <cell r="U4323">
            <v>0.3</v>
          </cell>
          <cell r="V4323">
            <v>0.15</v>
          </cell>
          <cell r="W4323">
            <v>0</v>
          </cell>
          <cell r="X4323" t="str">
            <v>EST ALMOFADA CLAMI 1 (PLUMA SINT) (BISTROL MARROM/CRU) - 0,7x0,3x0,15H</v>
          </cell>
          <cell r="Y4323">
            <v>770.52</v>
          </cell>
          <cell r="Z4323">
            <v>0.5</v>
          </cell>
          <cell r="AA4323">
            <v>385.26</v>
          </cell>
          <cell r="AB4323"/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H4324">
            <v>1</v>
          </cell>
          <cell r="O4324">
            <v>351705</v>
          </cell>
          <cell r="P4324"/>
          <cell r="Q4324" t="str">
            <v>EST ALMOFADA CLAMI 1 (PLUMA SINT) (BISTROL MARROM/CRU)</v>
          </cell>
          <cell r="R4324"/>
          <cell r="S4324"/>
          <cell r="T4324">
            <v>0.6</v>
          </cell>
          <cell r="U4324">
            <v>0.25</v>
          </cell>
          <cell r="V4324">
            <v>0.15</v>
          </cell>
          <cell r="W4324">
            <v>0</v>
          </cell>
          <cell r="X4324" t="str">
            <v>EST ALMOFADA CLAMI 1 (PLUMA SINT) (BISTROL MARROM/CRU) - 0,6x0,25x0,15H</v>
          </cell>
          <cell r="Y4324">
            <v>550.37</v>
          </cell>
          <cell r="Z4324">
            <v>0.5</v>
          </cell>
          <cell r="AA4324">
            <v>275.185</v>
          </cell>
          <cell r="AB4324"/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H4325">
            <v>1</v>
          </cell>
          <cell r="O4325">
            <v>351708</v>
          </cell>
          <cell r="P4325"/>
          <cell r="Q4325" t="str">
            <v>EST ALMOFADA CLAMI 1 (PLUMA SINT) (PALLA CINZA/MARINHO)</v>
          </cell>
          <cell r="R4325"/>
          <cell r="S4325"/>
          <cell r="T4325">
            <v>0.7</v>
          </cell>
          <cell r="U4325">
            <v>0.3</v>
          </cell>
          <cell r="V4325">
            <v>0.15</v>
          </cell>
          <cell r="W4325">
            <v>0</v>
          </cell>
          <cell r="X4325" t="str">
            <v>EST ALMOFADA CLAMI 1 (PLUMA SINT) (PALLA CINZA/MARINHO) - 0,7x0,3x0,15H</v>
          </cell>
          <cell r="Y4325">
            <v>770.52</v>
          </cell>
          <cell r="Z4325">
            <v>0.5</v>
          </cell>
          <cell r="AA4325">
            <v>385.26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351709</v>
          </cell>
          <cell r="P4326"/>
          <cell r="Q4326" t="str">
            <v>EST ALMOFADA CLAMI 1 (PLUMA SINT) (PALLA CINZA/MARINHO)</v>
          </cell>
          <cell r="R4326"/>
          <cell r="S4326"/>
          <cell r="T4326">
            <v>0.6</v>
          </cell>
          <cell r="U4326">
            <v>0.25</v>
          </cell>
          <cell r="V4326">
            <v>0.15</v>
          </cell>
          <cell r="W4326">
            <v>0</v>
          </cell>
          <cell r="X4326" t="str">
            <v>EST ALMOFADA CLAMI 1 (PLUMA SINT) (PALLA CINZA/MARINHO) - 0,6x0,25x0,15H</v>
          </cell>
          <cell r="Y4326">
            <v>550.37</v>
          </cell>
          <cell r="Z4326">
            <v>0.5</v>
          </cell>
          <cell r="AA4326">
            <v>275.185</v>
          </cell>
          <cell r="AB4326"/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H4327">
            <v>1</v>
          </cell>
          <cell r="O4327">
            <v>351712</v>
          </cell>
          <cell r="P4327"/>
          <cell r="Q4327" t="str">
            <v>EST ALMOFADA CLAMI 1 (PLUMA SINT) (1341-1 CINZA/CRU)</v>
          </cell>
          <cell r="R4327"/>
          <cell r="S4327"/>
          <cell r="T4327">
            <v>0.7</v>
          </cell>
          <cell r="U4327">
            <v>0.3</v>
          </cell>
          <cell r="V4327">
            <v>0.15</v>
          </cell>
          <cell r="W4327">
            <v>0</v>
          </cell>
          <cell r="X4327" t="str">
            <v>EST ALMOFADA CLAMI 1 (PLUMA SINT) (1341-1 CINZA/CRU) - 0,7x0,3x0,15H</v>
          </cell>
          <cell r="Y4327">
            <v>770.52</v>
          </cell>
          <cell r="Z4327">
            <v>0.5</v>
          </cell>
          <cell r="AA4327">
            <v>385.26</v>
          </cell>
          <cell r="AB4327"/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H4328">
            <v>1</v>
          </cell>
          <cell r="O4328">
            <v>351713</v>
          </cell>
          <cell r="P4328"/>
          <cell r="Q4328" t="str">
            <v>EST ALMOFADA CLAMI 1 (PLUMA SINT) (1341-1 CINZA/CRU)</v>
          </cell>
          <cell r="R4328"/>
          <cell r="S4328"/>
          <cell r="T4328">
            <v>0.6</v>
          </cell>
          <cell r="U4328">
            <v>0.25</v>
          </cell>
          <cell r="V4328">
            <v>0.15</v>
          </cell>
          <cell r="W4328">
            <v>0</v>
          </cell>
          <cell r="X4328" t="str">
            <v>EST ALMOFADA CLAMI 1 (PLUMA SINT) (1341-1 CINZA/CRU) - 0,6x0,25x0,15H</v>
          </cell>
          <cell r="Y4328">
            <v>550.37</v>
          </cell>
          <cell r="Z4328">
            <v>0.5</v>
          </cell>
          <cell r="AA4328">
            <v>275.185</v>
          </cell>
          <cell r="AB4328"/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H4329">
            <v>1</v>
          </cell>
          <cell r="O4329">
            <v>351715</v>
          </cell>
          <cell r="P4329"/>
          <cell r="Q4329" t="str">
            <v>EST ALMOFADA CLAMI 1 (PLUMA SINT) (MOHAVE CINZA/MARROM)</v>
          </cell>
          <cell r="R4329"/>
          <cell r="S4329"/>
          <cell r="T4329">
            <v>0.7</v>
          </cell>
          <cell r="U4329">
            <v>0.3</v>
          </cell>
          <cell r="V4329">
            <v>0.15</v>
          </cell>
          <cell r="W4329">
            <v>0</v>
          </cell>
          <cell r="X4329" t="str">
            <v>EST ALMOFADA CLAMI 1 (PLUMA SINT) (MOHAVE CINZA/MARROM) - 0,7x0,3x0,15H</v>
          </cell>
          <cell r="Y4329">
            <v>770.52</v>
          </cell>
          <cell r="Z4329">
            <v>0.5</v>
          </cell>
          <cell r="AA4329">
            <v>385.26</v>
          </cell>
          <cell r="AB4329"/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H4330">
            <v>1</v>
          </cell>
          <cell r="O4330">
            <v>351716</v>
          </cell>
          <cell r="P4330"/>
          <cell r="Q4330" t="str">
            <v>EST ALMOFADA CLAMI 1 (PLUMA SINT) (MOHAVE CINZA/MARROM)</v>
          </cell>
          <cell r="R4330"/>
          <cell r="S4330"/>
          <cell r="T4330">
            <v>0.6</v>
          </cell>
          <cell r="U4330">
            <v>0.25</v>
          </cell>
          <cell r="V4330">
            <v>0.15</v>
          </cell>
          <cell r="W4330">
            <v>0</v>
          </cell>
          <cell r="X4330" t="str">
            <v>EST ALMOFADA CLAMI 1 (PLUMA SINT) (MOHAVE CINZA/MARROM) - 0,6x0,25x0,15H</v>
          </cell>
          <cell r="Y4330">
            <v>550.37</v>
          </cell>
          <cell r="Z4330">
            <v>0.5</v>
          </cell>
          <cell r="AA4330">
            <v>275.185</v>
          </cell>
          <cell r="AB4330"/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H4331">
            <v>1</v>
          </cell>
          <cell r="O4331">
            <v>351717</v>
          </cell>
          <cell r="P4331"/>
          <cell r="Q4331" t="str">
            <v>EST ALMOFADA CLAMI 1 (PLUMA SINT) (MOHAVE CINZA/CINZA)</v>
          </cell>
          <cell r="R4331"/>
          <cell r="S4331"/>
          <cell r="T4331">
            <v>0.7</v>
          </cell>
          <cell r="U4331">
            <v>0.3</v>
          </cell>
          <cell r="V4331">
            <v>0.15</v>
          </cell>
          <cell r="W4331">
            <v>0</v>
          </cell>
          <cell r="X4331" t="str">
            <v>EST ALMOFADA CLAMI 1 (PLUMA SINT) (MOHAVE CINZA/CINZA) - 0,7x0,3x0,15H</v>
          </cell>
          <cell r="Y4331">
            <v>770.52</v>
          </cell>
          <cell r="Z4331">
            <v>0.5</v>
          </cell>
          <cell r="AA4331">
            <v>385.26</v>
          </cell>
          <cell r="AB4331"/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H4332">
            <v>1</v>
          </cell>
          <cell r="O4332">
            <v>351718</v>
          </cell>
          <cell r="P4332"/>
          <cell r="Q4332" t="str">
            <v>EST ALMOFADA CLAMI 1 (PLUMA SINT) (MOHAVE CINZA/CINZA)</v>
          </cell>
          <cell r="R4332"/>
          <cell r="S4332"/>
          <cell r="T4332">
            <v>0.6</v>
          </cell>
          <cell r="U4332">
            <v>0.25</v>
          </cell>
          <cell r="V4332">
            <v>0.15</v>
          </cell>
          <cell r="W4332">
            <v>0</v>
          </cell>
          <cell r="X4332" t="str">
            <v>EST ALMOFADA CLAMI 1 (PLUMA SINT) (MOHAVE CINZA/CINZA) - 0,6x0,25x0,15H</v>
          </cell>
          <cell r="Y4332">
            <v>550.37</v>
          </cell>
          <cell r="Z4332">
            <v>0.5</v>
          </cell>
          <cell r="AA4332">
            <v>275.185</v>
          </cell>
          <cell r="AB4332"/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H4333">
            <v>2</v>
          </cell>
          <cell r="O4333">
            <v>351722</v>
          </cell>
          <cell r="P4333"/>
          <cell r="Q4333" t="str">
            <v>EST ALMOFADA CLAMI 1 (PLUMA SINT) (MAQUINETADO CRU/PRETO)</v>
          </cell>
          <cell r="R4333"/>
          <cell r="S4333"/>
          <cell r="T4333">
            <v>0.4</v>
          </cell>
          <cell r="U4333">
            <v>0.3</v>
          </cell>
          <cell r="V4333">
            <v>0.15</v>
          </cell>
          <cell r="W4333">
            <v>0</v>
          </cell>
          <cell r="X4333" t="str">
            <v>EST ALMOFADA CLAMI 1 (PLUMA SINT) (MAQUINETADO CRU/PRETO) - 0,4x0,3x0,15H</v>
          </cell>
          <cell r="Y4333">
            <v>440.29</v>
          </cell>
          <cell r="Z4333">
            <v>0.5</v>
          </cell>
          <cell r="AA4333">
            <v>220.14500000000001</v>
          </cell>
          <cell r="AB4333"/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H4334">
            <v>2</v>
          </cell>
          <cell r="O4334">
            <v>351724</v>
          </cell>
          <cell r="P4334"/>
          <cell r="Q4334" t="str">
            <v>EST ALMOFADA CLAMI 2 (PLUMA SINT) (MAQUINETADO CRU/PRETO)</v>
          </cell>
          <cell r="R4334"/>
          <cell r="S4334"/>
          <cell r="T4334">
            <v>0.6</v>
          </cell>
          <cell r="U4334">
            <v>0.25</v>
          </cell>
          <cell r="V4334">
            <v>0.15</v>
          </cell>
          <cell r="W4334">
            <v>0</v>
          </cell>
          <cell r="X4334" t="str">
            <v>EST ALMOFADA CLAMI 2 (PLUMA SINT) (MAQUINETADO CRU/PRETO) - 0,6x0,25x0,15H</v>
          </cell>
          <cell r="Y4334">
            <v>550.37</v>
          </cell>
          <cell r="Z4334">
            <v>0.5</v>
          </cell>
          <cell r="AA4334">
            <v>275.185</v>
          </cell>
          <cell r="AB4334"/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1</v>
          </cell>
          <cell r="H4335">
            <v>1</v>
          </cell>
          <cell r="O4335">
            <v>351725</v>
          </cell>
          <cell r="P4335"/>
          <cell r="Q4335" t="str">
            <v>EST ALMOFADA CLAMI 2 (PLUMA SINT) (MAQUINETADO CRU/PRETO)</v>
          </cell>
          <cell r="R4335"/>
          <cell r="S4335"/>
          <cell r="T4335">
            <v>0.5</v>
          </cell>
          <cell r="U4335">
            <v>0.35</v>
          </cell>
          <cell r="V4335">
            <v>0.15</v>
          </cell>
          <cell r="W4335">
            <v>0</v>
          </cell>
          <cell r="X4335" t="str">
            <v>EST ALMOFADA CLAMI 2 (PLUMA SINT) (MAQUINETADO CRU/PRETO) - 0,5x0,35x0,15H</v>
          </cell>
          <cell r="Y4335">
            <v>642.12</v>
          </cell>
          <cell r="Z4335">
            <v>0.5</v>
          </cell>
          <cell r="AA4335">
            <v>321.06</v>
          </cell>
          <cell r="AB4335"/>
        </row>
        <row r="4336">
          <cell r="C4336">
            <v>0</v>
          </cell>
          <cell r="D4336">
            <v>2</v>
          </cell>
          <cell r="E4336">
            <v>0</v>
          </cell>
          <cell r="F4336">
            <v>0</v>
          </cell>
          <cell r="H4336">
            <v>0</v>
          </cell>
          <cell r="O4336">
            <v>351726</v>
          </cell>
          <cell r="P4336"/>
          <cell r="Q4336" t="str">
            <v>EST ALMOFADA CLAMI 2 (PLUMA SINT) (MAQUINETADO CRU/PRETO)</v>
          </cell>
          <cell r="R4336"/>
          <cell r="S4336"/>
          <cell r="T4336">
            <v>0.4</v>
          </cell>
          <cell r="U4336">
            <v>0.3</v>
          </cell>
          <cell r="V4336">
            <v>0.15</v>
          </cell>
          <cell r="W4336">
            <v>0</v>
          </cell>
          <cell r="X4336" t="str">
            <v>EST ALMOFADA CLAMI 2 (PLUMA SINT) (MAQUINETADO CRU/PRETO) - 0,4x0,3x0,15H</v>
          </cell>
          <cell r="Y4336">
            <v>440.29</v>
          </cell>
          <cell r="Z4336">
            <v>0.5</v>
          </cell>
          <cell r="AA4336">
            <v>220.14500000000001</v>
          </cell>
          <cell r="AB4336"/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H4337">
            <v>1</v>
          </cell>
          <cell r="O4337">
            <v>353120</v>
          </cell>
          <cell r="P4337" t="str">
            <v>2022/266-0031-01</v>
          </cell>
          <cell r="Q4337" t="str">
            <v>EST POLTRONA PIAF FX E5118 (MTX PRETO)</v>
          </cell>
          <cell r="R4337"/>
          <cell r="S4337"/>
          <cell r="T4337">
            <v>0.75</v>
          </cell>
          <cell r="U4337">
            <v>0.74</v>
          </cell>
          <cell r="V4337">
            <v>0.75</v>
          </cell>
          <cell r="W4337">
            <v>0</v>
          </cell>
          <cell r="X4337" t="str">
            <v>EST POLTRONA PIAF FX E5118 (MTX PRETO) - 0,75x0,74x0,75H</v>
          </cell>
          <cell r="Y4337">
            <v>8576.51</v>
          </cell>
          <cell r="Z4337">
            <v>0.5</v>
          </cell>
          <cell r="AA4337">
            <v>4288.2550000000001</v>
          </cell>
          <cell r="AB4337"/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H4338">
            <v>1</v>
          </cell>
          <cell r="O4338">
            <v>353120</v>
          </cell>
          <cell r="P4338" t="str">
            <v>2022/266-0032-01</v>
          </cell>
          <cell r="Q4338" t="str">
            <v>EST POLTRONA PIAF FX E5118 (MTX PRETO)</v>
          </cell>
          <cell r="R4338"/>
          <cell r="S4338"/>
          <cell r="T4338">
            <v>0.75</v>
          </cell>
          <cell r="U4338">
            <v>0.74</v>
          </cell>
          <cell r="V4338">
            <v>0.75</v>
          </cell>
          <cell r="W4338">
            <v>0</v>
          </cell>
          <cell r="X4338" t="str">
            <v>EST POLTRONA PIAF FX E5118 (MTX PRETO) - 0,75x0,74x0,75H</v>
          </cell>
          <cell r="Y4338">
            <v>8576.51</v>
          </cell>
          <cell r="Z4338">
            <v>0.5</v>
          </cell>
          <cell r="AA4338">
            <v>4288.2550000000001</v>
          </cell>
          <cell r="AB4338"/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H4339">
            <v>1</v>
          </cell>
          <cell r="O4339">
            <v>353142</v>
          </cell>
          <cell r="P4339" t="str">
            <v>2022/262-0058-01</v>
          </cell>
          <cell r="Q4339" t="str">
            <v>EST MODULO PUFF CANTO TARANTO TC B2206/VRNZ EBNZ</v>
          </cell>
          <cell r="R4339"/>
          <cell r="S4339"/>
          <cell r="T4339">
            <v>1</v>
          </cell>
          <cell r="U4339">
            <v>1</v>
          </cell>
          <cell r="V4339">
            <v>0.52</v>
          </cell>
          <cell r="W4339">
            <v>0</v>
          </cell>
          <cell r="X4339" t="str">
            <v>EST MODULO PUFF CANTO TARANTO TC B2206/VRNZ EBNZ - 1x1x0,52H</v>
          </cell>
          <cell r="Y4339">
            <v>10515.32</v>
          </cell>
          <cell r="Z4339">
            <v>0.5</v>
          </cell>
          <cell r="AA4339">
            <v>5257.66</v>
          </cell>
          <cell r="AB4339"/>
        </row>
        <row r="4340">
          <cell r="C4340">
            <v>0</v>
          </cell>
          <cell r="D4340">
            <v>1</v>
          </cell>
          <cell r="E4340">
            <v>0</v>
          </cell>
          <cell r="F4340">
            <v>0</v>
          </cell>
          <cell r="H4340">
            <v>2</v>
          </cell>
          <cell r="O4340">
            <v>354570</v>
          </cell>
          <cell r="P4340" t="str">
            <v>2022/245-0018-01</v>
          </cell>
          <cell r="Q4340" t="str">
            <v>EST TAPETE MATISSE WAVES ROUND 2 (LAT) (10MM) F:1280/D:73</v>
          </cell>
          <cell r="R4340"/>
          <cell r="S4340"/>
          <cell r="T4340">
            <v>3</v>
          </cell>
          <cell r="U4340">
            <v>0</v>
          </cell>
          <cell r="V4340">
            <v>0.01</v>
          </cell>
          <cell r="W4340">
            <v>3</v>
          </cell>
          <cell r="X4340" t="str">
            <v>EST TAPETE MATISSE WAVES ROUND 2 (LAT) (10MM) F:1280/D:73 - Ø3x0,01H</v>
          </cell>
          <cell r="Y4340">
            <v>26046.720000000001</v>
          </cell>
          <cell r="Z4340">
            <v>0.5</v>
          </cell>
          <cell r="AA4340">
            <v>13023.36</v>
          </cell>
          <cell r="AB4340"/>
        </row>
        <row r="4341">
          <cell r="C4341">
            <v>0</v>
          </cell>
          <cell r="D4341">
            <v>1</v>
          </cell>
          <cell r="E4341">
            <v>0</v>
          </cell>
          <cell r="F4341">
            <v>0</v>
          </cell>
          <cell r="H4341">
            <v>2</v>
          </cell>
          <cell r="O4341">
            <v>354570</v>
          </cell>
          <cell r="P4341" t="str">
            <v>2022/245-0017-01</v>
          </cell>
          <cell r="Q4341" t="str">
            <v>EST TAPETE MATISSE WAVES ROUND 2 (LAT) (10MM) F:1280/D:73</v>
          </cell>
          <cell r="R4341"/>
          <cell r="S4341"/>
          <cell r="T4341">
            <v>3</v>
          </cell>
          <cell r="U4341">
            <v>0</v>
          </cell>
          <cell r="V4341">
            <v>0.01</v>
          </cell>
          <cell r="W4341">
            <v>3</v>
          </cell>
          <cell r="X4341" t="str">
            <v>EST TAPETE MATISSE WAVES ROUND 2 (LAT) (10MM) F:1280/D:73 - Ø3x0,01H</v>
          </cell>
          <cell r="Y4341">
            <v>26046.720000000001</v>
          </cell>
          <cell r="Z4341">
            <v>0.5</v>
          </cell>
          <cell r="AA4341">
            <v>13023.36</v>
          </cell>
          <cell r="AB4341"/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H4342">
            <v>1</v>
          </cell>
          <cell r="O4342">
            <v>354853</v>
          </cell>
          <cell r="P4342" t="str">
            <v>2022/3230-003-01</v>
          </cell>
          <cell r="Q4342" t="str">
            <v>EST MODULO PUFF CANTO 90 LENCOIS M (RVST) (COURO CH 32)</v>
          </cell>
          <cell r="R4342"/>
          <cell r="S4342"/>
          <cell r="T4342">
            <v>1</v>
          </cell>
          <cell r="U4342">
            <v>1</v>
          </cell>
          <cell r="V4342">
            <v>0.38</v>
          </cell>
          <cell r="W4342">
            <v>0</v>
          </cell>
          <cell r="X4342" t="str">
            <v>EST MODULO PUFF CANTO 90 LENCOIS M (RVST) (COURO CH 32) - 1x1x0,38H</v>
          </cell>
          <cell r="Y4342">
            <v>11660.1</v>
          </cell>
          <cell r="Z4342">
            <v>0.5</v>
          </cell>
          <cell r="AA4342">
            <v>5830.05</v>
          </cell>
          <cell r="AB4342"/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H4343">
            <v>1</v>
          </cell>
          <cell r="O4343">
            <v>354854</v>
          </cell>
          <cell r="P4343" t="str">
            <v>2022/3230-004-01</v>
          </cell>
          <cell r="Q4343" t="str">
            <v>EST MODULO ENCOSTO RETO LENCOIS M (LISO) (COURO CH 32)</v>
          </cell>
          <cell r="R4343"/>
          <cell r="S4343"/>
          <cell r="T4343">
            <v>0.7</v>
          </cell>
          <cell r="U4343">
            <v>0.26</v>
          </cell>
          <cell r="V4343">
            <v>0.26</v>
          </cell>
          <cell r="W4343">
            <v>0</v>
          </cell>
          <cell r="X4343" t="str">
            <v>EST MODULO ENCOSTO RETO LENCOIS M (LISO) (COURO CH 32) - 0,7x0,26x0,26H</v>
          </cell>
          <cell r="Y4343">
            <v>5006.5300000000007</v>
          </cell>
          <cell r="Z4343">
            <v>0.5</v>
          </cell>
          <cell r="AA4343">
            <v>2503.2650000000003</v>
          </cell>
          <cell r="AB4343"/>
        </row>
        <row r="4344">
          <cell r="C4344">
            <v>1</v>
          </cell>
          <cell r="D4344">
            <v>0</v>
          </cell>
          <cell r="E4344">
            <v>0</v>
          </cell>
          <cell r="F4344">
            <v>0</v>
          </cell>
          <cell r="H4344">
            <v>0</v>
          </cell>
          <cell r="O4344">
            <v>357130</v>
          </cell>
          <cell r="P4344" t="str">
            <v>2022/342-0057-01</v>
          </cell>
          <cell r="Q4344" t="str">
            <v>EST ESCRIVANINHA REGIA (LAMINA 2 NOGUEIRA)</v>
          </cell>
          <cell r="R4344"/>
          <cell r="S4344"/>
          <cell r="T4344">
            <v>1.8</v>
          </cell>
          <cell r="U4344">
            <v>0.7</v>
          </cell>
          <cell r="V4344">
            <v>0.75</v>
          </cell>
          <cell r="W4344">
            <v>0</v>
          </cell>
          <cell r="X4344" t="str">
            <v>EST ESCRIVANINHA REGIA (LAMINA 2 NOGUEIRA) - 1,8x0,7x0,75H</v>
          </cell>
          <cell r="Y4344">
            <v>32360.52</v>
          </cell>
          <cell r="Z4344">
            <v>0.5</v>
          </cell>
          <cell r="AA4344">
            <v>16180.26</v>
          </cell>
          <cell r="AB4344"/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H4345">
            <v>0</v>
          </cell>
          <cell r="O4345">
            <v>357397</v>
          </cell>
          <cell r="P4345" t="str">
            <v>2022/329-0009-01</v>
          </cell>
          <cell r="Q4345" t="str">
            <v>EST POLTRONA AGHATA PLUS (GIRATORI) (MTX PRETO) FX D4220</v>
          </cell>
          <cell r="R4345"/>
          <cell r="S4345"/>
          <cell r="T4345">
            <v>0.68</v>
          </cell>
          <cell r="U4345">
            <v>0.8</v>
          </cell>
          <cell r="V4345">
            <v>0.76</v>
          </cell>
          <cell r="W4345">
            <v>0</v>
          </cell>
          <cell r="X4345" t="str">
            <v>EST POLTRONA AGHATA PLUS (GIRATORI) (MTX PRETO) FX D4220 - 0,68x0,8x0,76H</v>
          </cell>
          <cell r="Y4345">
            <v>10061.719999999999</v>
          </cell>
          <cell r="Z4345">
            <v>0.5</v>
          </cell>
          <cell r="AA4345">
            <v>5030.8599999999997</v>
          </cell>
          <cell r="AB4345"/>
        </row>
        <row r="4346">
          <cell r="C4346">
            <v>1</v>
          </cell>
          <cell r="D4346">
            <v>0</v>
          </cell>
          <cell r="E4346">
            <v>0</v>
          </cell>
          <cell r="F4346">
            <v>1</v>
          </cell>
          <cell r="H4346">
            <v>1</v>
          </cell>
          <cell r="O4346">
            <v>361311</v>
          </cell>
          <cell r="P4346" t="str">
            <v>2023/033-0002-01</v>
          </cell>
          <cell r="Q4346" t="str">
            <v>EST ACESSORIO VYS (MARMORE ROSA PARANA)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ACESSORIO VYS (MARMORE ROSA PARANA) - Ø0x0H</v>
          </cell>
          <cell r="Y4346">
            <v>3537.18</v>
          </cell>
          <cell r="Z4346">
            <v>0.5</v>
          </cell>
          <cell r="AA4346">
            <v>1768.59</v>
          </cell>
          <cell r="AB4346"/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H4347">
            <v>1</v>
          </cell>
          <cell r="O4347">
            <v>361332</v>
          </cell>
          <cell r="P4347" t="str">
            <v>2023/039-0008-01</v>
          </cell>
          <cell r="Q4347" t="str">
            <v>EST MESA CENTRO CACAU (BAND MARM 5 SCARLAT) (MTZ MARROM COB)</v>
          </cell>
          <cell r="R4347"/>
          <cell r="S4347"/>
          <cell r="T4347">
            <v>1.3</v>
          </cell>
          <cell r="U4347">
            <v>0.8</v>
          </cell>
          <cell r="V4347">
            <v>0.3</v>
          </cell>
          <cell r="W4347">
            <v>0</v>
          </cell>
          <cell r="X4347" t="str">
            <v>EST MESA CENTRO CACAU (BAND MARM 5 SCARLAT) (MTZ MARROM COB) - 1,3x0,8x0,3H</v>
          </cell>
          <cell r="Y4347">
            <v>38764.36</v>
          </cell>
          <cell r="Z4347">
            <v>0.5</v>
          </cell>
          <cell r="AA4347">
            <v>19382.18</v>
          </cell>
          <cell r="AB4347"/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H4348">
            <v>1</v>
          </cell>
          <cell r="O4348">
            <v>361893</v>
          </cell>
          <cell r="P4348" t="str">
            <v>2022/343-0036-01</v>
          </cell>
          <cell r="Q4348" t="str">
            <v>EST PUFF ALCALA (DET CENTRAL VERNIZ JEQ NATURAL) FX G7128</v>
          </cell>
          <cell r="R4348"/>
          <cell r="S4348"/>
          <cell r="T4348">
            <v>0.42</v>
          </cell>
          <cell r="U4348">
            <v>0</v>
          </cell>
          <cell r="V4348">
            <v>0.45</v>
          </cell>
          <cell r="W4348">
            <v>0.42</v>
          </cell>
          <cell r="X4348" t="str">
            <v>EST PUFF ALCALA (DET CENTRAL VERNIZ JEQ NATURAL) FX G7128 - Ø0,42x0,45H</v>
          </cell>
          <cell r="Y4348">
            <v>8193.4500000000007</v>
          </cell>
          <cell r="Z4348">
            <v>0.5</v>
          </cell>
          <cell r="AA4348">
            <v>4096.7250000000004</v>
          </cell>
          <cell r="AB4348"/>
        </row>
        <row r="4349">
          <cell r="C4349">
            <v>6</v>
          </cell>
          <cell r="D4349">
            <v>1</v>
          </cell>
          <cell r="E4349">
            <v>0</v>
          </cell>
          <cell r="F4349">
            <v>0</v>
          </cell>
          <cell r="H4349">
            <v>3</v>
          </cell>
          <cell r="O4349">
            <v>362675</v>
          </cell>
          <cell r="P4349" t="str">
            <v>2023/115-0080-01</v>
          </cell>
          <cell r="Q4349" t="str">
            <v>EST CADEIRA CLARA C/BRACO (JEQ NOG) (MISTA) (C2 CARAMELO)</v>
          </cell>
          <cell r="R4349"/>
          <cell r="S4349"/>
          <cell r="T4349">
            <v>0.61</v>
          </cell>
          <cell r="U4349">
            <v>0.55000000000000004</v>
          </cell>
          <cell r="V4349">
            <v>0.86</v>
          </cell>
          <cell r="W4349">
            <v>0</v>
          </cell>
          <cell r="X4349" t="str">
            <v>EST CADEIRA CLARA C/BRACO (JEQ NOG) (MISTA) (C2 CARAMELO) - 0,61x0,55x0,86H</v>
          </cell>
          <cell r="Y4349">
            <v>9303.6200000000008</v>
          </cell>
          <cell r="Z4349">
            <v>0.5</v>
          </cell>
          <cell r="AA4349">
            <v>4651.8100000000004</v>
          </cell>
          <cell r="AB4349"/>
        </row>
        <row r="4350">
          <cell r="C4350">
            <v>6</v>
          </cell>
          <cell r="D4350">
            <v>1</v>
          </cell>
          <cell r="E4350">
            <v>0</v>
          </cell>
          <cell r="F4350">
            <v>0</v>
          </cell>
          <cell r="H4350">
            <v>3</v>
          </cell>
          <cell r="O4350">
            <v>362675</v>
          </cell>
          <cell r="P4350" t="str">
            <v>2023/115-0083-01</v>
          </cell>
          <cell r="Q4350" t="str">
            <v>EST CADEIRA CLARA C/BRACO (JEQ NOG) (MISTA) (C2 CARAMELO)</v>
          </cell>
          <cell r="R4350"/>
          <cell r="S4350"/>
          <cell r="T4350">
            <v>0.61</v>
          </cell>
          <cell r="U4350">
            <v>0.55000000000000004</v>
          </cell>
          <cell r="V4350">
            <v>0.86</v>
          </cell>
          <cell r="W4350">
            <v>0</v>
          </cell>
          <cell r="X4350" t="str">
            <v>EST CADEIRA CLARA C/BRACO (JEQ NOG) (MISTA) (C2 CARAMELO) - 0,61x0,55x0,86H</v>
          </cell>
          <cell r="Y4350">
            <v>9303.6200000000008</v>
          </cell>
          <cell r="Z4350">
            <v>0.5</v>
          </cell>
          <cell r="AA4350">
            <v>4651.8100000000004</v>
          </cell>
          <cell r="AB4350"/>
        </row>
        <row r="4351">
          <cell r="C4351">
            <v>6</v>
          </cell>
          <cell r="D4351">
            <v>1</v>
          </cell>
          <cell r="E4351">
            <v>0</v>
          </cell>
          <cell r="F4351">
            <v>0</v>
          </cell>
          <cell r="H4351">
            <v>3</v>
          </cell>
          <cell r="O4351">
            <v>362675</v>
          </cell>
          <cell r="P4351" t="str">
            <v>2023/115-0077-01</v>
          </cell>
          <cell r="Q4351" t="str">
            <v>EST CADEIRA CLARA C/BRACO (JEQ NOG) (MISTA) (C2 CARAMELO)</v>
          </cell>
          <cell r="R4351"/>
          <cell r="S4351"/>
          <cell r="T4351">
            <v>0.61</v>
          </cell>
          <cell r="U4351">
            <v>0.55000000000000004</v>
          </cell>
          <cell r="V4351">
            <v>0.86</v>
          </cell>
          <cell r="W4351">
            <v>0</v>
          </cell>
          <cell r="X4351" t="str">
            <v>EST CADEIRA CLARA C/BRACO (JEQ NOG) (MISTA) (C2 CARAMELO) - 0,61x0,55x0,86H</v>
          </cell>
          <cell r="Y4351">
            <v>9303.6200000000008</v>
          </cell>
          <cell r="Z4351">
            <v>0.5</v>
          </cell>
          <cell r="AA4351">
            <v>4651.8100000000004</v>
          </cell>
          <cell r="AB4351"/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H4352">
            <v>1</v>
          </cell>
          <cell r="O4352">
            <v>363831</v>
          </cell>
          <cell r="P4352" t="str">
            <v>2023/124-0005-01</v>
          </cell>
          <cell r="Q4352" t="str">
            <v>EST PUFF POMME TC TARENTO 12</v>
          </cell>
          <cell r="R4352"/>
          <cell r="S4352"/>
          <cell r="T4352">
            <v>1</v>
          </cell>
          <cell r="U4352">
            <v>1</v>
          </cell>
          <cell r="V4352">
            <v>0.4</v>
          </cell>
          <cell r="W4352">
            <v>0</v>
          </cell>
          <cell r="X4352" t="str">
            <v>EST PUFF POMME TC TARENTO 12 - 1x1x0,4H</v>
          </cell>
          <cell r="Y4352">
            <v>17159.580000000002</v>
          </cell>
          <cell r="Z4352">
            <v>0.5</v>
          </cell>
          <cell r="AA4352">
            <v>8579.7900000000009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363832</v>
          </cell>
          <cell r="P4353" t="str">
            <v>2023/123-0072-01</v>
          </cell>
          <cell r="Q4353" t="str">
            <v>EST ALMOFADA DECORATIVA (F 39) FX G7133</v>
          </cell>
          <cell r="R4353"/>
          <cell r="S4353"/>
          <cell r="T4353">
            <v>0.6</v>
          </cell>
          <cell r="U4353">
            <v>0.6</v>
          </cell>
          <cell r="V4353">
            <v>0</v>
          </cell>
          <cell r="W4353">
            <v>0</v>
          </cell>
          <cell r="X4353" t="str">
            <v>EST ALMOFADA DECORATIVA (F 39) FX G7133 - 0,6x0,6x0H</v>
          </cell>
          <cell r="Y4353">
            <v>1486.8395999999998</v>
          </cell>
          <cell r="Z4353">
            <v>0.5</v>
          </cell>
          <cell r="AA4353">
            <v>743.4197999999999</v>
          </cell>
          <cell r="AB4353"/>
        </row>
        <row r="4354">
          <cell r="C4354">
            <v>0</v>
          </cell>
          <cell r="D4354">
            <v>2</v>
          </cell>
          <cell r="E4354">
            <v>0</v>
          </cell>
          <cell r="F4354">
            <v>0</v>
          </cell>
          <cell r="H4354">
            <v>0</v>
          </cell>
          <cell r="O4354">
            <v>363832</v>
          </cell>
          <cell r="P4354" t="str">
            <v>2023/123-0073-01</v>
          </cell>
          <cell r="Q4354" t="str">
            <v>EST ALMOFADA DECORATIVA (F 39) FX G7133</v>
          </cell>
          <cell r="R4354"/>
          <cell r="S4354"/>
          <cell r="T4354">
            <v>0.6</v>
          </cell>
          <cell r="U4354">
            <v>0.6</v>
          </cell>
          <cell r="V4354">
            <v>0</v>
          </cell>
          <cell r="W4354">
            <v>0</v>
          </cell>
          <cell r="X4354" t="str">
            <v>EST ALMOFADA DECORATIVA (F 39) FX G7133 - 0,6x0,6x0H</v>
          </cell>
          <cell r="Y4354">
            <v>1486.8395999999998</v>
          </cell>
          <cell r="Z4354">
            <v>0.5</v>
          </cell>
          <cell r="AA4354">
            <v>743.4197999999999</v>
          </cell>
          <cell r="AB4354"/>
        </row>
        <row r="4355">
          <cell r="C4355">
            <v>3</v>
          </cell>
          <cell r="D4355">
            <v>0</v>
          </cell>
          <cell r="E4355">
            <v>0</v>
          </cell>
          <cell r="F4355">
            <v>0</v>
          </cell>
          <cell r="H4355">
            <v>5</v>
          </cell>
          <cell r="O4355">
            <v>363833</v>
          </cell>
          <cell r="P4355" t="str">
            <v>2023/123-0098-01</v>
          </cell>
          <cell r="Q4355" t="str">
            <v>EST ALMOFADA DECORATIVA (F 39) TC TARENTO 12</v>
          </cell>
          <cell r="R4355"/>
          <cell r="S4355"/>
          <cell r="T4355">
            <v>0.6</v>
          </cell>
          <cell r="U4355">
            <v>0.6</v>
          </cell>
          <cell r="V4355">
            <v>0</v>
          </cell>
          <cell r="W4355">
            <v>0</v>
          </cell>
          <cell r="X4355" t="str">
            <v>EST ALMOFADA DECORATIVA (F 39) TC TARENTO 12 - 0,6x0,6x0H</v>
          </cell>
          <cell r="Y4355">
            <v>1229.98</v>
          </cell>
          <cell r="Z4355">
            <v>0.35</v>
          </cell>
          <cell r="AA4355">
            <v>799.48700000000008</v>
          </cell>
          <cell r="AB4355"/>
        </row>
        <row r="4356">
          <cell r="C4356">
            <v>3</v>
          </cell>
          <cell r="D4356">
            <v>0</v>
          </cell>
          <cell r="E4356">
            <v>0</v>
          </cell>
          <cell r="F4356">
            <v>0</v>
          </cell>
          <cell r="H4356">
            <v>5</v>
          </cell>
          <cell r="O4356">
            <v>363833</v>
          </cell>
          <cell r="P4356" t="str">
            <v>2023/123-0099-01</v>
          </cell>
          <cell r="Q4356" t="str">
            <v>EST ALMOFADA DECORATIVA (F 39) TC TARENTO 12</v>
          </cell>
          <cell r="R4356"/>
          <cell r="S4356"/>
          <cell r="T4356">
            <v>0.6</v>
          </cell>
          <cell r="U4356">
            <v>0.6</v>
          </cell>
          <cell r="V4356">
            <v>0</v>
          </cell>
          <cell r="W4356">
            <v>0</v>
          </cell>
          <cell r="X4356" t="str">
            <v>EST ALMOFADA DECORATIVA (F 39) TC TARENTO 12 - 0,6x0,6x0H</v>
          </cell>
          <cell r="Y4356">
            <v>1229.98</v>
          </cell>
          <cell r="Z4356">
            <v>0.5</v>
          </cell>
          <cell r="AA4356">
            <v>614.99</v>
          </cell>
          <cell r="AB4356"/>
        </row>
        <row r="4357">
          <cell r="C4357">
            <v>3</v>
          </cell>
          <cell r="D4357">
            <v>0</v>
          </cell>
          <cell r="E4357">
            <v>0</v>
          </cell>
          <cell r="F4357">
            <v>0</v>
          </cell>
          <cell r="H4357">
            <v>5</v>
          </cell>
          <cell r="O4357">
            <v>363833</v>
          </cell>
          <cell r="P4357" t="str">
            <v>2023/123-0101-01</v>
          </cell>
          <cell r="Q4357" t="str">
            <v>EST ALMOFADA DECORATIVA (F 39) TC TARENTO 12</v>
          </cell>
          <cell r="R4357"/>
          <cell r="S4357"/>
          <cell r="T4357">
            <v>0.6</v>
          </cell>
          <cell r="U4357">
            <v>0.6</v>
          </cell>
          <cell r="V4357">
            <v>0</v>
          </cell>
          <cell r="W4357">
            <v>0</v>
          </cell>
          <cell r="X4357" t="str">
            <v>EST ALMOFADA DECORATIVA (F 39) TC TARENTO 12 - 0,6x0,6x0H</v>
          </cell>
          <cell r="Y4357">
            <v>1229.98</v>
          </cell>
          <cell r="Z4357">
            <v>0.5</v>
          </cell>
          <cell r="AA4357">
            <v>614.99</v>
          </cell>
          <cell r="AB4357"/>
        </row>
        <row r="4358">
          <cell r="C4358">
            <v>3</v>
          </cell>
          <cell r="D4358">
            <v>0</v>
          </cell>
          <cell r="E4358">
            <v>0</v>
          </cell>
          <cell r="F4358">
            <v>0</v>
          </cell>
          <cell r="H4358">
            <v>5</v>
          </cell>
          <cell r="O4358">
            <v>363833</v>
          </cell>
          <cell r="P4358" t="str">
            <v>2023/123-0102-01</v>
          </cell>
          <cell r="Q4358" t="str">
            <v>EST ALMOFADA DECORATIVA (F 39) TC TARENTO 12</v>
          </cell>
          <cell r="R4358"/>
          <cell r="S4358"/>
          <cell r="T4358">
            <v>0.6</v>
          </cell>
          <cell r="U4358">
            <v>0.6</v>
          </cell>
          <cell r="V4358">
            <v>0</v>
          </cell>
          <cell r="W4358">
            <v>0</v>
          </cell>
          <cell r="X4358" t="str">
            <v>EST ALMOFADA DECORATIVA (F 39) TC TARENTO 12 - 0,6x0,6x0H</v>
          </cell>
          <cell r="Y4358">
            <v>1229.98</v>
          </cell>
          <cell r="Z4358">
            <v>0.5</v>
          </cell>
          <cell r="AA4358">
            <v>614.99</v>
          </cell>
          <cell r="AB4358"/>
        </row>
        <row r="4359">
          <cell r="C4359">
            <v>3</v>
          </cell>
          <cell r="D4359">
            <v>0</v>
          </cell>
          <cell r="E4359">
            <v>0</v>
          </cell>
          <cell r="F4359">
            <v>0</v>
          </cell>
          <cell r="H4359">
            <v>5</v>
          </cell>
          <cell r="O4359">
            <v>363833</v>
          </cell>
          <cell r="P4359" t="str">
            <v>2023/123-0104-01</v>
          </cell>
          <cell r="Q4359" t="str">
            <v>EST ALMOFADA DECORATIVA (F 39) TC TARENTO 12</v>
          </cell>
          <cell r="R4359"/>
          <cell r="S4359"/>
          <cell r="T4359">
            <v>0.6</v>
          </cell>
          <cell r="U4359">
            <v>0.6</v>
          </cell>
          <cell r="V4359">
            <v>0</v>
          </cell>
          <cell r="W4359">
            <v>0</v>
          </cell>
          <cell r="X4359" t="str">
            <v>EST ALMOFADA DECORATIVA (F 39) TC TARENTO 12 - 0,6x0,6x0H</v>
          </cell>
          <cell r="Y4359">
            <v>1229.98</v>
          </cell>
          <cell r="Z4359">
            <v>0.5</v>
          </cell>
          <cell r="AA4359">
            <v>614.99</v>
          </cell>
          <cell r="AB4359"/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H4360">
            <v>2</v>
          </cell>
          <cell r="O4360">
            <v>363875</v>
          </cell>
          <cell r="P4360" t="str">
            <v>2023/123-0077-01</v>
          </cell>
          <cell r="Q4360" t="str">
            <v>EST BANQUETA POMME FX G7125</v>
          </cell>
          <cell r="R4360"/>
          <cell r="S4360"/>
          <cell r="T4360">
            <v>0.6</v>
          </cell>
          <cell r="U4360">
            <v>0.6</v>
          </cell>
          <cell r="V4360">
            <v>0.4</v>
          </cell>
          <cell r="W4360">
            <v>0</v>
          </cell>
          <cell r="X4360" t="str">
            <v>EST BANQUETA POMME FX G7125 - 0,6x0,6x0,4H</v>
          </cell>
          <cell r="Y4360">
            <v>7633.56</v>
          </cell>
          <cell r="Z4360">
            <v>0.5</v>
          </cell>
          <cell r="AA4360">
            <v>3816.78</v>
          </cell>
          <cell r="AB4360"/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H4361">
            <v>2</v>
          </cell>
          <cell r="O4361">
            <v>363875</v>
          </cell>
          <cell r="P4361" t="str">
            <v>2023/123-0078-01</v>
          </cell>
          <cell r="Q4361" t="str">
            <v>EST BANQUETA POMME FX G7125</v>
          </cell>
          <cell r="R4361"/>
          <cell r="S4361"/>
          <cell r="T4361">
            <v>0.6</v>
          </cell>
          <cell r="U4361">
            <v>0.6</v>
          </cell>
          <cell r="V4361">
            <v>0.4</v>
          </cell>
          <cell r="W4361">
            <v>0</v>
          </cell>
          <cell r="X4361" t="str">
            <v>EST BANQUETA POMME FX G7125 - 0,6x0,6x0,4H</v>
          </cell>
          <cell r="Y4361">
            <v>7633.56</v>
          </cell>
          <cell r="Z4361">
            <v>0.5</v>
          </cell>
          <cell r="AA4361">
            <v>3816.78</v>
          </cell>
          <cell r="AB4361"/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H4362">
            <v>1</v>
          </cell>
          <cell r="O4362">
            <v>363881</v>
          </cell>
          <cell r="P4362" t="str">
            <v>2023/132-0003-01</v>
          </cell>
          <cell r="Q4362" t="str">
            <v>EST PUFF POMME FX G7125</v>
          </cell>
          <cell r="R4362"/>
          <cell r="S4362"/>
          <cell r="T4362">
            <v>1</v>
          </cell>
          <cell r="U4362">
            <v>1</v>
          </cell>
          <cell r="V4362">
            <v>0.4</v>
          </cell>
          <cell r="W4362">
            <v>0</v>
          </cell>
          <cell r="X4362" t="str">
            <v>EST PUFF POMME FX G7125 - 1x1x0,4H</v>
          </cell>
          <cell r="Y4362">
            <v>16040.37</v>
          </cell>
          <cell r="Z4362">
            <v>0.5</v>
          </cell>
          <cell r="AA4362">
            <v>8020.1850000000004</v>
          </cell>
          <cell r="AB4362"/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H4363">
            <v>1</v>
          </cell>
          <cell r="O4363">
            <v>364785</v>
          </cell>
          <cell r="P4363" t="str">
            <v>2023/135-0037-01</v>
          </cell>
          <cell r="Q4363" t="str">
            <v>EST POLTRONA ORION (INTERNA) (TC ALT COR 907) MARROM/DOURADA</v>
          </cell>
          <cell r="R4363"/>
          <cell r="S4363"/>
          <cell r="T4363">
            <v>1</v>
          </cell>
          <cell r="U4363">
            <v>0</v>
          </cell>
          <cell r="V4363">
            <v>0.45</v>
          </cell>
          <cell r="W4363">
            <v>1</v>
          </cell>
          <cell r="X4363" t="str">
            <v>EST POLTRONA ORION (INTERNA) (TC ALT COR 907) MARROM/DOURADA - Ø1x0,45H</v>
          </cell>
          <cell r="Y4363">
            <v>25924.73</v>
          </cell>
          <cell r="Z4363">
            <v>0.5</v>
          </cell>
          <cell r="AA4363">
            <v>12962.365</v>
          </cell>
          <cell r="AB4363"/>
        </row>
        <row r="4364"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H4364">
            <v>1</v>
          </cell>
          <cell r="O4364">
            <v>365800</v>
          </cell>
          <cell r="P4364" t="str">
            <v>2023/103-0003-01</v>
          </cell>
          <cell r="Q4364" t="str">
            <v>EST SOFA OCA COURO FORN FIRENZE 400/PES RB05/AVANCO DIREITO</v>
          </cell>
          <cell r="R4364"/>
          <cell r="S4364"/>
          <cell r="T4364">
            <v>2.75</v>
          </cell>
          <cell r="U4364">
            <v>1.01</v>
          </cell>
          <cell r="V4364">
            <v>0.78</v>
          </cell>
          <cell r="W4364">
            <v>0</v>
          </cell>
          <cell r="X4364" t="str">
            <v>EST SOFA OCA COURO FORN FIRENZE 400/PES RB05/AVANCO DIREITO - 2,75x1,01x0,78H</v>
          </cell>
          <cell r="Y4364">
            <v>95055.12</v>
          </cell>
          <cell r="Z4364">
            <v>0.5</v>
          </cell>
          <cell r="AA4364">
            <v>47527.56</v>
          </cell>
          <cell r="AB4364"/>
        </row>
        <row r="4365"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H4365">
            <v>1</v>
          </cell>
          <cell r="O4365">
            <v>369543</v>
          </cell>
          <cell r="P4365" t="str">
            <v>2023/136-0001-01</v>
          </cell>
          <cell r="Q4365" t="str">
            <v>EST MESA CENTRO RUSTICA TORA RUSTICA</v>
          </cell>
          <cell r="R4365"/>
          <cell r="S4365"/>
          <cell r="T4365">
            <v>1.94</v>
          </cell>
          <cell r="U4365">
            <v>0.45</v>
          </cell>
          <cell r="V4365">
            <v>0.4</v>
          </cell>
          <cell r="W4365">
            <v>0</v>
          </cell>
          <cell r="X4365" t="str">
            <v>EST MESA CENTRO RUSTICA TORA RUSTICA - 1,94x0,45x0,4H</v>
          </cell>
          <cell r="Y4365">
            <v>11473.28</v>
          </cell>
          <cell r="Z4365">
            <v>0.5</v>
          </cell>
          <cell r="AA4365">
            <v>5736.64</v>
          </cell>
          <cell r="AB4365"/>
        </row>
        <row r="4366"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H4366">
            <v>1</v>
          </cell>
          <cell r="O4366">
            <v>370332</v>
          </cell>
          <cell r="P4366" t="str">
            <v>2023/144-0003-01</v>
          </cell>
          <cell r="Q4366" t="str">
            <v>EST MESA JANTAR AYLA (SUP2 ROSE NAT) (TP CARV ROSE NT) LATAO</v>
          </cell>
          <cell r="R4366"/>
          <cell r="S4366"/>
          <cell r="T4366">
            <v>3</v>
          </cell>
          <cell r="U4366">
            <v>1.24</v>
          </cell>
          <cell r="V4366">
            <v>0.76</v>
          </cell>
          <cell r="W4366">
            <v>0</v>
          </cell>
          <cell r="X4366" t="str">
            <v>EST MESA JANTAR AYLA (SUP2 ROSE NAT) (TP CARV ROSE NT) LATAO - 3x1,24x0,76H</v>
          </cell>
          <cell r="Y4366">
            <v>21781.040000000001</v>
          </cell>
          <cell r="Z4366">
            <v>0.5</v>
          </cell>
          <cell r="AA4366">
            <v>10890.52</v>
          </cell>
          <cell r="AB4366"/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H4367">
            <v>1</v>
          </cell>
          <cell r="O4367">
            <v>371053</v>
          </cell>
          <cell r="P4367" t="str">
            <v>2023/178-0004-01</v>
          </cell>
          <cell r="Q4367" t="str">
            <v>EST CADEIRA TWIN C/BRACO (GIR) (EBANIZADO) TC 1002</v>
          </cell>
          <cell r="R4367"/>
          <cell r="S4367"/>
          <cell r="T4367">
            <v>0.51</v>
          </cell>
          <cell r="U4367">
            <v>0.6</v>
          </cell>
          <cell r="V4367">
            <v>0.83</v>
          </cell>
          <cell r="W4367">
            <v>0</v>
          </cell>
          <cell r="X4367" t="str">
            <v>EST CADEIRA TWIN C/BRACO (GIR) (EBANIZADO) TC 1002 - 0,51x0,6x0,83H</v>
          </cell>
          <cell r="Y4367">
            <v>4343</v>
          </cell>
          <cell r="Z4367">
            <v>0.5</v>
          </cell>
          <cell r="AA4367">
            <v>2171.5</v>
          </cell>
          <cell r="AB4367"/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H4368">
            <v>1</v>
          </cell>
          <cell r="O4368">
            <v>371590</v>
          </cell>
          <cell r="P4368" t="str">
            <v>2023/258-0041-01</v>
          </cell>
          <cell r="Q4368" t="str">
            <v>EST MESA JANTAR PETRA (TP MARM 1 TRAVERTINO) (MTX FENDI)</v>
          </cell>
          <cell r="R4368"/>
          <cell r="S4368"/>
          <cell r="T4368">
            <v>1.8</v>
          </cell>
          <cell r="U4368">
            <v>0</v>
          </cell>
          <cell r="V4368">
            <v>0.76</v>
          </cell>
          <cell r="W4368">
            <v>1.8</v>
          </cell>
          <cell r="X4368" t="str">
            <v>EST MESA JANTAR PETRA (TP MARM 1 TRAVERTINO) (MTX FENDI) - Ø1,8x0,76H</v>
          </cell>
          <cell r="Y4368">
            <v>100479.19</v>
          </cell>
          <cell r="Z4368">
            <v>0.5</v>
          </cell>
          <cell r="AA4368">
            <v>50239.595000000001</v>
          </cell>
          <cell r="AB4368"/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H4369">
            <v>10</v>
          </cell>
          <cell r="O4369">
            <v>371710</v>
          </cell>
          <cell r="P4369" t="str">
            <v>2023/234-0058-01</v>
          </cell>
          <cell r="Q4369" t="str">
            <v>EST CADEIRA LUIZA C/BRACO FORN COURO PIG 259/JEQ CAST CLARO</v>
          </cell>
          <cell r="R4369"/>
          <cell r="S4369"/>
          <cell r="T4369">
            <v>0.59</v>
          </cell>
          <cell r="U4369">
            <v>0.56000000000000005</v>
          </cell>
          <cell r="V4369">
            <v>0.74</v>
          </cell>
          <cell r="W4369">
            <v>0</v>
          </cell>
          <cell r="X4369" t="str">
            <v>EST CADEIRA LUIZA C/BRACO FORN COURO PIG 259/JEQ CAST CLARO - 0,59x0,56x0,74H</v>
          </cell>
          <cell r="Y4369">
            <v>5341.634</v>
          </cell>
          <cell r="Z4369">
            <v>0.35</v>
          </cell>
          <cell r="AA4369">
            <v>3472.0621000000001</v>
          </cell>
          <cell r="AB4369"/>
        </row>
        <row r="4370">
          <cell r="C4370">
            <v>0</v>
          </cell>
          <cell r="D4370">
            <v>0</v>
          </cell>
          <cell r="E4370">
            <v>0</v>
          </cell>
          <cell r="F4370">
            <v>0</v>
          </cell>
          <cell r="H4370">
            <v>10</v>
          </cell>
          <cell r="O4370">
            <v>371710</v>
          </cell>
          <cell r="P4370" t="str">
            <v>2023/234-0059-01</v>
          </cell>
          <cell r="Q4370" t="str">
            <v>EST CADEIRA LUIZA C/BRACO FORN COURO PIG 259/JEQ CAST CLARO</v>
          </cell>
          <cell r="R4370"/>
          <cell r="S4370"/>
          <cell r="T4370">
            <v>0.59</v>
          </cell>
          <cell r="U4370">
            <v>0.56000000000000005</v>
          </cell>
          <cell r="V4370">
            <v>0.74</v>
          </cell>
          <cell r="W4370">
            <v>0</v>
          </cell>
          <cell r="X4370" t="str">
            <v>EST CADEIRA LUIZA C/BRACO FORN COURO PIG 259/JEQ CAST CLARO - 0,59x0,56x0,74H</v>
          </cell>
          <cell r="Y4370">
            <v>5341.634</v>
          </cell>
          <cell r="Z4370">
            <v>0.35</v>
          </cell>
          <cell r="AA4370">
            <v>3472.0621000000001</v>
          </cell>
          <cell r="AB4370"/>
        </row>
        <row r="4371">
          <cell r="C4371">
            <v>0</v>
          </cell>
          <cell r="D4371">
            <v>0</v>
          </cell>
          <cell r="E4371">
            <v>0</v>
          </cell>
          <cell r="F4371">
            <v>0</v>
          </cell>
          <cell r="H4371">
            <v>10</v>
          </cell>
          <cell r="O4371">
            <v>371710</v>
          </cell>
          <cell r="P4371" t="str">
            <v>2023/234-0062-01</v>
          </cell>
          <cell r="Q4371" t="str">
            <v>EST CADEIRA LUIZA C/BRACO FORN COURO PIG 259/JEQ CAST CLARO</v>
          </cell>
          <cell r="R4371"/>
          <cell r="S4371"/>
          <cell r="T4371">
            <v>0.59</v>
          </cell>
          <cell r="U4371">
            <v>0.56000000000000005</v>
          </cell>
          <cell r="V4371">
            <v>0.74</v>
          </cell>
          <cell r="W4371">
            <v>0</v>
          </cell>
          <cell r="X4371" t="str">
            <v>EST CADEIRA LUIZA C/BRACO FORN COURO PIG 259/JEQ CAST CLARO - 0,59x0,56x0,74H</v>
          </cell>
          <cell r="Y4371">
            <v>5341.634</v>
          </cell>
          <cell r="Z4371">
            <v>0.35</v>
          </cell>
          <cell r="AA4371">
            <v>3472.0621000000001</v>
          </cell>
          <cell r="AB4371"/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H4372">
            <v>1</v>
          </cell>
          <cell r="O4372">
            <v>372714</v>
          </cell>
          <cell r="P4372" t="str">
            <v>2023/313-0003-01</v>
          </cell>
          <cell r="Q4372" t="str">
            <v>EST MESA CENTRO IPANEMA (LACA PRETO BRILHO C/CRISTAL)</v>
          </cell>
          <cell r="R4372"/>
          <cell r="S4372"/>
          <cell r="T4372">
            <v>0.9</v>
          </cell>
          <cell r="U4372">
            <v>0</v>
          </cell>
          <cell r="V4372">
            <v>0.35</v>
          </cell>
          <cell r="W4372">
            <v>0.9</v>
          </cell>
          <cell r="X4372" t="str">
            <v>EST MESA CENTRO IPANEMA (LACA PRETO BRILHO C/CRISTAL) - Ø0,9x0,35H</v>
          </cell>
          <cell r="Y4372">
            <v>10091.83</v>
          </cell>
          <cell r="Z4372">
            <v>0.5</v>
          </cell>
          <cell r="AA4372">
            <v>5045.915</v>
          </cell>
          <cell r="AB4372"/>
        </row>
        <row r="4373">
          <cell r="C4373">
            <v>4</v>
          </cell>
          <cell r="D4373">
            <v>0</v>
          </cell>
          <cell r="E4373">
            <v>0</v>
          </cell>
          <cell r="F4373">
            <v>0</v>
          </cell>
          <cell r="H4373">
            <v>4</v>
          </cell>
          <cell r="O4373">
            <v>372730</v>
          </cell>
          <cell r="P4373" t="str">
            <v>2023/264-0011-01</v>
          </cell>
          <cell r="Q4373" t="str">
            <v>EST CADEIRA 60 C/BRACO (FREIJO NAT) CS0120/BOUT COURO CAMEL</v>
          </cell>
          <cell r="R4373"/>
          <cell r="S4373"/>
          <cell r="T4373">
            <v>0.56000000000000005</v>
          </cell>
          <cell r="U4373">
            <v>0.59</v>
          </cell>
          <cell r="V4373">
            <v>0.84</v>
          </cell>
          <cell r="W4373">
            <v>0</v>
          </cell>
          <cell r="X4373" t="str">
            <v>EST CADEIRA 60 C/BRACO (FREIJO NAT) CS0120/BOUT COURO CAMEL - 0,56x0,59x0,84H</v>
          </cell>
          <cell r="Y4373">
            <v>9290.1299999999992</v>
          </cell>
          <cell r="Z4373">
            <v>0.5</v>
          </cell>
          <cell r="AA4373">
            <v>4645.0649999999996</v>
          </cell>
          <cell r="AB4373"/>
        </row>
        <row r="4374">
          <cell r="C4374">
            <v>4</v>
          </cell>
          <cell r="D4374">
            <v>0</v>
          </cell>
          <cell r="E4374">
            <v>0</v>
          </cell>
          <cell r="F4374">
            <v>0</v>
          </cell>
          <cell r="H4374">
            <v>4</v>
          </cell>
          <cell r="O4374">
            <v>372730</v>
          </cell>
          <cell r="P4374" t="str">
            <v>2023/264-0016-01</v>
          </cell>
          <cell r="Q4374" t="str">
            <v>EST CADEIRA 60 C/BRACO (FREIJO NAT) CS0120/BOUT COURO CAMEL</v>
          </cell>
          <cell r="R4374"/>
          <cell r="S4374"/>
          <cell r="T4374">
            <v>0.56000000000000005</v>
          </cell>
          <cell r="U4374">
            <v>0.59</v>
          </cell>
          <cell r="V4374">
            <v>0.84</v>
          </cell>
          <cell r="W4374">
            <v>0</v>
          </cell>
          <cell r="X4374" t="str">
            <v>EST CADEIRA 60 C/BRACO (FREIJO NAT) CS0120/BOUT COURO CAMEL - 0,56x0,59x0,84H</v>
          </cell>
          <cell r="Y4374">
            <v>9290.1299999999992</v>
          </cell>
          <cell r="Z4374">
            <v>0.5</v>
          </cell>
          <cell r="AA4374">
            <v>4645.0649999999996</v>
          </cell>
          <cell r="AB4374"/>
        </row>
        <row r="4375">
          <cell r="C4375">
            <v>4</v>
          </cell>
          <cell r="D4375">
            <v>0</v>
          </cell>
          <cell r="E4375">
            <v>0</v>
          </cell>
          <cell r="F4375">
            <v>0</v>
          </cell>
          <cell r="H4375">
            <v>4</v>
          </cell>
          <cell r="O4375">
            <v>372730</v>
          </cell>
          <cell r="P4375" t="str">
            <v>2023/264-0012-01</v>
          </cell>
          <cell r="Q4375" t="str">
            <v>EST CADEIRA 60 C/BRACO (FREIJO NAT) CS0120/BOUT COURO CAMEL</v>
          </cell>
          <cell r="R4375"/>
          <cell r="S4375"/>
          <cell r="T4375">
            <v>0.56000000000000005</v>
          </cell>
          <cell r="U4375">
            <v>0.59</v>
          </cell>
          <cell r="V4375">
            <v>0.84</v>
          </cell>
          <cell r="W4375">
            <v>0</v>
          </cell>
          <cell r="X4375" t="str">
            <v>EST CADEIRA 60 C/BRACO (FREIJO NAT) CS0120/BOUT COURO CAMEL - 0,56x0,59x0,84H</v>
          </cell>
          <cell r="Y4375">
            <v>9290.1299999999992</v>
          </cell>
          <cell r="Z4375">
            <v>0.5</v>
          </cell>
          <cell r="AA4375">
            <v>4645.0649999999996</v>
          </cell>
          <cell r="AB4375"/>
        </row>
        <row r="4376">
          <cell r="C4376">
            <v>4</v>
          </cell>
          <cell r="D4376">
            <v>0</v>
          </cell>
          <cell r="E4376">
            <v>0</v>
          </cell>
          <cell r="F4376">
            <v>0</v>
          </cell>
          <cell r="H4376">
            <v>4</v>
          </cell>
          <cell r="O4376">
            <v>372730</v>
          </cell>
          <cell r="P4376" t="str">
            <v>2023/264-0015-01</v>
          </cell>
          <cell r="Q4376" t="str">
            <v>EST CADEIRA 60 C/BRACO (FREIJO NAT) CS0120/BOUT COURO CAMEL</v>
          </cell>
          <cell r="R4376"/>
          <cell r="S4376"/>
          <cell r="T4376">
            <v>0.56000000000000005</v>
          </cell>
          <cell r="U4376">
            <v>0.59</v>
          </cell>
          <cell r="V4376">
            <v>0.84</v>
          </cell>
          <cell r="W4376">
            <v>0</v>
          </cell>
          <cell r="X4376" t="str">
            <v>EST CADEIRA 60 C/BRACO (FREIJO NAT) CS0120/BOUT COURO CAMEL - 0,56x0,59x0,84H</v>
          </cell>
          <cell r="Y4376">
            <v>9290.1299999999992</v>
          </cell>
          <cell r="Z4376">
            <v>0.5</v>
          </cell>
          <cell r="AA4376">
            <v>4645.0649999999996</v>
          </cell>
          <cell r="AB4376"/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H4377">
            <v>1</v>
          </cell>
          <cell r="O4377">
            <v>374362</v>
          </cell>
          <cell r="P4377" t="str">
            <v>2024/026-0027-01</v>
          </cell>
          <cell r="Q4377" t="str">
            <v>EST MODULO CHAISE DIR HIMALAYA (CON) TC PET 01</v>
          </cell>
          <cell r="R4377"/>
          <cell r="S4377"/>
          <cell r="T4377">
            <v>1.1499999999999999</v>
          </cell>
          <cell r="U4377">
            <v>1.7</v>
          </cell>
          <cell r="V4377">
            <v>0.74</v>
          </cell>
          <cell r="W4377">
            <v>0</v>
          </cell>
          <cell r="X4377" t="str">
            <v>EST MODULO CHAISE DIR HIMALAYA (CON) TC PET 01 - 1,15x1,7x0,74H</v>
          </cell>
          <cell r="Y4377">
            <v>35590.46</v>
          </cell>
          <cell r="Z4377">
            <v>0.5</v>
          </cell>
          <cell r="AA4377">
            <v>17795.23</v>
          </cell>
          <cell r="AB4377"/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H4378">
            <v>1</v>
          </cell>
          <cell r="O4378">
            <v>374379</v>
          </cell>
          <cell r="P4378" t="str">
            <v>2024/026-0066-01</v>
          </cell>
          <cell r="Q4378" t="str">
            <v>EST CHAISE B/DIR HIMALAYA (CLA) (C3008/DB3001) NOG</v>
          </cell>
          <cell r="R4378"/>
          <cell r="S4378"/>
          <cell r="T4378">
            <v>1.1499999999999999</v>
          </cell>
          <cell r="U4378">
            <v>1.7</v>
          </cell>
          <cell r="V4378">
            <v>0.74</v>
          </cell>
          <cell r="W4378">
            <v>0</v>
          </cell>
          <cell r="X4378" t="str">
            <v>EST CHAISE B/DIR HIMALAYA (CLA) (C3008/DB3001) NOG - 1,15x1,7x0,74H</v>
          </cell>
          <cell r="Y4378">
            <v>42534.324000000001</v>
          </cell>
          <cell r="Z4378">
            <v>0.5</v>
          </cell>
          <cell r="AA4378">
            <v>21267.162</v>
          </cell>
          <cell r="AB4378"/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H4379">
            <v>1</v>
          </cell>
          <cell r="O4379">
            <v>374380</v>
          </cell>
          <cell r="P4379" t="str">
            <v>2024/026-0067-01</v>
          </cell>
          <cell r="Q4379" t="str">
            <v>EST CHAISE B/ESQ HIMALAYA (CLA) (C3008/DB3001) NOG</v>
          </cell>
          <cell r="R4379"/>
          <cell r="S4379"/>
          <cell r="T4379">
            <v>1.1499999999999999</v>
          </cell>
          <cell r="U4379">
            <v>1.7</v>
          </cell>
          <cell r="V4379">
            <v>0.74</v>
          </cell>
          <cell r="W4379">
            <v>0</v>
          </cell>
          <cell r="X4379" t="str">
            <v>EST CHAISE B/ESQ HIMALAYA (CLA) (C3008/DB3001) NOG - 1,15x1,7x0,74H</v>
          </cell>
          <cell r="Y4379">
            <v>42534.324000000001</v>
          </cell>
          <cell r="Z4379">
            <v>0.5</v>
          </cell>
          <cell r="AA4379">
            <v>21267.162</v>
          </cell>
          <cell r="AB4379"/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H4380">
            <v>1</v>
          </cell>
          <cell r="O4380">
            <v>377429</v>
          </cell>
          <cell r="P4380" t="str">
            <v>2024/039-0112-01</v>
          </cell>
          <cell r="Q4380" t="str">
            <v>EST POLTRONA ALBA (PE VERNIZ) FX B</v>
          </cell>
          <cell r="R4380"/>
          <cell r="S4380"/>
          <cell r="T4380">
            <v>0.63</v>
          </cell>
          <cell r="U4380">
            <v>0.79</v>
          </cell>
          <cell r="V4380">
            <v>0.76</v>
          </cell>
          <cell r="W4380">
            <v>0</v>
          </cell>
          <cell r="X4380" t="str">
            <v>EST POLTRONA ALBA (PE VERNIZ) FX B - 0,63x0,79x0,76H</v>
          </cell>
          <cell r="Y4380">
            <v>8072.02</v>
          </cell>
          <cell r="Z4380">
            <v>0.35</v>
          </cell>
          <cell r="AA4380">
            <v>5246.8130000000001</v>
          </cell>
          <cell r="AB4380"/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H4381">
            <v>1</v>
          </cell>
          <cell r="O4381">
            <v>378054</v>
          </cell>
          <cell r="P4381" t="str">
            <v>2023/333-0003-01</v>
          </cell>
          <cell r="Q4381" t="str">
            <v>EST CADEIRA YASMIM (TELA NOGUEIRA) (AMENDOA) TC 2000 - 2327</v>
          </cell>
          <cell r="R4381"/>
          <cell r="S4381"/>
          <cell r="T4381">
            <v>0.49</v>
          </cell>
          <cell r="U4381">
            <v>0.6</v>
          </cell>
          <cell r="V4381">
            <v>0.84</v>
          </cell>
          <cell r="W4381">
            <v>0</v>
          </cell>
          <cell r="X4381" t="str">
            <v>EST CADEIRA YASMIM (TELA NOGUEIRA) (AMENDOA) TC 2000 - 2327 - 0,49x0,6x0,84H</v>
          </cell>
          <cell r="Y4381">
            <v>3505.96</v>
          </cell>
          <cell r="Z4381">
            <v>0.5</v>
          </cell>
          <cell r="AA4381">
            <v>1752.98</v>
          </cell>
          <cell r="AB4381"/>
        </row>
        <row r="4382">
          <cell r="C4382">
            <v>6</v>
          </cell>
          <cell r="D4382">
            <v>0</v>
          </cell>
          <cell r="E4382">
            <v>0</v>
          </cell>
          <cell r="F4382">
            <v>0</v>
          </cell>
          <cell r="H4382">
            <v>2</v>
          </cell>
          <cell r="O4382">
            <v>378282</v>
          </cell>
          <cell r="P4382" t="str">
            <v>2024/033-0002-01</v>
          </cell>
          <cell r="Q4382" t="str">
            <v>EST CADEIRA PI C/BRACO (MARROM) TC BOUCLE REIMS 5323-001</v>
          </cell>
          <cell r="R4382"/>
          <cell r="S4382"/>
          <cell r="T4382">
            <v>0.75</v>
          </cell>
          <cell r="U4382">
            <v>0.6</v>
          </cell>
          <cell r="V4382">
            <v>0.76</v>
          </cell>
          <cell r="W4382">
            <v>0</v>
          </cell>
          <cell r="X4382" t="str">
            <v>EST CADEIRA PI C/BRACO (MARROM) TC BOUCLE REIMS 5323-001 - 0,75x0,6x0,76H</v>
          </cell>
          <cell r="Y4382">
            <v>9997.93</v>
          </cell>
          <cell r="Z4382">
            <v>0.49999994879216059</v>
          </cell>
          <cell r="AA4382">
            <v>4998.9655119723939</v>
          </cell>
          <cell r="AB4382"/>
        </row>
        <row r="4383">
          <cell r="C4383">
            <v>6</v>
          </cell>
          <cell r="D4383">
            <v>0</v>
          </cell>
          <cell r="E4383">
            <v>0</v>
          </cell>
          <cell r="F4383">
            <v>0</v>
          </cell>
          <cell r="H4383">
            <v>2</v>
          </cell>
          <cell r="O4383">
            <v>378282</v>
          </cell>
          <cell r="P4383" t="str">
            <v>2024/033-0004-01</v>
          </cell>
          <cell r="Q4383" t="str">
            <v>EST CADEIRA PI C/BRACO (MARROM) TC BOUCLE REIMS 5323-001</v>
          </cell>
          <cell r="R4383"/>
          <cell r="S4383"/>
          <cell r="T4383">
            <v>0.75</v>
          </cell>
          <cell r="U4383">
            <v>0.6</v>
          </cell>
          <cell r="V4383">
            <v>0.76</v>
          </cell>
          <cell r="W4383">
            <v>0</v>
          </cell>
          <cell r="X4383" t="str">
            <v>EST CADEIRA PI C/BRACO (MARROM) TC BOUCLE REIMS 5323-001 - 0,75x0,6x0,76H</v>
          </cell>
          <cell r="Y4383">
            <v>9997.93</v>
          </cell>
          <cell r="Z4383">
            <v>0.49999994879216059</v>
          </cell>
          <cell r="AA4383">
            <v>4998.9655119723939</v>
          </cell>
          <cell r="AB4383"/>
        </row>
        <row r="4384">
          <cell r="C4384">
            <v>0</v>
          </cell>
          <cell r="D4384">
            <v>1</v>
          </cell>
          <cell r="E4384">
            <v>0</v>
          </cell>
          <cell r="F4384">
            <v>0</v>
          </cell>
          <cell r="H4384">
            <v>5</v>
          </cell>
          <cell r="O4384">
            <v>378286</v>
          </cell>
          <cell r="P4384" t="str">
            <v>2024/029-0116-01</v>
          </cell>
          <cell r="Q4384" t="str">
            <v>EST CADEIRA PI C/BRACO (PRETO FSC) TC LEROY 6200-007</v>
          </cell>
          <cell r="R4384"/>
          <cell r="S4384"/>
          <cell r="T4384">
            <v>0.75</v>
          </cell>
          <cell r="U4384">
            <v>0.6</v>
          </cell>
          <cell r="V4384">
            <v>0.76</v>
          </cell>
          <cell r="W4384">
            <v>0</v>
          </cell>
          <cell r="X4384" t="str">
            <v>EST CADEIRA PI C/BRACO (PRETO FSC) TC LEROY 6200-007 - 0,75x0,6x0,76H</v>
          </cell>
          <cell r="Y4384">
            <v>10102.205</v>
          </cell>
          <cell r="Z4384">
            <v>0.5</v>
          </cell>
          <cell r="AA4384">
            <v>5051.1025</v>
          </cell>
          <cell r="AB4384"/>
        </row>
        <row r="4385">
          <cell r="C4385">
            <v>0</v>
          </cell>
          <cell r="D4385">
            <v>1</v>
          </cell>
          <cell r="E4385">
            <v>0</v>
          </cell>
          <cell r="F4385">
            <v>0</v>
          </cell>
          <cell r="H4385">
            <v>5</v>
          </cell>
          <cell r="O4385">
            <v>378286</v>
          </cell>
          <cell r="P4385" t="str">
            <v>2024/029-0117-01</v>
          </cell>
          <cell r="Q4385" t="str">
            <v>EST CADEIRA PI C/BRACO (PRETO FSC) TC LEROY 6200-007</v>
          </cell>
          <cell r="R4385"/>
          <cell r="S4385"/>
          <cell r="T4385">
            <v>0.75</v>
          </cell>
          <cell r="U4385">
            <v>0.6</v>
          </cell>
          <cell r="V4385">
            <v>0.76</v>
          </cell>
          <cell r="W4385">
            <v>0</v>
          </cell>
          <cell r="X4385" t="str">
            <v>EST CADEIRA PI C/BRACO (PRETO FSC) TC LEROY 6200-007 - 0,75x0,6x0,76H</v>
          </cell>
          <cell r="Y4385">
            <v>10102.205</v>
          </cell>
          <cell r="Z4385">
            <v>0.5</v>
          </cell>
          <cell r="AA4385">
            <v>5051.1025</v>
          </cell>
          <cell r="AB4385"/>
        </row>
        <row r="4386">
          <cell r="C4386">
            <v>0</v>
          </cell>
          <cell r="D4386">
            <v>1</v>
          </cell>
          <cell r="E4386">
            <v>0</v>
          </cell>
          <cell r="F4386">
            <v>0</v>
          </cell>
          <cell r="H4386">
            <v>5</v>
          </cell>
          <cell r="O4386">
            <v>378286</v>
          </cell>
          <cell r="P4386" t="str">
            <v>2024/029-0118-01</v>
          </cell>
          <cell r="Q4386" t="str">
            <v>EST CADEIRA PI C/BRACO (PRETO FSC) TC LEROY 6200-007</v>
          </cell>
          <cell r="R4386"/>
          <cell r="S4386"/>
          <cell r="T4386">
            <v>0.75</v>
          </cell>
          <cell r="U4386">
            <v>0.6</v>
          </cell>
          <cell r="V4386">
            <v>0.76</v>
          </cell>
          <cell r="W4386">
            <v>0</v>
          </cell>
          <cell r="X4386" t="str">
            <v>EST CADEIRA PI C/BRACO (PRETO FSC) TC LEROY 6200-007 - 0,75x0,6x0,76H</v>
          </cell>
          <cell r="Y4386">
            <v>10102.205</v>
          </cell>
          <cell r="Z4386">
            <v>0.5</v>
          </cell>
          <cell r="AA4386">
            <v>5051.1025</v>
          </cell>
          <cell r="AB4386"/>
        </row>
        <row r="4387">
          <cell r="C4387">
            <v>0</v>
          </cell>
          <cell r="D4387">
            <v>1</v>
          </cell>
          <cell r="E4387">
            <v>0</v>
          </cell>
          <cell r="F4387">
            <v>0</v>
          </cell>
          <cell r="H4387">
            <v>5</v>
          </cell>
          <cell r="O4387">
            <v>378286</v>
          </cell>
          <cell r="P4387" t="str">
            <v>2024/029-0119-01</v>
          </cell>
          <cell r="Q4387" t="str">
            <v>EST CADEIRA PI C/BRACO (PRETO FSC) TC LEROY 6200-007</v>
          </cell>
          <cell r="R4387"/>
          <cell r="S4387"/>
          <cell r="T4387">
            <v>0.75</v>
          </cell>
          <cell r="U4387">
            <v>0.6</v>
          </cell>
          <cell r="V4387">
            <v>0.76</v>
          </cell>
          <cell r="W4387">
            <v>0</v>
          </cell>
          <cell r="X4387" t="str">
            <v>EST CADEIRA PI C/BRACO (PRETO FSC) TC LEROY 6200-007 - 0,75x0,6x0,76H</v>
          </cell>
          <cell r="Y4387">
            <v>10102.205</v>
          </cell>
          <cell r="Z4387">
            <v>0.5</v>
          </cell>
          <cell r="AA4387">
            <v>5051.1025</v>
          </cell>
          <cell r="AB4387"/>
        </row>
        <row r="4388">
          <cell r="C4388">
            <v>0</v>
          </cell>
          <cell r="D4388">
            <v>0</v>
          </cell>
          <cell r="E4388">
            <v>2</v>
          </cell>
          <cell r="F4388">
            <v>0</v>
          </cell>
          <cell r="H4388">
            <v>6</v>
          </cell>
          <cell r="O4388">
            <v>378288</v>
          </cell>
          <cell r="P4388" t="str">
            <v>2024/045-0010-01</v>
          </cell>
          <cell r="Q4388" t="str">
            <v>EST CADEIRA PI C/BRACO (CORTEN) COURO PIG 611</v>
          </cell>
          <cell r="R4388"/>
          <cell r="S4388"/>
          <cell r="T4388">
            <v>0.53</v>
          </cell>
          <cell r="U4388">
            <v>0.6</v>
          </cell>
          <cell r="V4388">
            <v>0.76</v>
          </cell>
          <cell r="W4388">
            <v>0</v>
          </cell>
          <cell r="X4388" t="str">
            <v>EST CADEIRA PI C/BRACO (CORTEN) COURO PIG 611 - 0,53x0,6x0,76H</v>
          </cell>
          <cell r="Y4388">
            <v>10088.870000000001</v>
          </cell>
          <cell r="Z4388">
            <v>0.5</v>
          </cell>
          <cell r="AA4388">
            <v>5044.4350000000004</v>
          </cell>
          <cell r="AB4388"/>
        </row>
        <row r="4389">
          <cell r="C4389">
            <v>0</v>
          </cell>
          <cell r="D4389">
            <v>0</v>
          </cell>
          <cell r="E4389">
            <v>2</v>
          </cell>
          <cell r="F4389">
            <v>0</v>
          </cell>
          <cell r="H4389">
            <v>6</v>
          </cell>
          <cell r="O4389">
            <v>378288</v>
          </cell>
          <cell r="P4389" t="str">
            <v>2024/045-0013-01</v>
          </cell>
          <cell r="Q4389" t="str">
            <v>EST CADEIRA PI C/BRACO (CORTEN) COURO PIG 611</v>
          </cell>
          <cell r="R4389"/>
          <cell r="S4389"/>
          <cell r="T4389">
            <v>0.53</v>
          </cell>
          <cell r="U4389">
            <v>0.6</v>
          </cell>
          <cell r="V4389">
            <v>0.76</v>
          </cell>
          <cell r="W4389">
            <v>0</v>
          </cell>
          <cell r="X4389" t="str">
            <v>EST CADEIRA PI C/BRACO (CORTEN) COURO PIG 611 - 0,53x0,6x0,76H</v>
          </cell>
          <cell r="Y4389">
            <v>10088.870000000001</v>
          </cell>
          <cell r="Z4389">
            <v>0.5</v>
          </cell>
          <cell r="AA4389">
            <v>5044.4350000000004</v>
          </cell>
          <cell r="AB4389"/>
        </row>
        <row r="4390">
          <cell r="C4390">
            <v>0</v>
          </cell>
          <cell r="D4390">
            <v>0</v>
          </cell>
          <cell r="E4390">
            <v>2</v>
          </cell>
          <cell r="F4390">
            <v>0</v>
          </cell>
          <cell r="H4390">
            <v>6</v>
          </cell>
          <cell r="O4390">
            <v>378288</v>
          </cell>
          <cell r="P4390" t="str">
            <v>2024/045-0014-01</v>
          </cell>
          <cell r="Q4390" t="str">
            <v>EST CADEIRA PI C/BRACO (CORTEN) COURO PIG 611</v>
          </cell>
          <cell r="R4390"/>
          <cell r="S4390"/>
          <cell r="T4390">
            <v>0.53</v>
          </cell>
          <cell r="U4390">
            <v>0.6</v>
          </cell>
          <cell r="V4390">
            <v>0.76</v>
          </cell>
          <cell r="W4390">
            <v>0</v>
          </cell>
          <cell r="X4390" t="str">
            <v>EST CADEIRA PI C/BRACO (CORTEN) COURO PIG 611 - 0,53x0,6x0,76H</v>
          </cell>
          <cell r="Y4390">
            <v>10088.870000000001</v>
          </cell>
          <cell r="Z4390">
            <v>0.5</v>
          </cell>
          <cell r="AA4390">
            <v>5044.4350000000004</v>
          </cell>
          <cell r="AB4390"/>
        </row>
        <row r="4391">
          <cell r="C4391">
            <v>0</v>
          </cell>
          <cell r="D4391">
            <v>0</v>
          </cell>
          <cell r="E4391">
            <v>2</v>
          </cell>
          <cell r="F4391">
            <v>0</v>
          </cell>
          <cell r="H4391">
            <v>6</v>
          </cell>
          <cell r="O4391">
            <v>378288</v>
          </cell>
          <cell r="P4391" t="str">
            <v>2024/045-0015-01</v>
          </cell>
          <cell r="Q4391" t="str">
            <v>EST CADEIRA PI C/BRACO (CORTEN) COURO PIG 611</v>
          </cell>
          <cell r="R4391"/>
          <cell r="S4391"/>
          <cell r="T4391">
            <v>0.53</v>
          </cell>
          <cell r="U4391">
            <v>0.6</v>
          </cell>
          <cell r="V4391">
            <v>0.76</v>
          </cell>
          <cell r="W4391">
            <v>0</v>
          </cell>
          <cell r="X4391" t="str">
            <v>EST CADEIRA PI C/BRACO (CORTEN) COURO PIG 611 - 0,53x0,6x0,76H</v>
          </cell>
          <cell r="Y4391">
            <v>10088.870000000001</v>
          </cell>
          <cell r="Z4391">
            <v>0.5</v>
          </cell>
          <cell r="AA4391">
            <v>5044.4350000000004</v>
          </cell>
          <cell r="AB4391"/>
        </row>
        <row r="4392">
          <cell r="C4392">
            <v>0</v>
          </cell>
          <cell r="D4392">
            <v>0</v>
          </cell>
          <cell r="E4392">
            <v>2</v>
          </cell>
          <cell r="F4392">
            <v>0</v>
          </cell>
          <cell r="H4392">
            <v>6</v>
          </cell>
          <cell r="O4392">
            <v>378288</v>
          </cell>
          <cell r="P4392" t="str">
            <v>2024/045-0016-01</v>
          </cell>
          <cell r="Q4392" t="str">
            <v>EST CADEIRA PI C/BRACO (CORTEN) COURO PIG 611</v>
          </cell>
          <cell r="R4392"/>
          <cell r="S4392"/>
          <cell r="T4392">
            <v>0.53</v>
          </cell>
          <cell r="U4392">
            <v>0.6</v>
          </cell>
          <cell r="V4392">
            <v>0.76</v>
          </cell>
          <cell r="W4392">
            <v>0</v>
          </cell>
          <cell r="X4392" t="str">
            <v>EST CADEIRA PI C/BRACO (CORTEN) COURO PIG 611 - 0,53x0,6x0,76H</v>
          </cell>
          <cell r="Y4392">
            <v>10088.870000000001</v>
          </cell>
          <cell r="Z4392">
            <v>0.5</v>
          </cell>
          <cell r="AA4392">
            <v>5044.4350000000004</v>
          </cell>
          <cell r="AB4392"/>
        </row>
        <row r="4393">
          <cell r="C4393">
            <v>0</v>
          </cell>
          <cell r="D4393">
            <v>0</v>
          </cell>
          <cell r="E4393">
            <v>2</v>
          </cell>
          <cell r="F4393">
            <v>0</v>
          </cell>
          <cell r="H4393">
            <v>6</v>
          </cell>
          <cell r="O4393">
            <v>378288</v>
          </cell>
          <cell r="P4393" t="str">
            <v>2024/045-0017-01</v>
          </cell>
          <cell r="Q4393" t="str">
            <v>EST CADEIRA PI C/BRACO (CORTEN) COURO PIG 611</v>
          </cell>
          <cell r="R4393"/>
          <cell r="S4393"/>
          <cell r="T4393">
            <v>0.53</v>
          </cell>
          <cell r="U4393">
            <v>0.6</v>
          </cell>
          <cell r="V4393">
            <v>0.76</v>
          </cell>
          <cell r="W4393">
            <v>0</v>
          </cell>
          <cell r="X4393" t="str">
            <v>EST CADEIRA PI C/BRACO (CORTEN) COURO PIG 611 - 0,53x0,6x0,76H</v>
          </cell>
          <cell r="Y4393">
            <v>10088.870000000001</v>
          </cell>
          <cell r="Z4393">
            <v>0.5</v>
          </cell>
          <cell r="AA4393">
            <v>5044.4350000000004</v>
          </cell>
          <cell r="AB4393"/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H4394">
            <v>1</v>
          </cell>
          <cell r="O4394">
            <v>378391</v>
          </cell>
          <cell r="P4394" t="str">
            <v>2024/030-0067-01</v>
          </cell>
          <cell r="Q4394" t="str">
            <v>EST TAPETE TROPICAL (LISO) (1 COR) (10MM) F:77</v>
          </cell>
          <cell r="R4394"/>
          <cell r="S4394"/>
          <cell r="T4394">
            <v>4</v>
          </cell>
          <cell r="U4394">
            <v>1</v>
          </cell>
          <cell r="V4394">
            <v>0.01</v>
          </cell>
          <cell r="W4394">
            <v>0</v>
          </cell>
          <cell r="X4394" t="str">
            <v>EST TAPETE TROPICAL (LISO) (1 COR) (10MM) F:77 - 4x1x0,01H</v>
          </cell>
          <cell r="Y4394">
            <v>6773.76</v>
          </cell>
          <cell r="Z4394">
            <v>0.5</v>
          </cell>
          <cell r="AA4394">
            <v>3386.88</v>
          </cell>
          <cell r="AB4394"/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H4395">
            <v>2</v>
          </cell>
          <cell r="O4395">
            <v>379525</v>
          </cell>
          <cell r="P4395" t="str">
            <v>2024/068-0005-01</v>
          </cell>
          <cell r="Q4395" t="str">
            <v>EST PUFF MONDRIAN (C1 SEPIA/NOG) (C2 KURKUMA)</v>
          </cell>
          <cell r="R4395"/>
          <cell r="S4395"/>
          <cell r="T4395">
            <v>0.9</v>
          </cell>
          <cell r="U4395">
            <v>0.6</v>
          </cell>
          <cell r="V4395">
            <v>0.43</v>
          </cell>
          <cell r="W4395">
            <v>0</v>
          </cell>
          <cell r="X4395" t="str">
            <v>EST PUFF MONDRIAN (C1 SEPIA/NOG) (C2 KURKUMA) - 0,9x0,6x0,43H</v>
          </cell>
          <cell r="Y4395">
            <v>23383.67</v>
          </cell>
          <cell r="Z4395">
            <v>0.5</v>
          </cell>
          <cell r="AA4395">
            <v>11691.834999999999</v>
          </cell>
          <cell r="AB4395"/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H4396">
            <v>2</v>
          </cell>
          <cell r="O4396">
            <v>379525</v>
          </cell>
          <cell r="P4396" t="str">
            <v>2024/068-0006-01</v>
          </cell>
          <cell r="Q4396" t="str">
            <v>EST PUFF MONDRIAN (C1 SEPIA/NOG) (C2 KURKUMA)</v>
          </cell>
          <cell r="R4396"/>
          <cell r="S4396"/>
          <cell r="T4396">
            <v>0.9</v>
          </cell>
          <cell r="U4396">
            <v>0.6</v>
          </cell>
          <cell r="V4396">
            <v>0.43</v>
          </cell>
          <cell r="W4396">
            <v>0</v>
          </cell>
          <cell r="X4396" t="str">
            <v>EST PUFF MONDRIAN (C1 SEPIA/NOG) (C2 KURKUMA) - 0,9x0,6x0,43H</v>
          </cell>
          <cell r="Y4396">
            <v>23383.67</v>
          </cell>
          <cell r="Z4396">
            <v>0.5</v>
          </cell>
          <cell r="AA4396">
            <v>11691.834999999999</v>
          </cell>
          <cell r="AB4396"/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H4397">
            <v>3</v>
          </cell>
          <cell r="O4397">
            <v>379549</v>
          </cell>
          <cell r="P4397" t="str">
            <v>2024/080-0013-01</v>
          </cell>
          <cell r="Q4397" t="str">
            <v>EST ALMOFADA DECORATIVA HIMALAYA (P) (SOFT) (C3008/DB3001)</v>
          </cell>
          <cell r="R4397"/>
          <cell r="S4397"/>
          <cell r="T4397">
            <v>0.5</v>
          </cell>
          <cell r="U4397">
            <v>0.33</v>
          </cell>
          <cell r="V4397">
            <v>7.0000000000000007E-2</v>
          </cell>
          <cell r="W4397">
            <v>0</v>
          </cell>
          <cell r="X4397" t="str">
            <v>EST ALMOFADA DECORATIVA HIMALAYA (P) (SOFT) (C3008/DB3001) - 0,5x0,33x0,07H</v>
          </cell>
          <cell r="Y4397">
            <v>2339.4839999999999</v>
          </cell>
          <cell r="Z4397">
            <v>0.5</v>
          </cell>
          <cell r="AA4397">
            <v>1169.742</v>
          </cell>
          <cell r="AB4397"/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H4398">
            <v>3</v>
          </cell>
          <cell r="O4398">
            <v>379549</v>
          </cell>
          <cell r="P4398" t="str">
            <v>2024/080-0012-01</v>
          </cell>
          <cell r="Q4398" t="str">
            <v>EST ALMOFADA DECORATIVA HIMALAYA (P) (SOFT) (C3008/DB3001)</v>
          </cell>
          <cell r="R4398"/>
          <cell r="S4398"/>
          <cell r="T4398">
            <v>0.5</v>
          </cell>
          <cell r="U4398">
            <v>0.33</v>
          </cell>
          <cell r="V4398">
            <v>7.0000000000000007E-2</v>
          </cell>
          <cell r="W4398">
            <v>0</v>
          </cell>
          <cell r="X4398" t="str">
            <v>EST ALMOFADA DECORATIVA HIMALAYA (P) (SOFT) (C3008/DB3001) - 0,5x0,33x0,07H</v>
          </cell>
          <cell r="Y4398">
            <v>2339.4839999999999</v>
          </cell>
          <cell r="Z4398">
            <v>0.5</v>
          </cell>
          <cell r="AA4398">
            <v>1169.742</v>
          </cell>
          <cell r="AB4398"/>
        </row>
        <row r="4399">
          <cell r="C4399">
            <v>0</v>
          </cell>
          <cell r="D4399">
            <v>1</v>
          </cell>
          <cell r="E4399">
            <v>0</v>
          </cell>
          <cell r="F4399">
            <v>0</v>
          </cell>
          <cell r="H4399">
            <v>1</v>
          </cell>
          <cell r="O4399">
            <v>379641</v>
          </cell>
          <cell r="P4399" t="str">
            <v>2024/106-0007-01</v>
          </cell>
          <cell r="Q4399" t="str">
            <v>EST CADEIRA YASMIM (ESTOFADO) (NOGUEIRA) TC 2000 - 2337</v>
          </cell>
          <cell r="R4399"/>
          <cell r="S4399"/>
          <cell r="T4399">
            <v>0.49</v>
          </cell>
          <cell r="U4399">
            <v>0.6</v>
          </cell>
          <cell r="V4399">
            <v>0.84</v>
          </cell>
          <cell r="W4399">
            <v>0</v>
          </cell>
          <cell r="X4399" t="str">
            <v>EST CADEIRA YASMIM (ESTOFADO) (NOGUEIRA) TC 2000 - 2337 - 0,49x0,6x0,84H</v>
          </cell>
          <cell r="Y4399">
            <v>3185.55</v>
          </cell>
          <cell r="Z4399">
            <v>0.5</v>
          </cell>
          <cell r="AA4399">
            <v>1592.7750000000001</v>
          </cell>
          <cell r="AB4399"/>
        </row>
        <row r="4400"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H4400">
            <v>2</v>
          </cell>
          <cell r="O4400">
            <v>379646</v>
          </cell>
          <cell r="P4400" t="str">
            <v>2024/081-0056-01</v>
          </cell>
          <cell r="Q4400" t="str">
            <v>EST POLTRONA PATER (IMBUIA) COURO 1 SEPIA/ALMOF FX7560</v>
          </cell>
          <cell r="R4400"/>
          <cell r="S4400"/>
          <cell r="T4400">
            <v>0.82</v>
          </cell>
          <cell r="U4400">
            <v>0.94</v>
          </cell>
          <cell r="V4400">
            <v>0.83</v>
          </cell>
          <cell r="W4400">
            <v>0</v>
          </cell>
          <cell r="X4400" t="str">
            <v>EST POLTRONA PATER (IMBUIA) COURO 1 SEPIA/ALMOF FX7560 - 0,82x0,94x0,83H</v>
          </cell>
          <cell r="Y4400">
            <v>34077.97</v>
          </cell>
          <cell r="Z4400">
            <v>0.5</v>
          </cell>
          <cell r="AA4400">
            <v>17038.985000000001</v>
          </cell>
          <cell r="AB4400"/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H4401">
            <v>1</v>
          </cell>
          <cell r="O4401">
            <v>386949</v>
          </cell>
          <cell r="P4401" t="str">
            <v>2024/117-0021-01</v>
          </cell>
          <cell r="Q4401" t="str">
            <v>EST BANQUETA BAR MEDALHINHA H61 (FREIJO) (RATTAN ABERTA)</v>
          </cell>
          <cell r="R4401"/>
          <cell r="S4401"/>
          <cell r="T4401">
            <v>0.47</v>
          </cell>
          <cell r="U4401">
            <v>0.61</v>
          </cell>
          <cell r="V4401">
            <v>1</v>
          </cell>
          <cell r="W4401">
            <v>0</v>
          </cell>
          <cell r="X4401" t="str">
            <v>EST BANQUETA BAR MEDALHINHA H61 (FREIJO) (RATTAN ABERTA) - 0,47x0,61x1H</v>
          </cell>
          <cell r="Y4401">
            <v>10076.950000000001</v>
          </cell>
          <cell r="Z4401">
            <v>0.5</v>
          </cell>
          <cell r="AA4401">
            <v>5038.4750000000004</v>
          </cell>
          <cell r="AB4401"/>
        </row>
        <row r="4402">
          <cell r="C4402">
            <v>1</v>
          </cell>
          <cell r="D4402">
            <v>0</v>
          </cell>
          <cell r="E4402">
            <v>0</v>
          </cell>
          <cell r="F4402">
            <v>2</v>
          </cell>
          <cell r="H4402">
            <v>2</v>
          </cell>
          <cell r="O4402">
            <v>389957</v>
          </cell>
          <cell r="P4402" t="str">
            <v>2024/247-0114-01</v>
          </cell>
          <cell r="Q4402" t="str">
            <v>EST ALMOFADA DECORATIVA HIMALAYA (G) TC KEEPSAKE TAUPE</v>
          </cell>
          <cell r="R4402"/>
          <cell r="S4402"/>
          <cell r="T4402">
            <v>0.9</v>
          </cell>
          <cell r="U4402">
            <v>0.7</v>
          </cell>
          <cell r="V4402">
            <v>0</v>
          </cell>
          <cell r="W4402">
            <v>0</v>
          </cell>
          <cell r="X4402" t="str">
            <v>EST ALMOFADA DECORATIVA HIMALAYA (G) TC KEEPSAKE TAUPE - 0,9x0,7x0H</v>
          </cell>
          <cell r="Y4402">
            <v>2778.5439400000005</v>
          </cell>
          <cell r="Z4402">
            <v>0.5</v>
          </cell>
          <cell r="AA4402">
            <v>1389.2719700000002</v>
          </cell>
          <cell r="AB4402"/>
        </row>
        <row r="4403">
          <cell r="C4403">
            <v>2</v>
          </cell>
          <cell r="D4403">
            <v>2</v>
          </cell>
          <cell r="E4403">
            <v>2</v>
          </cell>
          <cell r="F4403">
            <v>0</v>
          </cell>
          <cell r="H4403">
            <v>0</v>
          </cell>
          <cell r="O4403">
            <v>234033</v>
          </cell>
          <cell r="P4403" t="str">
            <v>2019/164-0044-01</v>
          </cell>
          <cell r="Q4403" t="str">
            <v>EST ALMOFADA (GREEN COMPLIMENT 2 ED) (COD 120550128)</v>
          </cell>
          <cell r="R4403"/>
          <cell r="S4403"/>
          <cell r="T4403">
            <v>0.5</v>
          </cell>
          <cell r="U4403">
            <v>0.5</v>
          </cell>
          <cell r="V4403">
            <v>0.15</v>
          </cell>
          <cell r="W4403">
            <v>0</v>
          </cell>
          <cell r="X4403" t="str">
            <v>EST ALMOFADA (GREEN COMPLIMENT 2 ED) (COD 120550128) - 0,5x0,5x0,15H</v>
          </cell>
          <cell r="Y4403">
            <v>500</v>
          </cell>
          <cell r="Z4403">
            <v>0.5</v>
          </cell>
          <cell r="AA4403">
            <v>250</v>
          </cell>
          <cell r="AB4403"/>
        </row>
        <row r="4404">
          <cell r="C4404">
            <v>2</v>
          </cell>
          <cell r="D4404">
            <v>2</v>
          </cell>
          <cell r="E4404">
            <v>2</v>
          </cell>
          <cell r="F4404">
            <v>0</v>
          </cell>
          <cell r="H4404">
            <v>0</v>
          </cell>
          <cell r="O4404">
            <v>234033</v>
          </cell>
          <cell r="P4404" t="str">
            <v>2019/164-0046-01</v>
          </cell>
          <cell r="Q4404" t="str">
            <v>EST ALMOFADA (GREEN COMPLIMENT 2 ED) (COD 120550128)</v>
          </cell>
          <cell r="R4404"/>
          <cell r="S4404"/>
          <cell r="T4404">
            <v>0.5</v>
          </cell>
          <cell r="U4404">
            <v>0.5</v>
          </cell>
          <cell r="V4404">
            <v>0.15</v>
          </cell>
          <cell r="W4404">
            <v>0</v>
          </cell>
          <cell r="X4404" t="str">
            <v>EST ALMOFADA (GREEN COMPLIMENT 2 ED) (COD 120550128) - 0,5x0,5x0,15H</v>
          </cell>
          <cell r="Y4404">
            <v>500</v>
          </cell>
          <cell r="Z4404">
            <v>0.5</v>
          </cell>
          <cell r="AA4404">
            <v>250</v>
          </cell>
          <cell r="AB4404"/>
        </row>
        <row r="4405">
          <cell r="C4405">
            <v>1</v>
          </cell>
          <cell r="D4405">
            <v>0</v>
          </cell>
          <cell r="E4405">
            <v>0</v>
          </cell>
          <cell r="F4405">
            <v>0</v>
          </cell>
          <cell r="H4405">
            <v>0</v>
          </cell>
          <cell r="O4405">
            <v>64152</v>
          </cell>
          <cell r="P4405"/>
          <cell r="Q4405" t="str">
            <v>EST GELEIRA PF-GL-01PF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GELEIRA PF-GL-01PF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0</v>
          </cell>
          <cell r="D4406">
            <v>2</v>
          </cell>
          <cell r="E4406">
            <v>0</v>
          </cell>
          <cell r="F4406">
            <v>0</v>
          </cell>
          <cell r="H4406">
            <v>0</v>
          </cell>
          <cell r="O4406">
            <v>101056</v>
          </cell>
          <cell r="P4406"/>
          <cell r="Q4406" t="str">
            <v>EST AC PASSARO R1 11 9 23100011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PASSARO R1 11 9 23100011 -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4</v>
          </cell>
          <cell r="D4407">
            <v>0</v>
          </cell>
          <cell r="E4407">
            <v>0</v>
          </cell>
          <cell r="F4407">
            <v>0</v>
          </cell>
          <cell r="H4407">
            <v>0</v>
          </cell>
          <cell r="O4407">
            <v>101061</v>
          </cell>
          <cell r="P4407"/>
          <cell r="Q4407" t="str">
            <v>EST AC TACA ESTRELA 22600052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TACA ESTRELA 22600052 -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6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101068</v>
          </cell>
          <cell r="P4408"/>
          <cell r="Q4408" t="str">
            <v>EST AC PRATO VERDE SC14 M 21300214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PRATO VERDE SC14 M 21300214 -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8</v>
          </cell>
          <cell r="D4409">
            <v>0</v>
          </cell>
          <cell r="E4409">
            <v>0</v>
          </cell>
          <cell r="F4409">
            <v>0</v>
          </cell>
          <cell r="H4409">
            <v>0</v>
          </cell>
          <cell r="O4409">
            <v>101069</v>
          </cell>
          <cell r="P4409"/>
          <cell r="Q4409" t="str">
            <v>EST AC PRATO VERDE SC13 P 21300215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PRATO VERDE SC13 P 21300215 -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2</v>
          </cell>
          <cell r="E4410">
            <v>1</v>
          </cell>
          <cell r="F4410">
            <v>0</v>
          </cell>
          <cell r="H4410">
            <v>0</v>
          </cell>
          <cell r="O4410">
            <v>101073</v>
          </cell>
          <cell r="P4410"/>
          <cell r="Q4410" t="str">
            <v>EST AC PINCEL DECORATIVO 82000031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PINCEL DECORATIVO 82000031 -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1</v>
          </cell>
          <cell r="D4411">
            <v>0</v>
          </cell>
          <cell r="E4411">
            <v>0</v>
          </cell>
          <cell r="F4411">
            <v>0</v>
          </cell>
          <cell r="H4411">
            <v>0</v>
          </cell>
          <cell r="O4411">
            <v>101102</v>
          </cell>
          <cell r="P4411"/>
          <cell r="Q4411" t="str">
            <v>EST VASO DE MADEIRA (WP011) (22400031)</v>
          </cell>
          <cell r="R4411"/>
          <cell r="S4411"/>
          <cell r="T4411">
            <v>0</v>
          </cell>
          <cell r="U4411">
            <v>0</v>
          </cell>
          <cell r="V4411">
            <v>0.92</v>
          </cell>
          <cell r="W4411">
            <v>0</v>
          </cell>
          <cell r="X4411" t="str">
            <v>EST VASO DE MADEIRA (WP011) (22400031) - Ø0x0,92H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5</v>
          </cell>
          <cell r="D4412">
            <v>0</v>
          </cell>
          <cell r="E4412">
            <v>0</v>
          </cell>
          <cell r="F4412">
            <v>0</v>
          </cell>
          <cell r="H4412">
            <v>0</v>
          </cell>
          <cell r="O4412">
            <v>101510</v>
          </cell>
          <cell r="P4412"/>
          <cell r="Q4412" t="str">
            <v>EST AC C MESA MATHELADO BRANCO D50CM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C MESA MATHELADO BRANCO D50CM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0</v>
          </cell>
          <cell r="E4413">
            <v>0</v>
          </cell>
          <cell r="F4413">
            <v>0</v>
          </cell>
          <cell r="H4413">
            <v>0</v>
          </cell>
          <cell r="O4413">
            <v>101802</v>
          </cell>
          <cell r="P4413"/>
          <cell r="Q4413" t="str">
            <v>EST AC C MESA MADAME BUTTERFLY BRANCO H7,5X36CM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C MESA MADAME BUTTERFLY BRANCO H7,5X36CM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1</v>
          </cell>
          <cell r="E4414">
            <v>0</v>
          </cell>
          <cell r="F4414">
            <v>0</v>
          </cell>
          <cell r="H4414">
            <v>0</v>
          </cell>
          <cell r="O4414">
            <v>101807</v>
          </cell>
          <cell r="P4414"/>
          <cell r="Q4414" t="str">
            <v>EST AC BALDE P GELO P COBRE H23X32X21CM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AC BALDE P GELO P COBRE H23X32X21CM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1</v>
          </cell>
          <cell r="E4415">
            <v>0</v>
          </cell>
          <cell r="F4415">
            <v>0</v>
          </cell>
          <cell r="H4415">
            <v>0</v>
          </cell>
          <cell r="O4415">
            <v>101810</v>
          </cell>
          <cell r="P4415"/>
          <cell r="Q4415" t="str">
            <v>EST AC C DE MESA MADAME BUTTERFLY COBRE H7,5X36CM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AC C DE MESA MADAME BUTTERFLY COBRE H7,5X36CM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1</v>
          </cell>
          <cell r="D4416">
            <v>0</v>
          </cell>
          <cell r="E4416">
            <v>0</v>
          </cell>
          <cell r="F4416">
            <v>0</v>
          </cell>
          <cell r="H4416">
            <v>0</v>
          </cell>
          <cell r="O4416">
            <v>101970</v>
          </cell>
          <cell r="P4416"/>
          <cell r="Q4416" t="str">
            <v>EST ESPELHO ST7044 (LACA PRATA) (ESPELHO FUME)</v>
          </cell>
          <cell r="R4416"/>
          <cell r="S4416"/>
          <cell r="T4416">
            <v>1.1000000000000001</v>
          </cell>
          <cell r="U4416">
            <v>2.1</v>
          </cell>
          <cell r="V4416">
            <v>0</v>
          </cell>
          <cell r="W4416">
            <v>0</v>
          </cell>
          <cell r="X4416" t="str">
            <v>EST ESPELHO ST7044 (LACA PRATA) (ESPELHO FUME) - 1,1x2,1x0H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1</v>
          </cell>
          <cell r="D4417">
            <v>0</v>
          </cell>
          <cell r="E4417">
            <v>0</v>
          </cell>
          <cell r="F4417">
            <v>0</v>
          </cell>
          <cell r="H4417">
            <v>0</v>
          </cell>
          <cell r="O4417">
            <v>112719</v>
          </cell>
          <cell r="P4417"/>
          <cell r="Q4417" t="str">
            <v>EST AC VASO VD DAMASCO PQ 35X23,5D TURQUESA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AC VASO VD DAMASCO PQ 35X23,5D TURQUESA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1</v>
          </cell>
          <cell r="D4418">
            <v>0</v>
          </cell>
          <cell r="E4418">
            <v>0</v>
          </cell>
          <cell r="F4418">
            <v>0</v>
          </cell>
          <cell r="H4418">
            <v>0</v>
          </cell>
          <cell r="O4418">
            <v>112754</v>
          </cell>
          <cell r="P4418"/>
          <cell r="Q4418" t="str">
            <v>EST AC VASO VD BUBBLE PQ 21X16D VERDE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VASO VD BUBBLE PQ 21X16D VERDE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0</v>
          </cell>
          <cell r="D4419">
            <v>1</v>
          </cell>
          <cell r="E4419">
            <v>0</v>
          </cell>
          <cell r="F4419">
            <v>0</v>
          </cell>
          <cell r="H4419">
            <v>0</v>
          </cell>
          <cell r="O4419">
            <v>121930</v>
          </cell>
          <cell r="P4419"/>
          <cell r="Q4419" t="str">
            <v>EST AC GARRAFA VD GR TOWER 48,5X14 AZUL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GARRAFA VD GR TOWER 48,5X14 AZUL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0</v>
          </cell>
          <cell r="F4420">
            <v>0</v>
          </cell>
          <cell r="H4420">
            <v>0</v>
          </cell>
          <cell r="O4420">
            <v>121936</v>
          </cell>
          <cell r="P4420"/>
          <cell r="Q4420" t="str">
            <v>EST AC GARRAFA VD DOCILA PQ 21,5X19 VERDE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GARRAFA VD DOCILA PQ 21,5X19 VERDE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0</v>
          </cell>
          <cell r="F4421">
            <v>0</v>
          </cell>
          <cell r="H4421">
            <v>0</v>
          </cell>
          <cell r="O4421">
            <v>121940</v>
          </cell>
          <cell r="P4421"/>
          <cell r="Q4421" t="str">
            <v>EST AC COPO REFRESCO VD HARMONIA C/ 6 290ML AZUL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COPO REFRESCO VD HARMONIA C/ 6 290ML AZUL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0</v>
          </cell>
          <cell r="D4422">
            <v>1</v>
          </cell>
          <cell r="E4422">
            <v>0</v>
          </cell>
          <cell r="F4422">
            <v>0</v>
          </cell>
          <cell r="H4422">
            <v>0</v>
          </cell>
          <cell r="O4422">
            <v>121941</v>
          </cell>
          <cell r="P4422"/>
          <cell r="Q4422" t="str">
            <v>EST AC COPO REFRESCO VD HARMONIA C/ 6 290ML AMARELO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COPO REFRESCO VD HARMONIA C/ 6 290ML AMARELO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0</v>
          </cell>
          <cell r="D4423">
            <v>1</v>
          </cell>
          <cell r="E4423">
            <v>0</v>
          </cell>
          <cell r="F4423">
            <v>0</v>
          </cell>
          <cell r="H4423">
            <v>0</v>
          </cell>
          <cell r="O4423">
            <v>121943</v>
          </cell>
          <cell r="P4423"/>
          <cell r="Q4423" t="str">
            <v>EST AC COPO LONG DRINK VD GOLD C/6 415ML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COPO LONG DRINK VD GOLD C/6 415ML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0</v>
          </cell>
          <cell r="D4424">
            <v>3</v>
          </cell>
          <cell r="E4424">
            <v>0</v>
          </cell>
          <cell r="F4424">
            <v>0</v>
          </cell>
          <cell r="H4424">
            <v>0</v>
          </cell>
          <cell r="O4424">
            <v>121949</v>
          </cell>
          <cell r="P4424"/>
          <cell r="Q4424" t="str">
            <v>EST AC CASTICAL MD PADUA PQ 25,5X10 NATURAL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CASTICAL MD PADUA PQ 25,5X10 NATURAL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0</v>
          </cell>
          <cell r="D4425">
            <v>1</v>
          </cell>
          <cell r="E4425">
            <v>0</v>
          </cell>
          <cell r="F4425">
            <v>0</v>
          </cell>
          <cell r="H4425">
            <v>0</v>
          </cell>
          <cell r="O4425">
            <v>121987</v>
          </cell>
          <cell r="P4425"/>
          <cell r="Q4425" t="str">
            <v>EST AC VASO OPTICO M3 BRANCO H26CM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VASO OPTICO M3 BRANCO H26CM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8</v>
          </cell>
          <cell r="E4426">
            <v>0</v>
          </cell>
          <cell r="F4426">
            <v>0</v>
          </cell>
          <cell r="H4426">
            <v>0</v>
          </cell>
          <cell r="O4426">
            <v>121990</v>
          </cell>
          <cell r="P4426"/>
          <cell r="Q4426" t="str">
            <v>EST AC VASO DANCA BRANCO H14CM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DANCA BRANCO H14CM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0</v>
          </cell>
          <cell r="D4427">
            <v>2</v>
          </cell>
          <cell r="E4427">
            <v>0</v>
          </cell>
          <cell r="F4427">
            <v>0</v>
          </cell>
          <cell r="H4427">
            <v>0</v>
          </cell>
          <cell r="O4427">
            <v>121994</v>
          </cell>
          <cell r="P4427"/>
          <cell r="Q4427" t="str">
            <v>EST AC VASO PLISSAN P OURO H30CM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PLISSAN P OURO H30CM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0</v>
          </cell>
          <cell r="D4428">
            <v>2</v>
          </cell>
          <cell r="E4428">
            <v>0</v>
          </cell>
          <cell r="F4428">
            <v>0</v>
          </cell>
          <cell r="H4428">
            <v>0</v>
          </cell>
          <cell r="O4428">
            <v>122028</v>
          </cell>
          <cell r="P4428"/>
          <cell r="Q4428" t="str">
            <v>EST AC VASO PLISSAN G OURO H39CM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VASO PLISSAN G OURO H39CM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2</v>
          </cell>
          <cell r="E4429">
            <v>0</v>
          </cell>
          <cell r="F4429">
            <v>0</v>
          </cell>
          <cell r="H4429">
            <v>0</v>
          </cell>
          <cell r="O4429">
            <v>122038</v>
          </cell>
          <cell r="P4429"/>
          <cell r="Q4429" t="str">
            <v>EST AC MESA MATHELADO BRANCO D50CM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MESA MATHELADO BRANCO D50CM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1</v>
          </cell>
          <cell r="D4430">
            <v>0</v>
          </cell>
          <cell r="E4430">
            <v>0</v>
          </cell>
          <cell r="F4430">
            <v>0</v>
          </cell>
          <cell r="H4430">
            <v>0</v>
          </cell>
          <cell r="O4430">
            <v>122052</v>
          </cell>
          <cell r="P4430"/>
          <cell r="Q4430" t="str">
            <v>EST AC CAIXA OSSO MESSE P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CAIXA OSSO MESSE P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1</v>
          </cell>
          <cell r="D4431">
            <v>0</v>
          </cell>
          <cell r="E4431">
            <v>0</v>
          </cell>
          <cell r="F4431">
            <v>0</v>
          </cell>
          <cell r="H4431">
            <v>0</v>
          </cell>
          <cell r="O4431">
            <v>122054</v>
          </cell>
          <cell r="P4431"/>
          <cell r="Q4431" t="str">
            <v>EST AC CAIXA OSSO MESSE LONGA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CAIXA OSSO MESSE LONGA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0</v>
          </cell>
          <cell r="H4432">
            <v>0</v>
          </cell>
          <cell r="O4432">
            <v>122056</v>
          </cell>
          <cell r="P4432"/>
          <cell r="Q4432" t="str">
            <v>EST AC CAIXA OSSO DAS EXTRA G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CAIXA OSSO DAS EXTRA G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1</v>
          </cell>
          <cell r="E4433">
            <v>0</v>
          </cell>
          <cell r="F4433">
            <v>0</v>
          </cell>
          <cell r="H4433">
            <v>0</v>
          </cell>
          <cell r="O4433">
            <v>147417</v>
          </cell>
          <cell r="P4433"/>
          <cell r="Q4433" t="str">
            <v>EST GONDOLA C/OURO (FUME C/OURO) (COD.20544)</v>
          </cell>
          <cell r="R4433"/>
          <cell r="S4433"/>
          <cell r="T4433">
            <v>0.68</v>
          </cell>
          <cell r="U4433">
            <v>0.16</v>
          </cell>
          <cell r="V4433">
            <v>0</v>
          </cell>
          <cell r="W4433">
            <v>0</v>
          </cell>
          <cell r="X4433" t="str">
            <v>EST GONDOLA C/OURO (FUME C/OURO) (COD.20544) - 0,68x0,16x0H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0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147418</v>
          </cell>
          <cell r="P4434"/>
          <cell r="Q4434" t="str">
            <v>EST CENTRO C/OURO (P) GRAFITE C/OURO (COD.6144)</v>
          </cell>
          <cell r="R4434"/>
          <cell r="S4434"/>
          <cell r="T4434">
            <v>0.25</v>
          </cell>
          <cell r="U4434">
            <v>0.13</v>
          </cell>
          <cell r="V4434">
            <v>0.11</v>
          </cell>
          <cell r="W4434">
            <v>0</v>
          </cell>
          <cell r="X4434" t="str">
            <v>EST CENTRO C/OURO (P) GRAFITE C/OURO (COD.6144) - 0,25x0,13x0,11H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1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147447</v>
          </cell>
          <cell r="P4435"/>
          <cell r="Q4435" t="str">
            <v>EST ABAJUR (METAL | VIDRO)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ABAJUR (METAL | VIDRO)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0</v>
          </cell>
          <cell r="D4436">
            <v>1</v>
          </cell>
          <cell r="E4436">
            <v>0</v>
          </cell>
          <cell r="F4436">
            <v>0</v>
          </cell>
          <cell r="H4436">
            <v>0</v>
          </cell>
          <cell r="O4436">
            <v>147505</v>
          </cell>
          <cell r="P4436"/>
          <cell r="Q4436" t="str">
            <v>EST F. D75 PLATINA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F. D75 PLATINA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0</v>
          </cell>
          <cell r="D4437">
            <v>0</v>
          </cell>
          <cell r="E4437">
            <v>1</v>
          </cell>
          <cell r="F4437">
            <v>0</v>
          </cell>
          <cell r="H4437">
            <v>0</v>
          </cell>
          <cell r="O4437">
            <v>147584</v>
          </cell>
          <cell r="P4437"/>
          <cell r="Q4437" t="str">
            <v>EST VASO FOSCO VIDRO (COD.77102)</v>
          </cell>
          <cell r="R4437"/>
          <cell r="S4437"/>
          <cell r="T4437">
            <v>0</v>
          </cell>
          <cell r="U4437">
            <v>0</v>
          </cell>
          <cell r="V4437">
            <v>0.31</v>
          </cell>
          <cell r="W4437">
            <v>0.23</v>
          </cell>
          <cell r="X4437" t="str">
            <v>EST VASO FOSCO VIDRO (COD.77102) - Ø0,23x0,31H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1</v>
          </cell>
          <cell r="D4438">
            <v>1</v>
          </cell>
          <cell r="E4438">
            <v>0</v>
          </cell>
          <cell r="F4438">
            <v>0</v>
          </cell>
          <cell r="H4438">
            <v>0</v>
          </cell>
          <cell r="O4438">
            <v>149931</v>
          </cell>
          <cell r="P4438"/>
          <cell r="Q4438" t="str">
            <v>EST AC VASO EDROS P BRANCO C/ PRATA H24CM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VASO EDROS P BRANCO C/ PRATA H24CM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149933</v>
          </cell>
          <cell r="P4439"/>
          <cell r="Q4439" t="str">
            <v>EST AC CACHEPOT DIAMANTE G PRETO 23X15H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CACHEPOT DIAMANTE G PRETO 23X15H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1</v>
          </cell>
          <cell r="D4440">
            <v>0</v>
          </cell>
          <cell r="E4440">
            <v>1</v>
          </cell>
          <cell r="F4440">
            <v>0</v>
          </cell>
          <cell r="H4440">
            <v>0</v>
          </cell>
          <cell r="O4440">
            <v>149942</v>
          </cell>
          <cell r="P4440"/>
          <cell r="Q4440" t="str">
            <v>EST AC CACHEPOT PLISSAN GG PR BRILHANTE 27X21H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CACHEPOT PLISSAN GG PR BRILHANTE 27X21H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0</v>
          </cell>
          <cell r="D4441">
            <v>1</v>
          </cell>
          <cell r="E4441">
            <v>0</v>
          </cell>
          <cell r="F4441">
            <v>0</v>
          </cell>
          <cell r="H4441">
            <v>0</v>
          </cell>
          <cell r="O4441">
            <v>149999</v>
          </cell>
          <cell r="P4441"/>
          <cell r="Q4441" t="str">
            <v>EST ESCULTURA S3-C (MATE METALICO)</v>
          </cell>
          <cell r="R4441"/>
          <cell r="S4441"/>
          <cell r="T4441">
            <v>0.26</v>
          </cell>
          <cell r="U4441">
            <v>0</v>
          </cell>
          <cell r="V4441">
            <v>0.69</v>
          </cell>
          <cell r="W4441">
            <v>0</v>
          </cell>
          <cell r="X4441" t="str">
            <v>EST ESCULTURA S3-C (MATE METALICO) - Ø0x0,69H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0</v>
          </cell>
          <cell r="D4442">
            <v>0</v>
          </cell>
          <cell r="E4442">
            <v>1</v>
          </cell>
          <cell r="F4442">
            <v>0</v>
          </cell>
          <cell r="H4442">
            <v>0</v>
          </cell>
          <cell r="O4442">
            <v>150661</v>
          </cell>
          <cell r="P4442"/>
          <cell r="Q4442" t="str">
            <v>EST AC LIVRO "CONVERSATION PIECE"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LIVRO "CONVERSATION PIECE"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0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150663</v>
          </cell>
          <cell r="P4443"/>
          <cell r="Q4443" t="str">
            <v>EST AC LIVRO "LUXURIOUS MINIMALISM"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LIVRO "LUXURIOUS MINIMALISM"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0</v>
          </cell>
          <cell r="D4444">
            <v>0</v>
          </cell>
          <cell r="E4444">
            <v>1</v>
          </cell>
          <cell r="F4444">
            <v>0</v>
          </cell>
          <cell r="H4444">
            <v>0</v>
          </cell>
          <cell r="O4444">
            <v>150665</v>
          </cell>
          <cell r="P4444"/>
          <cell r="Q4444" t="str">
            <v>EST AC LIVRO "RALPH RUCCI"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LIVRO "RALPH RUCCI"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0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150666</v>
          </cell>
          <cell r="P4445"/>
          <cell r="Q4445" t="str">
            <v>EST AC LIVRO "FABEIN BARON"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LIVRO "FABEIN BARON"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0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150683</v>
          </cell>
          <cell r="P4446"/>
          <cell r="Q4446" t="str">
            <v>EST AC LIVRO "90 YEARS BMW"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LIVRO "90 YEARS BMW"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1</v>
          </cell>
          <cell r="D4447">
            <v>0</v>
          </cell>
          <cell r="E4447">
            <v>0</v>
          </cell>
          <cell r="F4447">
            <v>0</v>
          </cell>
          <cell r="H4447">
            <v>0</v>
          </cell>
          <cell r="O4447">
            <v>150684</v>
          </cell>
          <cell r="P4447"/>
          <cell r="Q4447" t="str">
            <v>EST AC LIVRO "THOMAS PHEASANT"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LIVRO "THOMAS PHEASANT"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0</v>
          </cell>
          <cell r="D4448">
            <v>1</v>
          </cell>
          <cell r="E4448">
            <v>0</v>
          </cell>
          <cell r="F4448">
            <v>0</v>
          </cell>
          <cell r="H4448">
            <v>0</v>
          </cell>
          <cell r="O4448">
            <v>151275</v>
          </cell>
          <cell r="P4448"/>
          <cell r="Q4448" t="str">
            <v>EST AC BANDEJA DESCOLAMENTO MEDIA 43X43X4,5 CAMURCA VANILLA</v>
          </cell>
          <cell r="R4448"/>
          <cell r="S4448"/>
          <cell r="T4448">
            <v>0</v>
          </cell>
          <cell r="U4448">
            <v>0</v>
          </cell>
          <cell r="V4448">
            <v>0</v>
          </cell>
          <cell r="W4448">
            <v>0</v>
          </cell>
          <cell r="X4448" t="str">
            <v>EST AC BANDEJA DESCOLAMENTO MEDIA 43X43X4,5 CAMURCA VANILLA - Ø0x0H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1</v>
          </cell>
          <cell r="D4449">
            <v>0</v>
          </cell>
          <cell r="E4449">
            <v>0</v>
          </cell>
          <cell r="F4449">
            <v>0</v>
          </cell>
          <cell r="H4449">
            <v>0</v>
          </cell>
          <cell r="O4449">
            <v>151277</v>
          </cell>
          <cell r="P4449"/>
          <cell r="Q4449" t="str">
            <v>EST LUMINARIA CUBE (ONIX)</v>
          </cell>
          <cell r="R4449"/>
          <cell r="S4449"/>
          <cell r="T4449">
            <v>0.17</v>
          </cell>
          <cell r="U4449">
            <v>0.17</v>
          </cell>
          <cell r="V4449">
            <v>0.17</v>
          </cell>
          <cell r="W4449">
            <v>0</v>
          </cell>
          <cell r="X4449" t="str">
            <v>EST LUMINARIA CUBE (ONIX) - 0,17x0,17x0,17H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2</v>
          </cell>
          <cell r="D4450">
            <v>0</v>
          </cell>
          <cell r="E4450">
            <v>0</v>
          </cell>
          <cell r="F4450">
            <v>0</v>
          </cell>
          <cell r="H4450">
            <v>0</v>
          </cell>
          <cell r="O4450">
            <v>151285</v>
          </cell>
          <cell r="P4450"/>
          <cell r="Q4450" t="str">
            <v>EST AC CX TAMPA 40X15X30 CAMURCA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CX TAMPA 40X15X30 CAMURCA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1</v>
          </cell>
          <cell r="E4451">
            <v>0</v>
          </cell>
          <cell r="F4451">
            <v>0</v>
          </cell>
          <cell r="H4451">
            <v>0</v>
          </cell>
          <cell r="O4451">
            <v>161174</v>
          </cell>
          <cell r="P4451"/>
          <cell r="Q4451" t="str">
            <v>EST AC QUADRO SERIE INFINITO I BCO 61X156 (TY001BR-B61156)</v>
          </cell>
          <cell r="R4451"/>
          <cell r="S4451"/>
          <cell r="T4451">
            <v>0</v>
          </cell>
          <cell r="U4451">
            <v>0</v>
          </cell>
          <cell r="V4451">
            <v>0</v>
          </cell>
          <cell r="W4451">
            <v>0</v>
          </cell>
          <cell r="X4451" t="str">
            <v>EST AC QUADRO SERIE INFINITO I BCO 61X156 (TY001BR-B61156) - Ø0x0H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1</v>
          </cell>
          <cell r="D4452">
            <v>1</v>
          </cell>
          <cell r="E4452">
            <v>0</v>
          </cell>
          <cell r="F4452">
            <v>0</v>
          </cell>
          <cell r="H4452">
            <v>0</v>
          </cell>
          <cell r="O4452">
            <v>161178</v>
          </cell>
          <cell r="P4452"/>
          <cell r="Q4452" t="str">
            <v>EST AC QUADRO SERENITY 95X145 (VK470023A-1N)</v>
          </cell>
          <cell r="R4452"/>
          <cell r="S4452"/>
          <cell r="T4452">
            <v>0</v>
          </cell>
          <cell r="U4452">
            <v>0</v>
          </cell>
          <cell r="V4452">
            <v>0</v>
          </cell>
          <cell r="W4452">
            <v>0</v>
          </cell>
          <cell r="X4452" t="str">
            <v>EST AC QUADRO SERENITY 95X145 (VK470023A-1N) - Ø0x0H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0</v>
          </cell>
          <cell r="E4453">
            <v>0</v>
          </cell>
          <cell r="F4453">
            <v>0</v>
          </cell>
          <cell r="H4453">
            <v>0</v>
          </cell>
          <cell r="O4453">
            <v>162724</v>
          </cell>
          <cell r="P4453"/>
          <cell r="Q4453" t="str">
            <v>EST ALMOFADA MODELO 3 (TECIDO CROCHE 11392/010)</v>
          </cell>
          <cell r="R4453"/>
          <cell r="S4453"/>
          <cell r="T4453">
            <v>0.6</v>
          </cell>
          <cell r="U4453">
            <v>0.6</v>
          </cell>
          <cell r="V4453">
            <v>0</v>
          </cell>
          <cell r="W4453">
            <v>0</v>
          </cell>
          <cell r="X4453" t="str">
            <v>EST ALMOFADA MODELO 3 (TECIDO CROCHE 11392/010) - 0,6x0,6x0H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0</v>
          </cell>
          <cell r="D4454">
            <v>2</v>
          </cell>
          <cell r="E4454">
            <v>0</v>
          </cell>
          <cell r="F4454">
            <v>0</v>
          </cell>
          <cell r="H4454">
            <v>0</v>
          </cell>
          <cell r="O4454">
            <v>208339</v>
          </cell>
          <cell r="P4454"/>
          <cell r="Q4454" t="str">
            <v>EST AC ALMOFADA 50X50 KNIT WHITE C/ ENCHIMENTO FIBRA</v>
          </cell>
          <cell r="R4454"/>
          <cell r="S4454"/>
          <cell r="T4454">
            <v>0</v>
          </cell>
          <cell r="U4454">
            <v>0</v>
          </cell>
          <cell r="V4454">
            <v>0</v>
          </cell>
          <cell r="W4454">
            <v>0</v>
          </cell>
          <cell r="X4454" t="str">
            <v>EST AC ALMOFADA 50X50 KNIT WHITE C/ ENCHIMENTO FIBRA - Ø0x0H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1</v>
          </cell>
          <cell r="D4455">
            <v>0</v>
          </cell>
          <cell r="E4455">
            <v>0</v>
          </cell>
          <cell r="F4455">
            <v>0</v>
          </cell>
          <cell r="H4455">
            <v>0</v>
          </cell>
          <cell r="O4455">
            <v>208340</v>
          </cell>
          <cell r="P4455"/>
          <cell r="Q4455" t="str">
            <v>EST ALMOFADA (SKYLINEN JUTE) (VIVO) (FIBRA)</v>
          </cell>
          <cell r="R4455"/>
          <cell r="S4455"/>
          <cell r="T4455">
            <v>0.5</v>
          </cell>
          <cell r="U4455">
            <v>0.5</v>
          </cell>
          <cell r="V4455">
            <v>0.15</v>
          </cell>
          <cell r="W4455">
            <v>0</v>
          </cell>
          <cell r="X4455" t="str">
            <v>EST ALMOFADA (SKYLINEN JUTE) (VIVO) (FIBRA) - 0,5x0,5x0,15H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220431</v>
          </cell>
          <cell r="P4456"/>
          <cell r="Q4456" t="str">
            <v>EST AC QUADRO STRIPES MD1232 124X124 (MP1232224B-124124)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QUADRO STRIPES MD1232 124X124 (MP1232224B-124124)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1</v>
          </cell>
          <cell r="D4457">
            <v>0</v>
          </cell>
          <cell r="E4457">
            <v>0</v>
          </cell>
          <cell r="F4457">
            <v>0</v>
          </cell>
          <cell r="H4457">
            <v>0</v>
          </cell>
          <cell r="O4457">
            <v>220432</v>
          </cell>
          <cell r="P4457"/>
          <cell r="Q4457" t="str">
            <v>EST AC QUADRO STRIPES MD1232 124X124 (MP1232224C-124124)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QUADRO STRIPES MD1232 124X124 (MP1232224C-124124)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0</v>
          </cell>
          <cell r="D4458">
            <v>4</v>
          </cell>
          <cell r="E4458">
            <v>0</v>
          </cell>
          <cell r="F4458">
            <v>0</v>
          </cell>
          <cell r="H4458">
            <v>0</v>
          </cell>
          <cell r="O4458">
            <v>223315</v>
          </cell>
          <cell r="P4458"/>
          <cell r="Q4458" t="str">
            <v>EST PENDENTE DINN (LATAO POLIDO) (220V C/LAMP L007)</v>
          </cell>
          <cell r="R4458"/>
          <cell r="S4458"/>
          <cell r="T4458">
            <v>0.1</v>
          </cell>
          <cell r="U4458">
            <v>0.1</v>
          </cell>
          <cell r="V4458">
            <v>0.12</v>
          </cell>
          <cell r="W4458">
            <v>0</v>
          </cell>
          <cell r="X4458" t="str">
            <v>EST PENDENTE DINN (LATAO POLIDO) (220V C/LAMP L007) - 0,1x0,1x0,12H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1</v>
          </cell>
          <cell r="D4459">
            <v>0</v>
          </cell>
          <cell r="E4459">
            <v>0</v>
          </cell>
          <cell r="F4459">
            <v>0</v>
          </cell>
          <cell r="H4459">
            <v>0</v>
          </cell>
          <cell r="O4459">
            <v>229296</v>
          </cell>
          <cell r="P4459"/>
          <cell r="Q4459" t="str">
            <v>EST AC BOLL RINGS 39X38X12 JEQUITIBA NATURAL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BOLL RINGS 39X38X12 JEQUITIBA NATURAL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1</v>
          </cell>
          <cell r="D4460">
            <v>1</v>
          </cell>
          <cell r="E4460">
            <v>2</v>
          </cell>
          <cell r="F4460">
            <v>0</v>
          </cell>
          <cell r="H4460">
            <v>0</v>
          </cell>
          <cell r="O4460">
            <v>229297</v>
          </cell>
          <cell r="P4460"/>
          <cell r="Q4460" t="str">
            <v>EST AC BOLL RINGS 39X38X12 JEQUITIBA EBANIZADO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BOLL RINGS 39X38X12 JEQUITIBA EBANIZADO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1</v>
          </cell>
          <cell r="D4461">
            <v>0</v>
          </cell>
          <cell r="E4461">
            <v>0</v>
          </cell>
          <cell r="F4461">
            <v>0</v>
          </cell>
          <cell r="H4461">
            <v>0</v>
          </cell>
          <cell r="O4461">
            <v>232100</v>
          </cell>
          <cell r="P4461"/>
          <cell r="Q4461" t="str">
            <v>EST AC QUADRO CANVAS 100X140 TALES MORIGI 4472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QUADRO CANVAS 100X140 TALES MORIGI 4472 -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1</v>
          </cell>
          <cell r="D4462">
            <v>0</v>
          </cell>
          <cell r="E4462">
            <v>0</v>
          </cell>
          <cell r="F4462">
            <v>0</v>
          </cell>
          <cell r="H4462">
            <v>0</v>
          </cell>
          <cell r="O4462">
            <v>233576</v>
          </cell>
          <cell r="P4462"/>
          <cell r="Q4462" t="str">
            <v>EST AC QUADRO MP309A-9146-1095 91X46X330 WOOD FORMS MD1095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QUADRO MP309A-9146-1095 91X46X330 WOOD FORMS MD1095 -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1</v>
          </cell>
          <cell r="D4463">
            <v>0</v>
          </cell>
          <cell r="E4463">
            <v>0</v>
          </cell>
          <cell r="F4463">
            <v>0</v>
          </cell>
          <cell r="H4463">
            <v>0</v>
          </cell>
          <cell r="O4463">
            <v>233592</v>
          </cell>
          <cell r="P4463"/>
          <cell r="Q4463" t="str">
            <v>EST AC QUADRO SE070B-143123-1098 143X123X400 NIEMEYER MD1098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QUADRO SE070B-143123-1098 143X123X400 NIEMEYER MD1098 -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1</v>
          </cell>
          <cell r="E4464">
            <v>0</v>
          </cell>
          <cell r="F4464">
            <v>0</v>
          </cell>
          <cell r="H4464">
            <v>0</v>
          </cell>
          <cell r="O4464">
            <v>234236</v>
          </cell>
          <cell r="P4464"/>
          <cell r="Q4464" t="str">
            <v>EST CENTRO DE MESA COL AURA 40X40X12 TODO PRETO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CENTRO DE MESA COL AURA 40X40X12 TODO PRETO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1</v>
          </cell>
          <cell r="D4465">
            <v>1</v>
          </cell>
          <cell r="E4465">
            <v>1</v>
          </cell>
          <cell r="F4465">
            <v>0</v>
          </cell>
          <cell r="H4465">
            <v>0</v>
          </cell>
          <cell r="O4465">
            <v>234239</v>
          </cell>
          <cell r="P4465"/>
          <cell r="Q4465" t="str">
            <v>EST CENTRO DE MESA COL AURA 50X30X12 TODO PRETO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CENTRO DE MESA COL AURA 50X30X12 TODO PRETO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0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234240</v>
          </cell>
          <cell r="P4466"/>
          <cell r="Q4466" t="str">
            <v>EST CENTRO DE MESA COL AURA 70X40X12 TODO PRETO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CENTRO DE MESA COL AURA 70X40X12 TODO PRETO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1</v>
          </cell>
          <cell r="D4467">
            <v>1</v>
          </cell>
          <cell r="E4467">
            <v>1</v>
          </cell>
          <cell r="F4467">
            <v>0</v>
          </cell>
          <cell r="H4467">
            <v>0</v>
          </cell>
          <cell r="O4467">
            <v>234241</v>
          </cell>
          <cell r="P4467"/>
          <cell r="Q4467" t="str">
            <v>EST CENTRO DE MESA COL VERSO 40X6,5 BOWL PT CTO CARV AM CRU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CENTRO DE MESA COL VERSO 40X6,5 BOWL PT CTO CARV AM CRU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0</v>
          </cell>
          <cell r="D4468">
            <v>1</v>
          </cell>
          <cell r="E4468">
            <v>1</v>
          </cell>
          <cell r="F4468">
            <v>0</v>
          </cell>
          <cell r="H4468">
            <v>0</v>
          </cell>
          <cell r="O4468">
            <v>234244</v>
          </cell>
          <cell r="P4468"/>
          <cell r="Q4468" t="str">
            <v>EST CENTRO DE MESA COL VERSO 40X6,5 BOWL PT CENTRO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CENTRO DE MESA COL VERSO 40X6,5 BOWL PT CENTRO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0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234245</v>
          </cell>
          <cell r="P4469"/>
          <cell r="Q4469" t="str">
            <v>EST CESTO COFO (NATURAL) (KIT CONJUNTO DE 03 PECAS)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CESTO COFO (NATURAL) (KIT CONJUNTO DE 03 PECAS)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1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234248</v>
          </cell>
          <cell r="P4470"/>
          <cell r="Q4470" t="str">
            <v>EST AC PRATAO TABACO 48X4 DOURADO</v>
          </cell>
          <cell r="R4470"/>
          <cell r="S4470"/>
          <cell r="T4470">
            <v>0</v>
          </cell>
          <cell r="U4470">
            <v>0</v>
          </cell>
          <cell r="V4470">
            <v>0</v>
          </cell>
          <cell r="W4470">
            <v>0</v>
          </cell>
          <cell r="X4470" t="str">
            <v>EST AC PRATAO TABACO 48X4 DOURADO - Ø0x0H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4</v>
          </cell>
          <cell r="E4471">
            <v>0</v>
          </cell>
          <cell r="F4471">
            <v>0</v>
          </cell>
          <cell r="H4471">
            <v>0</v>
          </cell>
          <cell r="O4471">
            <v>234252</v>
          </cell>
          <cell r="P4471"/>
          <cell r="Q4471" t="str">
            <v>EST AC VASO TRIO GG 36X18 TABACO BRANCO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VASO TRIO GG 36X18 TABACO BRANCO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2</v>
          </cell>
          <cell r="D4472">
            <v>0</v>
          </cell>
          <cell r="E4472">
            <v>0</v>
          </cell>
          <cell r="F4472">
            <v>0</v>
          </cell>
          <cell r="H4472">
            <v>0</v>
          </cell>
          <cell r="O4472">
            <v>234253</v>
          </cell>
          <cell r="P4472"/>
          <cell r="Q4472" t="str">
            <v>EST AC VASO P/B M 14X32 TABACO COBRE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VASO P/B M 14X32 TABACO COBRE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2</v>
          </cell>
          <cell r="D4473">
            <v>0</v>
          </cell>
          <cell r="E4473">
            <v>0</v>
          </cell>
          <cell r="F4473">
            <v>0</v>
          </cell>
          <cell r="H4473">
            <v>0</v>
          </cell>
          <cell r="O4473">
            <v>234257</v>
          </cell>
          <cell r="P4473"/>
          <cell r="Q4473" t="str">
            <v>EST CENTRO MESA P/B M 22X13 TABACO COBRE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CENTRO MESA P/B M 22X13 TABACO COBRE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0</v>
          </cell>
          <cell r="D4474">
            <v>2</v>
          </cell>
          <cell r="E4474">
            <v>0</v>
          </cell>
          <cell r="F4474">
            <v>0</v>
          </cell>
          <cell r="H4474">
            <v>0</v>
          </cell>
          <cell r="O4474">
            <v>234260</v>
          </cell>
          <cell r="P4474"/>
          <cell r="Q4474" t="str">
            <v>EST AC CENTRO MESA GG 33X11 TABACO MOSTARDA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CENTRO MESA GG 33X11 TABACO MOSTARDA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2</v>
          </cell>
          <cell r="D4475">
            <v>0</v>
          </cell>
          <cell r="E4475">
            <v>0</v>
          </cell>
          <cell r="F4475">
            <v>0</v>
          </cell>
          <cell r="H4475">
            <v>1</v>
          </cell>
          <cell r="O4475">
            <v>250138</v>
          </cell>
          <cell r="P4475"/>
          <cell r="Q4475" t="str">
            <v>EST AC ALMOFADA ONDAS 50X50 LACOS NATURAL COD 4006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ALMOFADA ONDAS 50X50 LACOS NATURAL COD 4006 -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1</v>
          </cell>
          <cell r="F4476">
            <v>0</v>
          </cell>
          <cell r="H4476">
            <v>0</v>
          </cell>
          <cell r="O4476">
            <v>251905</v>
          </cell>
          <cell r="P4476"/>
          <cell r="Q4476" t="str">
            <v>EST AC TUBO GG VPI0102 PEDRAS CARVAO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TUBO GG VPI0102 PEDRAS CARVAO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1</v>
          </cell>
          <cell r="D4477">
            <v>0</v>
          </cell>
          <cell r="E4477">
            <v>1</v>
          </cell>
          <cell r="F4477">
            <v>0</v>
          </cell>
          <cell r="H4477">
            <v>0</v>
          </cell>
          <cell r="O4477">
            <v>251906</v>
          </cell>
          <cell r="P4477"/>
          <cell r="Q4477" t="str">
            <v>EST AC TUBO GG VPI0103 TERRA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TUBO GG VPI0103 TERRA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1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251907</v>
          </cell>
          <cell r="P4478"/>
          <cell r="Q4478" t="str">
            <v>EST AC TUBO G VPI0202 PEDRAS CARVAO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TUBO G VPI0202 PEDRAS CARVAO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1</v>
          </cell>
          <cell r="D4479">
            <v>0</v>
          </cell>
          <cell r="E4479">
            <v>1</v>
          </cell>
          <cell r="F4479">
            <v>0</v>
          </cell>
          <cell r="H4479">
            <v>0</v>
          </cell>
          <cell r="O4479">
            <v>251908</v>
          </cell>
          <cell r="P4479"/>
          <cell r="Q4479" t="str">
            <v>EST AC TUBO G VPI0203 TERRA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TUBO G VPI0203 TERRA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1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251910</v>
          </cell>
          <cell r="P4480"/>
          <cell r="Q4480" t="str">
            <v>EST AC TUBO M ALTO VPI0303 TERRA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TUBO M ALTO VPI0303 TERRA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2</v>
          </cell>
          <cell r="D4481">
            <v>1</v>
          </cell>
          <cell r="E4481">
            <v>0</v>
          </cell>
          <cell r="F4481">
            <v>0</v>
          </cell>
          <cell r="H4481">
            <v>0</v>
          </cell>
          <cell r="O4481">
            <v>251921</v>
          </cell>
          <cell r="P4481"/>
          <cell r="Q4481" t="str">
            <v>EST AC PESO PAPEL COL ARTURITOS CJ 5 PCS NAT IL603NT0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PESO PAPEL COL ARTURITOS CJ 5 PCS NAT IL603NT0 -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1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251922</v>
          </cell>
          <cell r="P4482"/>
          <cell r="Q4482" t="str">
            <v>EST AC PESO PAPEL COL ARTURITOS CJ 5 PCS PRETO IL603PR0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PESO PAPEL COL ARTURITOS CJ 5 PCS PRETO IL603PR0 -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251923</v>
          </cell>
          <cell r="P4483"/>
          <cell r="Q4483" t="str">
            <v>EST AC CENTRO DE MESA RET COL VERSO 80X20X6,5 PRETO IL745PT0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CENTRO DE MESA RET COL VERSO 80X20X6,5 PRETO IL745PT0 -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251931</v>
          </cell>
          <cell r="P4484"/>
          <cell r="Q4484" t="str">
            <v>EST AC POTE P COL KOBE 21X21X7H NATURAL/PRETO IL781NP0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POTE P COL KOBE 21X21X7H NATURAL/PRETO IL781NP0 -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2</v>
          </cell>
          <cell r="D4485">
            <v>0</v>
          </cell>
          <cell r="E4485">
            <v>1</v>
          </cell>
          <cell r="F4485">
            <v>0</v>
          </cell>
          <cell r="H4485">
            <v>0</v>
          </cell>
          <cell r="O4485">
            <v>251932</v>
          </cell>
          <cell r="P4485"/>
          <cell r="Q4485" t="str">
            <v>EST AC POTE P COL KOBE 21X21X7H PRETO/PRETO IL781PR0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POTE P COL KOBE 21X21X7H PRETO/PRETO IL781PR0 -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0</v>
          </cell>
          <cell r="D4486">
            <v>1</v>
          </cell>
          <cell r="E4486">
            <v>1</v>
          </cell>
          <cell r="F4486">
            <v>0</v>
          </cell>
          <cell r="H4486">
            <v>0</v>
          </cell>
          <cell r="O4486">
            <v>251933</v>
          </cell>
          <cell r="P4486"/>
          <cell r="Q4486" t="str">
            <v>EST AC POTE M COL KOBE 21X21X15H NATURAL/PRETO IL782NP0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POTE M COL KOBE 21X21X15H NATURAL/PRETO IL782NP0 -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2</v>
          </cell>
          <cell r="D4487">
            <v>1</v>
          </cell>
          <cell r="E4487">
            <v>1</v>
          </cell>
          <cell r="F4487">
            <v>0</v>
          </cell>
          <cell r="H4487">
            <v>0</v>
          </cell>
          <cell r="O4487">
            <v>251934</v>
          </cell>
          <cell r="P4487"/>
          <cell r="Q4487" t="str">
            <v>EST AC POTE M COL KOBE 21X21X15H PRETO/PRETO IL782PR0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POTE M COL KOBE 21X21X15H PRETO/PRETO IL782PR0 -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2</v>
          </cell>
          <cell r="D4488">
            <v>1</v>
          </cell>
          <cell r="E4488">
            <v>1</v>
          </cell>
          <cell r="F4488">
            <v>0</v>
          </cell>
          <cell r="H4488">
            <v>0</v>
          </cell>
          <cell r="O4488">
            <v>251935</v>
          </cell>
          <cell r="P4488"/>
          <cell r="Q4488" t="str">
            <v>EST AC POTE G COL KOBE 21X21X20H NATURAL/PRETO IL783NP0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POTE G COL KOBE 21X21X20H NATURAL/PRETO IL783NP0 -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1</v>
          </cell>
          <cell r="D4489">
            <v>2</v>
          </cell>
          <cell r="E4489">
            <v>1</v>
          </cell>
          <cell r="F4489">
            <v>0</v>
          </cell>
          <cell r="H4489">
            <v>0</v>
          </cell>
          <cell r="O4489">
            <v>251936</v>
          </cell>
          <cell r="P4489"/>
          <cell r="Q4489" t="str">
            <v>EST AC POTE G COL KOBE 21X21X20H PRETO/PRETO IL783PR0</v>
          </cell>
          <cell r="R4489"/>
          <cell r="S4489"/>
          <cell r="T4489">
            <v>0</v>
          </cell>
          <cell r="U4489">
            <v>0</v>
          </cell>
          <cell r="V4489">
            <v>0</v>
          </cell>
          <cell r="W4489">
            <v>0</v>
          </cell>
          <cell r="X4489" t="str">
            <v>EST AC POTE G COL KOBE 21X21X20H PRETO/PRETO IL783PR0 - Ø0x0H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0</v>
          </cell>
          <cell r="E4490">
            <v>1</v>
          </cell>
          <cell r="F4490">
            <v>0</v>
          </cell>
          <cell r="H4490">
            <v>0</v>
          </cell>
          <cell r="O4490">
            <v>252103</v>
          </cell>
          <cell r="P4490"/>
          <cell r="Q4490" t="str">
            <v>EST ESCULTURA BASE MADEIRA BOLA MADEIRA (2 PECAS)</v>
          </cell>
          <cell r="R4490"/>
          <cell r="S4490"/>
          <cell r="T4490">
            <v>0</v>
          </cell>
          <cell r="U4490">
            <v>0</v>
          </cell>
          <cell r="V4490">
            <v>0</v>
          </cell>
          <cell r="W4490">
            <v>0</v>
          </cell>
          <cell r="X4490" t="str">
            <v>EST ESCULTURA BASE MADEIRA BOLA MADEIRA (2 PECAS) - Ø0x0H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0</v>
          </cell>
          <cell r="D4491">
            <v>0</v>
          </cell>
          <cell r="E4491">
            <v>1</v>
          </cell>
          <cell r="F4491">
            <v>0</v>
          </cell>
          <cell r="H4491">
            <v>0</v>
          </cell>
          <cell r="O4491">
            <v>252104</v>
          </cell>
          <cell r="P4491"/>
          <cell r="Q4491" t="str">
            <v>EST ESCULTURA BASE CONCRETO E BOLA MADEIRA (2 PECAS)</v>
          </cell>
          <cell r="R4491"/>
          <cell r="S4491"/>
          <cell r="T4491">
            <v>0</v>
          </cell>
          <cell r="U4491">
            <v>0</v>
          </cell>
          <cell r="V4491">
            <v>0</v>
          </cell>
          <cell r="W4491">
            <v>0</v>
          </cell>
          <cell r="X4491" t="str">
            <v>EST ESCULTURA BASE CONCRETO E BOLA MADEIRA (2 PECAS) - Ø0x0H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252105</v>
          </cell>
          <cell r="P4492"/>
          <cell r="Q4492" t="str">
            <v>EST ESCULTURA BASE CONCRETO BOLA MADEIRA AZUL MARINHO</v>
          </cell>
          <cell r="R4492"/>
          <cell r="S4492"/>
          <cell r="T4492">
            <v>0</v>
          </cell>
          <cell r="U4492">
            <v>0</v>
          </cell>
          <cell r="V4492">
            <v>0</v>
          </cell>
          <cell r="W4492">
            <v>0</v>
          </cell>
          <cell r="X4492" t="str">
            <v>EST ESCULTURA BASE CONCRETO BOLA MADEIRA AZUL MARINHO - Ø0x0H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0</v>
          </cell>
          <cell r="E4493">
            <v>1</v>
          </cell>
          <cell r="F4493">
            <v>0</v>
          </cell>
          <cell r="H4493">
            <v>0</v>
          </cell>
          <cell r="O4493">
            <v>252107</v>
          </cell>
          <cell r="P4493"/>
          <cell r="Q4493" t="str">
            <v>EST ESCULTURA BRANCUSI MADEIRA EBANIZADA (4 PECAS)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ESCULTURA BRANCUSI MADEIRA EBANIZADA (4 PECAS)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0</v>
          </cell>
          <cell r="D4494">
            <v>1</v>
          </cell>
          <cell r="E4494">
            <v>1</v>
          </cell>
          <cell r="F4494">
            <v>0</v>
          </cell>
          <cell r="H4494">
            <v>0</v>
          </cell>
          <cell r="O4494">
            <v>252466</v>
          </cell>
          <cell r="P4494"/>
          <cell r="Q4494" t="str">
            <v>EST AC SABONETEIRA KATAKOLON LOT-SS6003C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AC SABONETEIRA KATAKOLON LOT-SS6003C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1</v>
          </cell>
          <cell r="D4495">
            <v>1</v>
          </cell>
          <cell r="E4495">
            <v>1</v>
          </cell>
          <cell r="F4495">
            <v>0</v>
          </cell>
          <cell r="H4495">
            <v>0</v>
          </cell>
          <cell r="O4495">
            <v>252467</v>
          </cell>
          <cell r="P4495"/>
          <cell r="Q4495" t="str">
            <v>EST AC CAIXA KATAKOLON LOT-SS6003D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AC CAIXA KATAKOLON LOT-SS6003D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0</v>
          </cell>
          <cell r="D4496">
            <v>1</v>
          </cell>
          <cell r="E4496">
            <v>1</v>
          </cell>
          <cell r="F4496">
            <v>0</v>
          </cell>
          <cell r="H4496">
            <v>0</v>
          </cell>
          <cell r="O4496">
            <v>252468</v>
          </cell>
          <cell r="P4496"/>
          <cell r="Q4496" t="str">
            <v>EST AC CAIXA AMADEUS G SOG-3336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AC CAIXA AMADEUS G SOG-3336 -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0</v>
          </cell>
          <cell r="D4497">
            <v>1</v>
          </cell>
          <cell r="E4497">
            <v>1</v>
          </cell>
          <cell r="F4497">
            <v>0</v>
          </cell>
          <cell r="H4497">
            <v>0</v>
          </cell>
          <cell r="O4497">
            <v>252469</v>
          </cell>
          <cell r="P4497"/>
          <cell r="Q4497" t="str">
            <v>EST AC CAIXA AMADEUS M SOG-3337</v>
          </cell>
          <cell r="R4497"/>
          <cell r="S4497"/>
          <cell r="T4497">
            <v>0</v>
          </cell>
          <cell r="U4497">
            <v>0</v>
          </cell>
          <cell r="V4497">
            <v>0</v>
          </cell>
          <cell r="W4497">
            <v>0</v>
          </cell>
          <cell r="X4497" t="str">
            <v>EST AC CAIXA AMADEUS M SOG-3337 - Ø0x0H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1</v>
          </cell>
          <cell r="D4498">
            <v>0</v>
          </cell>
          <cell r="E4498">
            <v>0</v>
          </cell>
          <cell r="F4498">
            <v>0</v>
          </cell>
          <cell r="H4498">
            <v>0</v>
          </cell>
          <cell r="O4498">
            <v>252474</v>
          </cell>
          <cell r="P4498"/>
          <cell r="Q4498" t="str">
            <v>EST AC VASO DIVIDIOND BICOLOR GREEN GOLG G AMA-V0771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AC VASO DIVIDIOND BICOLOR GREEN GOLG G AMA-V0771 -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1</v>
          </cell>
          <cell r="D4499">
            <v>0</v>
          </cell>
          <cell r="E4499">
            <v>0</v>
          </cell>
          <cell r="F4499">
            <v>0</v>
          </cell>
          <cell r="H4499">
            <v>0</v>
          </cell>
          <cell r="O4499">
            <v>252475</v>
          </cell>
          <cell r="P4499"/>
          <cell r="Q4499" t="str">
            <v>EST AC VASO DIVIDIOND BICOLOR GREEN GOLG M AMA-V0772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AC VASO DIVIDIOND BICOLOR GREEN GOLG M AMA-V0772 -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1</v>
          </cell>
          <cell r="D4500">
            <v>0</v>
          </cell>
          <cell r="E4500">
            <v>0</v>
          </cell>
          <cell r="F4500">
            <v>0</v>
          </cell>
          <cell r="H4500">
            <v>0</v>
          </cell>
          <cell r="O4500">
            <v>252477</v>
          </cell>
          <cell r="P4500"/>
          <cell r="Q4500" t="str">
            <v>EST AC VASO LE TAHA VERT AMA-V1241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AC VASO LE TAHA VERT AMA-V1241 -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1</v>
          </cell>
          <cell r="D4501">
            <v>0</v>
          </cell>
          <cell r="E4501">
            <v>0</v>
          </cell>
          <cell r="F4501">
            <v>0</v>
          </cell>
          <cell r="H4501">
            <v>0</v>
          </cell>
          <cell r="O4501">
            <v>252478</v>
          </cell>
          <cell r="P4501"/>
          <cell r="Q4501" t="str">
            <v>EST AC BOWL LW TAHA VERT AMA-V1242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AC BOWL LW TAHA VERT AMA-V1242 -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2</v>
          </cell>
          <cell r="F4502">
            <v>0</v>
          </cell>
          <cell r="H4502">
            <v>0</v>
          </cell>
          <cell r="O4502">
            <v>252488</v>
          </cell>
          <cell r="P4502"/>
          <cell r="Q4502" t="str">
            <v>EST AC VASO CAPPOTTO BLACK P20 ZQ-1101P20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VASO CAPPOTTO BLACK P20 ZQ-1101P20 -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1</v>
          </cell>
          <cell r="D4503">
            <v>1</v>
          </cell>
          <cell r="E4503">
            <v>1</v>
          </cell>
          <cell r="F4503">
            <v>0</v>
          </cell>
          <cell r="H4503">
            <v>0</v>
          </cell>
          <cell r="O4503">
            <v>252490</v>
          </cell>
          <cell r="P4503"/>
          <cell r="Q4503" t="str">
            <v>EST AC VASO G 20 BLACK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AC VASO G 20 BLACK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2</v>
          </cell>
          <cell r="D4504">
            <v>2</v>
          </cell>
          <cell r="E4504">
            <v>1</v>
          </cell>
          <cell r="F4504">
            <v>0</v>
          </cell>
          <cell r="H4504">
            <v>0</v>
          </cell>
          <cell r="O4504">
            <v>252494</v>
          </cell>
          <cell r="P4504"/>
          <cell r="Q4504" t="str">
            <v>EST AC CESTO DE MANTAS M ZQ-6001036M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AC CESTO DE MANTAS M ZQ-6001036M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1</v>
          </cell>
          <cell r="F4505">
            <v>0</v>
          </cell>
          <cell r="H4505">
            <v>0</v>
          </cell>
          <cell r="O4505">
            <v>255172</v>
          </cell>
          <cell r="P4505"/>
          <cell r="Q4505" t="str">
            <v>EST AC VASO G 30 VASO BX MAR/CARA VASO ALTO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AC VASO G 30 VASO BX MAR/CARA VASO ALTO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261007</v>
          </cell>
          <cell r="P4506"/>
          <cell r="Q4506" t="str">
            <v>EST AC CENTRO DE MESA ONDO ROUGE 24X15 CERAMICA BORDO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AC CENTRO DE MESA ONDO ROUGE 24X15 CERAMICA BORDO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3</v>
          </cell>
          <cell r="H4507">
            <v>0</v>
          </cell>
          <cell r="O4507">
            <v>261008</v>
          </cell>
          <cell r="P4507"/>
          <cell r="Q4507" t="str">
            <v>EST AC VASO ESFERA ONDO ROUGE 16X23 CERAMICA BORDO</v>
          </cell>
          <cell r="R4507"/>
          <cell r="S4507"/>
          <cell r="T4507">
            <v>0</v>
          </cell>
          <cell r="U4507">
            <v>0</v>
          </cell>
          <cell r="V4507">
            <v>0</v>
          </cell>
          <cell r="W4507">
            <v>0</v>
          </cell>
          <cell r="X4507" t="str">
            <v>EST AC VASO ESFERA ONDO ROUGE 16X23 CERAMICA BORDO - Ø0x0H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1</v>
          </cell>
          <cell r="D4508">
            <v>0</v>
          </cell>
          <cell r="E4508">
            <v>0</v>
          </cell>
          <cell r="F4508">
            <v>1</v>
          </cell>
          <cell r="H4508">
            <v>0</v>
          </cell>
          <cell r="O4508">
            <v>261009</v>
          </cell>
          <cell r="P4508"/>
          <cell r="Q4508" t="str">
            <v>EST AC VASO CILINDRO ONDO POMME 12,5X19 CERAMICA VERMELHA</v>
          </cell>
          <cell r="R4508"/>
          <cell r="S4508"/>
          <cell r="T4508">
            <v>0</v>
          </cell>
          <cell r="U4508">
            <v>0</v>
          </cell>
          <cell r="V4508">
            <v>0</v>
          </cell>
          <cell r="W4508">
            <v>0</v>
          </cell>
          <cell r="X4508" t="str">
            <v>EST AC VASO CILINDRO ONDO POMME 12,5X19 CERAMICA VERMELHA - Ø0x0H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261011</v>
          </cell>
          <cell r="P4509"/>
          <cell r="Q4509" t="str">
            <v>EST AC GRANDE VASO TACA ONDO POMME 16,5X32 CERAMICA VERMELHA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AC GRANDE VASO TACA ONDO POMME 16,5X32 CERAMICA VERMELHA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2</v>
          </cell>
          <cell r="D4510">
            <v>1</v>
          </cell>
          <cell r="E4510">
            <v>0</v>
          </cell>
          <cell r="F4510">
            <v>0</v>
          </cell>
          <cell r="H4510">
            <v>0</v>
          </cell>
          <cell r="O4510">
            <v>261262</v>
          </cell>
          <cell r="P4510"/>
          <cell r="Q4510" t="str">
            <v>EST AC FIGA VASO PP 23X7X9 IMBUIA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AC FIGA VASO PP 23X7X9 IMBUIA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2</v>
          </cell>
          <cell r="D4511">
            <v>1</v>
          </cell>
          <cell r="E4511">
            <v>0</v>
          </cell>
          <cell r="F4511">
            <v>0</v>
          </cell>
          <cell r="H4511">
            <v>0</v>
          </cell>
          <cell r="O4511">
            <v>261263</v>
          </cell>
          <cell r="P4511"/>
          <cell r="Q4511" t="str">
            <v>EST AC FIGA VASO PP 23X7X9 PRETO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AC FIGA VASO PP 23X7X9 PRETO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2</v>
          </cell>
          <cell r="D4512">
            <v>2</v>
          </cell>
          <cell r="E4512">
            <v>0</v>
          </cell>
          <cell r="F4512">
            <v>0</v>
          </cell>
          <cell r="H4512">
            <v>0</v>
          </cell>
          <cell r="O4512">
            <v>261269</v>
          </cell>
          <cell r="P4512"/>
          <cell r="Q4512" t="str">
            <v>EST AC FIGA VASO GG 63X7X9 IMBUIA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FIGA VASO GG 63X7X9 IMBUIA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2</v>
          </cell>
          <cell r="D4513">
            <v>1</v>
          </cell>
          <cell r="E4513">
            <v>0</v>
          </cell>
          <cell r="F4513">
            <v>0</v>
          </cell>
          <cell r="H4513">
            <v>0</v>
          </cell>
          <cell r="O4513">
            <v>261272</v>
          </cell>
          <cell r="P4513"/>
          <cell r="Q4513" t="str">
            <v>EST AC FIGA VASO GG 63X7X9 PRETO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AC FIGA VASO GG 63X7X9 PRETO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2</v>
          </cell>
          <cell r="D4514">
            <v>0</v>
          </cell>
          <cell r="E4514">
            <v>0</v>
          </cell>
          <cell r="F4514">
            <v>0</v>
          </cell>
          <cell r="H4514">
            <v>0</v>
          </cell>
          <cell r="O4514">
            <v>261273</v>
          </cell>
          <cell r="P4514"/>
          <cell r="Q4514" t="str">
            <v>EST AC FIGA CASTICAL BAIXO 12X7X11 IMBUIA</v>
          </cell>
          <cell r="R4514"/>
          <cell r="S4514"/>
          <cell r="T4514">
            <v>0</v>
          </cell>
          <cell r="U4514">
            <v>0</v>
          </cell>
          <cell r="V4514">
            <v>0</v>
          </cell>
          <cell r="W4514">
            <v>0</v>
          </cell>
          <cell r="X4514" t="str">
            <v>EST AC FIGA CASTICAL BAIXO 12X7X11 IMBUIA - Ø0x0H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0</v>
          </cell>
          <cell r="F4515">
            <v>0</v>
          </cell>
          <cell r="H4515">
            <v>0</v>
          </cell>
          <cell r="O4515">
            <v>261275</v>
          </cell>
          <cell r="P4515"/>
          <cell r="Q4515" t="str">
            <v>EST AC FIGA CASTICAL BAIXO 12X7X11 PRETO</v>
          </cell>
          <cell r="R4515"/>
          <cell r="S4515"/>
          <cell r="T4515">
            <v>0</v>
          </cell>
          <cell r="U4515">
            <v>0</v>
          </cell>
          <cell r="V4515">
            <v>0</v>
          </cell>
          <cell r="W4515">
            <v>0</v>
          </cell>
          <cell r="X4515" t="str">
            <v>EST AC FIGA CASTICAL BAIXO 12X7X11 PRETO - Ø0x0H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2</v>
          </cell>
          <cell r="D4516">
            <v>0</v>
          </cell>
          <cell r="E4516">
            <v>0</v>
          </cell>
          <cell r="F4516">
            <v>0</v>
          </cell>
          <cell r="H4516">
            <v>0</v>
          </cell>
          <cell r="O4516">
            <v>261276</v>
          </cell>
          <cell r="P4516"/>
          <cell r="Q4516" t="str">
            <v>EST AC FIGA CASTICAL ALTO 33X7X11 IMBUIA</v>
          </cell>
          <cell r="R4516"/>
          <cell r="S4516"/>
          <cell r="T4516">
            <v>0</v>
          </cell>
          <cell r="U4516">
            <v>0</v>
          </cell>
          <cell r="V4516">
            <v>0</v>
          </cell>
          <cell r="W4516">
            <v>0</v>
          </cell>
          <cell r="X4516" t="str">
            <v>EST AC FIGA CASTICAL ALTO 33X7X11 IMBUIA - Ø0x0H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2</v>
          </cell>
          <cell r="D4517">
            <v>2</v>
          </cell>
          <cell r="E4517">
            <v>0</v>
          </cell>
          <cell r="F4517">
            <v>0</v>
          </cell>
          <cell r="H4517">
            <v>0</v>
          </cell>
          <cell r="O4517">
            <v>261277</v>
          </cell>
          <cell r="P4517"/>
          <cell r="Q4517" t="str">
            <v>EST AC FIGA CASTICAL ALTO 33X7X11 PRETO</v>
          </cell>
          <cell r="R4517"/>
          <cell r="S4517"/>
          <cell r="T4517">
            <v>0</v>
          </cell>
          <cell r="U4517">
            <v>0</v>
          </cell>
          <cell r="V4517">
            <v>0</v>
          </cell>
          <cell r="W4517">
            <v>0</v>
          </cell>
          <cell r="X4517" t="str">
            <v>EST AC FIGA CASTICAL ALTO 33X7X11 PRETO - Ø0x0H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2</v>
          </cell>
          <cell r="D4518">
            <v>1</v>
          </cell>
          <cell r="E4518">
            <v>0</v>
          </cell>
          <cell r="F4518">
            <v>0</v>
          </cell>
          <cell r="H4518">
            <v>0</v>
          </cell>
          <cell r="O4518">
            <v>261284</v>
          </cell>
          <cell r="P4518"/>
          <cell r="Q4518" t="str">
            <v>EST AC FIGA VASO P 33X7X9 IMBUIA</v>
          </cell>
          <cell r="R4518"/>
          <cell r="S4518"/>
          <cell r="T4518">
            <v>0</v>
          </cell>
          <cell r="U4518">
            <v>0</v>
          </cell>
          <cell r="V4518">
            <v>0</v>
          </cell>
          <cell r="W4518">
            <v>0</v>
          </cell>
          <cell r="X4518" t="str">
            <v>EST AC FIGA VASO P 33X7X9 IMBUIA - Ø0x0H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2</v>
          </cell>
          <cell r="D4519">
            <v>1</v>
          </cell>
          <cell r="E4519">
            <v>0</v>
          </cell>
          <cell r="F4519">
            <v>0</v>
          </cell>
          <cell r="H4519">
            <v>0</v>
          </cell>
          <cell r="O4519">
            <v>261287</v>
          </cell>
          <cell r="P4519"/>
          <cell r="Q4519" t="str">
            <v>EST AC FIGA VASO P 33X7X9 PRETO</v>
          </cell>
          <cell r="R4519"/>
          <cell r="S4519"/>
          <cell r="T4519">
            <v>0</v>
          </cell>
          <cell r="U4519">
            <v>0</v>
          </cell>
          <cell r="V4519">
            <v>0</v>
          </cell>
          <cell r="W4519">
            <v>0</v>
          </cell>
          <cell r="X4519" t="str">
            <v>EST AC FIGA VASO P 33X7X9 PRETO - Ø0x0H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2</v>
          </cell>
          <cell r="D4520">
            <v>0</v>
          </cell>
          <cell r="E4520">
            <v>0</v>
          </cell>
          <cell r="F4520">
            <v>0</v>
          </cell>
          <cell r="H4520">
            <v>0</v>
          </cell>
          <cell r="O4520">
            <v>261288</v>
          </cell>
          <cell r="P4520"/>
          <cell r="Q4520" t="str">
            <v>EST AC FIGA VASO M 43X7X9 IMBUIA</v>
          </cell>
          <cell r="R4520"/>
          <cell r="S4520"/>
          <cell r="T4520">
            <v>0</v>
          </cell>
          <cell r="U4520">
            <v>0</v>
          </cell>
          <cell r="V4520">
            <v>0</v>
          </cell>
          <cell r="W4520">
            <v>0</v>
          </cell>
          <cell r="X4520" t="str">
            <v>EST AC FIGA VASO M 43X7X9 IMBUIA - Ø0x0H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2</v>
          </cell>
          <cell r="D4521">
            <v>1</v>
          </cell>
          <cell r="E4521">
            <v>0</v>
          </cell>
          <cell r="F4521">
            <v>0</v>
          </cell>
          <cell r="H4521">
            <v>0</v>
          </cell>
          <cell r="O4521">
            <v>261289</v>
          </cell>
          <cell r="P4521"/>
          <cell r="Q4521" t="str">
            <v>EST AC FIGA VASO M 43X7X9 PRETO</v>
          </cell>
          <cell r="R4521"/>
          <cell r="S4521"/>
          <cell r="T4521">
            <v>0</v>
          </cell>
          <cell r="U4521">
            <v>0</v>
          </cell>
          <cell r="V4521">
            <v>0</v>
          </cell>
          <cell r="W4521">
            <v>0</v>
          </cell>
          <cell r="X4521" t="str">
            <v>EST AC FIGA VASO M 43X7X9 PRETO - Ø0x0H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1</v>
          </cell>
          <cell r="E4522">
            <v>0</v>
          </cell>
          <cell r="F4522">
            <v>0</v>
          </cell>
          <cell r="H4522">
            <v>0</v>
          </cell>
          <cell r="O4522">
            <v>261290</v>
          </cell>
          <cell r="P4522"/>
          <cell r="Q4522" t="str">
            <v>EST AC FIGA VASO G 53X7X9 IMBUIA</v>
          </cell>
          <cell r="R4522"/>
          <cell r="S4522"/>
          <cell r="T4522">
            <v>0</v>
          </cell>
          <cell r="U4522">
            <v>0</v>
          </cell>
          <cell r="V4522">
            <v>0</v>
          </cell>
          <cell r="W4522">
            <v>0</v>
          </cell>
          <cell r="X4522" t="str">
            <v>EST AC FIGA VASO G 53X7X9 IMBUIA - Ø0x0H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1</v>
          </cell>
          <cell r="E4523">
            <v>0</v>
          </cell>
          <cell r="F4523">
            <v>0</v>
          </cell>
          <cell r="H4523">
            <v>0</v>
          </cell>
          <cell r="O4523">
            <v>261291</v>
          </cell>
          <cell r="P4523"/>
          <cell r="Q4523" t="str">
            <v>EST AC FIGA VASO G 53X7X9 PRETO</v>
          </cell>
          <cell r="R4523"/>
          <cell r="S4523"/>
          <cell r="T4523">
            <v>0</v>
          </cell>
          <cell r="U4523">
            <v>0</v>
          </cell>
          <cell r="V4523">
            <v>0</v>
          </cell>
          <cell r="W4523">
            <v>0</v>
          </cell>
          <cell r="X4523" t="str">
            <v>EST AC FIGA VASO G 53X7X9 PRETO - Ø0x0H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0</v>
          </cell>
          <cell r="E4524">
            <v>0</v>
          </cell>
          <cell r="F4524">
            <v>0</v>
          </cell>
          <cell r="H4524">
            <v>0</v>
          </cell>
          <cell r="O4524">
            <v>266074</v>
          </cell>
          <cell r="P4524"/>
          <cell r="Q4524" t="str">
            <v>EST AC QUADRO OBEROI VERTICAL (731) MOL F23</v>
          </cell>
          <cell r="R4524"/>
          <cell r="S4524"/>
          <cell r="T4524">
            <v>1.7</v>
          </cell>
          <cell r="U4524">
            <v>1</v>
          </cell>
          <cell r="V4524">
            <v>0.05</v>
          </cell>
          <cell r="W4524">
            <v>0</v>
          </cell>
          <cell r="X4524" t="str">
            <v>EST AC QUADRO OBEROI VERTICAL (731) MOL F23 - 1,7x1x0,05H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0</v>
          </cell>
          <cell r="D4525">
            <v>1</v>
          </cell>
          <cell r="E4525">
            <v>0</v>
          </cell>
          <cell r="F4525">
            <v>0</v>
          </cell>
          <cell r="H4525">
            <v>0</v>
          </cell>
          <cell r="O4525">
            <v>271425</v>
          </cell>
          <cell r="P4525"/>
          <cell r="Q4525" t="str">
            <v>EST QUADRO MASSAI NUDE 01 (1516) MO (MOLDURA CAIXA CRU)</v>
          </cell>
          <cell r="R4525"/>
          <cell r="S4525"/>
          <cell r="T4525">
            <v>1.2</v>
          </cell>
          <cell r="U4525">
            <v>1.2</v>
          </cell>
          <cell r="V4525">
            <v>0</v>
          </cell>
          <cell r="W4525">
            <v>0</v>
          </cell>
          <cell r="X4525" t="str">
            <v>EST QUADRO MASSAI NUDE 01 (1516) MO (MOLDURA CAIXA CRU) - 1,2x1,2x0H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0</v>
          </cell>
          <cell r="E4526">
            <v>1</v>
          </cell>
          <cell r="F4526">
            <v>0</v>
          </cell>
          <cell r="H4526">
            <v>0</v>
          </cell>
          <cell r="O4526">
            <v>271428</v>
          </cell>
          <cell r="P4526"/>
          <cell r="Q4526" t="str">
            <v>EST AC QUADRO PARALELO 2 X2 (1546) 100X70 MOLD BRONZE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AC QUADRO PARALELO 2 X2 (1546) 100X70 MOLD BRONZE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0</v>
          </cell>
          <cell r="D4527">
            <v>2</v>
          </cell>
          <cell r="E4527">
            <v>0</v>
          </cell>
          <cell r="F4527">
            <v>0</v>
          </cell>
          <cell r="H4527">
            <v>0</v>
          </cell>
          <cell r="O4527">
            <v>271437</v>
          </cell>
          <cell r="P4527"/>
          <cell r="Q4527" t="str">
            <v>EST QUADRO SNOW SHADE M2 (1399) (MOLDURA PRETA FINA)</v>
          </cell>
          <cell r="R4527"/>
          <cell r="S4527"/>
          <cell r="T4527">
            <v>0.4</v>
          </cell>
          <cell r="U4527">
            <v>0.5</v>
          </cell>
          <cell r="V4527">
            <v>0</v>
          </cell>
          <cell r="W4527">
            <v>0</v>
          </cell>
          <cell r="X4527" t="str">
            <v>EST QUADRO SNOW SHADE M2 (1399) (MOLDURA PRETA FINA) - 0,4x0,5x0H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0</v>
          </cell>
          <cell r="D4528">
            <v>2</v>
          </cell>
          <cell r="E4528">
            <v>0</v>
          </cell>
          <cell r="F4528">
            <v>0</v>
          </cell>
          <cell r="H4528">
            <v>0</v>
          </cell>
          <cell r="O4528">
            <v>271439</v>
          </cell>
          <cell r="P4528"/>
          <cell r="Q4528" t="str">
            <v>EST QUADRO TRACK SHADE M2 (1401) (MOLDURA PRETA FINA)</v>
          </cell>
          <cell r="R4528"/>
          <cell r="S4528"/>
          <cell r="T4528">
            <v>0.4</v>
          </cell>
          <cell r="U4528">
            <v>0.5</v>
          </cell>
          <cell r="V4528">
            <v>0</v>
          </cell>
          <cell r="W4528">
            <v>0</v>
          </cell>
          <cell r="X4528" t="str">
            <v>EST QUADRO TRACK SHADE M2 (1401) (MOLDURA PRETA FINA) - 0,4x0,5x0H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2</v>
          </cell>
          <cell r="D4529">
            <v>2</v>
          </cell>
          <cell r="E4529">
            <v>0</v>
          </cell>
          <cell r="F4529">
            <v>0</v>
          </cell>
          <cell r="H4529">
            <v>0</v>
          </cell>
          <cell r="O4529">
            <v>271474</v>
          </cell>
          <cell r="P4529"/>
          <cell r="Q4529" t="str">
            <v>EST AC VASO BOMA 10X8,5X8,5 CERAMICA VERDE E BEGE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AC VASO BOMA 10X8,5X8,5 CERAMICA VERDE E BEGE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0</v>
          </cell>
          <cell r="E4530">
            <v>0</v>
          </cell>
          <cell r="F4530">
            <v>0</v>
          </cell>
          <cell r="H4530">
            <v>0</v>
          </cell>
          <cell r="O4530">
            <v>271478</v>
          </cell>
          <cell r="P4530"/>
          <cell r="Q4530" t="str">
            <v>EST VASO GHAT III (CERAMICA AZUL)</v>
          </cell>
          <cell r="R4530"/>
          <cell r="S4530"/>
          <cell r="T4530">
            <v>0.1</v>
          </cell>
          <cell r="U4530">
            <v>0.09</v>
          </cell>
          <cell r="V4530">
            <v>0.09</v>
          </cell>
          <cell r="W4530">
            <v>0</v>
          </cell>
          <cell r="X4530" t="str">
            <v>EST VASO GHAT III (CERAMICA AZUL) - 0,1x0,09x0,09H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3</v>
          </cell>
          <cell r="D4531">
            <v>2</v>
          </cell>
          <cell r="E4531">
            <v>0</v>
          </cell>
          <cell r="F4531">
            <v>0</v>
          </cell>
          <cell r="H4531">
            <v>0</v>
          </cell>
          <cell r="O4531">
            <v>271479</v>
          </cell>
          <cell r="P4531"/>
          <cell r="Q4531" t="str">
            <v>EST AC VASO SOAP 11X23X12 CIMENTO RETANGULAR BEGE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AC VASO SOAP 11X23X12 CIMENTO RETANGULAR BEGE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0</v>
          </cell>
          <cell r="E4532">
            <v>0</v>
          </cell>
          <cell r="F4532">
            <v>0</v>
          </cell>
          <cell r="H4532">
            <v>0</v>
          </cell>
          <cell r="O4532">
            <v>271485</v>
          </cell>
          <cell r="P4532"/>
          <cell r="Q4532" t="str">
            <v>EST AC BOWL IBERIS I 16X52X52 MET ESMALTADO AZUL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AC BOWL IBERIS I 16X52X52 MET ESMALTADO AZUL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2</v>
          </cell>
          <cell r="D4533">
            <v>0</v>
          </cell>
          <cell r="E4533">
            <v>2</v>
          </cell>
          <cell r="F4533">
            <v>0</v>
          </cell>
          <cell r="H4533">
            <v>0</v>
          </cell>
          <cell r="O4533">
            <v>271488</v>
          </cell>
          <cell r="P4533"/>
          <cell r="Q4533" t="str">
            <v>EST AC BOWL ETHAN I 11X26X26 MET ESMALTADO MARSALA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AC BOWL ETHAN I 11X26X26 MET ESMALTADO MARSALA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2</v>
          </cell>
          <cell r="D4534">
            <v>1</v>
          </cell>
          <cell r="E4534">
            <v>0</v>
          </cell>
          <cell r="F4534">
            <v>0</v>
          </cell>
          <cell r="H4534">
            <v>0</v>
          </cell>
          <cell r="O4534">
            <v>271489</v>
          </cell>
          <cell r="P4534"/>
          <cell r="Q4534" t="str">
            <v>EST AC BOWL ETHAN II 9X21X21 MET ESMALTADO VERDE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AC BOWL ETHAN II 9X21X21 MET ESMALTADO VERDE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2</v>
          </cell>
          <cell r="D4535">
            <v>2</v>
          </cell>
          <cell r="E4535">
            <v>1</v>
          </cell>
          <cell r="F4535">
            <v>0</v>
          </cell>
          <cell r="H4535">
            <v>0</v>
          </cell>
          <cell r="O4535">
            <v>271490</v>
          </cell>
          <cell r="P4535"/>
          <cell r="Q4535" t="str">
            <v>EST AC LATERNA NEO I 32X14,5X14,5 METAL DOURADO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AC LATERNA NEO I 32X14,5X14,5 METAL DOURADO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0</v>
          </cell>
          <cell r="D4536">
            <v>0</v>
          </cell>
          <cell r="E4536">
            <v>1</v>
          </cell>
          <cell r="F4536">
            <v>0</v>
          </cell>
          <cell r="H4536">
            <v>0</v>
          </cell>
          <cell r="O4536">
            <v>271491</v>
          </cell>
          <cell r="P4536"/>
          <cell r="Q4536" t="str">
            <v>EST AC LATERNA NEO II 26X12,5X12,5 METAL DOURADO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AC LATERNA NEO II 26X12,5X12,5 METAL DOURADO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2</v>
          </cell>
          <cell r="D4537">
            <v>2</v>
          </cell>
          <cell r="E4537">
            <v>1</v>
          </cell>
          <cell r="F4537">
            <v>0</v>
          </cell>
          <cell r="H4537">
            <v>0</v>
          </cell>
          <cell r="O4537">
            <v>271494</v>
          </cell>
          <cell r="P4537"/>
          <cell r="Q4537" t="str">
            <v>EST AC LATERNA NEO III 20X11X11 METAL DOURADO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AC LATERNA NEO III 20X11X11 METAL DOURADO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2</v>
          </cell>
          <cell r="D4538">
            <v>2</v>
          </cell>
          <cell r="E4538">
            <v>0</v>
          </cell>
          <cell r="F4538">
            <v>0</v>
          </cell>
          <cell r="H4538">
            <v>0</v>
          </cell>
          <cell r="O4538">
            <v>271496</v>
          </cell>
          <cell r="P4538"/>
          <cell r="Q4538" t="str">
            <v>EST AC CENTRO DE MESA LOMMA 4,5X35,4X33 CERAMICA PTO E VERDE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AC CENTRO DE MESA LOMMA 4,5X35,4X33 CERAMICA PTO E VERDE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1</v>
          </cell>
          <cell r="E4539">
            <v>0</v>
          </cell>
          <cell r="F4539">
            <v>0</v>
          </cell>
          <cell r="H4539">
            <v>0</v>
          </cell>
          <cell r="O4539">
            <v>271497</v>
          </cell>
          <cell r="P4539"/>
          <cell r="Q4539" t="str">
            <v>EST AC CENTRO DE MESA KHUMO I 7X28,3X27 CERAM BCO E CINZA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AC CENTRO DE MESA KHUMO I 7X28,3X27 CERAM BCO E CINZA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0</v>
          </cell>
          <cell r="D4540">
            <v>0</v>
          </cell>
          <cell r="E4540">
            <v>1</v>
          </cell>
          <cell r="F4540">
            <v>0</v>
          </cell>
          <cell r="H4540">
            <v>0</v>
          </cell>
          <cell r="O4540">
            <v>271498</v>
          </cell>
          <cell r="P4540"/>
          <cell r="Q4540" t="str">
            <v>EST AC CENTRO DE MESA KHUMO II 8,5X35,3X33,5 CER BCO E CINZA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AC CENTRO DE MESA KHUMO II 8,5X35,3X33,5 CER BCO E CINZA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2</v>
          </cell>
          <cell r="D4541">
            <v>0</v>
          </cell>
          <cell r="E4541">
            <v>1</v>
          </cell>
          <cell r="F4541">
            <v>0</v>
          </cell>
          <cell r="H4541">
            <v>0</v>
          </cell>
          <cell r="O4541">
            <v>271499</v>
          </cell>
          <cell r="P4541"/>
          <cell r="Q4541" t="str">
            <v>EST AC CENTRO DE MESA OSLO I 7X28,3X27 CERAM BCO E BEGE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AC CENTRO DE MESA OSLO I 7X28,3X27 CERAM BCO E BEGE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2</v>
          </cell>
          <cell r="D4542">
            <v>1</v>
          </cell>
          <cell r="E4542">
            <v>1</v>
          </cell>
          <cell r="F4542">
            <v>0</v>
          </cell>
          <cell r="H4542">
            <v>0</v>
          </cell>
          <cell r="O4542">
            <v>271500</v>
          </cell>
          <cell r="P4542"/>
          <cell r="Q4542" t="str">
            <v>EST AC CENTRO DE MESA OSLO II 8,5X35,3X33,5 CERAM BCO E BEGE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AC CENTRO DE MESA OSLO II 8,5X35,3X33,5 CERAM BCO E BEGE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2</v>
          </cell>
          <cell r="D4543">
            <v>0</v>
          </cell>
          <cell r="E4543">
            <v>0</v>
          </cell>
          <cell r="F4543">
            <v>0</v>
          </cell>
          <cell r="H4543">
            <v>0</v>
          </cell>
          <cell r="O4543">
            <v>271501</v>
          </cell>
          <cell r="P4543"/>
          <cell r="Q4543" t="str">
            <v>EST AC VASO HANKO 28X21X21 BRANCO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AC VASO HANKO 28X21X21 BRANCO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2</v>
          </cell>
          <cell r="D4544">
            <v>0</v>
          </cell>
          <cell r="E4544">
            <v>0</v>
          </cell>
          <cell r="F4544">
            <v>0</v>
          </cell>
          <cell r="H4544">
            <v>0</v>
          </cell>
          <cell r="O4544">
            <v>271502</v>
          </cell>
          <cell r="P4544"/>
          <cell r="Q4544" t="str">
            <v>EST AC VASO HANKO 28X21X21 PRETO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AC VASO HANKO 28X21X21 PRETO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0</v>
          </cell>
          <cell r="F4545">
            <v>0</v>
          </cell>
          <cell r="H4545">
            <v>0</v>
          </cell>
          <cell r="O4545">
            <v>271717</v>
          </cell>
          <cell r="P4545"/>
          <cell r="Q4545" t="str">
            <v>EST AC ABATJOUR TRE 19X58 INOX MADEIRA FENDI ESFERA INCOLOR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AC ABATJOUR TRE 19X58 INOX MADEIRA FENDI ESFERA INCOLOR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2</v>
          </cell>
          <cell r="D4546">
            <v>0</v>
          </cell>
          <cell r="E4546">
            <v>0</v>
          </cell>
          <cell r="F4546">
            <v>0</v>
          </cell>
          <cell r="H4546">
            <v>0</v>
          </cell>
          <cell r="O4546">
            <v>271722</v>
          </cell>
          <cell r="P4546"/>
          <cell r="Q4546" t="str">
            <v>EST ABAJUR ELM (INOX VIDRO INCOLOR) (CUPULA LINEN BEGE)</v>
          </cell>
          <cell r="R4546"/>
          <cell r="S4546"/>
          <cell r="T4546">
            <v>0.45</v>
          </cell>
          <cell r="U4546">
            <v>0</v>
          </cell>
          <cell r="V4546">
            <v>0.78</v>
          </cell>
          <cell r="W4546">
            <v>0</v>
          </cell>
          <cell r="X4546" t="str">
            <v>EST ABAJUR ELM (INOX VIDRO INCOLOR) (CUPULA LINEN BEGE) - Ø0x0,78H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0</v>
          </cell>
          <cell r="D4547">
            <v>1</v>
          </cell>
          <cell r="E4547">
            <v>0</v>
          </cell>
          <cell r="F4547">
            <v>0</v>
          </cell>
          <cell r="H4547">
            <v>0</v>
          </cell>
          <cell r="O4547">
            <v>271724</v>
          </cell>
          <cell r="P4547"/>
          <cell r="Q4547" t="str">
            <v>EST AC BANDEJA MIDI 40X60X8 MD FENDI RUSTICO ACO INOX VD PIN</v>
          </cell>
          <cell r="R4547"/>
          <cell r="S4547"/>
          <cell r="T4547">
            <v>0</v>
          </cell>
          <cell r="U4547">
            <v>0</v>
          </cell>
          <cell r="V4547">
            <v>0</v>
          </cell>
          <cell r="W4547">
            <v>0</v>
          </cell>
          <cell r="X4547" t="str">
            <v>EST AC BANDEJA MIDI 40X60X8 MD FENDI RUSTICO ACO INOX VD PIN - Ø0x0H</v>
          </cell>
          <cell r="Y4547">
            <v>0</v>
          </cell>
          <cell r="Z4547">
            <v>0.35</v>
          </cell>
          <cell r="AA4547">
            <v>0</v>
          </cell>
          <cell r="AB4547"/>
        </row>
        <row r="4548">
          <cell r="C4548">
            <v>0</v>
          </cell>
          <cell r="D4548">
            <v>1</v>
          </cell>
          <cell r="E4548">
            <v>1</v>
          </cell>
          <cell r="F4548">
            <v>0</v>
          </cell>
          <cell r="H4548">
            <v>0</v>
          </cell>
          <cell r="O4548">
            <v>271726</v>
          </cell>
          <cell r="P4548"/>
          <cell r="Q4548" t="str">
            <v>EST AC BANDEJA ADAM 50X4 MADEIRA NUDE VD PINT FENDI E VERDE</v>
          </cell>
          <cell r="R4548"/>
          <cell r="S4548"/>
          <cell r="T4548">
            <v>0</v>
          </cell>
          <cell r="U4548">
            <v>0</v>
          </cell>
          <cell r="V4548">
            <v>0</v>
          </cell>
          <cell r="W4548">
            <v>0</v>
          </cell>
          <cell r="X4548" t="str">
            <v>EST AC BANDEJA ADAM 50X4 MADEIRA NUDE VD PINT FENDI E VERDE - Ø0x0H</v>
          </cell>
          <cell r="Y4548">
            <v>0</v>
          </cell>
          <cell r="Z4548">
            <v>0.35</v>
          </cell>
          <cell r="AA4548">
            <v>0</v>
          </cell>
          <cell r="AB4548"/>
        </row>
        <row r="4549">
          <cell r="C4549">
            <v>0</v>
          </cell>
          <cell r="D4549">
            <v>1</v>
          </cell>
          <cell r="E4549">
            <v>0</v>
          </cell>
          <cell r="F4549">
            <v>0</v>
          </cell>
          <cell r="H4549">
            <v>0</v>
          </cell>
          <cell r="O4549">
            <v>271728</v>
          </cell>
          <cell r="P4549"/>
          <cell r="Q4549" t="str">
            <v>EST AC BANDEJA BUD 61X41X4 MAD CHUMBO VD NUDE E VERDE</v>
          </cell>
          <cell r="R4549"/>
          <cell r="S4549"/>
          <cell r="T4549">
            <v>0</v>
          </cell>
          <cell r="U4549">
            <v>0</v>
          </cell>
          <cell r="V4549">
            <v>0</v>
          </cell>
          <cell r="W4549">
            <v>0</v>
          </cell>
          <cell r="X4549" t="str">
            <v>EST AC BANDEJA BUD 61X41X4 MAD CHUMBO VD NUDE E VERDE - Ø0x0H</v>
          </cell>
          <cell r="Y4549">
            <v>0</v>
          </cell>
          <cell r="Z4549">
            <v>0.35</v>
          </cell>
          <cell r="AA4549">
            <v>0</v>
          </cell>
          <cell r="AB4549"/>
        </row>
        <row r="4550">
          <cell r="C4550">
            <v>1</v>
          </cell>
          <cell r="D4550">
            <v>0</v>
          </cell>
          <cell r="E4550">
            <v>0</v>
          </cell>
          <cell r="F4550">
            <v>0</v>
          </cell>
          <cell r="H4550">
            <v>0</v>
          </cell>
          <cell r="O4550">
            <v>271730</v>
          </cell>
          <cell r="P4550"/>
          <cell r="Q4550" t="str">
            <v>EST AC BANDEJA ISLA OVAL 60X32X13 MAD CANELA RUSTICA ESPELHO</v>
          </cell>
          <cell r="R4550"/>
          <cell r="S4550"/>
          <cell r="T4550">
            <v>0</v>
          </cell>
          <cell r="U4550">
            <v>0</v>
          </cell>
          <cell r="V4550">
            <v>0</v>
          </cell>
          <cell r="W4550">
            <v>0</v>
          </cell>
          <cell r="X4550" t="str">
            <v>EST AC BANDEJA ISLA OVAL 60X32X13 MAD CANELA RUSTICA ESPELHO - Ø0x0H</v>
          </cell>
          <cell r="Y4550">
            <v>0</v>
          </cell>
          <cell r="Z4550">
            <v>0.35</v>
          </cell>
          <cell r="AA4550">
            <v>0</v>
          </cell>
          <cell r="AB4550"/>
        </row>
        <row r="4551">
          <cell r="C4551">
            <v>0</v>
          </cell>
          <cell r="D4551">
            <v>1</v>
          </cell>
          <cell r="E4551">
            <v>1</v>
          </cell>
          <cell r="F4551">
            <v>0</v>
          </cell>
          <cell r="H4551">
            <v>0</v>
          </cell>
          <cell r="O4551">
            <v>271731</v>
          </cell>
          <cell r="P4551"/>
          <cell r="Q4551" t="str">
            <v>EST AC BANDEJA ISLA RETANGULAR 60X40X10 MD PTO RUSTI ESPELHO</v>
          </cell>
          <cell r="R4551"/>
          <cell r="S4551"/>
          <cell r="T4551">
            <v>0</v>
          </cell>
          <cell r="U4551">
            <v>0</v>
          </cell>
          <cell r="V4551">
            <v>0</v>
          </cell>
          <cell r="W4551">
            <v>0</v>
          </cell>
          <cell r="X4551" t="str">
            <v>EST AC BANDEJA ISLA RETANGULAR 60X40X10 MD PTO RUSTI ESPELHO - Ø0x0H</v>
          </cell>
          <cell r="Y4551">
            <v>0</v>
          </cell>
          <cell r="Z4551">
            <v>0.35</v>
          </cell>
          <cell r="AA4551">
            <v>0</v>
          </cell>
          <cell r="AB4551"/>
        </row>
        <row r="4552">
          <cell r="C4552">
            <v>1</v>
          </cell>
          <cell r="D4552">
            <v>0</v>
          </cell>
          <cell r="E4552">
            <v>0</v>
          </cell>
          <cell r="F4552">
            <v>0</v>
          </cell>
          <cell r="H4552">
            <v>0</v>
          </cell>
          <cell r="O4552">
            <v>271732</v>
          </cell>
          <cell r="P4552"/>
          <cell r="Q4552" t="str">
            <v>EST AC BANDEJA DEAN 60X40X7 MAD COURO ECO CARAMELHO ESPELHO</v>
          </cell>
          <cell r="R4552"/>
          <cell r="S4552"/>
          <cell r="T4552">
            <v>0</v>
          </cell>
          <cell r="U4552">
            <v>0</v>
          </cell>
          <cell r="V4552">
            <v>0</v>
          </cell>
          <cell r="W4552">
            <v>0</v>
          </cell>
          <cell r="X4552" t="str">
            <v>EST AC BANDEJA DEAN 60X40X7 MAD COURO ECO CARAMELHO ESPELHO - Ø0x0H</v>
          </cell>
          <cell r="Y4552">
            <v>0</v>
          </cell>
          <cell r="Z4552">
            <v>0.35</v>
          </cell>
          <cell r="AA4552">
            <v>0</v>
          </cell>
          <cell r="AB4552"/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H4553">
            <v>0</v>
          </cell>
          <cell r="O4553">
            <v>271733</v>
          </cell>
          <cell r="P4553"/>
          <cell r="Q4553" t="str">
            <v>EST AC BANDEJA DEAN 60X40X7 MAD COURO ECO FENDI ESPELHO</v>
          </cell>
          <cell r="R4553"/>
          <cell r="S4553"/>
          <cell r="T4553">
            <v>0</v>
          </cell>
          <cell r="U4553">
            <v>0</v>
          </cell>
          <cell r="V4553">
            <v>0</v>
          </cell>
          <cell r="W4553">
            <v>0</v>
          </cell>
          <cell r="X4553" t="str">
            <v>EST AC BANDEJA DEAN 60X40X7 MAD COURO ECO FENDI ESPELHO - Ø0x0H</v>
          </cell>
          <cell r="Y4553">
            <v>0</v>
          </cell>
          <cell r="Z4553">
            <v>0.35</v>
          </cell>
          <cell r="AA4553">
            <v>0</v>
          </cell>
          <cell r="AB4553"/>
        </row>
        <row r="4554">
          <cell r="C4554">
            <v>0</v>
          </cell>
          <cell r="D4554">
            <v>0</v>
          </cell>
          <cell r="E4554">
            <v>1</v>
          </cell>
          <cell r="F4554">
            <v>0</v>
          </cell>
          <cell r="H4554">
            <v>0</v>
          </cell>
          <cell r="O4554">
            <v>271735</v>
          </cell>
          <cell r="P4554"/>
          <cell r="Q4554" t="str">
            <v>EST AC CAIXA AVA G 25X18 REDONDA MAD CANELA RUSTICA DT INOX</v>
          </cell>
          <cell r="R4554"/>
          <cell r="S4554"/>
          <cell r="T4554">
            <v>0</v>
          </cell>
          <cell r="U4554">
            <v>0</v>
          </cell>
          <cell r="V4554">
            <v>0</v>
          </cell>
          <cell r="W4554">
            <v>0</v>
          </cell>
          <cell r="X4554" t="str">
            <v>EST AC CAIXA AVA G 25X18 REDONDA MAD CANELA RUSTICA DT INOX - Ø0x0H</v>
          </cell>
          <cell r="Y4554">
            <v>0</v>
          </cell>
          <cell r="Z4554">
            <v>0.35</v>
          </cell>
          <cell r="AA4554">
            <v>0</v>
          </cell>
          <cell r="AB4554"/>
        </row>
        <row r="4555">
          <cell r="C4555">
            <v>0</v>
          </cell>
          <cell r="D4555">
            <v>1</v>
          </cell>
          <cell r="E4555">
            <v>1</v>
          </cell>
          <cell r="F4555">
            <v>0</v>
          </cell>
          <cell r="H4555">
            <v>0</v>
          </cell>
          <cell r="O4555">
            <v>271738</v>
          </cell>
          <cell r="P4555"/>
          <cell r="Q4555" t="str">
            <v>EST AC CAIXA EMMA 27X15X9 MAD FENDI DET INOX</v>
          </cell>
          <cell r="R4555"/>
          <cell r="S4555"/>
          <cell r="T4555">
            <v>0</v>
          </cell>
          <cell r="U4555">
            <v>0</v>
          </cell>
          <cell r="V4555">
            <v>0</v>
          </cell>
          <cell r="W4555">
            <v>0</v>
          </cell>
          <cell r="X4555" t="str">
            <v>EST AC CAIXA EMMA 27X15X9 MAD FENDI DET INOX - Ø0x0H</v>
          </cell>
          <cell r="Y4555">
            <v>0</v>
          </cell>
          <cell r="Z4555">
            <v>0.35</v>
          </cell>
          <cell r="AA4555">
            <v>0</v>
          </cell>
          <cell r="AB4555"/>
        </row>
        <row r="4556">
          <cell r="C4556">
            <v>0</v>
          </cell>
          <cell r="D4556">
            <v>0</v>
          </cell>
          <cell r="E4556">
            <v>1</v>
          </cell>
          <cell r="F4556">
            <v>0</v>
          </cell>
          <cell r="H4556">
            <v>0</v>
          </cell>
          <cell r="O4556">
            <v>271739</v>
          </cell>
          <cell r="P4556"/>
          <cell r="Q4556" t="str">
            <v>EST AC CAIXA EMMA 27X15X9 MAD NUDE DET INOX</v>
          </cell>
          <cell r="R4556"/>
          <cell r="S4556"/>
          <cell r="T4556">
            <v>0</v>
          </cell>
          <cell r="U4556">
            <v>0</v>
          </cell>
          <cell r="V4556">
            <v>0</v>
          </cell>
          <cell r="W4556">
            <v>0</v>
          </cell>
          <cell r="X4556" t="str">
            <v>EST AC CAIXA EMMA 27X15X9 MAD NUDE DET INOX - Ø0x0H</v>
          </cell>
          <cell r="Y4556">
            <v>0</v>
          </cell>
          <cell r="Z4556">
            <v>0.35</v>
          </cell>
          <cell r="AA4556">
            <v>0</v>
          </cell>
          <cell r="AB4556"/>
        </row>
        <row r="4557">
          <cell r="C4557">
            <v>1</v>
          </cell>
          <cell r="D4557">
            <v>1</v>
          </cell>
          <cell r="E4557">
            <v>1</v>
          </cell>
          <cell r="F4557">
            <v>0</v>
          </cell>
          <cell r="H4557">
            <v>0</v>
          </cell>
          <cell r="O4557">
            <v>271740</v>
          </cell>
          <cell r="P4557"/>
          <cell r="Q4557" t="str">
            <v>EST AC CAIXA EMMA 27X15X9 MAD CHUMBO DET INOX</v>
          </cell>
          <cell r="R4557"/>
          <cell r="S4557"/>
          <cell r="T4557">
            <v>0</v>
          </cell>
          <cell r="U4557">
            <v>0</v>
          </cell>
          <cell r="V4557">
            <v>0</v>
          </cell>
          <cell r="W4557">
            <v>0</v>
          </cell>
          <cell r="X4557" t="str">
            <v>EST AC CAIXA EMMA 27X15X9 MAD CHUMBO DET INOX - Ø0x0H</v>
          </cell>
          <cell r="Y4557">
            <v>0</v>
          </cell>
          <cell r="Z4557">
            <v>0.35</v>
          </cell>
          <cell r="AA4557">
            <v>0</v>
          </cell>
          <cell r="AB4557"/>
        </row>
        <row r="4558">
          <cell r="C4558">
            <v>0</v>
          </cell>
          <cell r="D4558">
            <v>0</v>
          </cell>
          <cell r="E4558">
            <v>1</v>
          </cell>
          <cell r="F4558">
            <v>0</v>
          </cell>
          <cell r="H4558">
            <v>0</v>
          </cell>
          <cell r="O4558">
            <v>271741</v>
          </cell>
          <cell r="P4558"/>
          <cell r="Q4558" t="str">
            <v>EST AC CAIXA TRACY P 30X30X10 QUA MA PT VD TAB CARAM CHUM</v>
          </cell>
          <cell r="R4558"/>
          <cell r="S4558"/>
          <cell r="T4558">
            <v>0</v>
          </cell>
          <cell r="U4558">
            <v>0</v>
          </cell>
          <cell r="V4558">
            <v>0</v>
          </cell>
          <cell r="W4558">
            <v>0</v>
          </cell>
          <cell r="X4558" t="str">
            <v>EST AC CAIXA TRACY P 30X30X10 QUA MA PT VD TAB CARAM CHUM - Ø0x0H</v>
          </cell>
          <cell r="Y4558">
            <v>0</v>
          </cell>
          <cell r="Z4558">
            <v>0.35</v>
          </cell>
          <cell r="AA4558">
            <v>0</v>
          </cell>
          <cell r="AB4558"/>
        </row>
        <row r="4559">
          <cell r="C4559">
            <v>0</v>
          </cell>
          <cell r="D4559">
            <v>1</v>
          </cell>
          <cell r="E4559">
            <v>1</v>
          </cell>
          <cell r="F4559">
            <v>0</v>
          </cell>
          <cell r="H4559">
            <v>0</v>
          </cell>
          <cell r="O4559">
            <v>271742</v>
          </cell>
          <cell r="P4559"/>
          <cell r="Q4559" t="str">
            <v>EST AC CAIXA TRACY G 30X30X10 RETAN MA PT VD TAB CARAM CHUM</v>
          </cell>
          <cell r="R4559"/>
          <cell r="S4559"/>
          <cell r="T4559">
            <v>0</v>
          </cell>
          <cell r="U4559">
            <v>0</v>
          </cell>
          <cell r="V4559">
            <v>0</v>
          </cell>
          <cell r="W4559">
            <v>0</v>
          </cell>
          <cell r="X4559" t="str">
            <v>EST AC CAIXA TRACY G 30X30X10 RETAN MA PT VD TAB CARAM CHUM - Ø0x0H</v>
          </cell>
          <cell r="Y4559">
            <v>0</v>
          </cell>
          <cell r="Z4559">
            <v>0.35</v>
          </cell>
          <cell r="AA4559">
            <v>0</v>
          </cell>
          <cell r="AB4559"/>
        </row>
        <row r="4560">
          <cell r="C4560">
            <v>2</v>
          </cell>
          <cell r="D4560">
            <v>0</v>
          </cell>
          <cell r="E4560">
            <v>0</v>
          </cell>
          <cell r="F4560">
            <v>0</v>
          </cell>
          <cell r="H4560">
            <v>0</v>
          </cell>
          <cell r="O4560">
            <v>271744</v>
          </cell>
          <cell r="P4560"/>
          <cell r="Q4560" t="str">
            <v>EST AC FRUTEIRA POPPY 15X7 CERAMICA VERDE FOLHA DE PRATA</v>
          </cell>
          <cell r="R4560"/>
          <cell r="S4560"/>
          <cell r="T4560">
            <v>0</v>
          </cell>
          <cell r="U4560">
            <v>0</v>
          </cell>
          <cell r="V4560">
            <v>0</v>
          </cell>
          <cell r="W4560">
            <v>0</v>
          </cell>
          <cell r="X4560" t="str">
            <v>EST AC FRUTEIRA POPPY 15X7 CERAMICA VERDE FOLHA DE PRATA - Ø0x0H</v>
          </cell>
          <cell r="Y4560">
            <v>0</v>
          </cell>
          <cell r="Z4560">
            <v>0.35</v>
          </cell>
          <cell r="AA4560">
            <v>0</v>
          </cell>
          <cell r="AB4560"/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1</v>
          </cell>
          <cell r="H4561">
            <v>0</v>
          </cell>
          <cell r="O4561">
            <v>271746</v>
          </cell>
          <cell r="P4561"/>
          <cell r="Q4561" t="str">
            <v>EST AC VASO MARTIN P 17X22 MADEIRA NATURAL VIDRO</v>
          </cell>
          <cell r="R4561"/>
          <cell r="S4561"/>
          <cell r="T4561">
            <v>0</v>
          </cell>
          <cell r="U4561">
            <v>0</v>
          </cell>
          <cell r="V4561">
            <v>0</v>
          </cell>
          <cell r="W4561">
            <v>0</v>
          </cell>
          <cell r="X4561" t="str">
            <v>EST AC VASO MARTIN P 17X22 MADEIRA NATURAL VIDRO - Ø0x0H</v>
          </cell>
          <cell r="Y4561">
            <v>0</v>
          </cell>
          <cell r="Z4561">
            <v>0.35</v>
          </cell>
          <cell r="AA4561">
            <v>0</v>
          </cell>
          <cell r="AB4561"/>
        </row>
        <row r="4562">
          <cell r="C4562">
            <v>1</v>
          </cell>
          <cell r="D4562">
            <v>0</v>
          </cell>
          <cell r="E4562">
            <v>0</v>
          </cell>
          <cell r="F4562">
            <v>0</v>
          </cell>
          <cell r="H4562">
            <v>0</v>
          </cell>
          <cell r="O4562">
            <v>271748</v>
          </cell>
          <cell r="P4562"/>
          <cell r="Q4562" t="str">
            <v>EST AC VASO MARTIN M 18X34 MADEIRA NATURAL VIDRO</v>
          </cell>
          <cell r="R4562"/>
          <cell r="S4562"/>
          <cell r="T4562">
            <v>0</v>
          </cell>
          <cell r="U4562">
            <v>0</v>
          </cell>
          <cell r="V4562">
            <v>0</v>
          </cell>
          <cell r="W4562">
            <v>0</v>
          </cell>
          <cell r="X4562" t="str">
            <v>EST AC VASO MARTIN M 18X34 MADEIRA NATURAL VIDRO - Ø0x0H</v>
          </cell>
          <cell r="Y4562">
            <v>0</v>
          </cell>
          <cell r="Z4562">
            <v>0.35</v>
          </cell>
          <cell r="AA4562">
            <v>0</v>
          </cell>
          <cell r="AB4562"/>
        </row>
        <row r="4563">
          <cell r="C4563">
            <v>1</v>
          </cell>
          <cell r="D4563">
            <v>0</v>
          </cell>
          <cell r="E4563">
            <v>0</v>
          </cell>
          <cell r="F4563">
            <v>0</v>
          </cell>
          <cell r="H4563">
            <v>0</v>
          </cell>
          <cell r="O4563">
            <v>271749</v>
          </cell>
          <cell r="P4563"/>
          <cell r="Q4563" t="str">
            <v>EST AC VASO MARTIN G 18X41 MADEIRA NATURAL VIDRO</v>
          </cell>
          <cell r="R4563"/>
          <cell r="S4563"/>
          <cell r="T4563">
            <v>0</v>
          </cell>
          <cell r="U4563">
            <v>0</v>
          </cell>
          <cell r="V4563">
            <v>0</v>
          </cell>
          <cell r="W4563">
            <v>0</v>
          </cell>
          <cell r="X4563" t="str">
            <v>EST AC VASO MARTIN G 18X41 MADEIRA NATURAL VIDRO - Ø0x0H</v>
          </cell>
          <cell r="Y4563">
            <v>0</v>
          </cell>
          <cell r="Z4563">
            <v>0.35</v>
          </cell>
          <cell r="AA4563">
            <v>0</v>
          </cell>
          <cell r="AB4563"/>
        </row>
        <row r="4564">
          <cell r="C4564">
            <v>0</v>
          </cell>
          <cell r="D4564">
            <v>0</v>
          </cell>
          <cell r="E4564">
            <v>1</v>
          </cell>
          <cell r="F4564">
            <v>0</v>
          </cell>
          <cell r="H4564">
            <v>0</v>
          </cell>
          <cell r="O4564">
            <v>271750</v>
          </cell>
          <cell r="P4564"/>
          <cell r="Q4564" t="str">
            <v>EST AC VASO IAN 18X9X44 MADEIRA PRETA VIDRO</v>
          </cell>
          <cell r="R4564"/>
          <cell r="S4564"/>
          <cell r="T4564">
            <v>0</v>
          </cell>
          <cell r="U4564">
            <v>0</v>
          </cell>
          <cell r="V4564">
            <v>0</v>
          </cell>
          <cell r="W4564">
            <v>0</v>
          </cell>
          <cell r="X4564" t="str">
            <v>EST AC VASO IAN 18X9X44 MADEIRA PRETA VIDRO - Ø0x0H</v>
          </cell>
          <cell r="Y4564">
            <v>0</v>
          </cell>
          <cell r="Z4564">
            <v>0.35</v>
          </cell>
          <cell r="AA4564">
            <v>0</v>
          </cell>
          <cell r="AB4564"/>
        </row>
        <row r="4565">
          <cell r="C4565">
            <v>0</v>
          </cell>
          <cell r="D4565">
            <v>2</v>
          </cell>
          <cell r="E4565">
            <v>0</v>
          </cell>
          <cell r="F4565">
            <v>0</v>
          </cell>
          <cell r="H4565">
            <v>0</v>
          </cell>
          <cell r="O4565">
            <v>271752</v>
          </cell>
          <cell r="P4565"/>
          <cell r="Q4565" t="str">
            <v>EST VASO LIAM (MADEIRA) (LACA CHUMBO VIDRO)</v>
          </cell>
          <cell r="R4565"/>
          <cell r="S4565"/>
          <cell r="T4565">
            <v>0.15</v>
          </cell>
          <cell r="U4565">
            <v>0</v>
          </cell>
          <cell r="V4565">
            <v>0.34</v>
          </cell>
          <cell r="W4565">
            <v>0.15</v>
          </cell>
          <cell r="X4565" t="str">
            <v>EST VASO LIAM (MADEIRA) (LACA CHUMBO VIDRO) - Ø0,15x0,34H</v>
          </cell>
          <cell r="Y4565">
            <v>0</v>
          </cell>
          <cell r="Z4565">
            <v>0.35</v>
          </cell>
          <cell r="AA4565">
            <v>0</v>
          </cell>
          <cell r="AB4565"/>
        </row>
        <row r="4566">
          <cell r="C4566">
            <v>0</v>
          </cell>
          <cell r="D4566">
            <v>1</v>
          </cell>
          <cell r="E4566">
            <v>0</v>
          </cell>
          <cell r="F4566">
            <v>0</v>
          </cell>
          <cell r="H4566">
            <v>0</v>
          </cell>
          <cell r="O4566">
            <v>271753</v>
          </cell>
          <cell r="P4566"/>
          <cell r="Q4566" t="str">
            <v>EST VASO LIAM (MADEIRA) (LACA NUDE VIDRO)</v>
          </cell>
          <cell r="R4566"/>
          <cell r="S4566"/>
          <cell r="T4566">
            <v>0.15</v>
          </cell>
          <cell r="U4566">
            <v>0</v>
          </cell>
          <cell r="V4566">
            <v>0.34</v>
          </cell>
          <cell r="W4566">
            <v>0.15</v>
          </cell>
          <cell r="X4566" t="str">
            <v>EST VASO LIAM (MADEIRA) (LACA NUDE VIDRO) - Ø0,15x0,34H</v>
          </cell>
          <cell r="Y4566">
            <v>0</v>
          </cell>
          <cell r="Z4566">
            <v>0.35</v>
          </cell>
          <cell r="AA4566">
            <v>0</v>
          </cell>
          <cell r="AB4566"/>
        </row>
        <row r="4567">
          <cell r="C4567">
            <v>2</v>
          </cell>
          <cell r="D4567">
            <v>0</v>
          </cell>
          <cell r="E4567">
            <v>0</v>
          </cell>
          <cell r="F4567">
            <v>0</v>
          </cell>
          <cell r="H4567">
            <v>0</v>
          </cell>
          <cell r="O4567">
            <v>271755</v>
          </cell>
          <cell r="P4567"/>
          <cell r="Q4567" t="str">
            <v>EST ABATJOUR LILAC (BASE CHUMBO) (VIDRO INCOLOR) (LINHO CRU)</v>
          </cell>
          <cell r="R4567"/>
          <cell r="S4567"/>
          <cell r="T4567">
            <v>0.44</v>
          </cell>
          <cell r="U4567">
            <v>0</v>
          </cell>
          <cell r="V4567">
            <v>0.73</v>
          </cell>
          <cell r="W4567">
            <v>0</v>
          </cell>
          <cell r="X4567" t="str">
            <v>EST ABATJOUR LILAC (BASE CHUMBO) (VIDRO INCOLOR) (LINHO CRU) - Ø0x0,73H</v>
          </cell>
          <cell r="Y4567">
            <v>0</v>
          </cell>
          <cell r="Z4567">
            <v>0.35</v>
          </cell>
          <cell r="AA4567">
            <v>0</v>
          </cell>
          <cell r="AB4567"/>
        </row>
        <row r="4568">
          <cell r="C4568">
            <v>0</v>
          </cell>
          <cell r="D4568">
            <v>0</v>
          </cell>
          <cell r="E4568">
            <v>2</v>
          </cell>
          <cell r="F4568">
            <v>0</v>
          </cell>
          <cell r="H4568">
            <v>0</v>
          </cell>
          <cell r="O4568">
            <v>314831</v>
          </cell>
          <cell r="P4568"/>
          <cell r="Q4568" t="str">
            <v>EST ALMOFADA LOLITA FOLHA</v>
          </cell>
          <cell r="R4568"/>
          <cell r="S4568"/>
          <cell r="T4568">
            <v>0.5</v>
          </cell>
          <cell r="U4568">
            <v>0.5</v>
          </cell>
          <cell r="V4568">
            <v>0</v>
          </cell>
          <cell r="W4568">
            <v>0</v>
          </cell>
          <cell r="X4568" t="str">
            <v>EST ALMOFADA LOLITA FOLHA - 0,5x0,5x0H</v>
          </cell>
          <cell r="Y4568">
            <v>0</v>
          </cell>
          <cell r="Z4568">
            <v>0.35</v>
          </cell>
          <cell r="AA4568">
            <v>0</v>
          </cell>
          <cell r="AB4568"/>
        </row>
        <row r="4569">
          <cell r="C4569">
            <v>0</v>
          </cell>
          <cell r="D4569">
            <v>6</v>
          </cell>
          <cell r="E4569">
            <v>0</v>
          </cell>
          <cell r="F4569">
            <v>0</v>
          </cell>
          <cell r="H4569">
            <v>0</v>
          </cell>
          <cell r="O4569">
            <v>331820</v>
          </cell>
          <cell r="P4569"/>
          <cell r="Q4569" t="str">
            <v>EST ALMOFADA TRESSE PRATA 050X050</v>
          </cell>
          <cell r="R4569"/>
          <cell r="S4569"/>
          <cell r="T4569">
            <v>0</v>
          </cell>
          <cell r="U4569">
            <v>0</v>
          </cell>
          <cell r="V4569">
            <v>0</v>
          </cell>
          <cell r="W4569">
            <v>0</v>
          </cell>
          <cell r="X4569" t="str">
            <v>EST ALMOFADA TRESSE PRATA 050X050 - Ø0x0H</v>
          </cell>
          <cell r="Y4569">
            <v>0</v>
          </cell>
          <cell r="Z4569">
            <v>0.35</v>
          </cell>
          <cell r="AA4569">
            <v>0</v>
          </cell>
          <cell r="AB4569"/>
        </row>
        <row r="4570">
          <cell r="C4570">
            <v>2</v>
          </cell>
          <cell r="D4570">
            <v>2</v>
          </cell>
          <cell r="E4570">
            <v>2</v>
          </cell>
          <cell r="F4570">
            <v>0</v>
          </cell>
          <cell r="H4570">
            <v>0</v>
          </cell>
          <cell r="O4570">
            <v>331821</v>
          </cell>
          <cell r="P4570"/>
          <cell r="Q4570" t="str">
            <v>EST ALMOFADA TRESSE CHUMBO 050X050</v>
          </cell>
          <cell r="R4570"/>
          <cell r="S4570"/>
          <cell r="T4570">
            <v>0</v>
          </cell>
          <cell r="U4570">
            <v>0</v>
          </cell>
          <cell r="V4570">
            <v>0</v>
          </cell>
          <cell r="W4570">
            <v>0</v>
          </cell>
          <cell r="X4570" t="str">
            <v>EST ALMOFADA TRESSE CHUMBO 050X050 - Ø0x0H</v>
          </cell>
          <cell r="Y4570">
            <v>0</v>
          </cell>
          <cell r="Z4570">
            <v>0.35</v>
          </cell>
          <cell r="AA4570">
            <v>0</v>
          </cell>
          <cell r="AB4570"/>
        </row>
        <row r="4571">
          <cell r="C4571">
            <v>2</v>
          </cell>
          <cell r="D4571">
            <v>0</v>
          </cell>
          <cell r="E4571">
            <v>4</v>
          </cell>
          <cell r="F4571">
            <v>0</v>
          </cell>
          <cell r="H4571">
            <v>0</v>
          </cell>
          <cell r="O4571">
            <v>331871</v>
          </cell>
          <cell r="P4571"/>
          <cell r="Q4571" t="str">
            <v>EST ALMOFADA TRESSE CRU 050X050</v>
          </cell>
          <cell r="R4571"/>
          <cell r="S4571"/>
          <cell r="T4571">
            <v>0</v>
          </cell>
          <cell r="U4571">
            <v>0</v>
          </cell>
          <cell r="V4571">
            <v>0</v>
          </cell>
          <cell r="W4571">
            <v>0</v>
          </cell>
          <cell r="X4571" t="str">
            <v>EST ALMOFADA TRESSE CRU 050X050 - Ø0x0H</v>
          </cell>
          <cell r="Y4571">
            <v>0</v>
          </cell>
          <cell r="Z4571">
            <v>0.35</v>
          </cell>
          <cell r="AA4571">
            <v>0</v>
          </cell>
          <cell r="AB4571"/>
        </row>
        <row r="4572">
          <cell r="C4572">
            <v>2</v>
          </cell>
          <cell r="D4572">
            <v>0</v>
          </cell>
          <cell r="E4572">
            <v>2</v>
          </cell>
          <cell r="F4572">
            <v>0</v>
          </cell>
          <cell r="H4572">
            <v>0</v>
          </cell>
          <cell r="O4572">
            <v>331873</v>
          </cell>
          <cell r="P4572"/>
          <cell r="Q4572" t="str">
            <v>EST ALMOFADA FIORELLA CASTOR/MARROM 050X050</v>
          </cell>
          <cell r="R4572"/>
          <cell r="S4572"/>
          <cell r="T4572">
            <v>0</v>
          </cell>
          <cell r="U4572">
            <v>0</v>
          </cell>
          <cell r="V4572">
            <v>0</v>
          </cell>
          <cell r="W4572">
            <v>0</v>
          </cell>
          <cell r="X4572" t="str">
            <v>EST ALMOFADA FIORELLA CASTOR/MARROM 050X050 - Ø0x0H</v>
          </cell>
          <cell r="Y4572">
            <v>0</v>
          </cell>
          <cell r="Z4572">
            <v>0.35</v>
          </cell>
          <cell r="AA4572">
            <v>0</v>
          </cell>
          <cell r="AB4572"/>
        </row>
        <row r="4573">
          <cell r="C4573">
            <v>1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350045</v>
          </cell>
          <cell r="P4573"/>
          <cell r="Q4573" t="str">
            <v>EST LUMINARIA MATISSE DUPLA (VOIL BRANCO/ALG BRANCO)</v>
          </cell>
          <cell r="R4573"/>
          <cell r="S4573"/>
          <cell r="T4573">
            <v>0.8</v>
          </cell>
          <cell r="U4573">
            <v>0</v>
          </cell>
          <cell r="V4573">
            <v>0.4</v>
          </cell>
          <cell r="W4573">
            <v>0.8</v>
          </cell>
          <cell r="X4573" t="str">
            <v>EST LUMINARIA MATISSE DUPLA (VOIL BRANCO/ALG BRANCO) - Ø0,8x0,4H</v>
          </cell>
          <cell r="Y4573">
            <v>0</v>
          </cell>
          <cell r="Z4573">
            <v>0.35</v>
          </cell>
          <cell r="AA4573">
            <v>0</v>
          </cell>
          <cell r="AB4573"/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2</v>
          </cell>
          <cell r="H4574">
            <v>0</v>
          </cell>
          <cell r="O4574">
            <v>362189</v>
          </cell>
          <cell r="P4574"/>
          <cell r="Q4574" t="str">
            <v>EST LIVRO DEBRET E O BRASIL - JULIO BANDEIRA ED 2020</v>
          </cell>
          <cell r="R4574"/>
          <cell r="S4574"/>
          <cell r="T4574">
            <v>0</v>
          </cell>
          <cell r="U4574">
            <v>0</v>
          </cell>
          <cell r="V4574">
            <v>0</v>
          </cell>
          <cell r="W4574">
            <v>0</v>
          </cell>
          <cell r="X4574" t="str">
            <v>EST LIVRO DEBRET E O BRASIL - JULIO BANDEIRA ED 2020 - Ø0x0H</v>
          </cell>
          <cell r="Y4574">
            <v>0</v>
          </cell>
          <cell r="Z4574">
            <v>0.35</v>
          </cell>
          <cell r="AA4574">
            <v>0</v>
          </cell>
          <cell r="AB4574"/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2</v>
          </cell>
          <cell r="H4575">
            <v>0</v>
          </cell>
          <cell r="O4575">
            <v>362190</v>
          </cell>
          <cell r="P4575"/>
          <cell r="Q4575" t="str">
            <v>EST LIVRO ARVORES FLORESTAS E MADEIRAS - LORENA KURI ED 2022</v>
          </cell>
          <cell r="R4575"/>
          <cell r="S4575"/>
          <cell r="T4575">
            <v>0</v>
          </cell>
          <cell r="U4575">
            <v>0</v>
          </cell>
          <cell r="V4575">
            <v>0</v>
          </cell>
          <cell r="W4575">
            <v>0</v>
          </cell>
          <cell r="X4575" t="str">
            <v>EST LIVRO ARVORES FLORESTAS E MADEIRAS - LORENA KURI ED 2022 - Ø0x0H</v>
          </cell>
          <cell r="Y4575">
            <v>0</v>
          </cell>
          <cell r="Z4575">
            <v>0.35</v>
          </cell>
          <cell r="AA4575">
            <v>0</v>
          </cell>
          <cell r="AB4575"/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2</v>
          </cell>
          <cell r="H4576">
            <v>0</v>
          </cell>
          <cell r="O4576">
            <v>362191</v>
          </cell>
          <cell r="P4576"/>
          <cell r="Q4576" t="str">
            <v>EST LIVRO COLECAO LUIZ CARLOS RITTER - ED 2022</v>
          </cell>
          <cell r="R4576"/>
          <cell r="S4576"/>
          <cell r="T4576">
            <v>0</v>
          </cell>
          <cell r="U4576">
            <v>0</v>
          </cell>
          <cell r="V4576">
            <v>0</v>
          </cell>
          <cell r="W4576">
            <v>0</v>
          </cell>
          <cell r="X4576" t="str">
            <v>EST LIVRO COLECAO LUIZ CARLOS RITTER - ED 2022 - Ø0x0H</v>
          </cell>
          <cell r="Y4576">
            <v>0</v>
          </cell>
          <cell r="Z4576">
            <v>0.35</v>
          </cell>
          <cell r="AA4576">
            <v>0</v>
          </cell>
          <cell r="AB4576"/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2</v>
          </cell>
          <cell r="H4577">
            <v>0</v>
          </cell>
          <cell r="O4577">
            <v>362192</v>
          </cell>
          <cell r="P4577"/>
          <cell r="Q4577" t="str">
            <v>EST LIVRO FOTOS CASEIRAS - LAGO - ED 2022</v>
          </cell>
          <cell r="R4577"/>
          <cell r="S4577"/>
          <cell r="T4577">
            <v>0</v>
          </cell>
          <cell r="U4577">
            <v>0</v>
          </cell>
          <cell r="V4577">
            <v>0</v>
          </cell>
          <cell r="W4577">
            <v>0</v>
          </cell>
          <cell r="X4577" t="str">
            <v>EST LIVRO FOTOS CASEIRAS - LAGO - ED 2022 - Ø0x0H</v>
          </cell>
          <cell r="Y4577">
            <v>0</v>
          </cell>
          <cell r="Z4577">
            <v>0.35</v>
          </cell>
          <cell r="AA4577">
            <v>0</v>
          </cell>
          <cell r="AB4577"/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2</v>
          </cell>
          <cell r="H4578">
            <v>0</v>
          </cell>
          <cell r="O4578">
            <v>362193</v>
          </cell>
          <cell r="P4578"/>
          <cell r="Q4578" t="str">
            <v>EST LIVRO HISTORIA GLOBAL DA ARQUITETURA - CHING - ED 2016</v>
          </cell>
          <cell r="R4578"/>
          <cell r="S4578"/>
          <cell r="T4578">
            <v>0</v>
          </cell>
          <cell r="U4578">
            <v>0</v>
          </cell>
          <cell r="V4578">
            <v>0</v>
          </cell>
          <cell r="W4578">
            <v>0</v>
          </cell>
          <cell r="X4578" t="str">
            <v>EST LIVRO HISTORIA GLOBAL DA ARQUITETURA - CHING - ED 2016 - Ø0x0H</v>
          </cell>
          <cell r="Y4578">
            <v>0</v>
          </cell>
          <cell r="Z4578">
            <v>0.35</v>
          </cell>
          <cell r="AA4578">
            <v>0</v>
          </cell>
          <cell r="AB4578"/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2</v>
          </cell>
          <cell r="H4579">
            <v>0</v>
          </cell>
          <cell r="O4579">
            <v>362194</v>
          </cell>
          <cell r="P4579"/>
          <cell r="Q4579" t="str">
            <v>EST LIVRO MAN AND STYLE ESSAYS - DAVID COGGINS - ED 2016</v>
          </cell>
          <cell r="R4579"/>
          <cell r="S4579"/>
          <cell r="T4579">
            <v>0</v>
          </cell>
          <cell r="U4579">
            <v>0</v>
          </cell>
          <cell r="V4579">
            <v>0</v>
          </cell>
          <cell r="W4579">
            <v>0</v>
          </cell>
          <cell r="X4579" t="str">
            <v>EST LIVRO MAN AND STYLE ESSAYS - DAVID COGGINS - ED 2016 - Ø0x0H</v>
          </cell>
          <cell r="Y4579">
            <v>0</v>
          </cell>
          <cell r="Z4579">
            <v>0.35</v>
          </cell>
          <cell r="AA4579">
            <v>0</v>
          </cell>
          <cell r="AB4579"/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2</v>
          </cell>
          <cell r="H4580">
            <v>0</v>
          </cell>
          <cell r="O4580">
            <v>362195</v>
          </cell>
          <cell r="P4580"/>
          <cell r="Q4580" t="str">
            <v>EST LIVRO PATRIMONIO CONSTRUIDO-110 + BELAS EDIFIC DO BRASIL</v>
          </cell>
          <cell r="R4580"/>
          <cell r="S4580"/>
          <cell r="T4580">
            <v>0</v>
          </cell>
          <cell r="U4580">
            <v>0</v>
          </cell>
          <cell r="V4580">
            <v>0</v>
          </cell>
          <cell r="W4580">
            <v>0</v>
          </cell>
          <cell r="X4580" t="str">
            <v>EST LIVRO PATRIMONIO CONSTRUIDO-110 + BELAS EDIFIC DO BRASIL - Ø0x0H</v>
          </cell>
          <cell r="Y4580">
            <v>0</v>
          </cell>
          <cell r="Z4580">
            <v>0.35</v>
          </cell>
          <cell r="AA4580">
            <v>0</v>
          </cell>
          <cell r="AB4580"/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2</v>
          </cell>
          <cell r="H4581">
            <v>0</v>
          </cell>
          <cell r="O4581">
            <v>362196</v>
          </cell>
          <cell r="P4581"/>
          <cell r="Q4581" t="str">
            <v>EST LIVRO VISTAS E PANORAMAS DO BRASIL SECULO XIX - ED 2022</v>
          </cell>
          <cell r="R4581"/>
          <cell r="S4581"/>
          <cell r="T4581">
            <v>0</v>
          </cell>
          <cell r="U4581">
            <v>0</v>
          </cell>
          <cell r="V4581">
            <v>0</v>
          </cell>
          <cell r="W4581">
            <v>0</v>
          </cell>
          <cell r="X4581" t="str">
            <v>EST LIVRO VISTAS E PANORAMAS DO BRASIL SECULO XIX - ED 2022 - Ø0x0H</v>
          </cell>
          <cell r="Y4581">
            <v>0</v>
          </cell>
          <cell r="Z4581">
            <v>0.35</v>
          </cell>
          <cell r="AA4581">
            <v>0</v>
          </cell>
          <cell r="AB4581"/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2</v>
          </cell>
          <cell r="H4582">
            <v>0</v>
          </cell>
          <cell r="O4582">
            <v>362197</v>
          </cell>
          <cell r="P4582"/>
          <cell r="Q4582" t="str">
            <v>EST LIVRO YVES SAINT LAURENT THE SCANDAL COLLECTION, 1971</v>
          </cell>
          <cell r="R4582"/>
          <cell r="S4582"/>
          <cell r="T4582">
            <v>0</v>
          </cell>
          <cell r="U4582">
            <v>0</v>
          </cell>
          <cell r="V4582">
            <v>0</v>
          </cell>
          <cell r="W4582">
            <v>0</v>
          </cell>
          <cell r="X4582" t="str">
            <v>EST LIVRO YVES SAINT LAURENT THE SCANDAL COLLECTION, 1971 - Ø0x0H</v>
          </cell>
          <cell r="Y4582">
            <v>0</v>
          </cell>
          <cell r="Z4582">
            <v>0.35</v>
          </cell>
          <cell r="AA4582">
            <v>0</v>
          </cell>
          <cell r="AB4582"/>
        </row>
        <row r="4583">
          <cell r="C4583">
            <v>0</v>
          </cell>
          <cell r="D4583">
            <v>2</v>
          </cell>
          <cell r="E4583">
            <v>1</v>
          </cell>
          <cell r="F4583">
            <v>3</v>
          </cell>
          <cell r="H4583">
            <v>0</v>
          </cell>
          <cell r="O4583">
            <v>383974</v>
          </cell>
          <cell r="P4583"/>
          <cell r="Q4583" t="str">
            <v>EST QUADRO (1510 PRETO)</v>
          </cell>
          <cell r="R4583"/>
          <cell r="S4583"/>
          <cell r="T4583">
            <v>1.5</v>
          </cell>
          <cell r="U4583">
            <v>2</v>
          </cell>
          <cell r="V4583">
            <v>0.06</v>
          </cell>
          <cell r="W4583">
            <v>0</v>
          </cell>
          <cell r="X4583" t="str">
            <v>EST QUADRO (1510 PRETO) - 1,5x2x0,06H</v>
          </cell>
          <cell r="Y4583">
            <v>0</v>
          </cell>
          <cell r="Z4583">
            <v>0.35</v>
          </cell>
          <cell r="AA4583">
            <v>0</v>
          </cell>
          <cell r="AB4583"/>
        </row>
        <row r="4584">
          <cell r="C4584">
            <v>0</v>
          </cell>
          <cell r="D4584">
            <v>6</v>
          </cell>
          <cell r="E4584">
            <v>4</v>
          </cell>
          <cell r="F4584">
            <v>0</v>
          </cell>
          <cell r="H4584">
            <v>0</v>
          </cell>
          <cell r="O4584">
            <v>383975</v>
          </cell>
          <cell r="P4584"/>
          <cell r="Q4584" t="str">
            <v>EST QUADRO (1210 PRETO)</v>
          </cell>
          <cell r="R4584"/>
          <cell r="S4584"/>
          <cell r="T4584">
            <v>0.8</v>
          </cell>
          <cell r="U4584">
            <v>1.1000000000000001</v>
          </cell>
          <cell r="V4584">
            <v>0.06</v>
          </cell>
          <cell r="W4584">
            <v>0</v>
          </cell>
          <cell r="X4584" t="str">
            <v>EST QUADRO (1210 PRETO) - 0,8x1,1x0,06H</v>
          </cell>
          <cell r="Y4584">
            <v>0</v>
          </cell>
          <cell r="Z4584">
            <v>0.35</v>
          </cell>
          <cell r="AA4584">
            <v>0</v>
          </cell>
          <cell r="AB4584"/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2</v>
          </cell>
          <cell r="H4585">
            <v>0</v>
          </cell>
          <cell r="O4585">
            <v>383996</v>
          </cell>
          <cell r="P4585"/>
          <cell r="Q4585" t="str">
            <v>EST VASO ENCAIXE HIMALAYA (OURO VELHO)</v>
          </cell>
          <cell r="R4585"/>
          <cell r="S4585"/>
          <cell r="T4585">
            <v>0</v>
          </cell>
          <cell r="U4585">
            <v>0</v>
          </cell>
          <cell r="V4585">
            <v>0</v>
          </cell>
          <cell r="W4585">
            <v>0</v>
          </cell>
          <cell r="X4585" t="str">
            <v>EST VASO ENCAIXE HIMALAYA (OURO VELHO) - Ø0x0H</v>
          </cell>
          <cell r="Y4585">
            <v>0</v>
          </cell>
          <cell r="Z4585">
            <v>0.35</v>
          </cell>
          <cell r="AA4585">
            <v>0</v>
          </cell>
          <cell r="AB4585"/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2</v>
          </cell>
          <cell r="H4586">
            <v>0</v>
          </cell>
          <cell r="O4586">
            <v>383997</v>
          </cell>
          <cell r="P4586"/>
          <cell r="Q4586" t="str">
            <v>EST VASO ENCAIXE HIMALAYA (VERDE OLIVA)</v>
          </cell>
          <cell r="R4586"/>
          <cell r="S4586"/>
          <cell r="T4586">
            <v>0</v>
          </cell>
          <cell r="U4586">
            <v>0</v>
          </cell>
          <cell r="V4586">
            <v>0</v>
          </cell>
          <cell r="W4586">
            <v>0</v>
          </cell>
          <cell r="X4586" t="str">
            <v>EST VASO ENCAIXE HIMALAYA (VERDE OLIVA) - Ø0x0H</v>
          </cell>
          <cell r="Y4586">
            <v>0</v>
          </cell>
          <cell r="Z4586">
            <v>0.35</v>
          </cell>
          <cell r="AA4586">
            <v>0</v>
          </cell>
          <cell r="AB4586"/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1</v>
          </cell>
          <cell r="H4587">
            <v>0</v>
          </cell>
          <cell r="O4587">
            <v>383998</v>
          </cell>
          <cell r="P4587"/>
          <cell r="Q4587" t="str">
            <v>EST VASO ENCAIXE HIMALAYA (COBRE)</v>
          </cell>
          <cell r="R4587"/>
          <cell r="S4587"/>
          <cell r="T4587">
            <v>0</v>
          </cell>
          <cell r="U4587">
            <v>0</v>
          </cell>
          <cell r="V4587">
            <v>0</v>
          </cell>
          <cell r="W4587">
            <v>0</v>
          </cell>
          <cell r="X4587" t="str">
            <v>EST VASO ENCAIXE HIMALAYA (COBRE) - Ø0x0H</v>
          </cell>
          <cell r="Y4587">
            <v>0</v>
          </cell>
          <cell r="Z4587">
            <v>0.35</v>
          </cell>
          <cell r="AA4587">
            <v>0</v>
          </cell>
          <cell r="AB4587"/>
        </row>
        <row r="4588">
          <cell r="C4588">
            <v>1</v>
          </cell>
          <cell r="D4588">
            <v>0</v>
          </cell>
          <cell r="E4588">
            <v>0</v>
          </cell>
          <cell r="F4588">
            <v>0</v>
          </cell>
          <cell r="H4588">
            <v>0</v>
          </cell>
          <cell r="O4588">
            <v>97392</v>
          </cell>
          <cell r="P4588"/>
          <cell r="Q4588" t="str">
            <v>EST AC BANDEJA EXO LACA BRL V100 COURO BEGE</v>
          </cell>
          <cell r="R4588"/>
          <cell r="S4588"/>
          <cell r="T4588">
            <v>0</v>
          </cell>
          <cell r="U4588">
            <v>0</v>
          </cell>
          <cell r="V4588">
            <v>0</v>
          </cell>
          <cell r="W4588">
            <v>0</v>
          </cell>
          <cell r="X4588" t="str">
            <v>EST AC BANDEJA EXO LACA BRL V100 COURO BEGE - Ø0x0H</v>
          </cell>
          <cell r="Y4588">
            <v>0</v>
          </cell>
          <cell r="Z4588">
            <v>0.35</v>
          </cell>
          <cell r="AA4588">
            <v>0</v>
          </cell>
          <cell r="AB4588"/>
        </row>
        <row r="4589">
          <cell r="C4589">
            <v>1</v>
          </cell>
          <cell r="D4589">
            <v>0</v>
          </cell>
          <cell r="E4589">
            <v>0</v>
          </cell>
          <cell r="F4589">
            <v>0</v>
          </cell>
          <cell r="H4589">
            <v>0</v>
          </cell>
          <cell r="O4589">
            <v>113409</v>
          </cell>
          <cell r="P4589"/>
          <cell r="Q4589" t="str">
            <v>EST LUMINARIA NET CHAO (LYOTUS COLONIAL) (CUPULA BRANCA)</v>
          </cell>
          <cell r="R4589"/>
          <cell r="S4589"/>
          <cell r="T4589">
            <v>0</v>
          </cell>
          <cell r="U4589">
            <v>0</v>
          </cell>
          <cell r="V4589">
            <v>0</v>
          </cell>
          <cell r="W4589">
            <v>0</v>
          </cell>
          <cell r="X4589" t="str">
            <v>EST LUMINARIA NET CHAO (LYOTUS COLONIAL) (CUPULA BRANCA) - Ø0x0H</v>
          </cell>
          <cell r="Y4589">
            <v>0</v>
          </cell>
          <cell r="Z4589">
            <v>0.35</v>
          </cell>
          <cell r="AA4589">
            <v>0</v>
          </cell>
          <cell r="AB4589"/>
        </row>
        <row r="4590">
          <cell r="C4590">
            <v>1</v>
          </cell>
          <cell r="D4590">
            <v>1</v>
          </cell>
          <cell r="E4590">
            <v>1</v>
          </cell>
          <cell r="F4590">
            <v>1</v>
          </cell>
          <cell r="H4590">
            <v>0</v>
          </cell>
          <cell r="O4590">
            <v>402543</v>
          </cell>
          <cell r="P4590"/>
          <cell r="Q4590" t="str">
            <v>EST VASO CERAMICA (COD RO-2588-P)</v>
          </cell>
          <cell r="R4590"/>
          <cell r="S4590"/>
          <cell r="T4590">
            <v>0.2</v>
          </cell>
          <cell r="U4590">
            <v>0</v>
          </cell>
          <cell r="V4590">
            <v>0.17</v>
          </cell>
          <cell r="W4590">
            <v>0.2</v>
          </cell>
          <cell r="X4590" t="str">
            <v>EST VASO CERAMICA (COD RO-2588-P) - Ø0,2x0,17H</v>
          </cell>
          <cell r="Y4590">
            <v>0</v>
          </cell>
          <cell r="Z4590">
            <v>0.35</v>
          </cell>
          <cell r="AA4590">
            <v>0</v>
          </cell>
          <cell r="AB4590"/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1</v>
          </cell>
          <cell r="H4591">
            <v>0</v>
          </cell>
          <cell r="O4591">
            <v>402544</v>
          </cell>
          <cell r="P4591"/>
          <cell r="Q4591" t="str">
            <v>EST VASO CERAMICA (COD RO-2588-G)</v>
          </cell>
          <cell r="R4591"/>
          <cell r="S4591"/>
          <cell r="T4591">
            <v>0.2</v>
          </cell>
          <cell r="U4591">
            <v>0</v>
          </cell>
          <cell r="V4591">
            <v>0.17</v>
          </cell>
          <cell r="W4591">
            <v>0.2</v>
          </cell>
          <cell r="X4591" t="str">
            <v>EST VASO CERAMICA (COD RO-2588-G) - Ø0,2x0,17H</v>
          </cell>
          <cell r="Y4591">
            <v>0</v>
          </cell>
          <cell r="Z4591">
            <v>0.35</v>
          </cell>
          <cell r="AA4591">
            <v>0</v>
          </cell>
          <cell r="AB4591"/>
        </row>
        <row r="4592">
          <cell r="C4592">
            <v>1</v>
          </cell>
          <cell r="D4592">
            <v>1</v>
          </cell>
          <cell r="E4592">
            <v>1</v>
          </cell>
          <cell r="F4592">
            <v>1</v>
          </cell>
          <cell r="H4592">
            <v>0</v>
          </cell>
          <cell r="O4592">
            <v>402545</v>
          </cell>
          <cell r="P4592"/>
          <cell r="Q4592" t="str">
            <v>EST BAU DE MADEIRA (FIBRA NATURAL) (COD RO-24447-P)</v>
          </cell>
          <cell r="R4592"/>
          <cell r="S4592"/>
          <cell r="T4592">
            <v>0.17</v>
          </cell>
          <cell r="U4592">
            <v>0.22</v>
          </cell>
          <cell r="V4592">
            <v>0.12</v>
          </cell>
          <cell r="W4592">
            <v>0</v>
          </cell>
          <cell r="X4592" t="str">
            <v>EST BAU DE MADEIRA (FIBRA NATURAL) (COD RO-24447-P) - 0,17x0,22x0,12H</v>
          </cell>
          <cell r="Y4592">
            <v>0</v>
          </cell>
          <cell r="Z4592">
            <v>0.35</v>
          </cell>
          <cell r="AA4592">
            <v>0</v>
          </cell>
          <cell r="AB4592"/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1</v>
          </cell>
          <cell r="H4593">
            <v>0</v>
          </cell>
          <cell r="O4593">
            <v>402546</v>
          </cell>
          <cell r="P4593"/>
          <cell r="Q4593" t="str">
            <v>EST BAU DE MADEIRA (FIBRA NATURAL) (COD RO-24447-G)</v>
          </cell>
          <cell r="R4593"/>
          <cell r="S4593"/>
          <cell r="T4593">
            <v>0.3</v>
          </cell>
          <cell r="U4593">
            <v>0.2</v>
          </cell>
          <cell r="V4593">
            <v>0.15</v>
          </cell>
          <cell r="W4593">
            <v>0</v>
          </cell>
          <cell r="X4593" t="str">
            <v>EST BAU DE MADEIRA (FIBRA NATURAL) (COD RO-24447-G) - 0,3x0,2x0,15H</v>
          </cell>
          <cell r="Y4593">
            <v>0</v>
          </cell>
          <cell r="Z4593">
            <v>0.35</v>
          </cell>
          <cell r="AA4593">
            <v>0</v>
          </cell>
          <cell r="AB4593"/>
        </row>
        <row r="4594">
          <cell r="C4594">
            <v>1</v>
          </cell>
          <cell r="D4594">
            <v>1</v>
          </cell>
          <cell r="E4594">
            <v>1</v>
          </cell>
          <cell r="F4594">
            <v>1</v>
          </cell>
          <cell r="H4594">
            <v>0</v>
          </cell>
          <cell r="O4594">
            <v>402547</v>
          </cell>
          <cell r="P4594"/>
          <cell r="Q4594" t="str">
            <v>EST VASO CERAMICA (FIBRA NATURAL) (RO-2435-P)</v>
          </cell>
          <cell r="R4594"/>
          <cell r="S4594"/>
          <cell r="T4594">
            <v>0.11</v>
          </cell>
          <cell r="U4594">
            <v>0</v>
          </cell>
          <cell r="V4594">
            <v>0.3</v>
          </cell>
          <cell r="W4594">
            <v>0.11</v>
          </cell>
          <cell r="X4594" t="str">
            <v>EST VASO CERAMICA (FIBRA NATURAL) (RO-2435-P) - Ø0,11x0,3H</v>
          </cell>
          <cell r="Y4594">
            <v>0</v>
          </cell>
          <cell r="Z4594">
            <v>0.35</v>
          </cell>
          <cell r="AA4594">
            <v>0</v>
          </cell>
          <cell r="AB4594"/>
        </row>
        <row r="4595">
          <cell r="C4595">
            <v>1</v>
          </cell>
          <cell r="D4595">
            <v>1</v>
          </cell>
          <cell r="E4595">
            <v>1</v>
          </cell>
          <cell r="F4595">
            <v>1</v>
          </cell>
          <cell r="H4595">
            <v>0</v>
          </cell>
          <cell r="O4595">
            <v>402548</v>
          </cell>
          <cell r="P4595"/>
          <cell r="Q4595" t="str">
            <v>EST VASO CERAMICA (FIBRA NATURAL) (RO-2435-G)</v>
          </cell>
          <cell r="R4595"/>
          <cell r="S4595"/>
          <cell r="T4595">
            <v>0.11</v>
          </cell>
          <cell r="U4595">
            <v>0</v>
          </cell>
          <cell r="V4595">
            <v>0.4</v>
          </cell>
          <cell r="W4595">
            <v>0.11</v>
          </cell>
          <cell r="X4595" t="str">
            <v>EST VASO CERAMICA (FIBRA NATURAL) (RO-2435-G) - Ø0,11x0,4H</v>
          </cell>
          <cell r="Y4595">
            <v>0</v>
          </cell>
          <cell r="Z4595">
            <v>0.35</v>
          </cell>
          <cell r="AA4595">
            <v>0</v>
          </cell>
          <cell r="AB4595"/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1</v>
          </cell>
          <cell r="H4596">
            <v>0</v>
          </cell>
          <cell r="O4596">
            <v>402549</v>
          </cell>
          <cell r="P4596"/>
          <cell r="Q4596" t="str">
            <v>EST POTICHE CERAMICA (FIBRA NATURAL) (RO-2436-P)</v>
          </cell>
          <cell r="R4596"/>
          <cell r="S4596"/>
          <cell r="T4596">
            <v>0.22</v>
          </cell>
          <cell r="U4596">
            <v>0</v>
          </cell>
          <cell r="V4596">
            <v>0.14000000000000001</v>
          </cell>
          <cell r="W4596">
            <v>0.22</v>
          </cell>
          <cell r="X4596" t="str">
            <v>EST POTICHE CERAMICA (FIBRA NATURAL) (RO-2436-P) - Ø0,22x0,14H</v>
          </cell>
          <cell r="Y4596">
            <v>0</v>
          </cell>
          <cell r="Z4596">
            <v>0.35</v>
          </cell>
          <cell r="AA4596">
            <v>0</v>
          </cell>
          <cell r="AB4596"/>
        </row>
        <row r="4597">
          <cell r="C4597">
            <v>1</v>
          </cell>
          <cell r="D4597">
            <v>1</v>
          </cell>
          <cell r="E4597">
            <v>1</v>
          </cell>
          <cell r="F4597">
            <v>1</v>
          </cell>
          <cell r="H4597">
            <v>0</v>
          </cell>
          <cell r="O4597">
            <v>402550</v>
          </cell>
          <cell r="P4597"/>
          <cell r="Q4597" t="str">
            <v>EST POTICHE CERAMICA (FIBRA NATURAL) (RO-2436-G)</v>
          </cell>
          <cell r="R4597"/>
          <cell r="S4597"/>
          <cell r="T4597">
            <v>0.18</v>
          </cell>
          <cell r="U4597">
            <v>0</v>
          </cell>
          <cell r="V4597">
            <v>0.2</v>
          </cell>
          <cell r="W4597">
            <v>0.18</v>
          </cell>
          <cell r="X4597" t="str">
            <v>EST POTICHE CERAMICA (FIBRA NATURAL) (RO-2436-G) - Ø0,18x0,2H</v>
          </cell>
          <cell r="Y4597">
            <v>0</v>
          </cell>
          <cell r="Z4597">
            <v>0.35</v>
          </cell>
          <cell r="AA4597">
            <v>0</v>
          </cell>
          <cell r="AB4597"/>
        </row>
        <row r="4598">
          <cell r="C4598">
            <v>2</v>
          </cell>
          <cell r="D4598">
            <v>2</v>
          </cell>
          <cell r="E4598">
            <v>2</v>
          </cell>
          <cell r="F4598">
            <v>2</v>
          </cell>
          <cell r="H4598">
            <v>0</v>
          </cell>
          <cell r="O4598">
            <v>402551</v>
          </cell>
          <cell r="P4598"/>
          <cell r="Q4598" t="str">
            <v>EST CASTICAL CERAMICA (FIBRA NATURAL/VIDRO) (RO-2260)</v>
          </cell>
          <cell r="R4598"/>
          <cell r="S4598"/>
          <cell r="T4598">
            <v>0.17</v>
          </cell>
          <cell r="U4598">
            <v>0</v>
          </cell>
          <cell r="V4598">
            <v>0.19</v>
          </cell>
          <cell r="W4598">
            <v>0.17</v>
          </cell>
          <cell r="X4598" t="str">
            <v>EST CASTICAL CERAMICA (FIBRA NATURAL/VIDRO) (RO-2260) - Ø0,17x0,19H</v>
          </cell>
          <cell r="Y4598">
            <v>0</v>
          </cell>
          <cell r="Z4598">
            <v>0.35</v>
          </cell>
          <cell r="AA4598">
            <v>0</v>
          </cell>
          <cell r="AB4598"/>
        </row>
        <row r="4599">
          <cell r="C4599">
            <v>2</v>
          </cell>
          <cell r="D4599">
            <v>2</v>
          </cell>
          <cell r="E4599">
            <v>2</v>
          </cell>
          <cell r="F4599">
            <v>2</v>
          </cell>
          <cell r="H4599">
            <v>0</v>
          </cell>
          <cell r="O4599">
            <v>402552</v>
          </cell>
          <cell r="P4599"/>
          <cell r="Q4599" t="str">
            <v>EST VASO SOLITARIO CERAMICA (FIBRA NATURAL/VIDRO) (RO-2262)</v>
          </cell>
          <cell r="R4599"/>
          <cell r="S4599"/>
          <cell r="T4599">
            <v>0.14000000000000001</v>
          </cell>
          <cell r="U4599">
            <v>0</v>
          </cell>
          <cell r="V4599">
            <v>0.38</v>
          </cell>
          <cell r="W4599">
            <v>0.14000000000000001</v>
          </cell>
          <cell r="X4599" t="str">
            <v>EST VASO SOLITARIO CERAMICA (FIBRA NATURAL/VIDRO) (RO-2262) - Ø0,14x0,38H</v>
          </cell>
          <cell r="Y4599">
            <v>0</v>
          </cell>
          <cell r="Z4599">
            <v>0.35</v>
          </cell>
          <cell r="AA4599">
            <v>0</v>
          </cell>
          <cell r="AB4599"/>
        </row>
        <row r="4600">
          <cell r="C4600">
            <v>1</v>
          </cell>
          <cell r="D4600">
            <v>1</v>
          </cell>
          <cell r="E4600">
            <v>1</v>
          </cell>
          <cell r="F4600">
            <v>1</v>
          </cell>
          <cell r="H4600">
            <v>0</v>
          </cell>
          <cell r="O4600">
            <v>402554</v>
          </cell>
          <cell r="P4600"/>
          <cell r="Q4600" t="str">
            <v>EST VASO COLORS NL (GOG253)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VASO COLORS NL (GOG253) - Ø0x0H</v>
          </cell>
          <cell r="Y4600">
            <v>0</v>
          </cell>
          <cell r="Z4600">
            <v>0.35</v>
          </cell>
          <cell r="AA4600">
            <v>0</v>
          </cell>
          <cell r="AB4600"/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1</v>
          </cell>
          <cell r="H4601">
            <v>0</v>
          </cell>
          <cell r="O4601">
            <v>402556</v>
          </cell>
          <cell r="P4601"/>
          <cell r="Q4601" t="str">
            <v>EST VASO COLORS NL (GOG254)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VASO COLORS NL (GOG254) - Ø0x0H</v>
          </cell>
          <cell r="Y4601">
            <v>0</v>
          </cell>
          <cell r="Z4601">
            <v>0.35</v>
          </cell>
          <cell r="AA4601">
            <v>0</v>
          </cell>
          <cell r="AB4601"/>
        </row>
        <row r="4602">
          <cell r="C4602">
            <v>1</v>
          </cell>
          <cell r="D4602">
            <v>1</v>
          </cell>
          <cell r="E4602">
            <v>1</v>
          </cell>
          <cell r="F4602">
            <v>1</v>
          </cell>
          <cell r="H4602">
            <v>0</v>
          </cell>
          <cell r="O4602">
            <v>402557</v>
          </cell>
          <cell r="P4602"/>
          <cell r="Q4602" t="str">
            <v>EST VASO COLORS NL (GOG255)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VASO COLORS NL (GOG255) - Ø0x0H</v>
          </cell>
          <cell r="Y4602">
            <v>0</v>
          </cell>
          <cell r="Z4602">
            <v>0.35</v>
          </cell>
          <cell r="AA4602">
            <v>0</v>
          </cell>
          <cell r="AB4602"/>
        </row>
        <row r="4603">
          <cell r="C4603">
            <v>1</v>
          </cell>
          <cell r="D4603">
            <v>0</v>
          </cell>
          <cell r="E4603">
            <v>1</v>
          </cell>
          <cell r="F4603">
            <v>1</v>
          </cell>
          <cell r="H4603">
            <v>0</v>
          </cell>
          <cell r="O4603">
            <v>402558</v>
          </cell>
          <cell r="P4603"/>
          <cell r="Q4603" t="str">
            <v>EST VASO COLORS NL (GOG256)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VASO COLORS NL (GOG256) - Ø0x0H</v>
          </cell>
          <cell r="Y4603">
            <v>0</v>
          </cell>
          <cell r="Z4603">
            <v>0.35</v>
          </cell>
          <cell r="AA4603">
            <v>0</v>
          </cell>
          <cell r="AB4603"/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2</v>
          </cell>
          <cell r="H4604">
            <v>0</v>
          </cell>
          <cell r="O4604">
            <v>402559</v>
          </cell>
          <cell r="P4604"/>
          <cell r="Q4604" t="str">
            <v>EST VASO CERAMICA (PHY020)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VASO CERAMICA (PHY020) - Ø0x0H</v>
          </cell>
          <cell r="Y4604">
            <v>0</v>
          </cell>
          <cell r="Z4604">
            <v>0.35</v>
          </cell>
          <cell r="AA4604">
            <v>0</v>
          </cell>
          <cell r="AB4604"/>
        </row>
        <row r="4605">
          <cell r="C4605">
            <v>1</v>
          </cell>
          <cell r="D4605">
            <v>0</v>
          </cell>
          <cell r="E4605">
            <v>0</v>
          </cell>
          <cell r="F4605">
            <v>2</v>
          </cell>
          <cell r="H4605">
            <v>0</v>
          </cell>
          <cell r="O4605">
            <v>402560</v>
          </cell>
          <cell r="P4605"/>
          <cell r="Q4605" t="str">
            <v>EST VASO CERAMICA (PHY023)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VASO CERAMICA (PHY023) - Ø0x0H</v>
          </cell>
          <cell r="Y4605">
            <v>0</v>
          </cell>
          <cell r="Z4605">
            <v>0.35</v>
          </cell>
          <cell r="AA4605">
            <v>0</v>
          </cell>
          <cell r="AB4605"/>
        </row>
        <row r="4606">
          <cell r="C4606">
            <v>1</v>
          </cell>
          <cell r="D4606">
            <v>1</v>
          </cell>
          <cell r="E4606">
            <v>1</v>
          </cell>
          <cell r="F4606">
            <v>1</v>
          </cell>
          <cell r="H4606">
            <v>0</v>
          </cell>
          <cell r="O4606">
            <v>402561</v>
          </cell>
          <cell r="P4606"/>
          <cell r="Q4606" t="str">
            <v>EST PRATO CERAMICA LUXOR (QMC119)</v>
          </cell>
          <cell r="R4606"/>
          <cell r="S4606"/>
          <cell r="T4606">
            <v>0</v>
          </cell>
          <cell r="U4606">
            <v>0</v>
          </cell>
          <cell r="V4606">
            <v>0</v>
          </cell>
          <cell r="W4606">
            <v>0</v>
          </cell>
          <cell r="X4606" t="str">
            <v>EST PRATO CERAMICA LUXOR (QMC119) - Ø0x0H</v>
          </cell>
          <cell r="Y4606">
            <v>0</v>
          </cell>
          <cell r="Z4606">
            <v>0.35</v>
          </cell>
          <cell r="AA4606">
            <v>0</v>
          </cell>
          <cell r="AB4606"/>
        </row>
        <row r="4607">
          <cell r="C4607">
            <v>1</v>
          </cell>
          <cell r="D4607">
            <v>1</v>
          </cell>
          <cell r="E4607">
            <v>1</v>
          </cell>
          <cell r="F4607">
            <v>1</v>
          </cell>
          <cell r="H4607">
            <v>0</v>
          </cell>
          <cell r="O4607">
            <v>402562</v>
          </cell>
          <cell r="P4607"/>
          <cell r="Q4607" t="str">
            <v>EST VASO CERAMICA POTTERY CORNER (QMC157)</v>
          </cell>
          <cell r="R4607"/>
          <cell r="S4607"/>
          <cell r="T4607">
            <v>0</v>
          </cell>
          <cell r="U4607">
            <v>0</v>
          </cell>
          <cell r="V4607">
            <v>0</v>
          </cell>
          <cell r="W4607">
            <v>0</v>
          </cell>
          <cell r="X4607" t="str">
            <v>EST VASO CERAMICA POTTERY CORNER (QMC157) - Ø0x0H</v>
          </cell>
          <cell r="Y4607">
            <v>0</v>
          </cell>
          <cell r="Z4607">
            <v>0.35</v>
          </cell>
          <cell r="AA4607">
            <v>0</v>
          </cell>
          <cell r="AB4607"/>
        </row>
        <row r="4608">
          <cell r="C4608">
            <v>1</v>
          </cell>
          <cell r="D4608">
            <v>1</v>
          </cell>
          <cell r="E4608">
            <v>1</v>
          </cell>
          <cell r="F4608">
            <v>1</v>
          </cell>
          <cell r="H4608">
            <v>0</v>
          </cell>
          <cell r="O4608">
            <v>402563</v>
          </cell>
          <cell r="P4608"/>
          <cell r="Q4608" t="str">
            <v>EST VASO CERAMICA POTTERY CORNER (QMC158)</v>
          </cell>
          <cell r="R4608"/>
          <cell r="S4608"/>
          <cell r="T4608">
            <v>0</v>
          </cell>
          <cell r="U4608">
            <v>0</v>
          </cell>
          <cell r="V4608">
            <v>0</v>
          </cell>
          <cell r="W4608">
            <v>0</v>
          </cell>
          <cell r="X4608" t="str">
            <v>EST VASO CERAMICA POTTERY CORNER (QMC158) - Ø0x0H</v>
          </cell>
          <cell r="Y4608">
            <v>0</v>
          </cell>
          <cell r="Z4608">
            <v>0.35</v>
          </cell>
          <cell r="AA4608">
            <v>0</v>
          </cell>
          <cell r="AB4608"/>
        </row>
        <row r="4609">
          <cell r="C4609">
            <v>1</v>
          </cell>
          <cell r="D4609">
            <v>1</v>
          </cell>
          <cell r="E4609">
            <v>1</v>
          </cell>
          <cell r="F4609">
            <v>1</v>
          </cell>
          <cell r="H4609">
            <v>0</v>
          </cell>
          <cell r="O4609">
            <v>402564</v>
          </cell>
          <cell r="P4609"/>
          <cell r="Q4609" t="str">
            <v>EST VASO CERAMICA POTTERY CORNER (QMC159)</v>
          </cell>
          <cell r="R4609"/>
          <cell r="S4609"/>
          <cell r="T4609">
            <v>0</v>
          </cell>
          <cell r="U4609">
            <v>0</v>
          </cell>
          <cell r="V4609">
            <v>0</v>
          </cell>
          <cell r="W4609">
            <v>0</v>
          </cell>
          <cell r="X4609" t="str">
            <v>EST VASO CERAMICA POTTERY CORNER (QMC159) - Ø0x0H</v>
          </cell>
          <cell r="Y4609">
            <v>0</v>
          </cell>
          <cell r="Z4609">
            <v>0.35</v>
          </cell>
          <cell r="AA4609">
            <v>0</v>
          </cell>
          <cell r="AB4609"/>
        </row>
        <row r="4610">
          <cell r="C4610">
            <v>1</v>
          </cell>
          <cell r="D4610">
            <v>1</v>
          </cell>
          <cell r="E4610">
            <v>1</v>
          </cell>
          <cell r="F4610">
            <v>1</v>
          </cell>
          <cell r="H4610">
            <v>0</v>
          </cell>
          <cell r="O4610">
            <v>402565</v>
          </cell>
          <cell r="P4610"/>
          <cell r="Q4610" t="str">
            <v>EST KIT 4 CANECAS CERAMICA (QMC210)</v>
          </cell>
          <cell r="R4610"/>
          <cell r="S4610"/>
          <cell r="T4610">
            <v>0</v>
          </cell>
          <cell r="U4610">
            <v>0</v>
          </cell>
          <cell r="V4610">
            <v>0</v>
          </cell>
          <cell r="W4610">
            <v>0</v>
          </cell>
          <cell r="X4610" t="str">
            <v>EST KIT 4 CANECAS CERAMICA (QMC210) - Ø0x0H</v>
          </cell>
          <cell r="Y4610">
            <v>0</v>
          </cell>
          <cell r="Z4610">
            <v>0.35</v>
          </cell>
          <cell r="AA4610">
            <v>0</v>
          </cell>
          <cell r="AB4610"/>
        </row>
        <row r="4611">
          <cell r="C4611">
            <v>1</v>
          </cell>
          <cell r="D4611">
            <v>1</v>
          </cell>
          <cell r="E4611">
            <v>1</v>
          </cell>
          <cell r="F4611">
            <v>1</v>
          </cell>
          <cell r="H4611">
            <v>0</v>
          </cell>
          <cell r="O4611">
            <v>402566</v>
          </cell>
          <cell r="P4611"/>
          <cell r="Q4611" t="str">
            <v>EST JARRA CERAMICA DECORATI (QMC211)</v>
          </cell>
          <cell r="R4611"/>
          <cell r="S4611"/>
          <cell r="T4611">
            <v>0</v>
          </cell>
          <cell r="U4611">
            <v>0</v>
          </cell>
          <cell r="V4611">
            <v>0</v>
          </cell>
          <cell r="W4611">
            <v>0</v>
          </cell>
          <cell r="X4611" t="str">
            <v>EST JARRA CERAMICA DECORATI (QMC211) - Ø0x0H</v>
          </cell>
          <cell r="Y4611">
            <v>0</v>
          </cell>
          <cell r="Z4611">
            <v>0.35</v>
          </cell>
          <cell r="AA4611">
            <v>0</v>
          </cell>
          <cell r="AB4611"/>
        </row>
        <row r="4612">
          <cell r="C4612">
            <v>1</v>
          </cell>
          <cell r="D4612">
            <v>1</v>
          </cell>
          <cell r="E4612">
            <v>1</v>
          </cell>
          <cell r="F4612">
            <v>1</v>
          </cell>
          <cell r="H4612">
            <v>0</v>
          </cell>
          <cell r="O4612">
            <v>402567</v>
          </cell>
          <cell r="P4612"/>
          <cell r="Q4612" t="str">
            <v>EST KIT 4 CANECAS CERAMICA ART POTTERY (QMC219)</v>
          </cell>
          <cell r="R4612"/>
          <cell r="S4612"/>
          <cell r="T4612">
            <v>0</v>
          </cell>
          <cell r="U4612">
            <v>0</v>
          </cell>
          <cell r="V4612">
            <v>0</v>
          </cell>
          <cell r="W4612">
            <v>0</v>
          </cell>
          <cell r="X4612" t="str">
            <v>EST KIT 4 CANECAS CERAMICA ART POTTERY (QMC219) - Ø0x0H</v>
          </cell>
          <cell r="Y4612">
            <v>0</v>
          </cell>
          <cell r="Z4612">
            <v>0.35</v>
          </cell>
          <cell r="AA4612">
            <v>0</v>
          </cell>
          <cell r="AB4612"/>
        </row>
        <row r="4613">
          <cell r="C4613">
            <v>1</v>
          </cell>
          <cell r="D4613">
            <v>1</v>
          </cell>
          <cell r="E4613">
            <v>1</v>
          </cell>
          <cell r="F4613">
            <v>1</v>
          </cell>
          <cell r="H4613">
            <v>0</v>
          </cell>
          <cell r="O4613">
            <v>402568</v>
          </cell>
          <cell r="P4613"/>
          <cell r="Q4613" t="str">
            <v>EST JARRA CERAMICA ART POTTERY (QMC220)</v>
          </cell>
          <cell r="R4613"/>
          <cell r="S4613"/>
          <cell r="T4613">
            <v>0</v>
          </cell>
          <cell r="U4613">
            <v>0</v>
          </cell>
          <cell r="V4613">
            <v>0</v>
          </cell>
          <cell r="W4613">
            <v>0</v>
          </cell>
          <cell r="X4613" t="str">
            <v>EST JARRA CERAMICA ART POTTERY (QMC220) - Ø0x0H</v>
          </cell>
          <cell r="Y4613">
            <v>0</v>
          </cell>
          <cell r="Z4613">
            <v>0.35</v>
          </cell>
          <cell r="AA4613">
            <v>0</v>
          </cell>
          <cell r="AB4613"/>
        </row>
        <row r="4614">
          <cell r="C4614">
            <v>0</v>
          </cell>
          <cell r="D4614">
            <v>0</v>
          </cell>
          <cell r="E4614">
            <v>1</v>
          </cell>
          <cell r="F4614">
            <v>1</v>
          </cell>
          <cell r="H4614">
            <v>0</v>
          </cell>
          <cell r="O4614">
            <v>402569</v>
          </cell>
          <cell r="P4614"/>
          <cell r="Q4614" t="str">
            <v>EST CENTRO MESA CERAMICA (QMC300)</v>
          </cell>
          <cell r="R4614"/>
          <cell r="S4614"/>
          <cell r="T4614">
            <v>0</v>
          </cell>
          <cell r="U4614">
            <v>0</v>
          </cell>
          <cell r="V4614">
            <v>0</v>
          </cell>
          <cell r="W4614">
            <v>0</v>
          </cell>
          <cell r="X4614" t="str">
            <v>EST CENTRO MESA CERAMICA (QMC300) - Ø0x0H</v>
          </cell>
          <cell r="Y4614">
            <v>0</v>
          </cell>
          <cell r="Z4614">
            <v>0.35</v>
          </cell>
          <cell r="AA4614">
            <v>0</v>
          </cell>
          <cell r="AB4614"/>
        </row>
        <row r="4615">
          <cell r="C4615">
            <v>0</v>
          </cell>
          <cell r="D4615">
            <v>0</v>
          </cell>
          <cell r="E4615">
            <v>1</v>
          </cell>
          <cell r="F4615">
            <v>1</v>
          </cell>
          <cell r="H4615">
            <v>0</v>
          </cell>
          <cell r="O4615">
            <v>402570</v>
          </cell>
          <cell r="P4615"/>
          <cell r="Q4615" t="str">
            <v>EST CENTRO MESA CERAMICA (QMC301)</v>
          </cell>
          <cell r="R4615"/>
          <cell r="S4615"/>
          <cell r="T4615">
            <v>0</v>
          </cell>
          <cell r="U4615">
            <v>0</v>
          </cell>
          <cell r="V4615">
            <v>0</v>
          </cell>
          <cell r="W4615">
            <v>0</v>
          </cell>
          <cell r="X4615" t="str">
            <v>EST CENTRO MESA CERAMICA (QMC301) - Ø0x0H</v>
          </cell>
          <cell r="Y4615">
            <v>0</v>
          </cell>
          <cell r="Z4615">
            <v>0.35</v>
          </cell>
          <cell r="AA4615">
            <v>0</v>
          </cell>
          <cell r="AB4615"/>
        </row>
        <row r="4616">
          <cell r="C4616">
            <v>1</v>
          </cell>
          <cell r="D4616">
            <v>1</v>
          </cell>
          <cell r="E4616">
            <v>1</v>
          </cell>
          <cell r="F4616">
            <v>1</v>
          </cell>
          <cell r="H4616">
            <v>0</v>
          </cell>
          <cell r="O4616">
            <v>402571</v>
          </cell>
          <cell r="P4616"/>
          <cell r="Q4616" t="str">
            <v>EST CENTRO MESA CERAMICA (QMC338)</v>
          </cell>
          <cell r="R4616"/>
          <cell r="S4616"/>
          <cell r="T4616">
            <v>0</v>
          </cell>
          <cell r="U4616">
            <v>0</v>
          </cell>
          <cell r="V4616">
            <v>0</v>
          </cell>
          <cell r="W4616">
            <v>0</v>
          </cell>
          <cell r="X4616" t="str">
            <v>EST CENTRO MESA CERAMICA (QMC338) - Ø0x0H</v>
          </cell>
          <cell r="Y4616">
            <v>0</v>
          </cell>
          <cell r="Z4616">
            <v>0.35</v>
          </cell>
          <cell r="AA4616">
            <v>0</v>
          </cell>
          <cell r="AB4616"/>
        </row>
        <row r="4617">
          <cell r="C4617">
            <v>1</v>
          </cell>
          <cell r="D4617">
            <v>1</v>
          </cell>
          <cell r="E4617">
            <v>1</v>
          </cell>
          <cell r="F4617">
            <v>1</v>
          </cell>
          <cell r="H4617">
            <v>0</v>
          </cell>
          <cell r="O4617">
            <v>402572</v>
          </cell>
          <cell r="P4617"/>
          <cell r="Q4617" t="str">
            <v>EST VASO CERAMICA (QMC379)</v>
          </cell>
          <cell r="R4617"/>
          <cell r="S4617"/>
          <cell r="T4617">
            <v>0</v>
          </cell>
          <cell r="U4617">
            <v>0</v>
          </cell>
          <cell r="V4617">
            <v>0</v>
          </cell>
          <cell r="W4617">
            <v>0</v>
          </cell>
          <cell r="X4617" t="str">
            <v>EST VASO CERAMICA (QMC379) - Ø0x0H</v>
          </cell>
          <cell r="Y4617">
            <v>0</v>
          </cell>
          <cell r="Z4617">
            <v>0.35</v>
          </cell>
          <cell r="AA4617">
            <v>0</v>
          </cell>
          <cell r="AB4617"/>
        </row>
        <row r="4618">
          <cell r="C4618">
            <v>1</v>
          </cell>
          <cell r="D4618">
            <v>1</v>
          </cell>
          <cell r="E4618">
            <v>0</v>
          </cell>
          <cell r="F4618">
            <v>1</v>
          </cell>
          <cell r="H4618">
            <v>0</v>
          </cell>
          <cell r="O4618">
            <v>402573</v>
          </cell>
          <cell r="P4618"/>
          <cell r="Q4618" t="str">
            <v>EST VASO CERAMICA (QMC380)</v>
          </cell>
          <cell r="R4618"/>
          <cell r="S4618"/>
          <cell r="T4618">
            <v>0</v>
          </cell>
          <cell r="U4618">
            <v>0</v>
          </cell>
          <cell r="V4618">
            <v>0</v>
          </cell>
          <cell r="W4618">
            <v>0</v>
          </cell>
          <cell r="X4618" t="str">
            <v>EST VASO CERAMICA (QMC380) - Ø0x0H</v>
          </cell>
          <cell r="Y4618">
            <v>0</v>
          </cell>
          <cell r="Z4618">
            <v>0.35</v>
          </cell>
          <cell r="AA4618">
            <v>0</v>
          </cell>
          <cell r="AB4618"/>
        </row>
        <row r="4619">
          <cell r="C4619">
            <v>1</v>
          </cell>
          <cell r="D4619">
            <v>1</v>
          </cell>
          <cell r="E4619">
            <v>1</v>
          </cell>
          <cell r="F4619">
            <v>1</v>
          </cell>
          <cell r="H4619">
            <v>0</v>
          </cell>
          <cell r="O4619">
            <v>402574</v>
          </cell>
          <cell r="P4619"/>
          <cell r="Q4619" t="str">
            <v>EST VASO CERAMICA (QMC381)</v>
          </cell>
          <cell r="R4619"/>
          <cell r="S4619"/>
          <cell r="T4619">
            <v>0</v>
          </cell>
          <cell r="U4619">
            <v>0</v>
          </cell>
          <cell r="V4619">
            <v>0</v>
          </cell>
          <cell r="W4619">
            <v>0</v>
          </cell>
          <cell r="X4619" t="str">
            <v>EST VASO CERAMICA (QMC381) - Ø0x0H</v>
          </cell>
          <cell r="Y4619">
            <v>0</v>
          </cell>
          <cell r="Z4619">
            <v>0.35</v>
          </cell>
          <cell r="AA4619">
            <v>0</v>
          </cell>
          <cell r="AB4619"/>
        </row>
        <row r="4620">
          <cell r="C4620">
            <v>1</v>
          </cell>
          <cell r="D4620">
            <v>1</v>
          </cell>
          <cell r="E4620">
            <v>1</v>
          </cell>
          <cell r="F4620">
            <v>1</v>
          </cell>
          <cell r="H4620">
            <v>0</v>
          </cell>
          <cell r="O4620">
            <v>402575</v>
          </cell>
          <cell r="P4620"/>
          <cell r="Q4620" t="str">
            <v>EST VASO CERAMICA (QMC382)</v>
          </cell>
          <cell r="R4620"/>
          <cell r="S4620"/>
          <cell r="T4620">
            <v>0</v>
          </cell>
          <cell r="U4620">
            <v>0</v>
          </cell>
          <cell r="V4620">
            <v>0</v>
          </cell>
          <cell r="W4620">
            <v>0</v>
          </cell>
          <cell r="X4620" t="str">
            <v>EST VASO CERAMICA (QMC382) - Ø0x0H</v>
          </cell>
          <cell r="Y4620">
            <v>0</v>
          </cell>
          <cell r="Z4620">
            <v>0.35</v>
          </cell>
          <cell r="AA4620">
            <v>0</v>
          </cell>
          <cell r="AB4620"/>
        </row>
        <row r="4621">
          <cell r="C4621">
            <v>1</v>
          </cell>
          <cell r="D4621">
            <v>1</v>
          </cell>
          <cell r="E4621">
            <v>1</v>
          </cell>
          <cell r="F4621">
            <v>1</v>
          </cell>
          <cell r="H4621">
            <v>0</v>
          </cell>
          <cell r="O4621">
            <v>402576</v>
          </cell>
          <cell r="P4621"/>
          <cell r="Q4621" t="str">
            <v>EST VASO CERAMICA (QMC383)</v>
          </cell>
          <cell r="R4621"/>
          <cell r="S4621"/>
          <cell r="T4621">
            <v>0</v>
          </cell>
          <cell r="U4621">
            <v>0</v>
          </cell>
          <cell r="V4621">
            <v>0</v>
          </cell>
          <cell r="W4621">
            <v>0</v>
          </cell>
          <cell r="X4621" t="str">
            <v>EST VASO CERAMICA (QMC383) - Ø0x0H</v>
          </cell>
          <cell r="Y4621">
            <v>0</v>
          </cell>
          <cell r="Z4621">
            <v>0.35</v>
          </cell>
          <cell r="AA4621">
            <v>0</v>
          </cell>
          <cell r="AB4621"/>
        </row>
        <row r="4622">
          <cell r="C4622">
            <v>1</v>
          </cell>
          <cell r="D4622">
            <v>1</v>
          </cell>
          <cell r="E4622">
            <v>1</v>
          </cell>
          <cell r="F4622">
            <v>1</v>
          </cell>
          <cell r="H4622">
            <v>0</v>
          </cell>
          <cell r="O4622">
            <v>402577</v>
          </cell>
          <cell r="P4622"/>
          <cell r="Q4622" t="str">
            <v>EST VASO CERAMICA (QMC384)</v>
          </cell>
          <cell r="R4622"/>
          <cell r="S4622"/>
          <cell r="T4622">
            <v>0</v>
          </cell>
          <cell r="U4622">
            <v>0</v>
          </cell>
          <cell r="V4622">
            <v>0</v>
          </cell>
          <cell r="W4622">
            <v>0</v>
          </cell>
          <cell r="X4622" t="str">
            <v>EST VASO CERAMICA (QMC384) - Ø0x0H</v>
          </cell>
          <cell r="Y4622">
            <v>0</v>
          </cell>
          <cell r="Z4622">
            <v>0.35</v>
          </cell>
          <cell r="AA4622">
            <v>0</v>
          </cell>
          <cell r="AB4622"/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238167</v>
          </cell>
          <cell r="P4623" t="str">
            <v>2019/211-0036-01</v>
          </cell>
          <cell r="Q4623" t="str">
            <v>EST MESA CENTRO ARGOLA (B) (TP CAMEL) (CUMARU) INOX ENV</v>
          </cell>
          <cell r="R4623"/>
          <cell r="S4623"/>
          <cell r="T4623">
            <v>1</v>
          </cell>
          <cell r="U4623">
            <v>0</v>
          </cell>
          <cell r="V4623">
            <v>0.35</v>
          </cell>
          <cell r="W4623">
            <v>1</v>
          </cell>
          <cell r="X4623" t="str">
            <v>EST MESA CENTRO ARGOLA (B) (TP CAMEL) (CUMARU) INOX ENV - Ø1x0,35H</v>
          </cell>
          <cell r="Y4623">
            <v>24626.92</v>
          </cell>
          <cell r="Z4623">
            <v>0.35</v>
          </cell>
          <cell r="AA4623">
            <v>16007.498</v>
          </cell>
          <cell r="AB4623"/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335090</v>
          </cell>
          <cell r="P4624" t="str">
            <v>2022/244-0027-01</v>
          </cell>
          <cell r="Q4624" t="str">
            <v>EST MESA CENTRO ARGOLA (C) (CORTEN) (MAD A CINAM NOG)</v>
          </cell>
          <cell r="R4624"/>
          <cell r="S4624"/>
          <cell r="T4624">
            <v>0.6</v>
          </cell>
          <cell r="U4624">
            <v>0</v>
          </cell>
          <cell r="V4624">
            <v>0.45</v>
          </cell>
          <cell r="W4624">
            <v>0.6</v>
          </cell>
          <cell r="X4624" t="str">
            <v>EST MESA CENTRO ARGOLA (C) (CORTEN) (MAD A CINAM NOG) - Ø0,6x0,45H</v>
          </cell>
          <cell r="Y4624">
            <v>12941.33</v>
          </cell>
          <cell r="Z4624">
            <v>0.5</v>
          </cell>
          <cell r="AA4624">
            <v>6470.665</v>
          </cell>
          <cell r="AB4624"/>
        </row>
        <row r="4625">
          <cell r="C4625" t="e">
            <v>#N/A</v>
          </cell>
          <cell r="D4625" t="e">
            <v>#N/A</v>
          </cell>
          <cell r="E4625" t="e">
            <v>#N/A</v>
          </cell>
          <cell r="F4625" t="e">
            <v>#N/A</v>
          </cell>
          <cell r="H4625" t="e">
            <v>#N/A</v>
          </cell>
          <cell r="O4625">
            <v>335337</v>
          </cell>
          <cell r="P4625" t="str">
            <v>2022/244-0033-01</v>
          </cell>
          <cell r="Q4625" t="e">
            <v>#N/A</v>
          </cell>
          <cell r="R4625"/>
          <cell r="S4625"/>
          <cell r="T4625" t="e">
            <v>#N/A</v>
          </cell>
          <cell r="U4625" t="e">
            <v>#N/A</v>
          </cell>
          <cell r="V4625" t="e">
            <v>#N/A</v>
          </cell>
          <cell r="W4625" t="e">
            <v>#N/A</v>
          </cell>
          <cell r="X4625" t="e">
            <v>#N/A</v>
          </cell>
          <cell r="Y4625">
            <v>38652.19</v>
          </cell>
          <cell r="Z4625">
            <v>0.5</v>
          </cell>
          <cell r="AA4625">
            <v>19326.095000000001</v>
          </cell>
          <cell r="AB4625"/>
        </row>
        <row r="4626">
          <cell r="C4626" t="e">
            <v>#N/A</v>
          </cell>
          <cell r="D4626" t="e">
            <v>#N/A</v>
          </cell>
          <cell r="E4626" t="e">
            <v>#N/A</v>
          </cell>
          <cell r="F4626" t="e">
            <v>#N/A</v>
          </cell>
          <cell r="H4626" t="e">
            <v>#N/A</v>
          </cell>
          <cell r="O4626">
            <v>335337</v>
          </cell>
          <cell r="P4626" t="str">
            <v>2022/244-0034-01</v>
          </cell>
          <cell r="Q4626" t="e">
            <v>#N/A</v>
          </cell>
          <cell r="R4626"/>
          <cell r="S4626"/>
          <cell r="T4626" t="e">
            <v>#N/A</v>
          </cell>
          <cell r="U4626" t="e">
            <v>#N/A</v>
          </cell>
          <cell r="V4626" t="e">
            <v>#N/A</v>
          </cell>
          <cell r="W4626" t="e">
            <v>#N/A</v>
          </cell>
          <cell r="X4626" t="e">
            <v>#N/A</v>
          </cell>
          <cell r="Y4626">
            <v>38652.19</v>
          </cell>
          <cell r="Z4626">
            <v>0.5</v>
          </cell>
          <cell r="AA4626">
            <v>19326.095000000001</v>
          </cell>
          <cell r="AB4626"/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63081</v>
          </cell>
          <cell r="P4627"/>
          <cell r="Q4627" t="str">
            <v>EST BANCO ZANINE X (EBANIZADO) TC SINTETICO PRETO</v>
          </cell>
          <cell r="R4627"/>
          <cell r="S4627"/>
          <cell r="T4627">
            <v>0.46</v>
          </cell>
          <cell r="U4627">
            <v>0.46</v>
          </cell>
          <cell r="V4627">
            <v>0.45</v>
          </cell>
          <cell r="W4627">
            <v>0</v>
          </cell>
          <cell r="X4627" t="str">
            <v>EST BANCO ZANINE X (EBANIZADO) TC SINTETICO PRETO - 0,46x0,46x0,45H</v>
          </cell>
          <cell r="Y4627">
            <v>0</v>
          </cell>
          <cell r="Z4627">
            <v>0.35</v>
          </cell>
          <cell r="AA4627">
            <v>0</v>
          </cell>
          <cell r="AB4627"/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0</v>
          </cell>
          <cell r="O4628">
            <v>65961</v>
          </cell>
          <cell r="P4628"/>
          <cell r="Q4628" t="str">
            <v>EST LUMINARIA TCHEKO (LATAO CROMADO)</v>
          </cell>
          <cell r="R4628"/>
          <cell r="S4628"/>
          <cell r="T4628">
            <v>0.4</v>
          </cell>
          <cell r="U4628">
            <v>0.4</v>
          </cell>
          <cell r="V4628">
            <v>0.9</v>
          </cell>
          <cell r="W4628">
            <v>0</v>
          </cell>
          <cell r="X4628" t="str">
            <v>EST LUMINARIA TCHEKO (LATAO CROMADO) - 0,4x0,4x0,9H</v>
          </cell>
          <cell r="Y4628">
            <v>0</v>
          </cell>
          <cell r="Z4628">
            <v>0.35</v>
          </cell>
          <cell r="AA4628">
            <v>0</v>
          </cell>
          <cell r="AB4628"/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0</v>
          </cell>
          <cell r="O4629">
            <v>68196</v>
          </cell>
          <cell r="P4629"/>
          <cell r="Q4629" t="str">
            <v>EST CADEIRA BOSSA PALHA (LACA LARANJA) TELA BRONZE</v>
          </cell>
          <cell r="R4629"/>
          <cell r="S4629"/>
          <cell r="T4629">
            <v>0.5</v>
          </cell>
          <cell r="U4629">
            <v>0.57999999999999996</v>
          </cell>
          <cell r="V4629">
            <v>0.88</v>
          </cell>
          <cell r="W4629">
            <v>0</v>
          </cell>
          <cell r="X4629" t="str">
            <v>EST CADEIRA BOSSA PALHA (LACA LARANJA) TELA BRONZE - 0,5x0,58x0,88H</v>
          </cell>
          <cell r="Y4629">
            <v>6035.72</v>
          </cell>
          <cell r="Z4629">
            <v>0.5</v>
          </cell>
          <cell r="AA4629">
            <v>3017.86</v>
          </cell>
          <cell r="AB4629"/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78387</v>
          </cell>
          <cell r="P4630"/>
          <cell r="Q4630" t="str">
            <v>EST POLTRONA JIMI (MAD A COR 01) TC 9115 COR 7</v>
          </cell>
          <cell r="R4630"/>
          <cell r="S4630"/>
          <cell r="T4630">
            <v>0.71</v>
          </cell>
          <cell r="U4630">
            <v>0.8</v>
          </cell>
          <cell r="V4630">
            <v>0.75</v>
          </cell>
          <cell r="W4630">
            <v>0</v>
          </cell>
          <cell r="X4630" t="str">
            <v>EST POLTRONA JIMI (MAD A COR 01) TC 9115 COR 7 - 0,71x0,8x0,75H</v>
          </cell>
          <cell r="Y4630">
            <v>0</v>
          </cell>
          <cell r="Z4630">
            <v>0.35</v>
          </cell>
          <cell r="AA4630">
            <v>0</v>
          </cell>
          <cell r="AB4630"/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0</v>
          </cell>
          <cell r="O4631">
            <v>80210</v>
          </cell>
          <cell r="P4631"/>
          <cell r="Q4631" t="str">
            <v>EST MESA CENTRO ARIMELLO (MAD IMBUIA STAIN) LAM IMBUIA STAIN</v>
          </cell>
          <cell r="R4631"/>
          <cell r="S4631"/>
          <cell r="T4631">
            <v>1.47</v>
          </cell>
          <cell r="U4631">
            <v>0.6</v>
          </cell>
          <cell r="V4631">
            <v>0.44</v>
          </cell>
          <cell r="W4631">
            <v>0</v>
          </cell>
          <cell r="X4631" t="str">
            <v>EST MESA CENTRO ARIMELLO (MAD IMBUIA STAIN) LAM IMBUIA STAIN - 1,47x0,6x0,44H</v>
          </cell>
          <cell r="Y4631">
            <v>0</v>
          </cell>
          <cell r="Z4631">
            <v>0.35</v>
          </cell>
          <cell r="AA4631">
            <v>0</v>
          </cell>
          <cell r="AB4631"/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0</v>
          </cell>
          <cell r="O4632">
            <v>80355</v>
          </cell>
          <cell r="P4632"/>
          <cell r="Q4632" t="str">
            <v>EST CADEIRA BOSSA PALHA (IMBUIA MEL) TELA NATURAL</v>
          </cell>
          <cell r="R4632"/>
          <cell r="S4632"/>
          <cell r="T4632">
            <v>0.5</v>
          </cell>
          <cell r="U4632">
            <v>0.57999999999999996</v>
          </cell>
          <cell r="V4632">
            <v>0.88</v>
          </cell>
          <cell r="W4632">
            <v>0</v>
          </cell>
          <cell r="X4632" t="str">
            <v>EST CADEIRA BOSSA PALHA (IMBUIA MEL) TELA NATURAL - 0,5x0,58x0,88H</v>
          </cell>
          <cell r="Y4632">
            <v>6320.43</v>
          </cell>
          <cell r="Z4632">
            <v>0.5</v>
          </cell>
          <cell r="AA4632">
            <v>3160.2150000000001</v>
          </cell>
          <cell r="AB4632"/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88909</v>
          </cell>
          <cell r="P4633"/>
          <cell r="Q4633" t="str">
            <v>EST BANCO PHILLIPS (LACA BRANCA)</v>
          </cell>
          <cell r="R4633"/>
          <cell r="S4633"/>
          <cell r="T4633">
            <v>0.35</v>
          </cell>
          <cell r="U4633">
            <v>0</v>
          </cell>
          <cell r="V4633">
            <v>0.45</v>
          </cell>
          <cell r="W4633">
            <v>0.35</v>
          </cell>
          <cell r="X4633" t="str">
            <v>EST BANCO PHILLIPS (LACA BRANCA) - Ø0,35x0,45H</v>
          </cell>
          <cell r="Y4633">
            <v>7614.34</v>
          </cell>
          <cell r="Z4633">
            <v>0.5</v>
          </cell>
          <cell r="AA4633">
            <v>3807.17</v>
          </cell>
          <cell r="AB4633"/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2</v>
          </cell>
          <cell r="O4634">
            <v>94291</v>
          </cell>
          <cell r="P4634" t="str">
            <v>1012/307-3978-01</v>
          </cell>
          <cell r="Q4634" t="str">
            <v>EST MESA LATERAL BO (PINNUS NATURAL)</v>
          </cell>
          <cell r="R4634"/>
          <cell r="S4634"/>
          <cell r="T4634">
            <v>1</v>
          </cell>
          <cell r="U4634">
            <v>0</v>
          </cell>
          <cell r="V4634">
            <v>0.63</v>
          </cell>
          <cell r="W4634">
            <v>1</v>
          </cell>
          <cell r="X4634" t="str">
            <v>EST MESA LATERAL BO (PINNUS NATURAL) - Ø1x0,63H</v>
          </cell>
          <cell r="Y4634">
            <v>11050</v>
          </cell>
          <cell r="Z4634">
            <v>0</v>
          </cell>
          <cell r="AA4634">
            <v>11050</v>
          </cell>
          <cell r="AB4634"/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2</v>
          </cell>
          <cell r="O4635">
            <v>94291</v>
          </cell>
          <cell r="P4635"/>
          <cell r="Q4635" t="str">
            <v>EST MESA LATERAL BO (PINNUS NATURAL)</v>
          </cell>
          <cell r="R4635"/>
          <cell r="S4635"/>
          <cell r="T4635">
            <v>1</v>
          </cell>
          <cell r="U4635">
            <v>0</v>
          </cell>
          <cell r="V4635">
            <v>0.63</v>
          </cell>
          <cell r="W4635">
            <v>1</v>
          </cell>
          <cell r="X4635" t="str">
            <v>EST MESA LATERAL BO (PINNUS NATURAL) - Ø1x0,63H</v>
          </cell>
          <cell r="Y4635">
            <v>0</v>
          </cell>
          <cell r="Z4635">
            <v>0.35</v>
          </cell>
          <cell r="AA4635">
            <v>0</v>
          </cell>
          <cell r="AB4635"/>
        </row>
        <row r="4636">
          <cell r="C4636" t="e">
            <v>#N/A</v>
          </cell>
          <cell r="D4636" t="e">
            <v>#N/A</v>
          </cell>
          <cell r="E4636" t="e">
            <v>#N/A</v>
          </cell>
          <cell r="F4636" t="e">
            <v>#N/A</v>
          </cell>
          <cell r="H4636" t="e">
            <v>#N/A</v>
          </cell>
          <cell r="O4636">
            <v>112452</v>
          </cell>
          <cell r="P4636" t="str">
            <v>1012/307-9793-01</v>
          </cell>
          <cell r="Q4636" t="e">
            <v>#N/A</v>
          </cell>
          <cell r="R4636"/>
          <cell r="S4636"/>
          <cell r="T4636" t="e">
            <v>#N/A</v>
          </cell>
          <cell r="U4636" t="e">
            <v>#N/A</v>
          </cell>
          <cell r="V4636" t="e">
            <v>#N/A</v>
          </cell>
          <cell r="W4636" t="e">
            <v>#N/A</v>
          </cell>
          <cell r="X4636" t="e">
            <v>#N/A</v>
          </cell>
          <cell r="Y4636">
            <v>20957.439999999999</v>
          </cell>
          <cell r="Z4636">
            <v>0</v>
          </cell>
          <cell r="AA4636">
            <v>20957.439999999999</v>
          </cell>
          <cell r="AB4636"/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0</v>
          </cell>
          <cell r="O4637">
            <v>112504</v>
          </cell>
          <cell r="P4637"/>
          <cell r="Q4637" t="str">
            <v>EST BANCO PHILLIPS (GANE LP-903)</v>
          </cell>
          <cell r="R4637"/>
          <cell r="S4637"/>
          <cell r="T4637">
            <v>0.35</v>
          </cell>
          <cell r="U4637">
            <v>0</v>
          </cell>
          <cell r="V4637">
            <v>0.45</v>
          </cell>
          <cell r="W4637">
            <v>0.35</v>
          </cell>
          <cell r="X4637" t="str">
            <v>EST BANCO PHILLIPS (GANE LP-903) - Ø0,35x0,45H</v>
          </cell>
          <cell r="Y4637">
            <v>7614.34</v>
          </cell>
          <cell r="Z4637">
            <v>0.5</v>
          </cell>
          <cell r="AA4637">
            <v>3807.17</v>
          </cell>
          <cell r="AB4637"/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113267</v>
          </cell>
          <cell r="P4638" t="str">
            <v>1012/306-2127-01</v>
          </cell>
          <cell r="Q4638" t="str">
            <v>EST MESA CENTRO DINN (PES ACO CARB) (TP MAD ESP F100 BRILHO)</v>
          </cell>
          <cell r="R4638"/>
          <cell r="S4638"/>
          <cell r="T4638">
            <v>1.5</v>
          </cell>
          <cell r="U4638">
            <v>0.7</v>
          </cell>
          <cell r="V4638">
            <v>0.25</v>
          </cell>
          <cell r="W4638">
            <v>0</v>
          </cell>
          <cell r="X4638" t="str">
            <v>EST MESA CENTRO DINN (PES ACO CARB) (TP MAD ESP F100 BRILHO) - 1,5x0,7x0,25H</v>
          </cell>
          <cell r="Y4638">
            <v>5817.28</v>
          </cell>
          <cell r="Z4638">
            <v>0</v>
          </cell>
          <cell r="AA4638">
            <v>5817.28</v>
          </cell>
          <cell r="AB4638"/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0</v>
          </cell>
          <cell r="O4639">
            <v>124393</v>
          </cell>
          <cell r="P4639"/>
          <cell r="Q4639" t="str">
            <v>EST MESA LATERAL FIX LACA BRILHANTE PACIFICO</v>
          </cell>
          <cell r="R4639"/>
          <cell r="S4639"/>
          <cell r="T4639">
            <v>0.4</v>
          </cell>
          <cell r="U4639">
            <v>0.4</v>
          </cell>
          <cell r="V4639">
            <v>0.4</v>
          </cell>
          <cell r="W4639">
            <v>0</v>
          </cell>
          <cell r="X4639" t="str">
            <v>EST MESA LATERAL FIX LACA BRILHANTE PACIFICO - 0,4x0,4x0,4H</v>
          </cell>
          <cell r="Y4639">
            <v>4018.56</v>
          </cell>
          <cell r="Z4639">
            <v>0.35</v>
          </cell>
          <cell r="AA4639">
            <v>2612.0640000000003</v>
          </cell>
          <cell r="AB4639"/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124405</v>
          </cell>
          <cell r="P4640" t="str">
            <v>2013/039-0018-01</v>
          </cell>
          <cell r="Q4640" t="str">
            <v>EST MESA LATERAL FIX LACA BRILHANTE CHUMBO</v>
          </cell>
          <cell r="R4640"/>
          <cell r="S4640"/>
          <cell r="T4640">
            <v>0.5</v>
          </cell>
          <cell r="U4640">
            <v>0.5</v>
          </cell>
          <cell r="V4640">
            <v>0.5</v>
          </cell>
          <cell r="W4640">
            <v>0</v>
          </cell>
          <cell r="X4640" t="str">
            <v>EST MESA LATERAL FIX LACA BRILHANTE CHUMBO - 0,5x0,5x0,5H</v>
          </cell>
          <cell r="Y4640">
            <v>4018.56</v>
          </cell>
          <cell r="Z4640">
            <v>0.5</v>
          </cell>
          <cell r="AA4640">
            <v>2009.28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0</v>
          </cell>
          <cell r="O4641">
            <v>128114</v>
          </cell>
          <cell r="P4641"/>
          <cell r="Q4641" t="str">
            <v>EST CADEIRA BOSSA CAPITONE C/BRACO (TAUARI COR 02) TC SEDA</v>
          </cell>
          <cell r="R4641"/>
          <cell r="S4641"/>
          <cell r="T4641">
            <v>0.56999999999999995</v>
          </cell>
          <cell r="U4641">
            <v>0.52</v>
          </cell>
          <cell r="V4641">
            <v>0.87</v>
          </cell>
          <cell r="W4641">
            <v>0</v>
          </cell>
          <cell r="X4641" t="str">
            <v>EST CADEIRA BOSSA CAPITONE C/BRACO (TAUARI COR 02) TC SEDA - 0,57x0,52x0,87H</v>
          </cell>
          <cell r="Y4641">
            <v>5336.84</v>
          </cell>
          <cell r="Z4641">
            <v>0.5</v>
          </cell>
          <cell r="AA4641">
            <v>2668.42</v>
          </cell>
          <cell r="AB4641"/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0</v>
          </cell>
          <cell r="H4642">
            <v>0</v>
          </cell>
          <cell r="O4642">
            <v>128483</v>
          </cell>
          <cell r="P4642"/>
          <cell r="Q4642" t="str">
            <v>EST CADEIRA 213 (TABACO) TC 402A</v>
          </cell>
          <cell r="R4642"/>
          <cell r="S4642"/>
          <cell r="T4642">
            <v>0.52</v>
          </cell>
          <cell r="U4642">
            <v>0.56000000000000005</v>
          </cell>
          <cell r="V4642">
            <v>0.89</v>
          </cell>
          <cell r="W4642">
            <v>0</v>
          </cell>
          <cell r="X4642" t="str">
            <v>EST CADEIRA 213 (TABACO) TC 402A - 0,52x0,56x0,89H</v>
          </cell>
          <cell r="Y4642">
            <v>3808</v>
          </cell>
          <cell r="Z4642">
            <v>0.35</v>
          </cell>
          <cell r="AA4642">
            <v>2475.1999999999998</v>
          </cell>
          <cell r="AB4642"/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0</v>
          </cell>
          <cell r="H4643">
            <v>1</v>
          </cell>
          <cell r="O4643">
            <v>129366</v>
          </cell>
          <cell r="P4643" t="str">
            <v>2013/179-0007-01</v>
          </cell>
          <cell r="Q4643" t="str">
            <v>EST MESA JANTAR SAARINEN (MARMOME CARRARA GIOIA) PINT BRANCA</v>
          </cell>
          <cell r="R4643"/>
          <cell r="S4643"/>
          <cell r="T4643">
            <v>0.9</v>
          </cell>
          <cell r="U4643">
            <v>0</v>
          </cell>
          <cell r="V4643">
            <v>0.75</v>
          </cell>
          <cell r="W4643">
            <v>0.9</v>
          </cell>
          <cell r="X4643" t="str">
            <v>EST MESA JANTAR SAARINEN (MARMOME CARRARA GIOIA) PINT BRANCA - Ø0,9x0,75H</v>
          </cell>
          <cell r="Y4643">
            <v>21610.799999999999</v>
          </cell>
          <cell r="Z4643">
            <v>0.5</v>
          </cell>
          <cell r="AA4643">
            <v>10805.4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146214</v>
          </cell>
          <cell r="P4644" t="str">
            <v>2014/051-0061-01</v>
          </cell>
          <cell r="Q4644" t="str">
            <v>EST MESA JANTAR TEV (VIDRO LACA BRACO BRILHO/TAUARI NOG)</v>
          </cell>
          <cell r="R4644"/>
          <cell r="S4644"/>
          <cell r="T4644">
            <v>1.2</v>
          </cell>
          <cell r="U4644">
            <v>1.2</v>
          </cell>
          <cell r="V4644">
            <v>0.75</v>
          </cell>
          <cell r="W4644">
            <v>0</v>
          </cell>
          <cell r="X4644" t="str">
            <v>EST MESA JANTAR TEV (VIDRO LACA BRACO BRILHO/TAUARI NOG) - 1,2x1,2x0,75H</v>
          </cell>
          <cell r="Y4644">
            <v>26995.58</v>
          </cell>
          <cell r="Z4644">
            <v>0.5</v>
          </cell>
          <cell r="AA4644">
            <v>13497.79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1</v>
          </cell>
          <cell r="O4645">
            <v>147218</v>
          </cell>
          <cell r="P4645" t="str">
            <v>2014/090-0031-01</v>
          </cell>
          <cell r="Q4645" t="str">
            <v>EST CARRINHO BAR CARRIM (IMPRESSAO PALITO/LIVRO/COBRA) LT5</v>
          </cell>
          <cell r="R4645"/>
          <cell r="S4645"/>
          <cell r="T4645">
            <v>0.8</v>
          </cell>
          <cell r="U4645">
            <v>0.45</v>
          </cell>
          <cell r="V4645">
            <v>0.77</v>
          </cell>
          <cell r="W4645">
            <v>0</v>
          </cell>
          <cell r="X4645" t="str">
            <v>EST CARRINHO BAR CARRIM (IMPRESSAO PALITO/LIVRO/COBRA) LT5 - 0,8x0,45x0,77H</v>
          </cell>
          <cell r="Y4645">
            <v>31025</v>
          </cell>
          <cell r="Z4645">
            <v>0</v>
          </cell>
          <cell r="AA4645">
            <v>31025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147925</v>
          </cell>
          <cell r="P4646" t="str">
            <v>2014/188-0074-01</v>
          </cell>
          <cell r="Q4646" t="str">
            <v>EST POLTRONA PRIMA C/BRACO (NOGUEIRA) TC 105#05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POLTRONA PRIMA C/BRACO (NOGUEIRA) TC 105#05 - Ø0x0H</v>
          </cell>
          <cell r="Y4646">
            <v>8182.72</v>
          </cell>
          <cell r="Z4646">
            <v>0</v>
          </cell>
          <cell r="AA4646">
            <v>8182.72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0</v>
          </cell>
          <cell r="O4647">
            <v>150046</v>
          </cell>
          <cell r="P4647"/>
          <cell r="Q4647" t="str">
            <v>EST MESA LATERAL CAE (FREIJO NATURAL)</v>
          </cell>
          <cell r="R4647"/>
          <cell r="S4647"/>
          <cell r="T4647">
            <v>0.6</v>
          </cell>
          <cell r="U4647">
            <v>0.4</v>
          </cell>
          <cell r="V4647">
            <v>0.52</v>
          </cell>
          <cell r="W4647">
            <v>0</v>
          </cell>
          <cell r="X4647" t="str">
            <v>EST MESA LATERAL CAE (FREIJO NATURAL) - 0,6x0,4x0,52H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151020</v>
          </cell>
          <cell r="P4648"/>
          <cell r="Q4648" t="str">
            <v>EST CADEIRA GIO C/BRACO ESTOFADA (TAUARI COR 03) (TC 90#5)</v>
          </cell>
          <cell r="R4648"/>
          <cell r="S4648"/>
          <cell r="T4648">
            <v>0.53</v>
          </cell>
          <cell r="U4648">
            <v>0.53</v>
          </cell>
          <cell r="V4648">
            <v>0.77</v>
          </cell>
          <cell r="W4648">
            <v>0</v>
          </cell>
          <cell r="X4648" t="str">
            <v>EST CADEIRA GIO C/BRACO ESTOFADA (TAUARI COR 03) (TC 90#5) - 0,53x0,53x0,77H</v>
          </cell>
          <cell r="Y4648">
            <v>5195.6400000000003</v>
          </cell>
          <cell r="Z4648">
            <v>0.5</v>
          </cell>
          <cell r="AA4648">
            <v>2597.8200000000002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4</v>
          </cell>
          <cell r="O4649">
            <v>151327</v>
          </cell>
          <cell r="P4649"/>
          <cell r="Q4649" t="str">
            <v>EST POLTRONA FIBRA NATURAL TC 603 LINHO</v>
          </cell>
          <cell r="R4649"/>
          <cell r="S4649"/>
          <cell r="T4649">
            <v>0.8</v>
          </cell>
          <cell r="U4649">
            <v>0.85</v>
          </cell>
          <cell r="V4649">
            <v>0.72</v>
          </cell>
          <cell r="W4649">
            <v>0</v>
          </cell>
          <cell r="X4649" t="str">
            <v>EST POLTRONA FIBRA NATURAL TC 603 LINHO - 0,8x0,85x0,72H</v>
          </cell>
          <cell r="Y4649" t="e">
            <v>#VALUE!</v>
          </cell>
          <cell r="Z4649">
            <v>0.35</v>
          </cell>
          <cell r="AA4649" t="e">
            <v>#VALUE!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151336</v>
          </cell>
          <cell r="P4650" t="str">
            <v>2014/203-0186-01</v>
          </cell>
          <cell r="Q4650" t="str">
            <v>EST CADEIRA JULIETA (JEQ BS DAGUA) (COURO SINTETICO CAFE)</v>
          </cell>
          <cell r="R4650"/>
          <cell r="S4650"/>
          <cell r="T4650">
            <v>0.6</v>
          </cell>
          <cell r="U4650">
            <v>0.5</v>
          </cell>
          <cell r="V4650">
            <v>0.7</v>
          </cell>
          <cell r="W4650">
            <v>0</v>
          </cell>
          <cell r="X4650" t="str">
            <v>EST CADEIRA JULIETA (JEQ BS DAGUA) (COURO SINTETICO CAFE) - 0,6x0,5x0,7H</v>
          </cell>
          <cell r="Y4650">
            <v>7749.28</v>
          </cell>
          <cell r="Z4650">
            <v>0.35</v>
          </cell>
          <cell r="AA4650">
            <v>5037.0320000000002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0</v>
          </cell>
          <cell r="O4651">
            <v>151336</v>
          </cell>
          <cell r="P4651" t="str">
            <v>2014/219-0113-01</v>
          </cell>
          <cell r="Q4651" t="str">
            <v>EST CADEIRA JULIETA (JEQ BS DAGUA) (COURO SINTETICO CAFE)</v>
          </cell>
          <cell r="R4651"/>
          <cell r="S4651"/>
          <cell r="T4651">
            <v>0.6</v>
          </cell>
          <cell r="U4651">
            <v>0.5</v>
          </cell>
          <cell r="V4651">
            <v>0.7</v>
          </cell>
          <cell r="W4651">
            <v>0</v>
          </cell>
          <cell r="X4651" t="str">
            <v>EST CADEIRA JULIETA (JEQ BS DAGUA) (COURO SINTETICO CAFE) - 0,6x0,5x0,7H</v>
          </cell>
          <cell r="Y4651">
            <v>7749.28</v>
          </cell>
          <cell r="Z4651">
            <v>0.35</v>
          </cell>
          <cell r="AA4651">
            <v>5037.0320000000002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151501</v>
          </cell>
          <cell r="P4652" t="str">
            <v>2014/251-0078-01</v>
          </cell>
          <cell r="Q4652" t="str">
            <v>EST MESA LATERAL IPANEMA (AL 02/BRANCO FOSCO)</v>
          </cell>
          <cell r="R4652"/>
          <cell r="S4652"/>
          <cell r="T4652">
            <v>0.45</v>
          </cell>
          <cell r="U4652">
            <v>0</v>
          </cell>
          <cell r="V4652">
            <v>0.46</v>
          </cell>
          <cell r="W4652">
            <v>0.45</v>
          </cell>
          <cell r="X4652" t="str">
            <v>EST MESA LATERAL IPANEMA (AL 02/BRANCO FOSCO) - Ø0,45x0,46H</v>
          </cell>
          <cell r="Y4652">
            <v>2688</v>
          </cell>
          <cell r="Z4652">
            <v>0.5</v>
          </cell>
          <cell r="AA4652">
            <v>1344</v>
          </cell>
          <cell r="AB4652"/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H4653">
            <v>2</v>
          </cell>
          <cell r="O4653">
            <v>151501</v>
          </cell>
          <cell r="P4653" t="str">
            <v>2014/251-0079-01</v>
          </cell>
          <cell r="Q4653" t="str">
            <v>EST MESA LATERAL IPANEMA (AL 02/BRANCO FOSCO)</v>
          </cell>
          <cell r="R4653"/>
          <cell r="S4653"/>
          <cell r="T4653">
            <v>0.45</v>
          </cell>
          <cell r="U4653">
            <v>0</v>
          </cell>
          <cell r="V4653">
            <v>0.46</v>
          </cell>
          <cell r="W4653">
            <v>0.45</v>
          </cell>
          <cell r="X4653" t="str">
            <v>EST MESA LATERAL IPANEMA (AL 02/BRANCO FOSCO) - Ø0,45x0,46H</v>
          </cell>
          <cell r="Y4653">
            <v>2688</v>
          </cell>
          <cell r="Z4653">
            <v>0.5</v>
          </cell>
          <cell r="AA4653">
            <v>1344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151567</v>
          </cell>
          <cell r="P4654" t="str">
            <v>2014/252-0096-01</v>
          </cell>
          <cell r="Q4654" t="str">
            <v>EST MESA LATERAL VOLAN (VD LC OFFWHITE/OFFWHITE H109)</v>
          </cell>
          <cell r="R4654"/>
          <cell r="S4654"/>
          <cell r="T4654">
            <v>0.7</v>
          </cell>
          <cell r="U4654">
            <v>0.7</v>
          </cell>
          <cell r="V4654">
            <v>0.6</v>
          </cell>
          <cell r="W4654">
            <v>0</v>
          </cell>
          <cell r="X4654" t="str">
            <v>EST MESA LATERAL VOLAN (VD LC OFFWHITE/OFFWHITE H109) - 0,7x0,7x0,6H</v>
          </cell>
          <cell r="Y4654">
            <v>6586.27</v>
          </cell>
          <cell r="Z4654">
            <v>0.35</v>
          </cell>
          <cell r="AA4654">
            <v>4281.0755000000008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4</v>
          </cell>
          <cell r="O4655">
            <v>151598</v>
          </cell>
          <cell r="P4655"/>
          <cell r="Q4655" t="str">
            <v>EST CADEIRA BALI C/BRACO (TABOA TRANCADA NATURAL) TC 270</v>
          </cell>
          <cell r="R4655"/>
          <cell r="S4655"/>
          <cell r="T4655">
            <v>0.55000000000000004</v>
          </cell>
          <cell r="U4655">
            <v>0.6</v>
          </cell>
          <cell r="V4655">
            <v>0.8</v>
          </cell>
          <cell r="W4655">
            <v>0</v>
          </cell>
          <cell r="X4655" t="str">
            <v>EST CADEIRA BALI C/BRACO (TABOA TRANCADA NATURAL) TC 270 - 0,55x0,6x0,8H</v>
          </cell>
          <cell r="Y4655" t="e">
            <v>#VALUE!</v>
          </cell>
          <cell r="Z4655">
            <v>0.35</v>
          </cell>
          <cell r="AA4655" t="e">
            <v>#VALUE!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151653</v>
          </cell>
          <cell r="P4656" t="str">
            <v>2014/258-0028-01</v>
          </cell>
          <cell r="Q4656" t="str">
            <v>EST MESA JANTAR SICILIA (TP NOGUEIRA NAT) (BS LC PRETO FSC)</v>
          </cell>
          <cell r="R4656"/>
          <cell r="S4656"/>
          <cell r="T4656">
            <v>2.4</v>
          </cell>
          <cell r="U4656">
            <v>1.1200000000000001</v>
          </cell>
          <cell r="V4656">
            <v>0.76</v>
          </cell>
          <cell r="W4656">
            <v>0</v>
          </cell>
          <cell r="X4656" t="str">
            <v>EST MESA JANTAR SICILIA (TP NOGUEIRA NAT) (BS LC PRETO FSC) - 2,4x1,12x0,76H</v>
          </cell>
          <cell r="Y4656">
            <v>23946.81</v>
          </cell>
          <cell r="Z4656">
            <v>0.5</v>
          </cell>
          <cell r="AA4656">
            <v>11973.405000000001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157358</v>
          </cell>
          <cell r="P4657" t="str">
            <v>2014/241-0001-01</v>
          </cell>
          <cell r="Q4657" t="str">
            <v>EST POLTRONA DORA (BAIXA) TC IMPORT DIVINA COR01</v>
          </cell>
          <cell r="R4657"/>
          <cell r="S4657"/>
          <cell r="T4657">
            <v>0.76</v>
          </cell>
          <cell r="U4657">
            <v>0.83</v>
          </cell>
          <cell r="V4657">
            <v>0.7</v>
          </cell>
          <cell r="W4657">
            <v>0</v>
          </cell>
          <cell r="X4657" t="str">
            <v>EST POLTRONA DORA (BAIXA) TC IMPORT DIVINA COR01 - 0,76x0,83x0,7H</v>
          </cell>
          <cell r="Y4657">
            <v>29568</v>
          </cell>
          <cell r="Z4657">
            <v>0</v>
          </cell>
          <cell r="AA4657">
            <v>29568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158631</v>
          </cell>
          <cell r="P4658"/>
          <cell r="Q4658" t="str">
            <v>EST MESA CENTRO VIGG (LAMINA NOGUEIRA)</v>
          </cell>
          <cell r="R4658"/>
          <cell r="S4658"/>
          <cell r="T4658">
            <v>1.5</v>
          </cell>
          <cell r="U4658">
            <v>0.3</v>
          </cell>
          <cell r="V4658">
            <v>0.3</v>
          </cell>
          <cell r="W4658">
            <v>0</v>
          </cell>
          <cell r="X4658" t="str">
            <v>EST MESA CENTRO VIGG (LAMINA NOGUEIRA) - 1,5x0,3x0,3H</v>
          </cell>
          <cell r="Y4658">
            <v>7616</v>
          </cell>
          <cell r="Z4658">
            <v>0.5</v>
          </cell>
          <cell r="AA4658">
            <v>3808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1</v>
          </cell>
          <cell r="O4659">
            <v>164403</v>
          </cell>
          <cell r="P4659"/>
          <cell r="Q4659" t="str">
            <v>EST MESA JANTAR JACARAIPE (FREIJO NATURAL)</v>
          </cell>
          <cell r="R4659"/>
          <cell r="S4659"/>
          <cell r="T4659">
            <v>2.2000000000000002</v>
          </cell>
          <cell r="U4659">
            <v>1.07</v>
          </cell>
          <cell r="V4659">
            <v>0.75</v>
          </cell>
          <cell r="W4659">
            <v>0</v>
          </cell>
          <cell r="X4659" t="str">
            <v>EST MESA JANTAR JACARAIPE (FREIJO NATURAL) - 2,2x1,07x0,75H</v>
          </cell>
          <cell r="Y4659">
            <v>0</v>
          </cell>
          <cell r="Z4659">
            <v>0.35</v>
          </cell>
          <cell r="AA4659">
            <v>0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0</v>
          </cell>
          <cell r="O4660">
            <v>174533</v>
          </cell>
          <cell r="P4660"/>
          <cell r="Q4660" t="str">
            <v>EST APARADOR PHOENIX (LACA POLIESTER BRILHO BRANCA)</v>
          </cell>
          <cell r="R4660"/>
          <cell r="S4660"/>
          <cell r="T4660">
            <v>1.2</v>
          </cell>
          <cell r="U4660">
            <v>0.55000000000000004</v>
          </cell>
          <cell r="V4660">
            <v>0.6</v>
          </cell>
          <cell r="W4660">
            <v>0</v>
          </cell>
          <cell r="X4660" t="str">
            <v>EST APARADOR PHOENIX (LACA POLIESTER BRILHO BRANCA) - 1,2x0,55x0,6H</v>
          </cell>
          <cell r="Y4660">
            <v>16025.5</v>
          </cell>
          <cell r="Z4660">
            <v>0.35</v>
          </cell>
          <cell r="AA4660">
            <v>10416.575000000001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175269</v>
          </cell>
          <cell r="P4661"/>
          <cell r="Q4661" t="str">
            <v>EST BASE CAVALETE MARISA (MAD A COR 02)</v>
          </cell>
          <cell r="R4661"/>
          <cell r="S4661"/>
          <cell r="T4661">
            <v>1.3</v>
          </cell>
          <cell r="U4661">
            <v>0.65</v>
          </cell>
          <cell r="V4661">
            <v>0.72</v>
          </cell>
          <cell r="W4661">
            <v>0</v>
          </cell>
          <cell r="X4661" t="str">
            <v>EST BASE CAVALETE MARISA (MAD A COR 02) - 1,3x0,65x0,72H</v>
          </cell>
          <cell r="Y4661">
            <v>0</v>
          </cell>
          <cell r="Z4661">
            <v>0.35</v>
          </cell>
          <cell r="AA4661">
            <v>0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1</v>
          </cell>
          <cell r="O4662">
            <v>176688</v>
          </cell>
          <cell r="P4662"/>
          <cell r="Q4662" t="str">
            <v>EST SOFA COZY (C/CP) (IMB) (BIP) TC LINHO 409 NAT/ALM FLOR B</v>
          </cell>
          <cell r="R4662"/>
          <cell r="S4662"/>
          <cell r="T4662">
            <v>3</v>
          </cell>
          <cell r="U4662">
            <v>1.03</v>
          </cell>
          <cell r="V4662">
            <v>0.89</v>
          </cell>
          <cell r="W4662">
            <v>0</v>
          </cell>
          <cell r="X4662" t="str">
            <v>EST SOFA COZY (C/CP) (IMB) (BIP) TC LINHO 409 NAT/ALM FLOR B - 3x1,03x0,89H</v>
          </cell>
          <cell r="Y4662">
            <v>0</v>
          </cell>
          <cell r="Z4662">
            <v>0.35</v>
          </cell>
          <cell r="AA4662">
            <v>0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1</v>
          </cell>
          <cell r="O4663">
            <v>176833</v>
          </cell>
          <cell r="P4663" t="str">
            <v>2015/244-0114-01</v>
          </cell>
          <cell r="Q4663" t="str">
            <v>EST CADEIRA MAIA SMALL (NOGUEIRA) TC G1 T002</v>
          </cell>
          <cell r="R4663"/>
          <cell r="S4663"/>
          <cell r="T4663">
            <v>0.48</v>
          </cell>
          <cell r="U4663">
            <v>0.54</v>
          </cell>
          <cell r="V4663">
            <v>0.87</v>
          </cell>
          <cell r="W4663">
            <v>0</v>
          </cell>
          <cell r="X4663" t="str">
            <v>EST CADEIRA MAIA SMALL (NOGUEIRA) TC G1 T002 - 0,48x0,54x0,87H</v>
          </cell>
          <cell r="Y4663">
            <v>3578.4</v>
          </cell>
          <cell r="Z4663">
            <v>0.5</v>
          </cell>
          <cell r="AA4663">
            <v>1789.2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1</v>
          </cell>
          <cell r="O4664">
            <v>176904</v>
          </cell>
          <cell r="P4664"/>
          <cell r="Q4664" t="str">
            <v>EST BANCO ZANINE X (JEQUITIBA TABACO) TC 244 01722 FLORAL</v>
          </cell>
          <cell r="R4664"/>
          <cell r="S4664"/>
          <cell r="T4664">
            <v>0.46</v>
          </cell>
          <cell r="U4664">
            <v>0.46</v>
          </cell>
          <cell r="V4664">
            <v>0.45</v>
          </cell>
          <cell r="W4664">
            <v>0</v>
          </cell>
          <cell r="X4664" t="str">
            <v>EST BANCO ZANINE X (JEQUITIBA TABACO) TC 244 01722 FLORAL - 0,46x0,46x0,45H</v>
          </cell>
          <cell r="Y4664">
            <v>0</v>
          </cell>
          <cell r="Z4664">
            <v>0.35</v>
          </cell>
          <cell r="AA4664">
            <v>0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1</v>
          </cell>
          <cell r="O4665">
            <v>179054</v>
          </cell>
          <cell r="P4665" t="str">
            <v>2016/022-0153-01</v>
          </cell>
          <cell r="Q4665" t="str">
            <v>EST LUMINARIA LUMIER (NOGUEIRA) (DET LATAO) (CUPULA CRU)</v>
          </cell>
          <cell r="R4665"/>
          <cell r="S4665"/>
          <cell r="T4665">
            <v>0.45</v>
          </cell>
          <cell r="U4665">
            <v>0</v>
          </cell>
          <cell r="V4665">
            <v>1.7</v>
          </cell>
          <cell r="W4665">
            <v>0.45</v>
          </cell>
          <cell r="X4665" t="str">
            <v>EST LUMINARIA LUMIER (NOGUEIRA) (DET LATAO) (CUPULA CRU) - Ø0,45x1,7H</v>
          </cell>
          <cell r="Y4665">
            <v>12544</v>
          </cell>
          <cell r="Z4665">
            <v>0.5</v>
          </cell>
          <cell r="AA4665">
            <v>6272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179299</v>
          </cell>
          <cell r="P4666"/>
          <cell r="Q4666" t="str">
            <v>EST TAMPO CRISTAL LAPIDADO (15MM) INCOLOR CANTO TICK</v>
          </cell>
          <cell r="R4666"/>
          <cell r="S4666"/>
          <cell r="T4666">
            <v>2.7</v>
          </cell>
          <cell r="U4666">
            <v>1.2</v>
          </cell>
          <cell r="V4666">
            <v>0.01</v>
          </cell>
          <cell r="W4666">
            <v>0</v>
          </cell>
          <cell r="X4666" t="str">
            <v>EST TAMPO CRISTAL LAPIDADO (15MM) INCOLOR CANTO TICK - 2,7x1,2x0,01H</v>
          </cell>
          <cell r="Y4666" t="e">
            <v>#VALUE!</v>
          </cell>
          <cell r="Z4666">
            <v>0.35</v>
          </cell>
          <cell r="AA4666" t="e">
            <v>#VALUE!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1</v>
          </cell>
          <cell r="O4667">
            <v>182166</v>
          </cell>
          <cell r="P4667" t="str">
            <v>2024/277-0026-01</v>
          </cell>
          <cell r="Q4667" t="str">
            <v>EST SOFA SKY BC DIR C/ESTANATE TAUPE ESQ (CORTEN) TC0004-002</v>
          </cell>
          <cell r="R4667"/>
          <cell r="S4667"/>
          <cell r="T4667">
            <v>3.3</v>
          </cell>
          <cell r="U4667">
            <v>1.05</v>
          </cell>
          <cell r="V4667">
            <v>0.65</v>
          </cell>
          <cell r="W4667">
            <v>0</v>
          </cell>
          <cell r="X4667" t="str">
            <v>EST SOFA SKY BC DIR C/ESTANATE TAUPE ESQ (CORTEN) TC0004-002 - 3,3x1,05x0,65H</v>
          </cell>
          <cell r="Y4667">
            <v>82026.740000000005</v>
          </cell>
          <cell r="Z4667">
            <v>0.5</v>
          </cell>
          <cell r="AA4667">
            <v>41013.370000000003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1</v>
          </cell>
          <cell r="O4668">
            <v>183042</v>
          </cell>
          <cell r="P4668" t="str">
            <v>2015/342-0002-01</v>
          </cell>
          <cell r="Q4668" t="str">
            <v>EST POLTRONA SUITE (BASE INOX) TC LINHO 581</v>
          </cell>
          <cell r="R4668"/>
          <cell r="S4668"/>
          <cell r="T4668">
            <v>1.1000000000000001</v>
          </cell>
          <cell r="U4668">
            <v>0.9</v>
          </cell>
          <cell r="V4668">
            <v>0.7</v>
          </cell>
          <cell r="W4668">
            <v>0</v>
          </cell>
          <cell r="X4668" t="str">
            <v>EST POLTRONA SUITE (BASE INOX) TC LINHO 581 - 1,1x0,9x0,7H</v>
          </cell>
          <cell r="Y4668">
            <v>10686.63</v>
          </cell>
          <cell r="Z4668">
            <v>0</v>
          </cell>
          <cell r="AA4668">
            <v>10686.63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183797</v>
          </cell>
          <cell r="P4669" t="str">
            <v>2016/018-0013-01</v>
          </cell>
          <cell r="Q4669" t="str">
            <v>EST CADEIRA MAIA SMALL (NOGUEIRA) TC G1 T012</v>
          </cell>
          <cell r="R4669"/>
          <cell r="S4669"/>
          <cell r="T4669">
            <v>0.48</v>
          </cell>
          <cell r="U4669">
            <v>0.54</v>
          </cell>
          <cell r="V4669">
            <v>0.87</v>
          </cell>
          <cell r="W4669">
            <v>0</v>
          </cell>
          <cell r="X4669" t="str">
            <v>EST CADEIRA MAIA SMALL (NOGUEIRA) TC G1 T012 - 0,48x0,54x0,87H</v>
          </cell>
          <cell r="Y4669">
            <v>3578.4</v>
          </cell>
          <cell r="Z4669">
            <v>0.5</v>
          </cell>
          <cell r="AA4669">
            <v>1789.2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2</v>
          </cell>
          <cell r="O4670">
            <v>183797</v>
          </cell>
          <cell r="P4670" t="str">
            <v>2016/018-0014-01</v>
          </cell>
          <cell r="Q4670" t="str">
            <v>EST CADEIRA MAIA SMALL (NOGUEIRA) TC G1 T012</v>
          </cell>
          <cell r="R4670"/>
          <cell r="S4670"/>
          <cell r="T4670">
            <v>0.48</v>
          </cell>
          <cell r="U4670">
            <v>0.54</v>
          </cell>
          <cell r="V4670">
            <v>0.87</v>
          </cell>
          <cell r="W4670">
            <v>0</v>
          </cell>
          <cell r="X4670" t="str">
            <v>EST CADEIRA MAIA SMALL (NOGUEIRA) TC G1 T012 - 0,48x0,54x0,87H</v>
          </cell>
          <cell r="Y4670">
            <v>3578.4</v>
          </cell>
          <cell r="Z4670">
            <v>0.5</v>
          </cell>
          <cell r="AA4670">
            <v>1789.2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1</v>
          </cell>
          <cell r="O4671">
            <v>183816</v>
          </cell>
          <cell r="P4671"/>
          <cell r="Q4671" t="str">
            <v>EST COMPONENTE FUTTON BANCO CLARICE (TC TA 200007)</v>
          </cell>
          <cell r="R4671"/>
          <cell r="S4671"/>
          <cell r="T4671">
            <v>2.4700000000000002</v>
          </cell>
          <cell r="U4671">
            <v>0.46</v>
          </cell>
          <cell r="V4671">
            <v>7.0000000000000007E-2</v>
          </cell>
          <cell r="W4671">
            <v>0</v>
          </cell>
          <cell r="X4671" t="str">
            <v>EST COMPONENTE FUTTON BANCO CLARICE (TC TA 200007) - 2,47x0,46x0,07H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1</v>
          </cell>
          <cell r="O4672">
            <v>185350</v>
          </cell>
          <cell r="P4672" t="str">
            <v>2016/109-0089-01</v>
          </cell>
          <cell r="Q4672" t="str">
            <v>EST SOFA CLASS (BIPARTIDO) TC MOBILITY TRIBAL GREY</v>
          </cell>
          <cell r="R4672"/>
          <cell r="S4672"/>
          <cell r="T4672">
            <v>3</v>
          </cell>
          <cell r="U4672">
            <v>0.98</v>
          </cell>
          <cell r="V4672">
            <v>0.83</v>
          </cell>
          <cell r="W4672">
            <v>0</v>
          </cell>
          <cell r="X4672" t="str">
            <v>EST SOFA CLASS (BIPARTIDO) TC MOBILITY TRIBAL GREY - 3x0,98x0,83H</v>
          </cell>
          <cell r="Y4672">
            <v>39320.06</v>
          </cell>
          <cell r="Z4672">
            <v>0</v>
          </cell>
          <cell r="AA4672">
            <v>39320.06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186064</v>
          </cell>
          <cell r="P4673" t="str">
            <v>2016/217-0005-01</v>
          </cell>
          <cell r="Q4673" t="str">
            <v>EST SOFA ZEUS (TC E5010 MOSTARDA)</v>
          </cell>
          <cell r="R4673"/>
          <cell r="S4673"/>
          <cell r="T4673">
            <v>1.9</v>
          </cell>
          <cell r="U4673">
            <v>1.02</v>
          </cell>
          <cell r="V4673">
            <v>0.94</v>
          </cell>
          <cell r="W4673">
            <v>0</v>
          </cell>
          <cell r="X4673" t="str">
            <v>EST SOFA ZEUS (TC E5010 MOSTARDA) - 1,9x1,02x0,94H</v>
          </cell>
          <cell r="Y4673">
            <v>22400</v>
          </cell>
          <cell r="Z4673">
            <v>0.5</v>
          </cell>
          <cell r="AA4673">
            <v>11200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191233</v>
          </cell>
          <cell r="P4674" t="str">
            <v>2016/175-0063-01</v>
          </cell>
          <cell r="Q4674" t="str">
            <v>EST MESA CENTRO DINN (LAMINA NOGUEIRA)</v>
          </cell>
          <cell r="R4674"/>
          <cell r="S4674"/>
          <cell r="T4674">
            <v>1.8</v>
          </cell>
          <cell r="U4674">
            <v>0.8</v>
          </cell>
          <cell r="V4674">
            <v>0.25</v>
          </cell>
          <cell r="W4674">
            <v>0</v>
          </cell>
          <cell r="X4674" t="str">
            <v>EST MESA CENTRO DINN (LAMINA NOGUEIRA) - 1,8x0,8x0,25H</v>
          </cell>
          <cell r="Y4674">
            <v>17973.759999999998</v>
          </cell>
          <cell r="Z4674">
            <v>0.5</v>
          </cell>
          <cell r="AA4674">
            <v>8986.8799999999992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2</v>
          </cell>
          <cell r="O4675">
            <v>191239</v>
          </cell>
          <cell r="P4675" t="str">
            <v>2016/175-0069-01</v>
          </cell>
          <cell r="Q4675" t="str">
            <v>EST PUFF CHEIG (INTERNO REVESTIDO TC VCANDY COTON MINK #06)</v>
          </cell>
          <cell r="R4675"/>
          <cell r="S4675"/>
          <cell r="T4675">
            <v>0.75</v>
          </cell>
          <cell r="U4675">
            <v>0.5</v>
          </cell>
          <cell r="V4675">
            <v>0.45</v>
          </cell>
          <cell r="W4675">
            <v>0</v>
          </cell>
          <cell r="X4675" t="str">
            <v>EST PUFF CHEIG (INTERNO REVESTIDO TC VCANDY COTON MINK #06) - 0,75x0,5x0,45H</v>
          </cell>
          <cell r="Y4675">
            <v>10407.49</v>
          </cell>
          <cell r="Z4675">
            <v>0.5</v>
          </cell>
          <cell r="AA4675">
            <v>5203.7449999999999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2</v>
          </cell>
          <cell r="O4676">
            <v>191239</v>
          </cell>
          <cell r="P4676" t="str">
            <v>2016/175-0070-01</v>
          </cell>
          <cell r="Q4676" t="str">
            <v>EST PUFF CHEIG (INTERNO REVESTIDO TC VCANDY COTON MINK #06)</v>
          </cell>
          <cell r="R4676"/>
          <cell r="S4676"/>
          <cell r="T4676">
            <v>0.75</v>
          </cell>
          <cell r="U4676">
            <v>0.5</v>
          </cell>
          <cell r="V4676">
            <v>0.45</v>
          </cell>
          <cell r="W4676">
            <v>0</v>
          </cell>
          <cell r="X4676" t="str">
            <v>EST PUFF CHEIG (INTERNO REVESTIDO TC VCANDY COTON MINK #06) - 0,75x0,5x0,45H</v>
          </cell>
          <cell r="Y4676">
            <v>10407.49</v>
          </cell>
          <cell r="Z4676">
            <v>0.5</v>
          </cell>
          <cell r="AA4676">
            <v>5203.7449999999999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0</v>
          </cell>
          <cell r="O4677">
            <v>191267</v>
          </cell>
          <cell r="P4677" t="str">
            <v>2017/333-0022-01</v>
          </cell>
          <cell r="Q4677" t="str">
            <v>EST MESA LATERAL VILLE MOD1 (NERO MARQUINA) (PTO FSC)</v>
          </cell>
          <cell r="R4677"/>
          <cell r="S4677"/>
          <cell r="T4677">
            <v>0.7</v>
          </cell>
          <cell r="U4677">
            <v>0</v>
          </cell>
          <cell r="V4677">
            <v>0.7</v>
          </cell>
          <cell r="W4677">
            <v>0.7</v>
          </cell>
          <cell r="X4677" t="str">
            <v>EST MESA LATERAL VILLE MOD1 (NERO MARQUINA) (PTO FSC) - Ø0,7x0,7H</v>
          </cell>
          <cell r="Y4677">
            <v>14070.92</v>
          </cell>
          <cell r="Z4677">
            <v>0</v>
          </cell>
          <cell r="AA4677">
            <v>14070.92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0</v>
          </cell>
          <cell r="O4678">
            <v>191267</v>
          </cell>
          <cell r="P4678" t="str">
            <v>2017/333-0021-01</v>
          </cell>
          <cell r="Q4678" t="str">
            <v>EST MESA LATERAL VILLE MOD1 (NERO MARQUINA) (PTO FSC)</v>
          </cell>
          <cell r="R4678"/>
          <cell r="S4678"/>
          <cell r="T4678">
            <v>0.7</v>
          </cell>
          <cell r="U4678">
            <v>0</v>
          </cell>
          <cell r="V4678">
            <v>0.7</v>
          </cell>
          <cell r="W4678">
            <v>0.7</v>
          </cell>
          <cell r="X4678" t="str">
            <v>EST MESA LATERAL VILLE MOD1 (NERO MARQUINA) (PTO FSC) - Ø0,7x0,7H</v>
          </cell>
          <cell r="Y4678">
            <v>17024</v>
          </cell>
          <cell r="Z4678">
            <v>0.5</v>
          </cell>
          <cell r="AA4678">
            <v>8512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195623</v>
          </cell>
          <cell r="P4679"/>
          <cell r="Q4679" t="str">
            <v>EST MESA LATERAL ZE (FREIJO NATURAL)</v>
          </cell>
          <cell r="R4679"/>
          <cell r="S4679"/>
          <cell r="T4679">
            <v>0.6</v>
          </cell>
          <cell r="U4679">
            <v>0.6</v>
          </cell>
          <cell r="V4679">
            <v>0.57999999999999996</v>
          </cell>
          <cell r="W4679">
            <v>0</v>
          </cell>
          <cell r="X4679" t="str">
            <v>EST MESA LATERAL ZE (FREIJO NATURAL) - 0,6x0,6x0,58H</v>
          </cell>
          <cell r="Y4679">
            <v>0</v>
          </cell>
          <cell r="Z4679">
            <v>0.35</v>
          </cell>
          <cell r="AA4679">
            <v>0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195630</v>
          </cell>
          <cell r="P4680"/>
          <cell r="Q4680" t="str">
            <v>EST REVISTEIRO NINI (FREIJO EBANIZADO)</v>
          </cell>
          <cell r="R4680"/>
          <cell r="S4680"/>
          <cell r="T4680">
            <v>0.43</v>
          </cell>
          <cell r="U4680">
            <v>0.5</v>
          </cell>
          <cell r="V4680">
            <v>0.5</v>
          </cell>
          <cell r="W4680">
            <v>0</v>
          </cell>
          <cell r="X4680" t="str">
            <v>EST REVISTEIRO NINI (FREIJO EBANIZADO) - 0,43x0,5x0,5H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200615</v>
          </cell>
          <cell r="P4681"/>
          <cell r="Q4681" t="str">
            <v>EST MESA JANTAR MAIS (JEQUITIBA NT) (CENTRO EBANIZADO)</v>
          </cell>
          <cell r="R4681"/>
          <cell r="S4681"/>
          <cell r="T4681">
            <v>3.05</v>
          </cell>
          <cell r="U4681">
            <v>1</v>
          </cell>
          <cell r="V4681">
            <v>0.75</v>
          </cell>
          <cell r="W4681">
            <v>0</v>
          </cell>
          <cell r="X4681" t="str">
            <v>EST MESA JANTAR MAIS (JEQUITIBA NT) (CENTRO EBANIZADO) - 3,05x1x0,75H</v>
          </cell>
          <cell r="Y4681">
            <v>0</v>
          </cell>
          <cell r="Z4681">
            <v>0.35</v>
          </cell>
          <cell r="AA4681">
            <v>0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1</v>
          </cell>
          <cell r="O4682">
            <v>203384</v>
          </cell>
          <cell r="P4682" t="str">
            <v>2016/277-0247-01</v>
          </cell>
          <cell r="Q4682" t="str">
            <v>EST MESA CENTRO LEVE (INOX ACET) PORCELATO STEEL CORTEN</v>
          </cell>
          <cell r="R4682"/>
          <cell r="S4682"/>
          <cell r="T4682">
            <v>1.2</v>
          </cell>
          <cell r="U4682">
            <v>0.6</v>
          </cell>
          <cell r="V4682">
            <v>0.3</v>
          </cell>
          <cell r="W4682">
            <v>0</v>
          </cell>
          <cell r="X4682" t="str">
            <v>EST MESA CENTRO LEVE (INOX ACET) PORCELATO STEEL CORTEN - 1,2x0,6x0,3H</v>
          </cell>
          <cell r="Y4682">
            <v>10625</v>
          </cell>
          <cell r="Z4682">
            <v>0</v>
          </cell>
          <cell r="AA4682">
            <v>10625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3</v>
          </cell>
          <cell r="O4683">
            <v>204387</v>
          </cell>
          <cell r="P4683"/>
          <cell r="Q4683" t="str">
            <v>EST MESA LATERAL CAE (FREIJO NATURAL)</v>
          </cell>
          <cell r="R4683"/>
          <cell r="S4683"/>
          <cell r="T4683">
            <v>0.8</v>
          </cell>
          <cell r="U4683">
            <v>0.54</v>
          </cell>
          <cell r="V4683">
            <v>0.52</v>
          </cell>
          <cell r="W4683">
            <v>0</v>
          </cell>
          <cell r="X4683" t="str">
            <v>EST MESA LATERAL CAE (FREIJO NATURAL) - 0,8x0,54x0,52H</v>
          </cell>
          <cell r="Y4683">
            <v>0</v>
          </cell>
          <cell r="Z4683">
            <v>0.35</v>
          </cell>
          <cell r="AA4683">
            <v>0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0</v>
          </cell>
          <cell r="O4684">
            <v>204524</v>
          </cell>
          <cell r="P4684" t="str">
            <v>2016/321-0045-01</v>
          </cell>
          <cell r="Q4684" t="str">
            <v>EST MESA LATERAL BASILICA CARV NAT/TP LC BRIL BRANCO</v>
          </cell>
          <cell r="R4684"/>
          <cell r="S4684"/>
          <cell r="T4684">
            <v>0.25</v>
          </cell>
          <cell r="U4684">
            <v>0</v>
          </cell>
          <cell r="V4684">
            <v>0.48</v>
          </cell>
          <cell r="W4684">
            <v>0.25</v>
          </cell>
          <cell r="X4684" t="str">
            <v>EST MESA LATERAL BASILICA CARV NAT/TP LC BRIL BRANCO - Ø0,25x0,48H</v>
          </cell>
          <cell r="Y4684">
            <v>2333.1799999999998</v>
          </cell>
          <cell r="Z4684">
            <v>0.35</v>
          </cell>
          <cell r="AA4684">
            <v>1516.567</v>
          </cell>
          <cell r="AB4684"/>
        </row>
        <row r="4685">
          <cell r="C4685">
            <v>0</v>
          </cell>
          <cell r="D4685">
            <v>1</v>
          </cell>
          <cell r="E4685">
            <v>0</v>
          </cell>
          <cell r="F4685">
            <v>0</v>
          </cell>
          <cell r="H4685">
            <v>0</v>
          </cell>
          <cell r="O4685">
            <v>206605</v>
          </cell>
          <cell r="P4685" t="str">
            <v>2020/276-0122-01</v>
          </cell>
          <cell r="Q4685" t="str">
            <v>EST MESA CENTRO LEED H26 (LAMINA CARV ESTONADO) (S/VIDRO)</v>
          </cell>
          <cell r="R4685"/>
          <cell r="S4685"/>
          <cell r="T4685">
            <v>2</v>
          </cell>
          <cell r="U4685">
            <v>0.7</v>
          </cell>
          <cell r="V4685">
            <v>0.26</v>
          </cell>
          <cell r="W4685">
            <v>0</v>
          </cell>
          <cell r="X4685" t="str">
            <v>EST MESA CENTRO LEED H26 (LAMINA CARV ESTONADO) (S/VIDRO) - 2x0,7x0,26H</v>
          </cell>
          <cell r="Y4685">
            <v>24933.75</v>
          </cell>
          <cell r="Z4685">
            <v>0.5</v>
          </cell>
          <cell r="AA4685">
            <v>12466.875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0</v>
          </cell>
          <cell r="O4686">
            <v>210388</v>
          </cell>
          <cell r="P4686" t="str">
            <v>2017/187-0026-01</v>
          </cell>
          <cell r="Q4686" t="str">
            <v>EST BANQUETA BAR ZIG C/B (MISTA 520A/TELA SXT NT) NATURAL</v>
          </cell>
          <cell r="R4686"/>
          <cell r="S4686"/>
          <cell r="T4686">
            <v>0.53</v>
          </cell>
          <cell r="U4686">
            <v>0.54</v>
          </cell>
          <cell r="V4686">
            <v>1.05</v>
          </cell>
          <cell r="W4686">
            <v>0</v>
          </cell>
          <cell r="X4686" t="str">
            <v>EST BANQUETA BAR ZIG C/B (MISTA 520A/TELA SXT NT) NATURAL - 0,53x0,54x1,05H</v>
          </cell>
          <cell r="Y4686">
            <v>4829.8900000000003</v>
          </cell>
          <cell r="Z4686">
            <v>0.5</v>
          </cell>
          <cell r="AA4686">
            <v>2414.9450000000002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210389</v>
          </cell>
          <cell r="P4687" t="str">
            <v>2017/187-0027-01</v>
          </cell>
          <cell r="Q4687" t="str">
            <v>EST BANQUETA BAR ZIG (MISTA 520A/TELA SXT NT) NATURAL</v>
          </cell>
          <cell r="R4687"/>
          <cell r="S4687"/>
          <cell r="T4687">
            <v>0.5</v>
          </cell>
          <cell r="U4687">
            <v>0.51</v>
          </cell>
          <cell r="V4687">
            <v>1.05</v>
          </cell>
          <cell r="W4687">
            <v>0</v>
          </cell>
          <cell r="X4687" t="str">
            <v>EST BANQUETA BAR ZIG (MISTA 520A/TELA SXT NT) NATURAL - 0,5x0,51x1,05H</v>
          </cell>
          <cell r="Y4687">
            <v>4336.6400000000003</v>
          </cell>
          <cell r="Z4687">
            <v>0.5</v>
          </cell>
          <cell r="AA4687">
            <v>2168.3200000000002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0</v>
          </cell>
          <cell r="O4688">
            <v>210438</v>
          </cell>
          <cell r="P4688" t="str">
            <v>2017/181-0069-01</v>
          </cell>
          <cell r="Q4688" t="str">
            <v>EST MESA LATERAL DUOMO (LACA BRILHO BRANCA)</v>
          </cell>
          <cell r="R4688"/>
          <cell r="S4688"/>
          <cell r="T4688">
            <v>0.5</v>
          </cell>
          <cell r="U4688">
            <v>0</v>
          </cell>
          <cell r="V4688">
            <v>0.5</v>
          </cell>
          <cell r="W4688">
            <v>0.5</v>
          </cell>
          <cell r="X4688" t="str">
            <v>EST MESA LATERAL DUOMO (LACA BRILHO BRANCA) - Ø0,5x0,5H</v>
          </cell>
          <cell r="Y4688">
            <v>10214.4</v>
          </cell>
          <cell r="Z4688">
            <v>0.5</v>
          </cell>
          <cell r="AA4688">
            <v>5107.2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212966</v>
          </cell>
          <cell r="P4689"/>
          <cell r="Q4689" t="str">
            <v>EST MESA JANTAR OBLONGO (CABREUVA) ALTERNADO PTO FSC</v>
          </cell>
          <cell r="R4689"/>
          <cell r="S4689"/>
          <cell r="T4689">
            <v>3</v>
          </cell>
          <cell r="U4689">
            <v>1.1000000000000001</v>
          </cell>
          <cell r="V4689">
            <v>0.74</v>
          </cell>
          <cell r="W4689">
            <v>0</v>
          </cell>
          <cell r="X4689" t="str">
            <v>EST MESA JANTAR OBLONGO (CABREUVA) ALTERNADO PTO FSC - 3x1,1x0,74H</v>
          </cell>
          <cell r="Y4689">
            <v>0</v>
          </cell>
          <cell r="Z4689">
            <v>0.35</v>
          </cell>
          <cell r="AA4689">
            <v>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1</v>
          </cell>
          <cell r="O4690">
            <v>214325</v>
          </cell>
          <cell r="P4690" t="str">
            <v>2017/164-0166-01</v>
          </cell>
          <cell r="Q4690" t="str">
            <v>EST MESA LATERAL HOOP (RESINA BRANCA) (PES INOX)</v>
          </cell>
          <cell r="R4690"/>
          <cell r="S4690"/>
          <cell r="T4690">
            <v>0.6</v>
          </cell>
          <cell r="U4690">
            <v>0.4</v>
          </cell>
          <cell r="V4690">
            <v>0.4</v>
          </cell>
          <cell r="W4690">
            <v>0</v>
          </cell>
          <cell r="X4690" t="str">
            <v>EST MESA LATERAL HOOP (RESINA BRANCA) (PES INOX) - 0,6x0,4x0,4H</v>
          </cell>
          <cell r="Y4690">
            <v>15926.66</v>
          </cell>
          <cell r="Z4690">
            <v>0</v>
          </cell>
          <cell r="AA4690">
            <v>15926.66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217306</v>
          </cell>
          <cell r="P4691" t="str">
            <v>2017/292-0008-01</v>
          </cell>
          <cell r="Q4691" t="str">
            <v>EST CADEIRA MAIA SMALL (M005) TC T002</v>
          </cell>
          <cell r="R4691"/>
          <cell r="S4691"/>
          <cell r="T4691">
            <v>0.48</v>
          </cell>
          <cell r="U4691">
            <v>0.45</v>
          </cell>
          <cell r="V4691">
            <v>0.87</v>
          </cell>
          <cell r="W4691">
            <v>0</v>
          </cell>
          <cell r="X4691" t="str">
            <v>EST CADEIRA MAIA SMALL (M005) TC T002 - 0,48x0,45x0,87H</v>
          </cell>
          <cell r="Y4691">
            <v>3578.4</v>
          </cell>
          <cell r="Z4691">
            <v>0.35</v>
          </cell>
          <cell r="AA4691">
            <v>2325.96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1</v>
          </cell>
          <cell r="O4692">
            <v>217632</v>
          </cell>
          <cell r="P4692"/>
          <cell r="Q4692" t="str">
            <v>EST MESA LATERAL MAIS (C/ABAS) (FREIJO ESC) (GRANITO VERDE)</v>
          </cell>
          <cell r="R4692"/>
          <cell r="S4692"/>
          <cell r="T4692">
            <v>0.83</v>
          </cell>
          <cell r="U4692">
            <v>0.49</v>
          </cell>
          <cell r="V4692">
            <v>0.5</v>
          </cell>
          <cell r="W4692">
            <v>0</v>
          </cell>
          <cell r="X4692" t="str">
            <v>EST MESA LATERAL MAIS (C/ABAS) (FREIJO ESC) (GRANITO VERDE) - 0,83x0,49x0,5H</v>
          </cell>
          <cell r="Y4692">
            <v>0</v>
          </cell>
          <cell r="Z4692">
            <v>0.35</v>
          </cell>
          <cell r="AA4692">
            <v>0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1</v>
          </cell>
          <cell r="O4693">
            <v>219074</v>
          </cell>
          <cell r="P4693" t="str">
            <v>2018/029-0076-01</v>
          </cell>
          <cell r="Q4693" t="str">
            <v>EST MESA LATERAL IPANEMA (CINAMOMO CASTANHO C/CRISTAL PRETO)</v>
          </cell>
          <cell r="R4693"/>
          <cell r="S4693"/>
          <cell r="T4693">
            <v>0.77</v>
          </cell>
          <cell r="U4693">
            <v>0</v>
          </cell>
          <cell r="V4693">
            <v>0.7</v>
          </cell>
          <cell r="W4693">
            <v>0</v>
          </cell>
          <cell r="X4693" t="str">
            <v>EST MESA LATERAL IPANEMA (CINAMOMO CASTANHO C/CRISTAL PRETO) - Ø0x0,7H</v>
          </cell>
          <cell r="Y4693">
            <v>7235.02</v>
          </cell>
          <cell r="Z4693">
            <v>0.5</v>
          </cell>
          <cell r="AA4693">
            <v>3617.51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1</v>
          </cell>
          <cell r="O4694">
            <v>222691</v>
          </cell>
          <cell r="P4694"/>
          <cell r="Q4694" t="str">
            <v>EST BANQUETA VRONKA (MAD B COR 05) TC EL MEDA GREY</v>
          </cell>
          <cell r="R4694"/>
          <cell r="S4694"/>
          <cell r="T4694">
            <v>0.74</v>
          </cell>
          <cell r="U4694">
            <v>0.52</v>
          </cell>
          <cell r="V4694">
            <v>0.42</v>
          </cell>
          <cell r="W4694">
            <v>0</v>
          </cell>
          <cell r="X4694" t="str">
            <v>EST BANQUETA VRONKA (MAD B COR 05) TC EL MEDA GREY - 0,74x0,52x0,42H</v>
          </cell>
          <cell r="Y4694">
            <v>0</v>
          </cell>
          <cell r="Z4694">
            <v>0.35</v>
          </cell>
          <cell r="AA4694">
            <v>0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222692</v>
          </cell>
          <cell r="P4695"/>
          <cell r="Q4695" t="str">
            <v>EST POLTRONA VRONKA (MAD B COR 05) TC EL MEDA GREY</v>
          </cell>
          <cell r="R4695"/>
          <cell r="S4695"/>
          <cell r="T4695">
            <v>0.74</v>
          </cell>
          <cell r="U4695">
            <v>0.91</v>
          </cell>
          <cell r="V4695">
            <v>0.93</v>
          </cell>
          <cell r="W4695">
            <v>0</v>
          </cell>
          <cell r="X4695" t="str">
            <v>EST POLTRONA VRONKA (MAD B COR 05) TC EL MEDA GREY - 0,74x0,91x0,93H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0</v>
          </cell>
          <cell r="O4696">
            <v>223313</v>
          </cell>
          <cell r="P4696"/>
          <cell r="Q4696" t="str">
            <v>EST PENDENTE PONTO LATAO 220V</v>
          </cell>
          <cell r="R4696"/>
          <cell r="S4696"/>
          <cell r="T4696">
            <v>0.06</v>
          </cell>
          <cell r="U4696">
            <v>0</v>
          </cell>
          <cell r="V4696">
            <v>0.17</v>
          </cell>
          <cell r="W4696">
            <v>0</v>
          </cell>
          <cell r="X4696" t="str">
            <v>EST PENDENTE PONTO LATAO 220V - Ø0x0,17H</v>
          </cell>
          <cell r="Y4696">
            <v>2755.2</v>
          </cell>
          <cell r="Z4696">
            <v>0.5</v>
          </cell>
          <cell r="AA4696">
            <v>1377.6</v>
          </cell>
          <cell r="AB4696"/>
        </row>
        <row r="4697">
          <cell r="C4697">
            <v>2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223320</v>
          </cell>
          <cell r="P4697" t="str">
            <v>2021/029-0022-01</v>
          </cell>
          <cell r="Q4697" t="str">
            <v>EST POLTRONA ALE (LAM CARV PT) (PREMIUM CARAM ENV) SOLETA PT</v>
          </cell>
          <cell r="R4697"/>
          <cell r="S4697"/>
          <cell r="T4697">
            <v>0.72</v>
          </cell>
          <cell r="U4697">
            <v>0.65</v>
          </cell>
          <cell r="V4697">
            <v>0.73</v>
          </cell>
          <cell r="W4697">
            <v>0</v>
          </cell>
          <cell r="X4697" t="str">
            <v>EST POLTRONA ALE (LAM CARV PT) (PREMIUM CARAM ENV) SOLETA PT - 0,72x0,65x0,73H</v>
          </cell>
          <cell r="Y4697">
            <v>15141.37</v>
          </cell>
          <cell r="Z4697">
            <v>0.5</v>
          </cell>
          <cell r="AA4697">
            <v>7570.6850000000004</v>
          </cell>
          <cell r="AB4697"/>
        </row>
        <row r="4698">
          <cell r="C4698">
            <v>9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223323</v>
          </cell>
          <cell r="P4698" t="str">
            <v>2019/044-0124-01</v>
          </cell>
          <cell r="Q4698" t="str">
            <v>EST CADEIRA MOI (LAM CARV PT) (TC LISO WHITE MIX)</v>
          </cell>
          <cell r="R4698"/>
          <cell r="S4698"/>
          <cell r="T4698">
            <v>0.48</v>
          </cell>
          <cell r="U4698">
            <v>0.56999999999999995</v>
          </cell>
          <cell r="V4698">
            <v>0.82</v>
          </cell>
          <cell r="W4698">
            <v>0</v>
          </cell>
          <cell r="X4698" t="str">
            <v>EST CADEIRA MOI (LAM CARV PT) (TC LISO WHITE MIX) - 0,48x0,57x0,82H</v>
          </cell>
          <cell r="Y4698">
            <v>9101.7900000000009</v>
          </cell>
          <cell r="Z4698">
            <v>0.5</v>
          </cell>
          <cell r="AA4698">
            <v>4550.8950000000004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0</v>
          </cell>
          <cell r="O4699">
            <v>223381</v>
          </cell>
          <cell r="P4699"/>
          <cell r="Q4699" t="str">
            <v>EST LUMINARIA JARDIM (LANTERNA) (LATAO) (BRILHO 110V)</v>
          </cell>
          <cell r="R4699"/>
          <cell r="S4699"/>
          <cell r="T4699">
            <v>0.4</v>
          </cell>
          <cell r="U4699">
            <v>0</v>
          </cell>
          <cell r="V4699">
            <v>0.6</v>
          </cell>
          <cell r="W4699">
            <v>0.4</v>
          </cell>
          <cell r="X4699" t="str">
            <v>EST LUMINARIA JARDIM (LANTERNA) (LATAO) (BRILHO 110V) - Ø0,4x0,6H</v>
          </cell>
          <cell r="Y4699">
            <v>8064</v>
          </cell>
          <cell r="Z4699">
            <v>0.5</v>
          </cell>
          <cell r="AA4699">
            <v>4032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1</v>
          </cell>
          <cell r="O4700">
            <v>223396</v>
          </cell>
          <cell r="P4700" t="str">
            <v>2018/214-0021-01</v>
          </cell>
          <cell r="Q4700" t="str">
            <v>EST MESA LATERAL MUD (PAU FERRO PRE COMP) (PRETO FSC)</v>
          </cell>
          <cell r="R4700"/>
          <cell r="S4700"/>
          <cell r="T4700">
            <v>0.7</v>
          </cell>
          <cell r="U4700">
            <v>0</v>
          </cell>
          <cell r="V4700">
            <v>0.61</v>
          </cell>
          <cell r="W4700">
            <v>0.7</v>
          </cell>
          <cell r="X4700" t="str">
            <v>EST MESA LATERAL MUD (PAU FERRO PRE COMP) (PRETO FSC) - Ø0,7x0,61H</v>
          </cell>
          <cell r="Y4700">
            <v>5353.6</v>
          </cell>
          <cell r="Z4700">
            <v>0.5</v>
          </cell>
          <cell r="AA4700">
            <v>2676.8</v>
          </cell>
          <cell r="AB4700"/>
        </row>
        <row r="4701"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H4701">
            <v>0</v>
          </cell>
          <cell r="O4701">
            <v>223734</v>
          </cell>
          <cell r="P4701"/>
          <cell r="Q4701" t="str">
            <v>EST CADEIRA DINNA 145 (IMBUIA MEL) (TING NOG) (VELUDO NAT)</v>
          </cell>
          <cell r="R4701"/>
          <cell r="S4701"/>
          <cell r="T4701">
            <v>0.54</v>
          </cell>
          <cell r="U4701">
            <v>0.56000000000000005</v>
          </cell>
          <cell r="V4701">
            <v>0.86</v>
          </cell>
          <cell r="W4701">
            <v>0</v>
          </cell>
          <cell r="X4701" t="str">
            <v>EST CADEIRA DINNA 145 (IMBUIA MEL) (TING NOG) (VELUDO NAT) - 0,54x0,56x0,86H</v>
          </cell>
          <cell r="Y4701">
            <v>4614.3999999999996</v>
          </cell>
          <cell r="Z4701">
            <v>0.5</v>
          </cell>
          <cell r="AA4701">
            <v>2307.1999999999998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226066</v>
          </cell>
          <cell r="P4702" t="str">
            <v>2018/281-0063-01</v>
          </cell>
          <cell r="Q4702" t="str">
            <v>EST LUMINARIA XINGU JEQUITIBA CUPULA LINHO PRETA</v>
          </cell>
          <cell r="R4702"/>
          <cell r="S4702"/>
          <cell r="T4702">
            <v>0.55000000000000004</v>
          </cell>
          <cell r="U4702">
            <v>0</v>
          </cell>
          <cell r="V4702">
            <v>1.8</v>
          </cell>
          <cell r="W4702">
            <v>0.55000000000000004</v>
          </cell>
          <cell r="X4702" t="str">
            <v>EST LUMINARIA XINGU JEQUITIBA CUPULA LINHO PRETA - Ø0,55x1,8H</v>
          </cell>
          <cell r="Y4702">
            <v>11208.96</v>
          </cell>
          <cell r="Z4702">
            <v>0.5</v>
          </cell>
          <cell r="AA4702">
            <v>5604.48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0</v>
          </cell>
          <cell r="O4703">
            <v>226597</v>
          </cell>
          <cell r="P4703"/>
          <cell r="Q4703" t="str">
            <v>EST CADEIRA EVO C/BRACO (TAP DISTRESS 20363) MAD MEL CLARO</v>
          </cell>
          <cell r="R4703"/>
          <cell r="S4703"/>
          <cell r="T4703">
            <v>0.53</v>
          </cell>
          <cell r="U4703">
            <v>0.47</v>
          </cell>
          <cell r="V4703">
            <v>0.82</v>
          </cell>
          <cell r="W4703">
            <v>0</v>
          </cell>
          <cell r="X4703" t="str">
            <v>EST CADEIRA EVO C/BRACO (TAP DISTRESS 20363) MAD MEL CLARO - 0,53x0,47x0,82H</v>
          </cell>
          <cell r="Y4703">
            <v>6988.67</v>
          </cell>
          <cell r="Z4703">
            <v>0.35</v>
          </cell>
          <cell r="AA4703">
            <v>4542.6355000000003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230438</v>
          </cell>
          <cell r="P4704" t="str">
            <v>2021/026-0062-01</v>
          </cell>
          <cell r="Q4704" t="str">
            <v>EST MESA LATERAL 3D TP PAU FERRO/PINT PRETO</v>
          </cell>
          <cell r="R4704"/>
          <cell r="S4704"/>
          <cell r="T4704">
            <v>0.65</v>
          </cell>
          <cell r="U4704">
            <v>0</v>
          </cell>
          <cell r="V4704">
            <v>0.49</v>
          </cell>
          <cell r="W4704">
            <v>0.65</v>
          </cell>
          <cell r="X4704" t="str">
            <v>EST MESA LATERAL 3D TP PAU FERRO/PINT PRETO - Ø0,65x0,49H</v>
          </cell>
          <cell r="Y4704">
            <v>6073.04</v>
          </cell>
          <cell r="Z4704">
            <v>0.5</v>
          </cell>
          <cell r="AA4704">
            <v>3036.52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231135</v>
          </cell>
          <cell r="P4705" t="str">
            <v>2019/035-0053-01</v>
          </cell>
          <cell r="Q4705" t="str">
            <v>EST MESA LATERAL JOAQUINA (A) GOF RATO 242/BS PRETA</v>
          </cell>
          <cell r="R4705"/>
          <cell r="S4705"/>
          <cell r="T4705">
            <v>0.55000000000000004</v>
          </cell>
          <cell r="U4705">
            <v>0.45</v>
          </cell>
          <cell r="V4705">
            <v>0.35</v>
          </cell>
          <cell r="W4705">
            <v>0</v>
          </cell>
          <cell r="X4705" t="str">
            <v>EST MESA LATERAL JOAQUINA (A) GOF RATO 242/BS PRETA - 0,55x0,45x0,35H</v>
          </cell>
          <cell r="Y4705">
            <v>5398.31</v>
          </cell>
          <cell r="Z4705">
            <v>0.5</v>
          </cell>
          <cell r="AA4705">
            <v>2699.1550000000002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231138</v>
          </cell>
          <cell r="P4706" t="str">
            <v>2019/035-0055-01</v>
          </cell>
          <cell r="Q4706" t="str">
            <v>EST MESA LATERAL JOAQUINA (C) GOF ARGI 240/BS PRETA</v>
          </cell>
          <cell r="R4706"/>
          <cell r="S4706"/>
          <cell r="T4706">
            <v>0.4</v>
          </cell>
          <cell r="U4706">
            <v>0.4</v>
          </cell>
          <cell r="V4706">
            <v>0.55000000000000004</v>
          </cell>
          <cell r="W4706">
            <v>0</v>
          </cell>
          <cell r="X4706" t="str">
            <v>EST MESA LATERAL JOAQUINA (C) GOF ARGI 240/BS PRETA - 0,4x0,4x0,55H</v>
          </cell>
          <cell r="Y4706">
            <v>3960.32</v>
          </cell>
          <cell r="Z4706">
            <v>0.5</v>
          </cell>
          <cell r="AA4706">
            <v>1980.16</v>
          </cell>
          <cell r="AB4706"/>
        </row>
        <row r="4707">
          <cell r="C4707" t="e">
            <v>#N/A</v>
          </cell>
          <cell r="D4707" t="e">
            <v>#N/A</v>
          </cell>
          <cell r="E4707" t="e">
            <v>#N/A</v>
          </cell>
          <cell r="F4707" t="e">
            <v>#N/A</v>
          </cell>
          <cell r="H4707" t="e">
            <v>#N/A</v>
          </cell>
          <cell r="O4707">
            <v>231882</v>
          </cell>
          <cell r="P4707"/>
          <cell r="Q4707" t="e">
            <v>#N/A</v>
          </cell>
          <cell r="R4707"/>
          <cell r="S4707"/>
          <cell r="T4707" t="e">
            <v>#N/A</v>
          </cell>
          <cell r="U4707" t="e">
            <v>#N/A</v>
          </cell>
          <cell r="V4707" t="e">
            <v>#N/A</v>
          </cell>
          <cell r="W4707" t="e">
            <v>#N/A</v>
          </cell>
          <cell r="X4707" t="e">
            <v>#N/A</v>
          </cell>
          <cell r="Y4707">
            <v>0</v>
          </cell>
          <cell r="Z4707">
            <v>0.35</v>
          </cell>
          <cell r="AA4707">
            <v>0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0</v>
          </cell>
          <cell r="O4708">
            <v>232000</v>
          </cell>
          <cell r="P4708"/>
          <cell r="Q4708" t="str">
            <v>EST MESA LATERAL MUD (PAU FERRO PRE COMP BRILHO) (PRETO FSC)</v>
          </cell>
          <cell r="R4708"/>
          <cell r="S4708"/>
          <cell r="T4708">
            <v>0.6</v>
          </cell>
          <cell r="U4708">
            <v>0</v>
          </cell>
          <cell r="V4708">
            <v>0.61</v>
          </cell>
          <cell r="W4708">
            <v>0.6</v>
          </cell>
          <cell r="X4708" t="str">
            <v>EST MESA LATERAL MUD (PAU FERRO PRE COMP BRILHO) (PRETO FSC) - Ø0,6x0,61H</v>
          </cell>
          <cell r="Y4708">
            <v>6048</v>
          </cell>
          <cell r="Z4708">
            <v>0.35</v>
          </cell>
          <cell r="AA4708">
            <v>3931.2000000000003</v>
          </cell>
          <cell r="AB4708"/>
        </row>
        <row r="4709">
          <cell r="C4709">
            <v>0</v>
          </cell>
          <cell r="D4709">
            <v>0</v>
          </cell>
          <cell r="E4709">
            <v>1</v>
          </cell>
          <cell r="F4709">
            <v>0</v>
          </cell>
          <cell r="H4709">
            <v>1</v>
          </cell>
          <cell r="O4709">
            <v>232001</v>
          </cell>
          <cell r="P4709" t="str">
            <v>2019/091-0034-01</v>
          </cell>
          <cell r="Q4709" t="str">
            <v>EST MESA LATERAL MUD (PAU FERRO PRE COMP) (PRETO FSC)</v>
          </cell>
          <cell r="R4709"/>
          <cell r="S4709"/>
          <cell r="T4709">
            <v>0.7</v>
          </cell>
          <cell r="U4709">
            <v>0</v>
          </cell>
          <cell r="V4709">
            <v>0.61</v>
          </cell>
          <cell r="W4709">
            <v>0.7</v>
          </cell>
          <cell r="X4709" t="str">
            <v>EST MESA LATERAL MUD (PAU FERRO PRE COMP) (PRETO FSC) - Ø0,7x0,61H</v>
          </cell>
          <cell r="Y4709">
            <v>5353.6</v>
          </cell>
          <cell r="Z4709">
            <v>0.5</v>
          </cell>
          <cell r="AA4709">
            <v>2676.8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233160</v>
          </cell>
          <cell r="P4710" t="str">
            <v>2019/105-0080-01</v>
          </cell>
          <cell r="Q4710" t="str">
            <v>EST PUFF UFO Ø60 TC C3079/ZIPER PRETO</v>
          </cell>
          <cell r="R4710"/>
          <cell r="S4710"/>
          <cell r="T4710">
            <v>0.6</v>
          </cell>
          <cell r="U4710">
            <v>0</v>
          </cell>
          <cell r="V4710">
            <v>0.44</v>
          </cell>
          <cell r="W4710">
            <v>0.6</v>
          </cell>
          <cell r="X4710" t="str">
            <v>EST PUFF UFO Ø60 TC C3079/ZIPER PRETO - Ø0,6x0,44H</v>
          </cell>
          <cell r="Y4710">
            <v>4215.1899999999996</v>
          </cell>
          <cell r="Z4710">
            <v>0.5</v>
          </cell>
          <cell r="AA4710">
            <v>2107.5949999999998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233531</v>
          </cell>
          <cell r="P4711" t="str">
            <v>2019/120-0129-01</v>
          </cell>
          <cell r="Q4711" t="str">
            <v>EST CADEIRA CLAD C/BRACO (TAUARI TINGIDO FROST)</v>
          </cell>
          <cell r="R4711"/>
          <cell r="S4711"/>
          <cell r="T4711">
            <v>0.53</v>
          </cell>
          <cell r="U4711">
            <v>0.56999999999999995</v>
          </cell>
          <cell r="V4711">
            <v>0.77</v>
          </cell>
          <cell r="W4711">
            <v>0</v>
          </cell>
          <cell r="X4711" t="str">
            <v>EST CADEIRA CLAD C/BRACO (TAUARI TINGIDO FROST) - 0,53x0,57x0,77H</v>
          </cell>
          <cell r="Y4711">
            <v>10315.83</v>
          </cell>
          <cell r="Z4711">
            <v>0.5</v>
          </cell>
          <cell r="AA4711">
            <v>5157.915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233554</v>
          </cell>
          <cell r="P4712" t="str">
            <v>2019/149-0091-01</v>
          </cell>
          <cell r="Q4712" t="str">
            <v>EST MESA CENTRO BIZZET (GANE LP 903)</v>
          </cell>
          <cell r="R4712"/>
          <cell r="S4712"/>
          <cell r="T4712">
            <v>0.7</v>
          </cell>
          <cell r="U4712">
            <v>0</v>
          </cell>
          <cell r="V4712">
            <v>0.35</v>
          </cell>
          <cell r="W4712">
            <v>0.7</v>
          </cell>
          <cell r="X4712" t="str">
            <v>EST MESA CENTRO BIZZET (GANE LP 903) - Ø0,7x0,35H</v>
          </cell>
          <cell r="Y4712">
            <v>9735.0400000000009</v>
          </cell>
          <cell r="Z4712">
            <v>0</v>
          </cell>
          <cell r="AA4712">
            <v>9735.0400000000009</v>
          </cell>
          <cell r="AB4712"/>
        </row>
        <row r="4713">
          <cell r="C4713">
            <v>1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233669</v>
          </cell>
          <cell r="P4713" t="str">
            <v>2019/151-0126-01</v>
          </cell>
          <cell r="Q4713" t="str">
            <v>EST PUFF DINN (CARVALHO CARBONO) COURO BLACK 7</v>
          </cell>
          <cell r="R4713"/>
          <cell r="S4713"/>
          <cell r="T4713">
            <v>1.5</v>
          </cell>
          <cell r="U4713">
            <v>0.7</v>
          </cell>
          <cell r="V4713">
            <v>0.4</v>
          </cell>
          <cell r="W4713">
            <v>0</v>
          </cell>
          <cell r="X4713" t="str">
            <v>EST PUFF DINN (CARVALHO CARBONO) COURO BLACK 7 - 1,5x0,7x0,4H</v>
          </cell>
          <cell r="Y4713">
            <v>26880.01</v>
          </cell>
          <cell r="Z4713">
            <v>0.5</v>
          </cell>
          <cell r="AA4713">
            <v>13440.004999999999</v>
          </cell>
          <cell r="AB4713"/>
        </row>
        <row r="4714">
          <cell r="C4714">
            <v>0</v>
          </cell>
          <cell r="D4714">
            <v>0</v>
          </cell>
          <cell r="E4714">
            <v>0</v>
          </cell>
          <cell r="F4714">
            <v>0</v>
          </cell>
          <cell r="H4714">
            <v>0</v>
          </cell>
          <cell r="O4714">
            <v>234070</v>
          </cell>
          <cell r="P4714" t="str">
            <v>2019/143-0090-01</v>
          </cell>
          <cell r="Q4714" t="str">
            <v>EST CADEIRA GOLF C/BRACO (TING EBANIZ/TELA SEXT NAT) TC213</v>
          </cell>
          <cell r="R4714"/>
          <cell r="S4714"/>
          <cell r="T4714">
            <v>0.59</v>
          </cell>
          <cell r="U4714">
            <v>0.6</v>
          </cell>
          <cell r="V4714">
            <v>0.9</v>
          </cell>
          <cell r="W4714">
            <v>0</v>
          </cell>
          <cell r="X4714" t="str">
            <v>EST CADEIRA GOLF C/BRACO (TING EBANIZ/TELA SEXT NAT) TC213 - 0,59x0,6x0,9H</v>
          </cell>
          <cell r="Y4714">
            <v>4519.0200000000004</v>
          </cell>
          <cell r="Z4714">
            <v>0.35</v>
          </cell>
          <cell r="AA4714">
            <v>2937.3630000000003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234070</v>
          </cell>
          <cell r="P4715" t="str">
            <v>2019/143-0091-01</v>
          </cell>
          <cell r="Q4715" t="str">
            <v>EST CADEIRA GOLF C/BRACO (TING EBANIZ/TELA SEXT NAT) TC213</v>
          </cell>
          <cell r="R4715"/>
          <cell r="S4715"/>
          <cell r="T4715">
            <v>0.59</v>
          </cell>
          <cell r="U4715">
            <v>0.6</v>
          </cell>
          <cell r="V4715">
            <v>0.9</v>
          </cell>
          <cell r="W4715">
            <v>0</v>
          </cell>
          <cell r="X4715" t="str">
            <v>EST CADEIRA GOLF C/BRACO (TING EBANIZ/TELA SEXT NAT) TC213 - 0,59x0,6x0,9H</v>
          </cell>
          <cell r="Y4715">
            <v>4519.0200000000004</v>
          </cell>
          <cell r="Z4715">
            <v>0.35</v>
          </cell>
          <cell r="AA4715">
            <v>2937.3630000000003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0</v>
          </cell>
          <cell r="O4716">
            <v>234070</v>
          </cell>
          <cell r="P4716" t="str">
            <v>2020/205-0029-01</v>
          </cell>
          <cell r="Q4716" t="str">
            <v>EST CADEIRA GOLF C/BRACO (TING EBANIZ/TELA SEXT NAT) TC213</v>
          </cell>
          <cell r="R4716"/>
          <cell r="S4716"/>
          <cell r="T4716">
            <v>0.59</v>
          </cell>
          <cell r="U4716">
            <v>0.6</v>
          </cell>
          <cell r="V4716">
            <v>0.9</v>
          </cell>
          <cell r="W4716">
            <v>0</v>
          </cell>
          <cell r="X4716" t="str">
            <v>EST CADEIRA GOLF C/BRACO (TING EBANIZ/TELA SEXT NAT) TC213 - 0,59x0,6x0,9H</v>
          </cell>
          <cell r="Y4716">
            <v>4519.0200000000004</v>
          </cell>
          <cell r="Z4716">
            <v>0.35</v>
          </cell>
          <cell r="AA4716">
            <v>2937.3630000000003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234070</v>
          </cell>
          <cell r="P4717" t="str">
            <v>2020/205-0030-01</v>
          </cell>
          <cell r="Q4717" t="str">
            <v>EST CADEIRA GOLF C/BRACO (TING EBANIZ/TELA SEXT NAT) TC213</v>
          </cell>
          <cell r="R4717"/>
          <cell r="S4717"/>
          <cell r="T4717">
            <v>0.59</v>
          </cell>
          <cell r="U4717">
            <v>0.6</v>
          </cell>
          <cell r="V4717">
            <v>0.9</v>
          </cell>
          <cell r="W4717">
            <v>0</v>
          </cell>
          <cell r="X4717" t="str">
            <v>EST CADEIRA GOLF C/BRACO (TING EBANIZ/TELA SEXT NAT) TC213 - 0,59x0,6x0,9H</v>
          </cell>
          <cell r="Y4717">
            <v>4519.0200000000004</v>
          </cell>
          <cell r="Z4717">
            <v>0.35</v>
          </cell>
          <cell r="AA4717">
            <v>2937.3630000000003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234070</v>
          </cell>
          <cell r="P4718" t="str">
            <v>2020/205-0031-01</v>
          </cell>
          <cell r="Q4718" t="str">
            <v>EST CADEIRA GOLF C/BRACO (TING EBANIZ/TELA SEXT NAT) TC213</v>
          </cell>
          <cell r="R4718"/>
          <cell r="S4718"/>
          <cell r="T4718">
            <v>0.59</v>
          </cell>
          <cell r="U4718">
            <v>0.6</v>
          </cell>
          <cell r="V4718">
            <v>0.9</v>
          </cell>
          <cell r="W4718">
            <v>0</v>
          </cell>
          <cell r="X4718" t="str">
            <v>EST CADEIRA GOLF C/BRACO (TING EBANIZ/TELA SEXT NAT) TC213 - 0,59x0,6x0,9H</v>
          </cell>
          <cell r="Y4718">
            <v>4519.0200000000004</v>
          </cell>
          <cell r="Z4718">
            <v>0.35</v>
          </cell>
          <cell r="AA4718">
            <v>2937.3630000000003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234070</v>
          </cell>
          <cell r="P4719" t="str">
            <v>2020/205-0032-01</v>
          </cell>
          <cell r="Q4719" t="str">
            <v>EST CADEIRA GOLF C/BRACO (TING EBANIZ/TELA SEXT NAT) TC213</v>
          </cell>
          <cell r="R4719"/>
          <cell r="S4719"/>
          <cell r="T4719">
            <v>0.59</v>
          </cell>
          <cell r="U4719">
            <v>0.6</v>
          </cell>
          <cell r="V4719">
            <v>0.9</v>
          </cell>
          <cell r="W4719">
            <v>0</v>
          </cell>
          <cell r="X4719" t="str">
            <v>EST CADEIRA GOLF C/BRACO (TING EBANIZ/TELA SEXT NAT) TC213 - 0,59x0,6x0,9H</v>
          </cell>
          <cell r="Y4719">
            <v>4519.0200000000004</v>
          </cell>
          <cell r="Z4719">
            <v>0.35</v>
          </cell>
          <cell r="AA4719">
            <v>2937.3630000000003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4</v>
          </cell>
          <cell r="O4720">
            <v>234733</v>
          </cell>
          <cell r="P4720" t="str">
            <v>2019/168-0039-01</v>
          </cell>
          <cell r="Q4720" t="str">
            <v>EST CADEIRA MOI (LAM CARV PT) (TC LISO WHITE MIX)</v>
          </cell>
          <cell r="R4720"/>
          <cell r="S4720"/>
          <cell r="T4720">
            <v>0.48</v>
          </cell>
          <cell r="U4720">
            <v>0.56999999999999995</v>
          </cell>
          <cell r="V4720">
            <v>0.82</v>
          </cell>
          <cell r="W4720">
            <v>0</v>
          </cell>
          <cell r="X4720" t="str">
            <v>EST CADEIRA MOI (LAM CARV PT) (TC LISO WHITE MIX) - 0,48x0,57x0,82H</v>
          </cell>
          <cell r="Y4720">
            <v>9101.7900000000009</v>
          </cell>
          <cell r="Z4720">
            <v>0.5</v>
          </cell>
          <cell r="AA4720">
            <v>4550.8950000000004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4</v>
          </cell>
          <cell r="O4721">
            <v>234733</v>
          </cell>
          <cell r="P4721" t="str">
            <v>2019/168-0040-01</v>
          </cell>
          <cell r="Q4721" t="str">
            <v>EST CADEIRA MOI (LAM CARV PT) (TC LISO WHITE MIX)</v>
          </cell>
          <cell r="R4721"/>
          <cell r="S4721"/>
          <cell r="T4721">
            <v>0.48</v>
          </cell>
          <cell r="U4721">
            <v>0.56999999999999995</v>
          </cell>
          <cell r="V4721">
            <v>0.82</v>
          </cell>
          <cell r="W4721">
            <v>0</v>
          </cell>
          <cell r="X4721" t="str">
            <v>EST CADEIRA MOI (LAM CARV PT) (TC LISO WHITE MIX) - 0,48x0,57x0,82H</v>
          </cell>
          <cell r="Y4721">
            <v>9101.7900000000009</v>
          </cell>
          <cell r="Z4721">
            <v>0.5</v>
          </cell>
          <cell r="AA4721">
            <v>4550.8950000000004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4</v>
          </cell>
          <cell r="O4722">
            <v>234733</v>
          </cell>
          <cell r="P4722" t="str">
            <v>2019/170-0002-01</v>
          </cell>
          <cell r="Q4722" t="str">
            <v>EST CADEIRA MOI (LAM CARV PT) (TC LISO WHITE MIX)</v>
          </cell>
          <cell r="R4722"/>
          <cell r="S4722"/>
          <cell r="T4722">
            <v>0.48</v>
          </cell>
          <cell r="U4722">
            <v>0.56999999999999995</v>
          </cell>
          <cell r="V4722">
            <v>0.82</v>
          </cell>
          <cell r="W4722">
            <v>0</v>
          </cell>
          <cell r="X4722" t="str">
            <v>EST CADEIRA MOI (LAM CARV PT) (TC LISO WHITE MIX) - 0,48x0,57x0,82H</v>
          </cell>
          <cell r="Y4722">
            <v>9101.7900000000009</v>
          </cell>
          <cell r="Z4722">
            <v>0.5</v>
          </cell>
          <cell r="AA4722">
            <v>4550.8950000000004</v>
          </cell>
          <cell r="AB4722"/>
        </row>
        <row r="4723"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H4723">
            <v>4</v>
          </cell>
          <cell r="O4723">
            <v>234733</v>
          </cell>
          <cell r="P4723" t="str">
            <v>2019/170-0007-01</v>
          </cell>
          <cell r="Q4723" t="str">
            <v>EST CADEIRA MOI (LAM CARV PT) (TC LISO WHITE MIX)</v>
          </cell>
          <cell r="R4723"/>
          <cell r="S4723"/>
          <cell r="T4723">
            <v>0.48</v>
          </cell>
          <cell r="U4723">
            <v>0.56999999999999995</v>
          </cell>
          <cell r="V4723">
            <v>0.82</v>
          </cell>
          <cell r="W4723">
            <v>0</v>
          </cell>
          <cell r="X4723" t="str">
            <v>EST CADEIRA MOI (LAM CARV PT) (TC LISO WHITE MIX) - 0,48x0,57x0,82H</v>
          </cell>
          <cell r="Y4723">
            <v>9101.7900000000009</v>
          </cell>
          <cell r="Z4723">
            <v>0.5</v>
          </cell>
          <cell r="AA4723">
            <v>4550.8950000000004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1</v>
          </cell>
          <cell r="O4724">
            <v>234735</v>
          </cell>
          <cell r="P4724" t="str">
            <v>2020/052-0027-01</v>
          </cell>
          <cell r="Q4724" t="str">
            <v>EST POLTRONA MOI (LAM FREIJO MEL) (TC LISO LINHO CINZA)</v>
          </cell>
          <cell r="R4724"/>
          <cell r="S4724"/>
          <cell r="T4724">
            <v>0.69</v>
          </cell>
          <cell r="U4724">
            <v>0.77</v>
          </cell>
          <cell r="V4724">
            <v>0.8</v>
          </cell>
          <cell r="W4724">
            <v>0</v>
          </cell>
          <cell r="X4724" t="str">
            <v>EST POLTRONA MOI (LAM FREIJO MEL) (TC LISO LINHO CINZA) - 0,69x0,77x0,8H</v>
          </cell>
          <cell r="Y4724">
            <v>13223.97</v>
          </cell>
          <cell r="Z4724">
            <v>0.5</v>
          </cell>
          <cell r="AA4724">
            <v>6611.9849999999997</v>
          </cell>
          <cell r="AB4724"/>
        </row>
        <row r="4725"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H4725">
            <v>1</v>
          </cell>
          <cell r="O4725">
            <v>250017</v>
          </cell>
          <cell r="P4725" t="str">
            <v>2019/224-0098-01</v>
          </cell>
          <cell r="Q4725" t="str">
            <v>EST CADEIRA COLLANA EST MEL/TC 396A</v>
          </cell>
          <cell r="R4725"/>
          <cell r="S4725"/>
          <cell r="T4725">
            <v>0.7</v>
          </cell>
          <cell r="U4725">
            <v>0.65</v>
          </cell>
          <cell r="V4725">
            <v>0.81</v>
          </cell>
          <cell r="W4725">
            <v>0</v>
          </cell>
          <cell r="X4725" t="str">
            <v>EST CADEIRA COLLANA EST MEL/TC 396A - 0,7x0,65x0,81H</v>
          </cell>
          <cell r="Y4725">
            <v>5630.42</v>
          </cell>
          <cell r="Z4725">
            <v>0.5</v>
          </cell>
          <cell r="AA4725">
            <v>2815.21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250017</v>
          </cell>
          <cell r="P4726" t="str">
            <v>2019/224-0099-01</v>
          </cell>
          <cell r="Q4726" t="str">
            <v>EST CADEIRA COLLANA EST MEL/TC 396A</v>
          </cell>
          <cell r="R4726"/>
          <cell r="S4726"/>
          <cell r="T4726">
            <v>0.7</v>
          </cell>
          <cell r="U4726">
            <v>0.65</v>
          </cell>
          <cell r="V4726">
            <v>0.81</v>
          </cell>
          <cell r="W4726">
            <v>0</v>
          </cell>
          <cell r="X4726" t="str">
            <v>EST CADEIRA COLLANA EST MEL/TC 396A - 0,7x0,65x0,81H</v>
          </cell>
          <cell r="Y4726">
            <v>5630.42</v>
          </cell>
          <cell r="Z4726">
            <v>0.5</v>
          </cell>
          <cell r="AA4726">
            <v>2815.21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250017</v>
          </cell>
          <cell r="P4727" t="str">
            <v>2019/224-0100-01</v>
          </cell>
          <cell r="Q4727" t="str">
            <v>EST CADEIRA COLLANA EST MEL/TC 396A</v>
          </cell>
          <cell r="R4727"/>
          <cell r="S4727"/>
          <cell r="T4727">
            <v>0.7</v>
          </cell>
          <cell r="U4727">
            <v>0.65</v>
          </cell>
          <cell r="V4727">
            <v>0.81</v>
          </cell>
          <cell r="W4727">
            <v>0</v>
          </cell>
          <cell r="X4727" t="str">
            <v>EST CADEIRA COLLANA EST MEL/TC 396A - 0,7x0,65x0,81H</v>
          </cell>
          <cell r="Y4727">
            <v>5630.42</v>
          </cell>
          <cell r="Z4727">
            <v>0.5</v>
          </cell>
          <cell r="AA4727">
            <v>2815.21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1</v>
          </cell>
          <cell r="O4728">
            <v>250017</v>
          </cell>
          <cell r="P4728" t="str">
            <v>2019/224-0101-01</v>
          </cell>
          <cell r="Q4728" t="str">
            <v>EST CADEIRA COLLANA EST MEL/TC 396A</v>
          </cell>
          <cell r="R4728"/>
          <cell r="S4728"/>
          <cell r="T4728">
            <v>0.7</v>
          </cell>
          <cell r="U4728">
            <v>0.65</v>
          </cell>
          <cell r="V4728">
            <v>0.81</v>
          </cell>
          <cell r="W4728">
            <v>0</v>
          </cell>
          <cell r="X4728" t="str">
            <v>EST CADEIRA COLLANA EST MEL/TC 396A - 0,7x0,65x0,81H</v>
          </cell>
          <cell r="Y4728">
            <v>5630.42</v>
          </cell>
          <cell r="Z4728">
            <v>0.5</v>
          </cell>
          <cell r="AA4728">
            <v>2815.21</v>
          </cell>
          <cell r="AB4728"/>
        </row>
        <row r="4729">
          <cell r="C4729">
            <v>0</v>
          </cell>
          <cell r="D4729">
            <v>1</v>
          </cell>
          <cell r="E4729">
            <v>0</v>
          </cell>
          <cell r="F4729">
            <v>0</v>
          </cell>
          <cell r="H4729">
            <v>2</v>
          </cell>
          <cell r="O4729">
            <v>250136</v>
          </cell>
          <cell r="P4729"/>
          <cell r="Q4729" t="str">
            <v>EST PESEIRA MIA PONTO V (LEQUE) (ROSE)</v>
          </cell>
          <cell r="R4729"/>
          <cell r="S4729"/>
          <cell r="T4729">
            <v>1.8</v>
          </cell>
          <cell r="U4729">
            <v>0.7</v>
          </cell>
          <cell r="V4729">
            <v>0</v>
          </cell>
          <cell r="W4729">
            <v>0</v>
          </cell>
          <cell r="X4729" t="str">
            <v>EST PESEIRA MIA PONTO V (LEQUE) (ROSE) - 1,8x0,7x0H</v>
          </cell>
          <cell r="Y4729" t="e">
            <v>#VALUE!</v>
          </cell>
          <cell r="Z4729">
            <v>0.35</v>
          </cell>
          <cell r="AA4729" t="e">
            <v>#VALUE!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1</v>
          </cell>
          <cell r="O4730">
            <v>251463</v>
          </cell>
          <cell r="P4730" t="str">
            <v>2019/245-0001-01</v>
          </cell>
          <cell r="Q4730" t="str">
            <v>EST MODULO ENCOSTO RETO LENCOIS M (DET MR5) (FX7623)</v>
          </cell>
          <cell r="R4730"/>
          <cell r="S4730"/>
          <cell r="T4730">
            <v>1.2</v>
          </cell>
          <cell r="U4730">
            <v>0.26</v>
          </cell>
          <cell r="V4730">
            <v>0.26</v>
          </cell>
          <cell r="W4730">
            <v>0</v>
          </cell>
          <cell r="X4730" t="str">
            <v>EST MODULO ENCOSTO RETO LENCOIS M (DET MR5) (FX7623) - 1,2x0,26x0,26H</v>
          </cell>
          <cell r="Y4730">
            <v>4589.04</v>
          </cell>
          <cell r="Z4730">
            <v>0.35</v>
          </cell>
          <cell r="AA4730">
            <v>2982.8760000000002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1</v>
          </cell>
          <cell r="O4731">
            <v>251463</v>
          </cell>
          <cell r="P4731" t="str">
            <v>2019/245-0002-01</v>
          </cell>
          <cell r="Q4731" t="str">
            <v>EST MODULO ENCOSTO RETO LENCOIS M (DET MR5) (FX7623)</v>
          </cell>
          <cell r="R4731"/>
          <cell r="S4731"/>
          <cell r="T4731">
            <v>1.2</v>
          </cell>
          <cell r="U4731">
            <v>0.26</v>
          </cell>
          <cell r="V4731">
            <v>0.26</v>
          </cell>
          <cell r="W4731">
            <v>0</v>
          </cell>
          <cell r="X4731" t="str">
            <v>EST MODULO ENCOSTO RETO LENCOIS M (DET MR5) (FX7623) - 1,2x0,26x0,26H</v>
          </cell>
          <cell r="Y4731">
            <v>4589.04</v>
          </cell>
          <cell r="Z4731">
            <v>0.35</v>
          </cell>
          <cell r="AA4731">
            <v>2982.8760000000002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1</v>
          </cell>
          <cell r="O4732">
            <v>251463</v>
          </cell>
          <cell r="P4732" t="str">
            <v>2019/245-0003-01</v>
          </cell>
          <cell r="Q4732" t="str">
            <v>EST MODULO ENCOSTO RETO LENCOIS M (DET MR5) (FX7623)</v>
          </cell>
          <cell r="R4732"/>
          <cell r="S4732"/>
          <cell r="T4732">
            <v>1.2</v>
          </cell>
          <cell r="U4732">
            <v>0.26</v>
          </cell>
          <cell r="V4732">
            <v>0.26</v>
          </cell>
          <cell r="W4732">
            <v>0</v>
          </cell>
          <cell r="X4732" t="str">
            <v>EST MODULO ENCOSTO RETO LENCOIS M (DET MR5) (FX7623) - 1,2x0,26x0,26H</v>
          </cell>
          <cell r="Y4732">
            <v>4589.04</v>
          </cell>
          <cell r="Z4732">
            <v>0.35</v>
          </cell>
          <cell r="AA4732">
            <v>2982.8760000000002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1</v>
          </cell>
          <cell r="O4733">
            <v>252276</v>
          </cell>
          <cell r="P4733" t="str">
            <v>2019/296-0005-01</v>
          </cell>
          <cell r="Q4733" t="str">
            <v>EST POLTRONA HARRY (GIRATORIA) FX C3091</v>
          </cell>
          <cell r="R4733"/>
          <cell r="S4733"/>
          <cell r="T4733">
            <v>0.89</v>
          </cell>
          <cell r="U4733">
            <v>0.83</v>
          </cell>
          <cell r="V4733">
            <v>0.72</v>
          </cell>
          <cell r="W4733">
            <v>0</v>
          </cell>
          <cell r="X4733" t="str">
            <v>EST POLTRONA HARRY (GIRATORIA) FX C3091 - 0,89x0,83x0,72H</v>
          </cell>
          <cell r="Y4733">
            <v>9054.89</v>
          </cell>
          <cell r="Z4733">
            <v>0.5</v>
          </cell>
          <cell r="AA4733">
            <v>4527.4449999999997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2</v>
          </cell>
          <cell r="O4734">
            <v>252848</v>
          </cell>
          <cell r="P4734" t="str">
            <v>2019/323-0127-01</v>
          </cell>
          <cell r="Q4734" t="str">
            <v>EST BANCO EOS Ø66 (ACO PINT PRETO) FX 671</v>
          </cell>
          <cell r="R4734"/>
          <cell r="S4734"/>
          <cell r="T4734">
            <v>0.66</v>
          </cell>
          <cell r="U4734">
            <v>0</v>
          </cell>
          <cell r="V4734">
            <v>0.43</v>
          </cell>
          <cell r="W4734">
            <v>0.66</v>
          </cell>
          <cell r="X4734" t="str">
            <v>EST BANCO EOS Ø66 (ACO PINT PRETO) FX 671 - Ø0,66x0,43H</v>
          </cell>
          <cell r="Y4734">
            <v>4487.71</v>
          </cell>
          <cell r="Z4734">
            <v>0.5</v>
          </cell>
          <cell r="AA4734">
            <v>2243.855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2</v>
          </cell>
          <cell r="O4735">
            <v>252848</v>
          </cell>
          <cell r="P4735" t="str">
            <v>2019/323-0134-01</v>
          </cell>
          <cell r="Q4735" t="str">
            <v>EST BANCO EOS Ø66 (ACO PINT PRETO) FX 671</v>
          </cell>
          <cell r="R4735"/>
          <cell r="S4735"/>
          <cell r="T4735">
            <v>0.66</v>
          </cell>
          <cell r="U4735">
            <v>0</v>
          </cell>
          <cell r="V4735">
            <v>0.43</v>
          </cell>
          <cell r="W4735">
            <v>0.66</v>
          </cell>
          <cell r="X4735" t="str">
            <v>EST BANCO EOS Ø66 (ACO PINT PRETO) FX 671 - Ø0,66x0,43H</v>
          </cell>
          <cell r="Y4735">
            <v>4487.71</v>
          </cell>
          <cell r="Z4735">
            <v>0.5</v>
          </cell>
          <cell r="AA4735">
            <v>2243.855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1</v>
          </cell>
          <cell r="H4736">
            <v>0</v>
          </cell>
          <cell r="O4736">
            <v>254166</v>
          </cell>
          <cell r="P4736" t="str">
            <v>2019/316-0045-01</v>
          </cell>
          <cell r="Q4736" t="str">
            <v>EST BANCO EVO (MADEIRA NATURAL) GRAVADO LOGO</v>
          </cell>
          <cell r="R4736"/>
          <cell r="S4736"/>
          <cell r="T4736">
            <v>0.39</v>
          </cell>
          <cell r="U4736">
            <v>0.37</v>
          </cell>
          <cell r="V4736">
            <v>0.45</v>
          </cell>
          <cell r="W4736">
            <v>0</v>
          </cell>
          <cell r="X4736" t="str">
            <v>EST BANCO EVO (MADEIRA NATURAL) GRAVADO LOGO - 0,39x0,37x0,45H</v>
          </cell>
          <cell r="Y4736">
            <v>3046.4</v>
          </cell>
          <cell r="Z4736">
            <v>0.5</v>
          </cell>
          <cell r="AA4736">
            <v>1523.2</v>
          </cell>
          <cell r="AB4736"/>
        </row>
        <row r="4737">
          <cell r="C4737">
            <v>0</v>
          </cell>
          <cell r="D4737">
            <v>1</v>
          </cell>
          <cell r="E4737">
            <v>0</v>
          </cell>
          <cell r="F4737">
            <v>0</v>
          </cell>
          <cell r="H4737">
            <v>1</v>
          </cell>
          <cell r="O4737">
            <v>255058</v>
          </cell>
          <cell r="P4737" t="str">
            <v>2020/066-0042-01</v>
          </cell>
          <cell r="Q4737" t="str">
            <v>EST MESA CENTRO NOMAN (TP LAM FAJO) (AUT FRAPE)</v>
          </cell>
          <cell r="R4737"/>
          <cell r="S4737"/>
          <cell r="T4737">
            <v>1.04</v>
          </cell>
          <cell r="U4737">
            <v>1.04</v>
          </cell>
          <cell r="V4737">
            <v>0.3</v>
          </cell>
          <cell r="W4737">
            <v>0</v>
          </cell>
          <cell r="X4737" t="str">
            <v>EST MESA CENTRO NOMAN (TP LAM FAJO) (AUT FRAPE) - 1,04x1,04x0,3H</v>
          </cell>
          <cell r="Y4737">
            <v>14524.16</v>
          </cell>
          <cell r="Z4737">
            <v>0.5</v>
          </cell>
          <cell r="AA4737">
            <v>7262.08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0</v>
          </cell>
          <cell r="O4738">
            <v>255066</v>
          </cell>
          <cell r="P4738" t="str">
            <v>2020/051-0046-01</v>
          </cell>
          <cell r="Q4738" t="str">
            <v>EST MESA LATERAL ARCHI (FREIJO CLARO)</v>
          </cell>
          <cell r="R4738"/>
          <cell r="S4738"/>
          <cell r="T4738">
            <v>0.8</v>
          </cell>
          <cell r="U4738">
            <v>0.8</v>
          </cell>
          <cell r="V4738">
            <v>0.6</v>
          </cell>
          <cell r="W4738">
            <v>0</v>
          </cell>
          <cell r="X4738" t="str">
            <v>EST MESA LATERAL ARCHI (FREIJO CLARO) - 0,8x0,8x0,6H</v>
          </cell>
          <cell r="Y4738">
            <v>16959.080000000002</v>
          </cell>
          <cell r="Z4738">
            <v>0.5</v>
          </cell>
          <cell r="AA4738">
            <v>8479.5400000000009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3</v>
          </cell>
          <cell r="O4739">
            <v>255782</v>
          </cell>
          <cell r="P4739" t="str">
            <v>2020/016-0029-01</v>
          </cell>
          <cell r="Q4739" t="str">
            <v>EST SOFA TABLE COOLER (TP LAM RAIZ) (AUT BROWN)</v>
          </cell>
          <cell r="R4739"/>
          <cell r="S4739"/>
          <cell r="T4739">
            <v>2.5</v>
          </cell>
          <cell r="U4739">
            <v>0.45</v>
          </cell>
          <cell r="V4739">
            <v>0.42</v>
          </cell>
          <cell r="W4739">
            <v>0</v>
          </cell>
          <cell r="X4739" t="str">
            <v>EST SOFA TABLE COOLER (TP LAM RAIZ) (AUT BROWN) - 2,5x0,45x0,42H</v>
          </cell>
          <cell r="Y4739">
            <v>17530.240000000002</v>
          </cell>
          <cell r="Z4739">
            <v>0.35</v>
          </cell>
          <cell r="AA4739">
            <v>11394.656000000003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3</v>
          </cell>
          <cell r="O4740">
            <v>255782</v>
          </cell>
          <cell r="P4740" t="str">
            <v>2020/016-0028-01</v>
          </cell>
          <cell r="Q4740" t="str">
            <v>EST SOFA TABLE COOLER (TP LAM RAIZ) (AUT BROWN)</v>
          </cell>
          <cell r="R4740"/>
          <cell r="S4740"/>
          <cell r="T4740">
            <v>2.5</v>
          </cell>
          <cell r="U4740">
            <v>0.45</v>
          </cell>
          <cell r="V4740">
            <v>0.42</v>
          </cell>
          <cell r="W4740">
            <v>0</v>
          </cell>
          <cell r="X4740" t="str">
            <v>EST SOFA TABLE COOLER (TP LAM RAIZ) (AUT BROWN) - 2,5x0,45x0,42H</v>
          </cell>
          <cell r="Y4740">
            <v>17530.240000000002</v>
          </cell>
          <cell r="Z4740">
            <v>0.5</v>
          </cell>
          <cell r="AA4740">
            <v>8765.1200000000008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3</v>
          </cell>
          <cell r="O4741">
            <v>255782</v>
          </cell>
          <cell r="P4741" t="str">
            <v>2020/016-0030-01</v>
          </cell>
          <cell r="Q4741" t="str">
            <v>EST SOFA TABLE COOLER (TP LAM RAIZ) (AUT BROWN)</v>
          </cell>
          <cell r="R4741"/>
          <cell r="S4741"/>
          <cell r="T4741">
            <v>2.5</v>
          </cell>
          <cell r="U4741">
            <v>0.45</v>
          </cell>
          <cell r="V4741">
            <v>0.42</v>
          </cell>
          <cell r="W4741">
            <v>0</v>
          </cell>
          <cell r="X4741" t="str">
            <v>EST SOFA TABLE COOLER (TP LAM RAIZ) (AUT BROWN) - 2,5x0,45x0,42H</v>
          </cell>
          <cell r="Y4741">
            <v>17530.240000000002</v>
          </cell>
          <cell r="Z4741">
            <v>0.35</v>
          </cell>
          <cell r="AA4741">
            <v>11394.656000000003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0</v>
          </cell>
          <cell r="O4742">
            <v>256006</v>
          </cell>
          <cell r="P4742" t="str">
            <v>2021/203-0008-01</v>
          </cell>
          <cell r="Q4742" t="str">
            <v>EST POLTRONA ARCO (JEQ CAST CLARO) COURO 2-8001</v>
          </cell>
          <cell r="R4742"/>
          <cell r="S4742"/>
          <cell r="T4742">
            <v>0.75</v>
          </cell>
          <cell r="U4742">
            <v>0.91</v>
          </cell>
          <cell r="V4742">
            <v>0.7</v>
          </cell>
          <cell r="W4742">
            <v>0</v>
          </cell>
          <cell r="X4742" t="str">
            <v>EST POLTRONA ARCO (JEQ CAST CLARO) COURO 2-8001 - 0,75x0,91x0,7H</v>
          </cell>
          <cell r="Y4742">
            <v>19000.259999999998</v>
          </cell>
          <cell r="Z4742">
            <v>0.35</v>
          </cell>
          <cell r="AA4742">
            <v>12350.168999999998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0</v>
          </cell>
          <cell r="O4743">
            <v>256006</v>
          </cell>
          <cell r="P4743" t="str">
            <v>2021/203-0009-01</v>
          </cell>
          <cell r="Q4743" t="str">
            <v>EST POLTRONA ARCO (JEQ CAST CLARO) COURO 2-8001</v>
          </cell>
          <cell r="R4743"/>
          <cell r="S4743"/>
          <cell r="T4743">
            <v>0.75</v>
          </cell>
          <cell r="U4743">
            <v>0.91</v>
          </cell>
          <cell r="V4743">
            <v>0.7</v>
          </cell>
          <cell r="W4743">
            <v>0</v>
          </cell>
          <cell r="X4743" t="str">
            <v>EST POLTRONA ARCO (JEQ CAST CLARO) COURO 2-8001 - 0,75x0,91x0,7H</v>
          </cell>
          <cell r="Y4743">
            <v>19000.259999999998</v>
          </cell>
          <cell r="Z4743">
            <v>0.35</v>
          </cell>
          <cell r="AA4743">
            <v>12350.168999999998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256172</v>
          </cell>
          <cell r="P4744" t="str">
            <v>2021/224-0012-01</v>
          </cell>
          <cell r="Q4744" t="str">
            <v>EST MESA LATERAL WINNIE TP CARVALHO EBZ/TP BRANCO MTX/EST PT</v>
          </cell>
          <cell r="R4744"/>
          <cell r="S4744"/>
          <cell r="T4744">
            <v>0.62</v>
          </cell>
          <cell r="U4744">
            <v>0.5</v>
          </cell>
          <cell r="V4744">
            <v>0.6</v>
          </cell>
          <cell r="W4744">
            <v>0</v>
          </cell>
          <cell r="X4744" t="str">
            <v>EST MESA LATERAL WINNIE TP CARVALHO EBZ/TP BRANCO MTX/EST PT - 0,62x0,5x0,6H</v>
          </cell>
          <cell r="Y4744">
            <v>7664.38</v>
          </cell>
          <cell r="Z4744">
            <v>0.5</v>
          </cell>
          <cell r="AA4744">
            <v>3832.19</v>
          </cell>
          <cell r="AB4744"/>
        </row>
        <row r="4745">
          <cell r="C4745">
            <v>0</v>
          </cell>
          <cell r="D4745">
            <v>0</v>
          </cell>
          <cell r="E4745">
            <v>1</v>
          </cell>
          <cell r="F4745">
            <v>0</v>
          </cell>
          <cell r="H4745">
            <v>1</v>
          </cell>
          <cell r="O4745">
            <v>257381</v>
          </cell>
          <cell r="P4745" t="str">
            <v>2020/105-0024-01</v>
          </cell>
          <cell r="Q4745" t="str">
            <v>EST MESA LATERAL PALITO (TP LACA CHAMPAGNE) (PES NOGUEIRA)</v>
          </cell>
          <cell r="R4745"/>
          <cell r="S4745"/>
          <cell r="T4745">
            <v>0.5</v>
          </cell>
          <cell r="U4745">
            <v>0.5</v>
          </cell>
          <cell r="V4745">
            <v>0.55000000000000004</v>
          </cell>
          <cell r="W4745">
            <v>0</v>
          </cell>
          <cell r="X4745" t="str">
            <v>EST MESA LATERAL PALITO (TP LACA CHAMPAGNE) (PES NOGUEIRA) - 0,5x0,5x0,55H</v>
          </cell>
          <cell r="Y4745">
            <v>4592</v>
          </cell>
          <cell r="Z4745">
            <v>0.5</v>
          </cell>
          <cell r="AA4745">
            <v>2296</v>
          </cell>
          <cell r="AB4745"/>
        </row>
        <row r="4746">
          <cell r="C4746">
            <v>0</v>
          </cell>
          <cell r="D4746">
            <v>1</v>
          </cell>
          <cell r="E4746">
            <v>0</v>
          </cell>
          <cell r="F4746">
            <v>0</v>
          </cell>
          <cell r="H4746">
            <v>0</v>
          </cell>
          <cell r="O4746">
            <v>260950</v>
          </cell>
          <cell r="P4746" t="str">
            <v>2020/343-0153-01</v>
          </cell>
          <cell r="Q4746" t="str">
            <v>EST CADEIRA LOGAN C/B JANTAR (FREIJO) (ESTOF) COURO CH 32</v>
          </cell>
          <cell r="R4746"/>
          <cell r="S4746"/>
          <cell r="T4746">
            <v>0.62</v>
          </cell>
          <cell r="U4746">
            <v>0.6</v>
          </cell>
          <cell r="V4746">
            <v>0.84</v>
          </cell>
          <cell r="W4746">
            <v>0</v>
          </cell>
          <cell r="X4746" t="str">
            <v>EST CADEIRA LOGAN C/B JANTAR (FREIJO) (ESTOF) COURO CH 32 - 0,62x0,6x0,84H</v>
          </cell>
          <cell r="Y4746">
            <v>13913.720000000001</v>
          </cell>
          <cell r="Z4746">
            <v>0.5</v>
          </cell>
          <cell r="AA4746">
            <v>6956.8600000000006</v>
          </cell>
          <cell r="AB4746"/>
        </row>
        <row r="4747">
          <cell r="C4747">
            <v>0</v>
          </cell>
          <cell r="D4747">
            <v>1</v>
          </cell>
          <cell r="E4747">
            <v>0</v>
          </cell>
          <cell r="F4747">
            <v>0</v>
          </cell>
          <cell r="H4747">
            <v>0</v>
          </cell>
          <cell r="O4747">
            <v>260950</v>
          </cell>
          <cell r="P4747" t="str">
            <v>2020/343-0151-01</v>
          </cell>
          <cell r="Q4747" t="str">
            <v>EST CADEIRA LOGAN C/B JANTAR (FREIJO) (ESTOF) COURO CH 32</v>
          </cell>
          <cell r="R4747"/>
          <cell r="S4747"/>
          <cell r="T4747">
            <v>0.62</v>
          </cell>
          <cell r="U4747">
            <v>0.6</v>
          </cell>
          <cell r="V4747">
            <v>0.84</v>
          </cell>
          <cell r="W4747">
            <v>0</v>
          </cell>
          <cell r="X4747" t="str">
            <v>EST CADEIRA LOGAN C/B JANTAR (FREIJO) (ESTOF) COURO CH 32 - 0,62x0,6x0,84H</v>
          </cell>
          <cell r="Y4747">
            <v>13913.720000000001</v>
          </cell>
          <cell r="Z4747">
            <v>0.5</v>
          </cell>
          <cell r="AA4747">
            <v>6956.8600000000006</v>
          </cell>
          <cell r="AB4747"/>
        </row>
        <row r="4748">
          <cell r="C4748">
            <v>0</v>
          </cell>
          <cell r="D4748">
            <v>1</v>
          </cell>
          <cell r="E4748">
            <v>0</v>
          </cell>
          <cell r="F4748">
            <v>0</v>
          </cell>
          <cell r="H4748">
            <v>0</v>
          </cell>
          <cell r="O4748">
            <v>260950</v>
          </cell>
          <cell r="P4748" t="str">
            <v>2020/343-0152-01</v>
          </cell>
          <cell r="Q4748" t="str">
            <v>EST CADEIRA LOGAN C/B JANTAR (FREIJO) (ESTOF) COURO CH 32</v>
          </cell>
          <cell r="R4748"/>
          <cell r="S4748"/>
          <cell r="T4748">
            <v>0.62</v>
          </cell>
          <cell r="U4748">
            <v>0.6</v>
          </cell>
          <cell r="V4748">
            <v>0.84</v>
          </cell>
          <cell r="W4748">
            <v>0</v>
          </cell>
          <cell r="X4748" t="str">
            <v>EST CADEIRA LOGAN C/B JANTAR (FREIJO) (ESTOF) COURO CH 32 - 0,62x0,6x0,84H</v>
          </cell>
          <cell r="Y4748">
            <v>13913.720000000001</v>
          </cell>
          <cell r="Z4748">
            <v>0.5</v>
          </cell>
          <cell r="AA4748">
            <v>6956.8600000000006</v>
          </cell>
          <cell r="AB4748"/>
        </row>
        <row r="4749">
          <cell r="C4749">
            <v>0</v>
          </cell>
          <cell r="D4749">
            <v>1</v>
          </cell>
          <cell r="E4749">
            <v>0</v>
          </cell>
          <cell r="F4749">
            <v>0</v>
          </cell>
          <cell r="H4749">
            <v>0</v>
          </cell>
          <cell r="O4749">
            <v>260950</v>
          </cell>
          <cell r="P4749" t="str">
            <v>2020/343-0154-01</v>
          </cell>
          <cell r="Q4749" t="str">
            <v>EST CADEIRA LOGAN C/B JANTAR (FREIJO) (ESTOF) COURO CH 32</v>
          </cell>
          <cell r="R4749"/>
          <cell r="S4749"/>
          <cell r="T4749">
            <v>0.62</v>
          </cell>
          <cell r="U4749">
            <v>0.6</v>
          </cell>
          <cell r="V4749">
            <v>0.84</v>
          </cell>
          <cell r="W4749">
            <v>0</v>
          </cell>
          <cell r="X4749" t="str">
            <v>EST CADEIRA LOGAN C/B JANTAR (FREIJO) (ESTOF) COURO CH 32 - 0,62x0,6x0,84H</v>
          </cell>
          <cell r="Y4749">
            <v>13913.720000000001</v>
          </cell>
          <cell r="Z4749">
            <v>0.5</v>
          </cell>
          <cell r="AA4749">
            <v>6956.8600000000006</v>
          </cell>
          <cell r="AB4749"/>
        </row>
        <row r="4750">
          <cell r="C4750">
            <v>0</v>
          </cell>
          <cell r="D4750">
            <v>1</v>
          </cell>
          <cell r="E4750">
            <v>0</v>
          </cell>
          <cell r="F4750">
            <v>0</v>
          </cell>
          <cell r="H4750">
            <v>0</v>
          </cell>
          <cell r="O4750">
            <v>260950</v>
          </cell>
          <cell r="P4750" t="str">
            <v>2020/343-0150-01</v>
          </cell>
          <cell r="Q4750" t="str">
            <v>EST CADEIRA LOGAN C/B JANTAR (FREIJO) (ESTOF) COURO CH 32</v>
          </cell>
          <cell r="R4750"/>
          <cell r="S4750"/>
          <cell r="T4750">
            <v>0.62</v>
          </cell>
          <cell r="U4750">
            <v>0.6</v>
          </cell>
          <cell r="V4750">
            <v>0.84</v>
          </cell>
          <cell r="W4750">
            <v>0</v>
          </cell>
          <cell r="X4750" t="str">
            <v>EST CADEIRA LOGAN C/B JANTAR (FREIJO) (ESTOF) COURO CH 32 - 0,62x0,6x0,84H</v>
          </cell>
          <cell r="Y4750">
            <v>13913.720000000001</v>
          </cell>
          <cell r="Z4750">
            <v>0.5</v>
          </cell>
          <cell r="AA4750">
            <v>6956.8600000000006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0</v>
          </cell>
          <cell r="O4751">
            <v>260993</v>
          </cell>
          <cell r="P4751" t="str">
            <v>2020/184-0029-01</v>
          </cell>
          <cell r="Q4751" t="str">
            <v>EST ALMOFADA DECORATIVA (COURO T4 CAMURCA MARRONE)</v>
          </cell>
          <cell r="R4751"/>
          <cell r="S4751"/>
          <cell r="T4751">
            <v>0.6</v>
          </cell>
          <cell r="U4751">
            <v>0.6</v>
          </cell>
          <cell r="V4751">
            <v>0</v>
          </cell>
          <cell r="W4751">
            <v>0</v>
          </cell>
          <cell r="X4751" t="str">
            <v>EST ALMOFADA DECORATIVA (COURO T4 CAMURCA MARRONE) - 0,6x0,6x0H</v>
          </cell>
          <cell r="Y4751">
            <v>2252.0100000000002</v>
          </cell>
          <cell r="Z4751">
            <v>0.5</v>
          </cell>
          <cell r="AA4751">
            <v>1126.0050000000001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H4752">
            <v>0</v>
          </cell>
          <cell r="O4752">
            <v>260993</v>
          </cell>
          <cell r="P4752" t="str">
            <v>2020/184-0036-01</v>
          </cell>
          <cell r="Q4752" t="str">
            <v>EST ALMOFADA DECORATIVA (COURO T4 CAMURCA MARRONE)</v>
          </cell>
          <cell r="R4752"/>
          <cell r="S4752"/>
          <cell r="T4752">
            <v>0.6</v>
          </cell>
          <cell r="U4752">
            <v>0.6</v>
          </cell>
          <cell r="V4752">
            <v>0</v>
          </cell>
          <cell r="W4752">
            <v>0</v>
          </cell>
          <cell r="X4752" t="str">
            <v>EST ALMOFADA DECORATIVA (COURO T4 CAMURCA MARRONE) - 0,6x0,6x0H</v>
          </cell>
          <cell r="Y4752">
            <v>2252.0100000000002</v>
          </cell>
          <cell r="Z4752">
            <v>0.5</v>
          </cell>
          <cell r="AA4752">
            <v>1126.0050000000001</v>
          </cell>
          <cell r="AB4752"/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2</v>
          </cell>
          <cell r="H4753">
            <v>0</v>
          </cell>
          <cell r="O4753">
            <v>261010</v>
          </cell>
          <cell r="P4753" t="str">
            <v>2020/084-0035-01</v>
          </cell>
          <cell r="Q4753" t="str">
            <v>EST AC VASO ONDO POMME 16,5X5 CERAMICA VERMELHA</v>
          </cell>
          <cell r="R4753"/>
          <cell r="S4753"/>
          <cell r="T4753">
            <v>0</v>
          </cell>
          <cell r="U4753">
            <v>0</v>
          </cell>
          <cell r="V4753">
            <v>0</v>
          </cell>
          <cell r="W4753">
            <v>0</v>
          </cell>
          <cell r="X4753" t="str">
            <v>EST AC VASO ONDO POMME 16,5X5 CERAMICA VERMELHA - Ø0x0H</v>
          </cell>
          <cell r="Y4753">
            <v>1048.32</v>
          </cell>
          <cell r="Z4753">
            <v>0.35</v>
          </cell>
          <cell r="AA4753">
            <v>681.4079999999999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2</v>
          </cell>
          <cell r="H4754">
            <v>0</v>
          </cell>
          <cell r="O4754">
            <v>261010</v>
          </cell>
          <cell r="P4754" t="str">
            <v>2020/084-0036-01</v>
          </cell>
          <cell r="Q4754" t="str">
            <v>EST AC VASO ONDO POMME 16,5X5 CERAMICA VERMELHA</v>
          </cell>
          <cell r="R4754"/>
          <cell r="S4754"/>
          <cell r="T4754">
            <v>0</v>
          </cell>
          <cell r="U4754">
            <v>0</v>
          </cell>
          <cell r="V4754">
            <v>0</v>
          </cell>
          <cell r="W4754">
            <v>0</v>
          </cell>
          <cell r="X4754" t="str">
            <v>EST AC VASO ONDO POMME 16,5X5 CERAMICA VERMELHA - Ø0x0H</v>
          </cell>
          <cell r="Y4754">
            <v>1048.32</v>
          </cell>
          <cell r="Z4754">
            <v>0.35</v>
          </cell>
          <cell r="AA4754">
            <v>681.4079999999999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2</v>
          </cell>
          <cell r="H4755">
            <v>0</v>
          </cell>
          <cell r="O4755">
            <v>261010</v>
          </cell>
          <cell r="P4755" t="str">
            <v>2020/084-0037-01</v>
          </cell>
          <cell r="Q4755" t="str">
            <v>EST AC VASO ONDO POMME 16,5X5 CERAMICA VERMELHA</v>
          </cell>
          <cell r="R4755"/>
          <cell r="S4755"/>
          <cell r="T4755">
            <v>0</v>
          </cell>
          <cell r="U4755">
            <v>0</v>
          </cell>
          <cell r="V4755">
            <v>0</v>
          </cell>
          <cell r="W4755">
            <v>0</v>
          </cell>
          <cell r="X4755" t="str">
            <v>EST AC VASO ONDO POMME 16,5X5 CERAMICA VERMELHA - Ø0x0H</v>
          </cell>
          <cell r="Y4755">
            <v>1048.32</v>
          </cell>
          <cell r="Z4755">
            <v>0.35</v>
          </cell>
          <cell r="AA4755">
            <v>681.4079999999999</v>
          </cell>
          <cell r="AB4755"/>
        </row>
        <row r="4756">
          <cell r="C4756">
            <v>0</v>
          </cell>
          <cell r="D4756">
            <v>2</v>
          </cell>
          <cell r="E4756">
            <v>0</v>
          </cell>
          <cell r="F4756">
            <v>1</v>
          </cell>
          <cell r="H4756">
            <v>0</v>
          </cell>
          <cell r="O4756">
            <v>261012</v>
          </cell>
          <cell r="P4756" t="str">
            <v>2020/084-0041-01</v>
          </cell>
          <cell r="Q4756" t="str">
            <v>EST AC VASO LARGO ONDO FUMEE 21X20 CERAMICA CINZA</v>
          </cell>
          <cell r="R4756"/>
          <cell r="S4756"/>
          <cell r="T4756">
            <v>0</v>
          </cell>
          <cell r="U4756">
            <v>0</v>
          </cell>
          <cell r="V4756">
            <v>0</v>
          </cell>
          <cell r="W4756">
            <v>0</v>
          </cell>
          <cell r="X4756" t="str">
            <v>EST AC VASO LARGO ONDO FUMEE 21X20 CERAMICA CINZA - Ø0x0H</v>
          </cell>
          <cell r="Y4756">
            <v>887.04</v>
          </cell>
          <cell r="Z4756">
            <v>0.35</v>
          </cell>
          <cell r="AA4756">
            <v>576.57600000000002</v>
          </cell>
          <cell r="AB4756"/>
        </row>
        <row r="4757">
          <cell r="C4757">
            <v>0</v>
          </cell>
          <cell r="D4757">
            <v>2</v>
          </cell>
          <cell r="E4757">
            <v>0</v>
          </cell>
          <cell r="F4757">
            <v>1</v>
          </cell>
          <cell r="H4757">
            <v>0</v>
          </cell>
          <cell r="O4757">
            <v>261012</v>
          </cell>
          <cell r="P4757" t="str">
            <v>2020/084-0043-01</v>
          </cell>
          <cell r="Q4757" t="str">
            <v>EST AC VASO LARGO ONDO FUMEE 21X20 CERAMICA CINZA</v>
          </cell>
          <cell r="R4757"/>
          <cell r="S4757"/>
          <cell r="T4757">
            <v>0</v>
          </cell>
          <cell r="U4757">
            <v>0</v>
          </cell>
          <cell r="V4757">
            <v>0</v>
          </cell>
          <cell r="W4757">
            <v>0</v>
          </cell>
          <cell r="X4757" t="str">
            <v>EST AC VASO LARGO ONDO FUMEE 21X20 CERAMICA CINZA - Ø0x0H</v>
          </cell>
          <cell r="Y4757">
            <v>887.04</v>
          </cell>
          <cell r="Z4757">
            <v>0.35</v>
          </cell>
          <cell r="AA4757">
            <v>576.57600000000002</v>
          </cell>
          <cell r="AB4757"/>
        </row>
        <row r="4758">
          <cell r="C4758">
            <v>0</v>
          </cell>
          <cell r="D4758">
            <v>2</v>
          </cell>
          <cell r="E4758">
            <v>0</v>
          </cell>
          <cell r="F4758">
            <v>1</v>
          </cell>
          <cell r="H4758">
            <v>0</v>
          </cell>
          <cell r="O4758">
            <v>261012</v>
          </cell>
          <cell r="P4758" t="str">
            <v>2020/084-0042-01</v>
          </cell>
          <cell r="Q4758" t="str">
            <v>EST AC VASO LARGO ONDO FUMEE 21X20 CERAMICA CINZA</v>
          </cell>
          <cell r="R4758"/>
          <cell r="S4758"/>
          <cell r="T4758">
            <v>0</v>
          </cell>
          <cell r="U4758">
            <v>0</v>
          </cell>
          <cell r="V4758">
            <v>0</v>
          </cell>
          <cell r="W4758">
            <v>0</v>
          </cell>
          <cell r="X4758" t="str">
            <v>EST AC VASO LARGO ONDO FUMEE 21X20 CERAMICA CINZA - Ø0x0H</v>
          </cell>
          <cell r="Y4758">
            <v>887.04</v>
          </cell>
          <cell r="Z4758">
            <v>0.35</v>
          </cell>
          <cell r="AA4758">
            <v>576.57600000000002</v>
          </cell>
          <cell r="AB4758"/>
        </row>
        <row r="4759">
          <cell r="C4759">
            <v>0</v>
          </cell>
          <cell r="D4759">
            <v>2</v>
          </cell>
          <cell r="E4759">
            <v>0</v>
          </cell>
          <cell r="F4759">
            <v>1</v>
          </cell>
          <cell r="H4759">
            <v>0</v>
          </cell>
          <cell r="O4759">
            <v>261013</v>
          </cell>
          <cell r="P4759" t="str">
            <v>2020/084-0044-01</v>
          </cell>
          <cell r="Q4759" t="str">
            <v>EST AC CENTRO DE MESA ONDO FUMEE 24X15 CERAMICA CINZA</v>
          </cell>
          <cell r="R4759"/>
          <cell r="S4759"/>
          <cell r="T4759">
            <v>0</v>
          </cell>
          <cell r="U4759">
            <v>0</v>
          </cell>
          <cell r="V4759">
            <v>0</v>
          </cell>
          <cell r="W4759">
            <v>0</v>
          </cell>
          <cell r="X4759" t="str">
            <v>EST AC CENTRO DE MESA ONDO FUMEE 24X15 CERAMICA CINZA - Ø0x0H</v>
          </cell>
          <cell r="Y4759">
            <v>967.68</v>
          </cell>
          <cell r="Z4759">
            <v>0.35</v>
          </cell>
          <cell r="AA4759">
            <v>628.99199999999996</v>
          </cell>
          <cell r="AB4759"/>
        </row>
        <row r="4760">
          <cell r="C4760">
            <v>0</v>
          </cell>
          <cell r="D4760">
            <v>2</v>
          </cell>
          <cell r="E4760">
            <v>0</v>
          </cell>
          <cell r="F4760">
            <v>1</v>
          </cell>
          <cell r="H4760">
            <v>0</v>
          </cell>
          <cell r="O4760">
            <v>261013</v>
          </cell>
          <cell r="P4760" t="str">
            <v>2020/084-0045-01</v>
          </cell>
          <cell r="Q4760" t="str">
            <v>EST AC CENTRO DE MESA ONDO FUMEE 24X15 CERAMICA CINZA</v>
          </cell>
          <cell r="R4760"/>
          <cell r="S4760"/>
          <cell r="T4760">
            <v>0</v>
          </cell>
          <cell r="U4760">
            <v>0</v>
          </cell>
          <cell r="V4760">
            <v>0</v>
          </cell>
          <cell r="W4760">
            <v>0</v>
          </cell>
          <cell r="X4760" t="str">
            <v>EST AC CENTRO DE MESA ONDO FUMEE 24X15 CERAMICA CINZA - Ø0x0H</v>
          </cell>
          <cell r="Y4760">
            <v>967.68</v>
          </cell>
          <cell r="Z4760">
            <v>0.35</v>
          </cell>
          <cell r="AA4760">
            <v>628.99199999999996</v>
          </cell>
          <cell r="AB4760"/>
        </row>
        <row r="4761">
          <cell r="C4761">
            <v>0</v>
          </cell>
          <cell r="D4761">
            <v>2</v>
          </cell>
          <cell r="E4761">
            <v>0</v>
          </cell>
          <cell r="F4761">
            <v>1</v>
          </cell>
          <cell r="H4761">
            <v>0</v>
          </cell>
          <cell r="O4761">
            <v>261014</v>
          </cell>
          <cell r="P4761" t="str">
            <v>2020/084-0047-01</v>
          </cell>
          <cell r="Q4761" t="str">
            <v>EST AC GRANDE VASO TACA ONDO FUMEE 16,5X32 CERAMICA CINZA</v>
          </cell>
          <cell r="R4761"/>
          <cell r="S4761"/>
          <cell r="T4761">
            <v>0</v>
          </cell>
          <cell r="U4761">
            <v>0</v>
          </cell>
          <cell r="V4761">
            <v>0</v>
          </cell>
          <cell r="W4761">
            <v>0</v>
          </cell>
          <cell r="X4761" t="str">
            <v>EST AC GRANDE VASO TACA ONDO FUMEE 16,5X32 CERAMICA CINZA - Ø0x0H</v>
          </cell>
          <cell r="Y4761">
            <v>1048.32</v>
          </cell>
          <cell r="Z4761">
            <v>0.35</v>
          </cell>
          <cell r="AA4761">
            <v>681.4079999999999</v>
          </cell>
          <cell r="AB4761"/>
        </row>
        <row r="4762">
          <cell r="C4762">
            <v>0</v>
          </cell>
          <cell r="D4762">
            <v>2</v>
          </cell>
          <cell r="E4762">
            <v>0</v>
          </cell>
          <cell r="F4762">
            <v>1</v>
          </cell>
          <cell r="H4762">
            <v>0</v>
          </cell>
          <cell r="O4762">
            <v>261014</v>
          </cell>
          <cell r="P4762" t="str">
            <v>2020/084-0048-01</v>
          </cell>
          <cell r="Q4762" t="str">
            <v>EST AC GRANDE VASO TACA ONDO FUMEE 16,5X32 CERAMICA CINZA</v>
          </cell>
          <cell r="R4762"/>
          <cell r="S4762"/>
          <cell r="T4762">
            <v>0</v>
          </cell>
          <cell r="U4762">
            <v>0</v>
          </cell>
          <cell r="V4762">
            <v>0</v>
          </cell>
          <cell r="W4762">
            <v>0</v>
          </cell>
          <cell r="X4762" t="str">
            <v>EST AC GRANDE VASO TACA ONDO FUMEE 16,5X32 CERAMICA CINZA - Ø0x0H</v>
          </cell>
          <cell r="Y4762">
            <v>1048.32</v>
          </cell>
          <cell r="Z4762">
            <v>0.35</v>
          </cell>
          <cell r="AA4762">
            <v>681.4079999999999</v>
          </cell>
          <cell r="AB4762"/>
        </row>
        <row r="4763">
          <cell r="C4763">
            <v>0</v>
          </cell>
          <cell r="D4763">
            <v>2</v>
          </cell>
          <cell r="E4763">
            <v>0</v>
          </cell>
          <cell r="F4763">
            <v>1</v>
          </cell>
          <cell r="H4763">
            <v>0</v>
          </cell>
          <cell r="O4763">
            <v>261014</v>
          </cell>
          <cell r="P4763" t="str">
            <v>2020/084-0049-01</v>
          </cell>
          <cell r="Q4763" t="str">
            <v>EST AC GRANDE VASO TACA ONDO FUMEE 16,5X32 CERAMICA CINZA</v>
          </cell>
          <cell r="R4763"/>
          <cell r="S4763"/>
          <cell r="T4763">
            <v>0</v>
          </cell>
          <cell r="U4763">
            <v>0</v>
          </cell>
          <cell r="V4763">
            <v>0</v>
          </cell>
          <cell r="W4763">
            <v>0</v>
          </cell>
          <cell r="X4763" t="str">
            <v>EST AC GRANDE VASO TACA ONDO FUMEE 16,5X32 CERAMICA CINZA - Ø0x0H</v>
          </cell>
          <cell r="Y4763">
            <v>1048.32</v>
          </cell>
          <cell r="Z4763">
            <v>0.35</v>
          </cell>
          <cell r="AA4763">
            <v>681.4079999999999</v>
          </cell>
          <cell r="AB4763"/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H4764">
            <v>4</v>
          </cell>
          <cell r="O4764">
            <v>265893</v>
          </cell>
          <cell r="P4764"/>
          <cell r="Q4764" t="str">
            <v>EST ALMOFADA FITA ASPEN COR TELHA</v>
          </cell>
          <cell r="R4764"/>
          <cell r="S4764"/>
          <cell r="T4764">
            <v>0.5</v>
          </cell>
          <cell r="U4764">
            <v>0.5</v>
          </cell>
          <cell r="V4764">
            <v>0</v>
          </cell>
          <cell r="W4764">
            <v>0</v>
          </cell>
          <cell r="X4764" t="str">
            <v>EST ALMOFADA FITA ASPEN COR TELHA - 0,5x0,5x0H</v>
          </cell>
          <cell r="Y4764" t="e">
            <v>#VALUE!</v>
          </cell>
          <cell r="Z4764">
            <v>0.35</v>
          </cell>
          <cell r="AA4764" t="e">
            <v>#VALUE!</v>
          </cell>
          <cell r="AB4764"/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H4765">
            <v>0</v>
          </cell>
          <cell r="O4765">
            <v>266080</v>
          </cell>
          <cell r="P4765"/>
          <cell r="Q4765" t="str">
            <v>EST QUADRO MALI LAAL (740) MOL F23 SEM PASP</v>
          </cell>
          <cell r="R4765"/>
          <cell r="S4765"/>
          <cell r="T4765">
            <v>1</v>
          </cell>
          <cell r="U4765">
            <v>1</v>
          </cell>
          <cell r="V4765">
            <v>0.03</v>
          </cell>
          <cell r="W4765">
            <v>0</v>
          </cell>
          <cell r="X4765" t="str">
            <v>EST QUADRO MALI LAAL (740) MOL F23 SEM PASP - 1x1x0,03H</v>
          </cell>
          <cell r="Y4765" t="str">
            <v>EST</v>
          </cell>
          <cell r="Z4765">
            <v>0.35</v>
          </cell>
          <cell r="AA4765" t="e">
            <v>#VALUE!</v>
          </cell>
          <cell r="AB4765"/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H4766">
            <v>0</v>
          </cell>
          <cell r="O4766">
            <v>266352</v>
          </cell>
          <cell r="P4766"/>
          <cell r="Q4766" t="str">
            <v>EST CADEIRA MIA (GIR C/RODIZIO) (BS LP903) (NOG/COURO BLACK)</v>
          </cell>
          <cell r="R4766"/>
          <cell r="S4766"/>
          <cell r="T4766">
            <v>0.72</v>
          </cell>
          <cell r="U4766">
            <v>0.62</v>
          </cell>
          <cell r="V4766">
            <v>0.85</v>
          </cell>
          <cell r="W4766">
            <v>0</v>
          </cell>
          <cell r="X4766" t="str">
            <v>EST CADEIRA MIA (GIR C/RODIZIO) (BS LP903) (NOG/COURO BLACK) - 0,72x0,62x0,85H</v>
          </cell>
          <cell r="Y4766">
            <v>22601.599999999999</v>
          </cell>
          <cell r="Z4766">
            <v>0.5</v>
          </cell>
          <cell r="AA4766">
            <v>11300.8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1</v>
          </cell>
          <cell r="O4767">
            <v>270375</v>
          </cell>
          <cell r="P4767" t="str">
            <v>2020/338-0025-01</v>
          </cell>
          <cell r="Q4767" t="str">
            <v>EST MESA JANTAR BANK (INTEIRA LAMINA FREIJO NATURAL)</v>
          </cell>
          <cell r="R4767"/>
          <cell r="S4767"/>
          <cell r="T4767">
            <v>3</v>
          </cell>
          <cell r="U4767">
            <v>1.1000000000000001</v>
          </cell>
          <cell r="V4767">
            <v>0.75</v>
          </cell>
          <cell r="W4767">
            <v>0</v>
          </cell>
          <cell r="X4767" t="str">
            <v>EST MESA JANTAR BANK (INTEIRA LAMINA FREIJO NATURAL) - 3x1,1x0,75H</v>
          </cell>
          <cell r="Y4767">
            <v>86775.54</v>
          </cell>
          <cell r="Z4767">
            <v>0.5</v>
          </cell>
          <cell r="AA4767">
            <v>43387.77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270442</v>
          </cell>
          <cell r="P4768"/>
          <cell r="Q4768" t="str">
            <v>EST LUMINARIA UNICA MESA/DOURADO/VD FSC SOPRADO</v>
          </cell>
          <cell r="R4768"/>
          <cell r="S4768"/>
          <cell r="T4768">
            <v>0.23</v>
          </cell>
          <cell r="U4768">
            <v>0</v>
          </cell>
          <cell r="V4768">
            <v>0.48</v>
          </cell>
          <cell r="W4768">
            <v>0.23</v>
          </cell>
          <cell r="X4768" t="str">
            <v>EST LUMINARIA UNICA MESA/DOURADO/VD FSC SOPRADO - Ø0,23x0,48H</v>
          </cell>
          <cell r="Y4768" t="str">
            <v>EST</v>
          </cell>
          <cell r="Z4768">
            <v>0.35</v>
          </cell>
          <cell r="AA4768" t="e">
            <v>#VALUE!</v>
          </cell>
          <cell r="AB4768"/>
        </row>
        <row r="4769">
          <cell r="C4769">
            <v>1</v>
          </cell>
          <cell r="D4769">
            <v>0</v>
          </cell>
          <cell r="E4769">
            <v>0</v>
          </cell>
          <cell r="F4769">
            <v>0</v>
          </cell>
          <cell r="H4769">
            <v>2</v>
          </cell>
          <cell r="O4769">
            <v>270478</v>
          </cell>
          <cell r="P4769" t="str">
            <v>2020/322-0068-01</v>
          </cell>
          <cell r="Q4769" t="str">
            <v>EST POLTRONA SOFT (BS ELET CORTEN) C0700-1/SOL NATURAL</v>
          </cell>
          <cell r="R4769"/>
          <cell r="S4769"/>
          <cell r="T4769">
            <v>0.87</v>
          </cell>
          <cell r="U4769">
            <v>1.02</v>
          </cell>
          <cell r="V4769">
            <v>0.8</v>
          </cell>
          <cell r="W4769">
            <v>0</v>
          </cell>
          <cell r="X4769" t="str">
            <v>EST POLTRONA SOFT (BS ELET CORTEN) C0700-1/SOL NATURAL - 0,87x1,02x0,8H</v>
          </cell>
          <cell r="Y4769">
            <v>30886.22</v>
          </cell>
          <cell r="Z4769">
            <v>0.35</v>
          </cell>
          <cell r="AA4769">
            <v>20076.043000000001</v>
          </cell>
          <cell r="AB4769"/>
        </row>
        <row r="4770">
          <cell r="C4770">
            <v>2</v>
          </cell>
          <cell r="D4770">
            <v>0</v>
          </cell>
          <cell r="E4770">
            <v>0</v>
          </cell>
          <cell r="F4770">
            <v>0</v>
          </cell>
          <cell r="H4770">
            <v>2</v>
          </cell>
          <cell r="O4770">
            <v>270480</v>
          </cell>
          <cell r="P4770" t="str">
            <v>2020/344-0192-01</v>
          </cell>
          <cell r="Q4770" t="str">
            <v>EST POLTRONA APOLLO PELE (ELETROST PRETA) C700/8/COURO PT</v>
          </cell>
          <cell r="R4770"/>
          <cell r="S4770"/>
          <cell r="T4770">
            <v>0.75</v>
          </cell>
          <cell r="U4770">
            <v>0.62</v>
          </cell>
          <cell r="V4770">
            <v>0.7</v>
          </cell>
          <cell r="W4770">
            <v>0</v>
          </cell>
          <cell r="X4770" t="str">
            <v>EST POLTRONA APOLLO PELE (ELETROST PRETA) C700/8/COURO PT - 0,75x0,62x0,7H</v>
          </cell>
          <cell r="Y4770">
            <v>23439.67</v>
          </cell>
          <cell r="Z4770">
            <v>0.5</v>
          </cell>
          <cell r="AA4770">
            <v>11719.834999999999</v>
          </cell>
          <cell r="AB4770"/>
        </row>
        <row r="4771">
          <cell r="C4771">
            <v>2</v>
          </cell>
          <cell r="D4771">
            <v>0</v>
          </cell>
          <cell r="E4771">
            <v>0</v>
          </cell>
          <cell r="F4771">
            <v>0</v>
          </cell>
          <cell r="H4771">
            <v>2</v>
          </cell>
          <cell r="O4771">
            <v>270480</v>
          </cell>
          <cell r="P4771" t="str">
            <v>2020/344-0193-01</v>
          </cell>
          <cell r="Q4771" t="str">
            <v>EST POLTRONA APOLLO PELE (ELETROST PRETA) C700/8/COURO PT</v>
          </cell>
          <cell r="R4771"/>
          <cell r="S4771"/>
          <cell r="T4771">
            <v>0.75</v>
          </cell>
          <cell r="U4771">
            <v>0.62</v>
          </cell>
          <cell r="V4771">
            <v>0.7</v>
          </cell>
          <cell r="W4771">
            <v>0</v>
          </cell>
          <cell r="X4771" t="str">
            <v>EST POLTRONA APOLLO PELE (ELETROST PRETA) C700/8/COURO PT - 0,75x0,62x0,7H</v>
          </cell>
          <cell r="Y4771">
            <v>23439.67</v>
          </cell>
          <cell r="Z4771">
            <v>0.5</v>
          </cell>
          <cell r="AA4771">
            <v>11719.834999999999</v>
          </cell>
          <cell r="AB4771"/>
        </row>
        <row r="4772">
          <cell r="C4772">
            <v>1</v>
          </cell>
          <cell r="D4772">
            <v>1</v>
          </cell>
          <cell r="E4772">
            <v>0</v>
          </cell>
          <cell r="F4772">
            <v>0</v>
          </cell>
          <cell r="H4772">
            <v>1</v>
          </cell>
          <cell r="O4772">
            <v>270551</v>
          </cell>
          <cell r="P4772" t="str">
            <v>2020/332-0016-01</v>
          </cell>
          <cell r="Q4772" t="str">
            <v>EST BANQUETA BAR LISBOA (MARFIM NOCCE) (FX A1094/DET CAMEL)</v>
          </cell>
          <cell r="R4772"/>
          <cell r="S4772"/>
          <cell r="T4772">
            <v>0.45</v>
          </cell>
          <cell r="U4772">
            <v>0.54</v>
          </cell>
          <cell r="V4772">
            <v>1.01</v>
          </cell>
          <cell r="W4772">
            <v>0</v>
          </cell>
          <cell r="X4772" t="str">
            <v>EST BANQUETA BAR LISBOA (MARFIM NOCCE) (FX A1094/DET CAMEL) - 0,45x0,54x1,01H</v>
          </cell>
          <cell r="Y4772">
            <v>4139.5200000000004</v>
          </cell>
          <cell r="Z4772">
            <v>0.5</v>
          </cell>
          <cell r="AA4772">
            <v>2069.7600000000002</v>
          </cell>
          <cell r="AB4772"/>
        </row>
        <row r="4773"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H4773">
            <v>1</v>
          </cell>
          <cell r="O4773">
            <v>270795</v>
          </cell>
          <cell r="P4773" t="str">
            <v>2020/338-0080-01</v>
          </cell>
          <cell r="Q4773" t="str">
            <v>EST BANCO DALI FX E5116</v>
          </cell>
          <cell r="R4773"/>
          <cell r="S4773"/>
          <cell r="T4773">
            <v>1.8</v>
          </cell>
          <cell r="U4773">
            <v>0.6</v>
          </cell>
          <cell r="V4773">
            <v>0.44</v>
          </cell>
          <cell r="W4773">
            <v>0</v>
          </cell>
          <cell r="X4773" t="str">
            <v>EST BANCO DALI FX E5116 - 1,8x0,6x0,44H</v>
          </cell>
          <cell r="Y4773">
            <v>11509.25</v>
          </cell>
          <cell r="Z4773">
            <v>0.5</v>
          </cell>
          <cell r="AA4773">
            <v>5754.625</v>
          </cell>
          <cell r="AB4773"/>
        </row>
        <row r="4774"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H4774">
            <v>0</v>
          </cell>
          <cell r="O4774">
            <v>271414</v>
          </cell>
          <cell r="P4774" t="str">
            <v>2020/343-0079-01</v>
          </cell>
          <cell r="Q4774" t="str">
            <v>EST QUADRO RAFIA MOSTARDA M6 (1382) MOLDURA BRONZE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QUADRO RAFIA MOSTARDA M6 (1382) MOLDURA BRONZE - 0,6x0,6x0H</v>
          </cell>
          <cell r="Y4774" t="str">
            <v>EST</v>
          </cell>
          <cell r="Z4774">
            <v>0.35</v>
          </cell>
          <cell r="AA4774" t="e">
            <v>#VALUE!</v>
          </cell>
          <cell r="AB4774"/>
        </row>
        <row r="4775"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H4775">
            <v>0</v>
          </cell>
          <cell r="O4775">
            <v>271414</v>
          </cell>
          <cell r="P4775" t="str">
            <v>2020/343-0017-01</v>
          </cell>
          <cell r="Q4775" t="str">
            <v>EST QUADRO RAFIA MOSTARDA M6 (1382) MOLDURA BRONZE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QUADRO RAFIA MOSTARDA M6 (1382) MOLDURA BRONZE - 0,6x0,6x0H</v>
          </cell>
          <cell r="Y4775" t="str">
            <v>EST</v>
          </cell>
          <cell r="Z4775">
            <v>0.35</v>
          </cell>
          <cell r="AA4775" t="e">
            <v>#VALUE!</v>
          </cell>
          <cell r="AB4775"/>
        </row>
        <row r="4776"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H4776">
            <v>0</v>
          </cell>
          <cell r="O4776">
            <v>271415</v>
          </cell>
          <cell r="P4776" t="str">
            <v>2020/343-0080-01</v>
          </cell>
          <cell r="Q4776" t="str">
            <v>EST QUADRO RAFIA MUSGO M6 (1383) MOLD BRONZE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QUADRO RAFIA MUSGO M6 (1383) MOLD BRONZE - 0,6x0,6x0H</v>
          </cell>
          <cell r="Y4776" t="str">
            <v>EST</v>
          </cell>
          <cell r="Z4776">
            <v>0.35</v>
          </cell>
          <cell r="AA4776" t="e">
            <v>#VALUE!</v>
          </cell>
          <cell r="AB4776"/>
        </row>
        <row r="4777">
          <cell r="C4777">
            <v>1</v>
          </cell>
          <cell r="D4777">
            <v>1</v>
          </cell>
          <cell r="E4777">
            <v>0</v>
          </cell>
          <cell r="F4777">
            <v>0</v>
          </cell>
          <cell r="H4777">
            <v>0</v>
          </cell>
          <cell r="O4777">
            <v>271476</v>
          </cell>
          <cell r="P4777"/>
          <cell r="Q4777" t="str">
            <v>EST AC VASO GHAT I 17,5X10,5X10,5 CERAMICA AZUL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VASO GHAT I 17,5X10,5X10,5 CERAMICA AZUL - Ø0x0H</v>
          </cell>
          <cell r="Y4777">
            <v>0</v>
          </cell>
          <cell r="Z4777">
            <v>0.35</v>
          </cell>
          <cell r="AA4777">
            <v>0</v>
          </cell>
          <cell r="AB4777"/>
        </row>
        <row r="4778">
          <cell r="C4778">
            <v>1</v>
          </cell>
          <cell r="D4778">
            <v>1</v>
          </cell>
          <cell r="E4778">
            <v>0</v>
          </cell>
          <cell r="F4778">
            <v>0</v>
          </cell>
          <cell r="H4778">
            <v>0</v>
          </cell>
          <cell r="O4778">
            <v>271477</v>
          </cell>
          <cell r="P4778"/>
          <cell r="Q4778" t="str">
            <v>EST AC VASO GHAT II 9X13X13 CERAMICA AZUL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VASO GHAT II 9X13X13 CERAMICA AZUL - Ø0x0H</v>
          </cell>
          <cell r="Y4778">
            <v>0</v>
          </cell>
          <cell r="Z4778">
            <v>0.35</v>
          </cell>
          <cell r="AA4778">
            <v>0</v>
          </cell>
          <cell r="AB4778"/>
        </row>
        <row r="4779"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H4779">
            <v>1</v>
          </cell>
          <cell r="O4779">
            <v>271762</v>
          </cell>
          <cell r="P4779" t="str">
            <v>2020/294-0060-01</v>
          </cell>
          <cell r="Q4779" t="str">
            <v>EST MODULO PUFF IZADORA (CAPA/FIBRA) TC 4104</v>
          </cell>
          <cell r="R4779"/>
          <cell r="S4779"/>
          <cell r="T4779">
            <v>0.9</v>
          </cell>
          <cell r="U4779">
            <v>0.6</v>
          </cell>
          <cell r="V4779">
            <v>0.47</v>
          </cell>
          <cell r="W4779">
            <v>0</v>
          </cell>
          <cell r="X4779" t="str">
            <v>EST MODULO PUFF IZADORA (CAPA/FIBRA) TC 4104 - 0,9x0,6x0,47H</v>
          </cell>
          <cell r="Y4779">
            <v>7972.61</v>
          </cell>
          <cell r="Z4779">
            <v>0.5</v>
          </cell>
          <cell r="AA4779">
            <v>3986.3049999999998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0</v>
          </cell>
          <cell r="O4780">
            <v>274002</v>
          </cell>
          <cell r="P4780" t="str">
            <v>2020/354-0056-01</v>
          </cell>
          <cell r="Q4780" t="str">
            <v>EST BANQUETA BAR CAVALETTA H65 (JEQUITIBA IMBUIA CLARO)</v>
          </cell>
          <cell r="R4780"/>
          <cell r="S4780"/>
          <cell r="T4780">
            <v>0.43</v>
          </cell>
          <cell r="U4780">
            <v>0.46</v>
          </cell>
          <cell r="V4780">
            <v>0.65</v>
          </cell>
          <cell r="W4780">
            <v>0</v>
          </cell>
          <cell r="X4780" t="str">
            <v>EST BANQUETA BAR CAVALETTA H65 (JEQUITIBA IMBUIA CLARO) - 0,43x0,46x0,65H</v>
          </cell>
          <cell r="Y4780">
            <v>6456.31</v>
          </cell>
          <cell r="Z4780">
            <v>0.35</v>
          </cell>
          <cell r="AA4780">
            <v>4196.6015000000007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274221</v>
          </cell>
          <cell r="P4781"/>
          <cell r="Q4781" t="str">
            <v>EST BANCO OTTO (PRETO FOSCO) (FREIJO) TC ZEFIRO 158 VERDE</v>
          </cell>
          <cell r="R4781"/>
          <cell r="S4781"/>
          <cell r="T4781">
            <v>1.81</v>
          </cell>
          <cell r="U4781">
            <v>0.62</v>
          </cell>
          <cell r="V4781">
            <v>0.35</v>
          </cell>
          <cell r="W4781">
            <v>0</v>
          </cell>
          <cell r="X4781" t="str">
            <v>EST BANCO OTTO (PRETO FOSCO) (FREIJO) TC ZEFIRO 158 VERDE - 1,81x0,62x0,35H</v>
          </cell>
          <cell r="Y4781">
            <v>0</v>
          </cell>
          <cell r="Z4781">
            <v>0.35</v>
          </cell>
          <cell r="AA4781">
            <v>0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1</v>
          </cell>
          <cell r="O4782">
            <v>274745</v>
          </cell>
          <cell r="P4782" t="str">
            <v>2021/119-0018-01</v>
          </cell>
          <cell r="Q4782" t="str">
            <v>EST MESA CENTRO PISAC (RED) (MTZ CAPUCCINO) (MARM IMPERADOR)</v>
          </cell>
          <cell r="R4782"/>
          <cell r="S4782"/>
          <cell r="T4782">
            <v>0.9</v>
          </cell>
          <cell r="U4782">
            <v>0</v>
          </cell>
          <cell r="V4782">
            <v>0.4</v>
          </cell>
          <cell r="W4782">
            <v>0.9</v>
          </cell>
          <cell r="X4782" t="str">
            <v>EST MESA CENTRO PISAC (RED) (MTZ CAPUCCINO) (MARM IMPERADOR) - Ø0,9x0,4H</v>
          </cell>
          <cell r="Y4782">
            <v>21627.599999999999</v>
          </cell>
          <cell r="Z4782">
            <v>0.35</v>
          </cell>
          <cell r="AA4782">
            <v>14057.939999999999</v>
          </cell>
          <cell r="AB4782"/>
        </row>
        <row r="4783">
          <cell r="C4783">
            <v>0</v>
          </cell>
          <cell r="D4783">
            <v>1</v>
          </cell>
          <cell r="E4783">
            <v>0</v>
          </cell>
          <cell r="F4783">
            <v>0</v>
          </cell>
          <cell r="H4783">
            <v>1</v>
          </cell>
          <cell r="O4783">
            <v>274746</v>
          </cell>
          <cell r="P4783" t="str">
            <v>2021/116-0057-01</v>
          </cell>
          <cell r="Q4783" t="str">
            <v>EST MESA CENTRO PISAC (RED) (MTZ CAPUCCINO) (LAMINA WALNUT)</v>
          </cell>
          <cell r="R4783"/>
          <cell r="S4783"/>
          <cell r="T4783">
            <v>0.9</v>
          </cell>
          <cell r="U4783">
            <v>0</v>
          </cell>
          <cell r="V4783">
            <v>0.3</v>
          </cell>
          <cell r="W4783">
            <v>0.9</v>
          </cell>
          <cell r="X4783" t="str">
            <v>EST MESA CENTRO PISAC (RED) (MTZ CAPUCCINO) (LAMINA WALNUT) - Ø0,9x0,3H</v>
          </cell>
          <cell r="Y4783">
            <v>15007.73</v>
          </cell>
          <cell r="Z4783">
            <v>0.35</v>
          </cell>
          <cell r="AA4783">
            <v>9755.0244999999995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2</v>
          </cell>
          <cell r="O4784">
            <v>274795</v>
          </cell>
          <cell r="P4784" t="str">
            <v>2021/091-0034-01</v>
          </cell>
          <cell r="Q4784" t="str">
            <v>EST MESA JANTAR ELISE (MTX OFF WHITE C/VD CLEAR 4MM/BS NOG)</v>
          </cell>
          <cell r="R4784"/>
          <cell r="S4784"/>
          <cell r="T4784">
            <v>2.6</v>
          </cell>
          <cell r="U4784">
            <v>1.2</v>
          </cell>
          <cell r="V4784">
            <v>0.75</v>
          </cell>
          <cell r="W4784">
            <v>0</v>
          </cell>
          <cell r="X4784" t="str">
            <v>EST MESA JANTAR ELISE (MTX OFF WHITE C/VD CLEAR 4MM/BS NOG) - 2,6x1,2x0,75H</v>
          </cell>
          <cell r="Y4784">
            <v>40011.550000000003</v>
          </cell>
          <cell r="Z4784">
            <v>0.5</v>
          </cell>
          <cell r="AA4784">
            <v>20005.775000000001</v>
          </cell>
          <cell r="AB4784"/>
        </row>
        <row r="4785">
          <cell r="C4785">
            <v>0</v>
          </cell>
          <cell r="D4785">
            <v>1</v>
          </cell>
          <cell r="E4785">
            <v>0</v>
          </cell>
          <cell r="F4785">
            <v>0</v>
          </cell>
          <cell r="H4785">
            <v>1</v>
          </cell>
          <cell r="O4785">
            <v>274941</v>
          </cell>
          <cell r="P4785" t="str">
            <v>2021/075-0133-01</v>
          </cell>
          <cell r="Q4785" t="str">
            <v>EST MESA CENTRO AYLA H35 (SUP1 PT) (TP CRV PT/TS CORTEN) LT</v>
          </cell>
          <cell r="R4785"/>
          <cell r="S4785"/>
          <cell r="T4785">
            <v>1.6</v>
          </cell>
          <cell r="U4785">
            <v>0.8</v>
          </cell>
          <cell r="V4785">
            <v>0.35</v>
          </cell>
          <cell r="W4785">
            <v>0</v>
          </cell>
          <cell r="X4785" t="str">
            <v>EST MESA CENTRO AYLA H35 (SUP1 PT) (TP CRV PT/TS CORTEN) LT - 1,6x0,8x0,35H</v>
          </cell>
          <cell r="Y4785">
            <v>8067.99</v>
          </cell>
          <cell r="Z4785">
            <v>0.5</v>
          </cell>
          <cell r="AA4785">
            <v>4033.9949999999999</v>
          </cell>
          <cell r="AB4785"/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H4786">
            <v>0</v>
          </cell>
          <cell r="O4786">
            <v>274942</v>
          </cell>
          <cell r="P4786" t="str">
            <v>2021/078-0045-01</v>
          </cell>
          <cell r="Q4786" t="str">
            <v>EST MESA LATERAL AYLA H50 (SUP1 PT) (TP CRV PT/TS CORTEN) LT</v>
          </cell>
          <cell r="R4786"/>
          <cell r="S4786"/>
          <cell r="T4786">
            <v>0.57999999999999996</v>
          </cell>
          <cell r="U4786">
            <v>0</v>
          </cell>
          <cell r="V4786">
            <v>0.5</v>
          </cell>
          <cell r="W4786">
            <v>0.57999999999999996</v>
          </cell>
          <cell r="X4786" t="str">
            <v>EST MESA LATERAL AYLA H50 (SUP1 PT) (TP CRV PT/TS CORTEN) LT - Ø0,58x0,5H</v>
          </cell>
          <cell r="Y4786">
            <v>4221.32</v>
          </cell>
          <cell r="Z4786">
            <v>0.5</v>
          </cell>
          <cell r="AA4786">
            <v>2110.66</v>
          </cell>
          <cell r="AB4786"/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H4787">
            <v>0</v>
          </cell>
          <cell r="O4787">
            <v>274944</v>
          </cell>
          <cell r="P4787" t="str">
            <v>2023/030-0023-01</v>
          </cell>
          <cell r="Q4787" t="str">
            <v>EST MESA LATERAL LURI H50 (TP GREY FSC/BS MTZ CINZA GRAFITE)</v>
          </cell>
          <cell r="R4787"/>
          <cell r="S4787"/>
          <cell r="T4787">
            <v>0.4</v>
          </cell>
          <cell r="U4787">
            <v>0</v>
          </cell>
          <cell r="V4787">
            <v>0.5</v>
          </cell>
          <cell r="W4787">
            <v>0.4</v>
          </cell>
          <cell r="X4787" t="str">
            <v>EST MESA LATERAL LURI H50 (TP GREY FSC/BS MTZ CINZA GRAFITE) - Ø0,4x0,5H</v>
          </cell>
          <cell r="Y4787">
            <v>2208.1</v>
          </cell>
          <cell r="Z4787">
            <v>0.35</v>
          </cell>
          <cell r="AA4787">
            <v>1435.2649999999999</v>
          </cell>
          <cell r="AB4787"/>
        </row>
        <row r="4788">
          <cell r="C4788">
            <v>0</v>
          </cell>
          <cell r="D4788">
            <v>0</v>
          </cell>
          <cell r="E4788">
            <v>0</v>
          </cell>
          <cell r="F4788">
            <v>0</v>
          </cell>
          <cell r="H4788">
            <v>0</v>
          </cell>
          <cell r="O4788">
            <v>274999</v>
          </cell>
          <cell r="P4788" t="str">
            <v>2021/162-0030-01</v>
          </cell>
          <cell r="Q4788" t="str">
            <v>EST MESA LATERAL BUZIOS 350 (TP/BS CONC CHANF NAT/HST PT)</v>
          </cell>
          <cell r="R4788"/>
          <cell r="S4788"/>
          <cell r="T4788">
            <v>0.35</v>
          </cell>
          <cell r="U4788">
            <v>0</v>
          </cell>
          <cell r="V4788">
            <v>0.55000000000000004</v>
          </cell>
          <cell r="W4788">
            <v>0.35</v>
          </cell>
          <cell r="X4788" t="str">
            <v>EST MESA LATERAL BUZIOS 350 (TP/BS CONC CHANF NAT/HST PT) - Ø0,35x0,55H</v>
          </cell>
          <cell r="Y4788">
            <v>5559.68</v>
          </cell>
          <cell r="Z4788">
            <v>0.35</v>
          </cell>
          <cell r="AA4788">
            <v>3613.7920000000004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276469</v>
          </cell>
          <cell r="P4789" t="str">
            <v>2021/083-0002-01</v>
          </cell>
          <cell r="Q4789" t="str">
            <v>EST MESA CENTRO CRUX (DES) (LAM 2 NOGUEIRA) (BS CHAMPAGNE)</v>
          </cell>
          <cell r="R4789"/>
          <cell r="S4789"/>
          <cell r="T4789">
            <v>1.8</v>
          </cell>
          <cell r="U4789">
            <v>1.1000000000000001</v>
          </cell>
          <cell r="V4789">
            <v>0.3</v>
          </cell>
          <cell r="W4789">
            <v>0</v>
          </cell>
          <cell r="X4789" t="str">
            <v>EST MESA CENTRO CRUX (DES) (LAM 2 NOGUEIRA) (BS CHAMPAGNE) - 1,8x1,1x0,3H</v>
          </cell>
          <cell r="Y4789">
            <v>17835.64</v>
          </cell>
          <cell r="Z4789">
            <v>0.35</v>
          </cell>
          <cell r="AA4789">
            <v>11593.166000000001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277807</v>
          </cell>
          <cell r="P4790"/>
          <cell r="Q4790" t="str">
            <v>EST POLTRONA MOLE (IMBUIA STAIN) COURO SOFT CARAMELO</v>
          </cell>
          <cell r="R4790"/>
          <cell r="S4790"/>
          <cell r="T4790">
            <v>1.2</v>
          </cell>
          <cell r="U4790">
            <v>1.05</v>
          </cell>
          <cell r="V4790">
            <v>0.82</v>
          </cell>
          <cell r="W4790">
            <v>0</v>
          </cell>
          <cell r="X4790" t="str">
            <v>EST POLTRONA MOLE (IMBUIA STAIN) COURO SOFT CARAMELO - 1,2x1,05x0,82H</v>
          </cell>
          <cell r="Y4790">
            <v>0</v>
          </cell>
          <cell r="Z4790">
            <v>0.35</v>
          </cell>
          <cell r="AA4790">
            <v>0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277811</v>
          </cell>
          <cell r="P4791"/>
          <cell r="Q4791" t="str">
            <v>EST BANQUETA MOLE (IMBUIA STAIN) COURO SOFT CARAMELO</v>
          </cell>
          <cell r="R4791"/>
          <cell r="S4791"/>
          <cell r="T4791">
            <v>0.82</v>
          </cell>
          <cell r="U4791">
            <v>0.59</v>
          </cell>
          <cell r="V4791">
            <v>0.45</v>
          </cell>
          <cell r="W4791">
            <v>0</v>
          </cell>
          <cell r="X4791" t="str">
            <v>EST BANQUETA MOLE (IMBUIA STAIN) COURO SOFT CARAMELO - 0,82x0,59x0,45H</v>
          </cell>
          <cell r="Y4791">
            <v>0</v>
          </cell>
          <cell r="Z4791">
            <v>0.35</v>
          </cell>
          <cell r="AA4791">
            <v>0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1</v>
          </cell>
          <cell r="O4792">
            <v>278524</v>
          </cell>
          <cell r="P4792"/>
          <cell r="Q4792" t="str">
            <v>EST SOFA DUO (FIBRA) (PE PTO) TC ZEFIRO 158 VERDE/DEC01918</v>
          </cell>
          <cell r="R4792"/>
          <cell r="S4792"/>
          <cell r="T4792">
            <v>3</v>
          </cell>
          <cell r="U4792">
            <v>0.95</v>
          </cell>
          <cell r="V4792">
            <v>0.64</v>
          </cell>
          <cell r="W4792">
            <v>0</v>
          </cell>
          <cell r="X4792" t="str">
            <v>EST SOFA DUO (FIBRA) (PE PTO) TC ZEFIRO 158 VERDE/DEC01918 - 3x0,95x0,64H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H4793">
            <v>1</v>
          </cell>
          <cell r="O4793">
            <v>278839</v>
          </cell>
          <cell r="P4793"/>
          <cell r="Q4793" t="str">
            <v>EST SOFA SKY BRACO ESQ ESTANTE DIR TC EL NOVE 4 GREY</v>
          </cell>
          <cell r="R4793"/>
          <cell r="S4793"/>
          <cell r="T4793">
            <v>3</v>
          </cell>
          <cell r="U4793">
            <v>1</v>
          </cell>
          <cell r="V4793">
            <v>0.65</v>
          </cell>
          <cell r="W4793">
            <v>0</v>
          </cell>
          <cell r="X4793" t="str">
            <v>EST SOFA SKY BRACO ESQ ESTANTE DIR TC EL NOVE 4 GREY - 3x1x0,65H</v>
          </cell>
          <cell r="Y4793">
            <v>0</v>
          </cell>
          <cell r="Z4793">
            <v>0</v>
          </cell>
          <cell r="AA4793">
            <v>0</v>
          </cell>
          <cell r="AB4793"/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H4794">
            <v>0</v>
          </cell>
          <cell r="O4794">
            <v>280523</v>
          </cell>
          <cell r="P4794"/>
          <cell r="Q4794" t="str">
            <v>EST MESA CENTRO CLIPS TP CRISTAL LAQU TITANIUM/PES TITANIUM</v>
          </cell>
          <cell r="R4794"/>
          <cell r="S4794"/>
          <cell r="T4794">
            <v>1.8</v>
          </cell>
          <cell r="U4794">
            <v>0.8</v>
          </cell>
          <cell r="V4794">
            <v>0.32</v>
          </cell>
          <cell r="W4794">
            <v>0</v>
          </cell>
          <cell r="X4794" t="str">
            <v>EST MESA CENTRO CLIPS TP CRISTAL LAQU TITANIUM/PES TITANIUM - 1,8x0,8x0,32H</v>
          </cell>
          <cell r="Y4794">
            <v>13080.26</v>
          </cell>
          <cell r="Z4794">
            <v>0.35</v>
          </cell>
          <cell r="AA4794">
            <v>8502.1690000000017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281001</v>
          </cell>
          <cell r="P4795"/>
          <cell r="Q4795" t="str">
            <v>EST TAMPO CRISTAL LAPIDADO (10MM) INCOLOR RETILINEO</v>
          </cell>
          <cell r="R4795"/>
          <cell r="S4795"/>
          <cell r="T4795">
            <v>1.1599999999999999</v>
          </cell>
          <cell r="U4795">
            <v>1.1599999999999999</v>
          </cell>
          <cell r="V4795">
            <v>0.01</v>
          </cell>
          <cell r="W4795">
            <v>0</v>
          </cell>
          <cell r="X4795" t="str">
            <v>EST TAMPO CRISTAL LAPIDADO (10MM) INCOLOR RETILINEO - 1,16x1,16x0,01H</v>
          </cell>
          <cell r="Y4795" t="e">
            <v>#VALUE!</v>
          </cell>
          <cell r="Z4795">
            <v>0.35</v>
          </cell>
          <cell r="AA4795" t="e">
            <v>#VALUE!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1</v>
          </cell>
          <cell r="O4796">
            <v>299328</v>
          </cell>
          <cell r="P4796" t="str">
            <v>2022/025-0115-01</v>
          </cell>
          <cell r="Q4796" t="str">
            <v>EST POLTRONA ETTRO (BC RECOURO 2562) F8027/REC 2562/2584</v>
          </cell>
          <cell r="R4796"/>
          <cell r="S4796"/>
          <cell r="T4796">
            <v>0.87</v>
          </cell>
          <cell r="U4796">
            <v>0.9</v>
          </cell>
          <cell r="V4796">
            <v>0.74</v>
          </cell>
          <cell r="W4796">
            <v>0</v>
          </cell>
          <cell r="X4796" t="str">
            <v>EST POLTRONA ETTRO (BC RECOURO 2562) F8027/REC 2562/2584 - 0,87x0,9x0,74H</v>
          </cell>
          <cell r="Y4796">
            <v>18471.04</v>
          </cell>
          <cell r="Z4796">
            <v>0.5</v>
          </cell>
          <cell r="AA4796">
            <v>9235.52</v>
          </cell>
          <cell r="AB4796"/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H4797">
            <v>1</v>
          </cell>
          <cell r="O4797">
            <v>299532</v>
          </cell>
          <cell r="P4797" t="str">
            <v>2022/034-0013-01</v>
          </cell>
          <cell r="Q4797" t="str">
            <v>EST MESA JANTAR ABACATE (PINT FSC PRETO) (MARM 1 MAORI)</v>
          </cell>
          <cell r="R4797"/>
          <cell r="S4797"/>
          <cell r="T4797">
            <v>2.7</v>
          </cell>
          <cell r="U4797">
            <v>1.6</v>
          </cell>
          <cell r="V4797">
            <v>0.75</v>
          </cell>
          <cell r="W4797">
            <v>0</v>
          </cell>
          <cell r="X4797" t="str">
            <v>EST MESA JANTAR ABACATE (PINT FSC PRETO) (MARM 1 MAORI) - 2,7x1,6x0,75H</v>
          </cell>
          <cell r="Y4797">
            <v>119379.77</v>
          </cell>
          <cell r="Z4797">
            <v>0.35</v>
          </cell>
          <cell r="AA4797">
            <v>77596.8505</v>
          </cell>
          <cell r="AB4797"/>
        </row>
        <row r="4798">
          <cell r="C4798">
            <v>0</v>
          </cell>
          <cell r="D4798">
            <v>0</v>
          </cell>
          <cell r="E4798">
            <v>1</v>
          </cell>
          <cell r="F4798">
            <v>0</v>
          </cell>
          <cell r="H4798">
            <v>1</v>
          </cell>
          <cell r="O4798">
            <v>299533</v>
          </cell>
          <cell r="P4798" t="str">
            <v>2022/034-0001-01</v>
          </cell>
          <cell r="Q4798" t="str">
            <v>EST ESTANTE VO (B) (MTZ ONIX PRETO) (LAM 2 NOGUEIRA)</v>
          </cell>
          <cell r="R4798"/>
          <cell r="S4798"/>
          <cell r="T4798">
            <v>1.04</v>
          </cell>
          <cell r="U4798">
            <v>0.45</v>
          </cell>
          <cell r="V4798">
            <v>2.11</v>
          </cell>
          <cell r="W4798">
            <v>0</v>
          </cell>
          <cell r="X4798" t="str">
            <v>EST ESTANTE VO (B) (MTZ ONIX PRETO) (LAM 2 NOGUEIRA) - 1,04x0,45x2,11H</v>
          </cell>
          <cell r="Y4798">
            <v>63815.4</v>
          </cell>
          <cell r="Z4798">
            <v>0.35</v>
          </cell>
          <cell r="AA4798">
            <v>41480.01</v>
          </cell>
          <cell r="AB4798"/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H4799">
            <v>1</v>
          </cell>
          <cell r="O4799">
            <v>299553</v>
          </cell>
          <cell r="P4799" t="str">
            <v>2022/018-0039-01</v>
          </cell>
          <cell r="Q4799" t="str">
            <v>EST PUFF OLY H38 FX B2062/HASTE METAL 2415</v>
          </cell>
          <cell r="R4799"/>
          <cell r="S4799"/>
          <cell r="T4799">
            <v>0.5</v>
          </cell>
          <cell r="U4799">
            <v>0</v>
          </cell>
          <cell r="V4799">
            <v>0.38</v>
          </cell>
          <cell r="W4799">
            <v>0.5</v>
          </cell>
          <cell r="X4799" t="str">
            <v>EST PUFF OLY H38 FX B2062/HASTE METAL 2415 - Ø0,5x0,38H</v>
          </cell>
          <cell r="Y4799">
            <v>6575.7</v>
          </cell>
          <cell r="Z4799">
            <v>0.5</v>
          </cell>
          <cell r="AA4799">
            <v>3287.85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1</v>
          </cell>
          <cell r="O4800">
            <v>299554</v>
          </cell>
          <cell r="P4800" t="str">
            <v>2022/018-0040-01</v>
          </cell>
          <cell r="Q4800" t="str">
            <v>EST PUFF OLY H45 FX B2062/HASTE METAL 2415</v>
          </cell>
          <cell r="R4800"/>
          <cell r="S4800"/>
          <cell r="T4800">
            <v>0.6</v>
          </cell>
          <cell r="U4800">
            <v>0</v>
          </cell>
          <cell r="V4800">
            <v>0.45</v>
          </cell>
          <cell r="W4800">
            <v>0.6</v>
          </cell>
          <cell r="X4800" t="str">
            <v>EST PUFF OLY H45 FX B2062/HASTE METAL 2415 - Ø0,6x0,45H</v>
          </cell>
          <cell r="Y4800">
            <v>7194.48</v>
          </cell>
          <cell r="Z4800">
            <v>0.5</v>
          </cell>
          <cell r="AA4800">
            <v>3597.24</v>
          </cell>
          <cell r="AB4800"/>
        </row>
        <row r="4801">
          <cell r="C4801">
            <v>3</v>
          </cell>
          <cell r="D4801">
            <v>0</v>
          </cell>
          <cell r="E4801">
            <v>0</v>
          </cell>
          <cell r="F4801">
            <v>0</v>
          </cell>
          <cell r="H4801">
            <v>0</v>
          </cell>
          <cell r="O4801">
            <v>299555</v>
          </cell>
          <cell r="P4801" t="str">
            <v>2022/034-0003-01</v>
          </cell>
          <cell r="Q4801" t="str">
            <v>EST ESTANTE BURLE (MTX MARROM FSC) (LAM 2 PRAT FREIJO NAT)</v>
          </cell>
          <cell r="R4801"/>
          <cell r="S4801"/>
          <cell r="T4801">
            <v>1.3</v>
          </cell>
          <cell r="U4801">
            <v>0.45</v>
          </cell>
          <cell r="V4801">
            <v>1.83</v>
          </cell>
          <cell r="W4801">
            <v>0</v>
          </cell>
          <cell r="X4801" t="str">
            <v>EST ESTANTE BURLE (MTX MARROM FSC) (LAM 2 PRAT FREIJO NAT) - 1,3x0,45x1,83H</v>
          </cell>
          <cell r="Y4801">
            <v>44856.36</v>
          </cell>
          <cell r="Z4801">
            <v>0.35</v>
          </cell>
          <cell r="AA4801">
            <v>29156.634000000002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300084</v>
          </cell>
          <cell r="P4802" t="str">
            <v>2022/034-0021-01</v>
          </cell>
          <cell r="Q4802" t="str">
            <v>EST MESA JANTAR ABACATE (LAM 2 NOGUEIRA) (MARM 2 ROSA PARAN)</v>
          </cell>
          <cell r="R4802"/>
          <cell r="S4802"/>
          <cell r="T4802">
            <v>2.7</v>
          </cell>
          <cell r="U4802">
            <v>1.6</v>
          </cell>
          <cell r="V4802">
            <v>0.75</v>
          </cell>
          <cell r="W4802">
            <v>0</v>
          </cell>
          <cell r="X4802" t="str">
            <v>EST MESA JANTAR ABACATE (LAM 2 NOGUEIRA) (MARM 2 ROSA PARAN) - 2,7x1,6x0,75H</v>
          </cell>
          <cell r="Y4802">
            <v>151242.60999999999</v>
          </cell>
          <cell r="Z4802">
            <v>0.35</v>
          </cell>
          <cell r="AA4802">
            <v>98307.696499999991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300096</v>
          </cell>
          <cell r="P4803" t="str">
            <v>2021/308-0019-01</v>
          </cell>
          <cell r="Q4803" t="str">
            <v>EST MESA CENTRO WHITE (ACO ENV) (TC LISO BRUN BEGE) (TP CER)</v>
          </cell>
          <cell r="R4803"/>
          <cell r="S4803"/>
          <cell r="T4803">
            <v>1.4</v>
          </cell>
          <cell r="U4803">
            <v>0.95</v>
          </cell>
          <cell r="V4803">
            <v>0.34</v>
          </cell>
          <cell r="W4803">
            <v>0</v>
          </cell>
          <cell r="X4803" t="str">
            <v>EST MESA CENTRO WHITE (ACO ENV) (TC LISO BRUN BEGE) (TP CER) - 1,4x0,95x0,34H</v>
          </cell>
          <cell r="Y4803">
            <v>15598.33</v>
          </cell>
          <cell r="Z4803">
            <v>0.35</v>
          </cell>
          <cell r="AA4803">
            <v>10138.914499999999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300096</v>
          </cell>
          <cell r="P4804" t="str">
            <v>2022/014-0007-01</v>
          </cell>
          <cell r="Q4804" t="str">
            <v>EST MESA CENTRO WHITE (ACO ENV) (TC LISO BRUN BEGE) (TP CER)</v>
          </cell>
          <cell r="R4804"/>
          <cell r="S4804"/>
          <cell r="T4804">
            <v>1.4</v>
          </cell>
          <cell r="U4804">
            <v>0.95</v>
          </cell>
          <cell r="V4804">
            <v>0.34</v>
          </cell>
          <cell r="W4804">
            <v>0</v>
          </cell>
          <cell r="X4804" t="str">
            <v>EST MESA CENTRO WHITE (ACO ENV) (TC LISO BRUN BEGE) (TP CER) - 1,4x0,95x0,34H</v>
          </cell>
          <cell r="Y4804">
            <v>15598.33</v>
          </cell>
          <cell r="Z4804">
            <v>0.35</v>
          </cell>
          <cell r="AA4804">
            <v>10138.914499999999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4</v>
          </cell>
          <cell r="O4805">
            <v>300479</v>
          </cell>
          <cell r="P4805" t="str">
            <v>2021/323-0015-01</v>
          </cell>
          <cell r="Q4805" t="str">
            <v>EST CADEIRA EVO (MADEIRA MEL CLARO)</v>
          </cell>
          <cell r="R4805"/>
          <cell r="S4805"/>
          <cell r="T4805">
            <v>0.49</v>
          </cell>
          <cell r="U4805">
            <v>0.47</v>
          </cell>
          <cell r="V4805">
            <v>0.82</v>
          </cell>
          <cell r="W4805">
            <v>0</v>
          </cell>
          <cell r="X4805" t="str">
            <v>EST CADEIRA EVO (MADEIRA MEL CLARO) - 0,49x0,47x0,82H</v>
          </cell>
          <cell r="Y4805">
            <v>5314.67</v>
          </cell>
          <cell r="Z4805">
            <v>0.5</v>
          </cell>
          <cell r="AA4805">
            <v>2657.335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4</v>
          </cell>
          <cell r="O4806">
            <v>300479</v>
          </cell>
          <cell r="P4806" t="str">
            <v>2021/323-0012-01</v>
          </cell>
          <cell r="Q4806" t="str">
            <v>EST CADEIRA EVO (MADEIRA MEL CLARO)</v>
          </cell>
          <cell r="R4806"/>
          <cell r="S4806"/>
          <cell r="T4806">
            <v>0.49</v>
          </cell>
          <cell r="U4806">
            <v>0.47</v>
          </cell>
          <cell r="V4806">
            <v>0.82</v>
          </cell>
          <cell r="W4806">
            <v>0</v>
          </cell>
          <cell r="X4806" t="str">
            <v>EST CADEIRA EVO (MADEIRA MEL CLARO) - 0,49x0,47x0,82H</v>
          </cell>
          <cell r="Y4806">
            <v>5314.67</v>
          </cell>
          <cell r="Z4806">
            <v>0.5</v>
          </cell>
          <cell r="AA4806">
            <v>2657.335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4</v>
          </cell>
          <cell r="O4807">
            <v>300479</v>
          </cell>
          <cell r="P4807" t="str">
            <v>2021/323-0013-01</v>
          </cell>
          <cell r="Q4807" t="str">
            <v>EST CADEIRA EVO (MADEIRA MEL CLARO)</v>
          </cell>
          <cell r="R4807"/>
          <cell r="S4807"/>
          <cell r="T4807">
            <v>0.49</v>
          </cell>
          <cell r="U4807">
            <v>0.47</v>
          </cell>
          <cell r="V4807">
            <v>0.82</v>
          </cell>
          <cell r="W4807">
            <v>0</v>
          </cell>
          <cell r="X4807" t="str">
            <v>EST CADEIRA EVO (MADEIRA MEL CLARO) - 0,49x0,47x0,82H</v>
          </cell>
          <cell r="Y4807">
            <v>5314.67</v>
          </cell>
          <cell r="Z4807">
            <v>0.5</v>
          </cell>
          <cell r="AA4807">
            <v>2657.335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4</v>
          </cell>
          <cell r="O4808">
            <v>300479</v>
          </cell>
          <cell r="P4808" t="str">
            <v>2021/323-0014-01</v>
          </cell>
          <cell r="Q4808" t="str">
            <v>EST CADEIRA EVO (MADEIRA MEL CLARO)</v>
          </cell>
          <cell r="R4808"/>
          <cell r="S4808"/>
          <cell r="T4808">
            <v>0.49</v>
          </cell>
          <cell r="U4808">
            <v>0.47</v>
          </cell>
          <cell r="V4808">
            <v>0.82</v>
          </cell>
          <cell r="W4808">
            <v>0</v>
          </cell>
          <cell r="X4808" t="str">
            <v>EST CADEIRA EVO (MADEIRA MEL CLARO) - 0,49x0,47x0,82H</v>
          </cell>
          <cell r="Y4808">
            <v>5314.67</v>
          </cell>
          <cell r="Z4808">
            <v>0.5</v>
          </cell>
          <cell r="AA4808">
            <v>2657.335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0</v>
          </cell>
          <cell r="O4809">
            <v>303862</v>
          </cell>
          <cell r="P4809"/>
          <cell r="Q4809" t="str">
            <v>EST TAMPO CRISTAL LAPIDADO (15MM) INCOLOR CANTO TICK</v>
          </cell>
          <cell r="R4809"/>
          <cell r="S4809"/>
          <cell r="T4809">
            <v>2</v>
          </cell>
          <cell r="U4809">
            <v>0.7</v>
          </cell>
          <cell r="V4809">
            <v>0.01</v>
          </cell>
          <cell r="W4809">
            <v>0</v>
          </cell>
          <cell r="X4809" t="str">
            <v>EST TAMPO CRISTAL LAPIDADO (15MM) INCOLOR CANTO TICK - 2x0,7x0,01H</v>
          </cell>
          <cell r="Y4809" t="e">
            <v>#VALUE!</v>
          </cell>
          <cell r="Z4809">
            <v>0.35</v>
          </cell>
          <cell r="AA4809" t="e">
            <v>#VALUE!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8</v>
          </cell>
          <cell r="O4810">
            <v>307826</v>
          </cell>
          <cell r="P4810" t="str">
            <v>2021/350-0120-01</v>
          </cell>
          <cell r="Q4810" t="str">
            <v>EST CADEIRA KEEF C/BRACO (JEQ TING NOG) (MISTA) (C4 PINHAO)</v>
          </cell>
          <cell r="R4810"/>
          <cell r="S4810"/>
          <cell r="T4810">
            <v>0.55000000000000004</v>
          </cell>
          <cell r="U4810">
            <v>0.54</v>
          </cell>
          <cell r="V4810">
            <v>0.89</v>
          </cell>
          <cell r="W4810">
            <v>0</v>
          </cell>
          <cell r="X4810" t="str">
            <v>EST CADEIRA KEEF C/BRACO (JEQ TING NOG) (MISTA) (C4 PINHAO) - 0,55x0,54x0,89H</v>
          </cell>
          <cell r="Y4810">
            <v>9927.3700000000008</v>
          </cell>
          <cell r="Z4810">
            <v>0.5</v>
          </cell>
          <cell r="AA4810">
            <v>4963.6850000000004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8</v>
          </cell>
          <cell r="O4811">
            <v>307826</v>
          </cell>
          <cell r="P4811" t="str">
            <v>2021/350-0122-01</v>
          </cell>
          <cell r="Q4811" t="str">
            <v>EST CADEIRA KEEF C/BRACO (JEQ TING NOG) (MISTA) (C4 PINHAO)</v>
          </cell>
          <cell r="R4811"/>
          <cell r="S4811"/>
          <cell r="T4811">
            <v>0.55000000000000004</v>
          </cell>
          <cell r="U4811">
            <v>0.54</v>
          </cell>
          <cell r="V4811">
            <v>0.89</v>
          </cell>
          <cell r="W4811">
            <v>0</v>
          </cell>
          <cell r="X4811" t="str">
            <v>EST CADEIRA KEEF C/BRACO (JEQ TING NOG) (MISTA) (C4 PINHAO) - 0,55x0,54x0,89H</v>
          </cell>
          <cell r="Y4811">
            <v>9927.3700000000008</v>
          </cell>
          <cell r="Z4811">
            <v>0.5</v>
          </cell>
          <cell r="AA4811">
            <v>4963.6850000000004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8</v>
          </cell>
          <cell r="O4812">
            <v>307826</v>
          </cell>
          <cell r="P4812" t="str">
            <v>2021/350-0124-01</v>
          </cell>
          <cell r="Q4812" t="str">
            <v>EST CADEIRA KEEF C/BRACO (JEQ TING NOG) (MISTA) (C4 PINHAO)</v>
          </cell>
          <cell r="R4812"/>
          <cell r="S4812"/>
          <cell r="T4812">
            <v>0.55000000000000004</v>
          </cell>
          <cell r="U4812">
            <v>0.54</v>
          </cell>
          <cell r="V4812">
            <v>0.89</v>
          </cell>
          <cell r="W4812">
            <v>0</v>
          </cell>
          <cell r="X4812" t="str">
            <v>EST CADEIRA KEEF C/BRACO (JEQ TING NOG) (MISTA) (C4 PINHAO) - 0,55x0,54x0,89H</v>
          </cell>
          <cell r="Y4812">
            <v>9927.3700000000008</v>
          </cell>
          <cell r="Z4812">
            <v>0.5</v>
          </cell>
          <cell r="AA4812">
            <v>4963.6850000000004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8</v>
          </cell>
          <cell r="O4813">
            <v>307826</v>
          </cell>
          <cell r="P4813" t="str">
            <v>2021/350-0125-01</v>
          </cell>
          <cell r="Q4813" t="str">
            <v>EST CADEIRA KEEF C/BRACO (JEQ TING NOG) (MISTA) (C4 PINHAO)</v>
          </cell>
          <cell r="R4813"/>
          <cell r="S4813"/>
          <cell r="T4813">
            <v>0.55000000000000004</v>
          </cell>
          <cell r="U4813">
            <v>0.54</v>
          </cell>
          <cell r="V4813">
            <v>0.89</v>
          </cell>
          <cell r="W4813">
            <v>0</v>
          </cell>
          <cell r="X4813" t="str">
            <v>EST CADEIRA KEEF C/BRACO (JEQ TING NOG) (MISTA) (C4 PINHAO) - 0,55x0,54x0,89H</v>
          </cell>
          <cell r="Y4813">
            <v>9927.3700000000008</v>
          </cell>
          <cell r="Z4813">
            <v>0.5</v>
          </cell>
          <cell r="AA4813">
            <v>4963.6850000000004</v>
          </cell>
          <cell r="AB4813"/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H4814">
            <v>8</v>
          </cell>
          <cell r="O4814">
            <v>307826</v>
          </cell>
          <cell r="P4814" t="str">
            <v>2021/350-0126-01</v>
          </cell>
          <cell r="Q4814" t="str">
            <v>EST CADEIRA KEEF C/BRACO (JEQ TING NOG) (MISTA) (C4 PINHAO)</v>
          </cell>
          <cell r="R4814"/>
          <cell r="S4814"/>
          <cell r="T4814">
            <v>0.55000000000000004</v>
          </cell>
          <cell r="U4814">
            <v>0.54</v>
          </cell>
          <cell r="V4814">
            <v>0.89</v>
          </cell>
          <cell r="W4814">
            <v>0</v>
          </cell>
          <cell r="X4814" t="str">
            <v>EST CADEIRA KEEF C/BRACO (JEQ TING NOG) (MISTA) (C4 PINHAO) - 0,55x0,54x0,89H</v>
          </cell>
          <cell r="Y4814">
            <v>9927.3700000000008</v>
          </cell>
          <cell r="Z4814">
            <v>0.5</v>
          </cell>
          <cell r="AA4814">
            <v>4963.6850000000004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8</v>
          </cell>
          <cell r="O4815">
            <v>307826</v>
          </cell>
          <cell r="P4815" t="str">
            <v>2021/350-0127-01</v>
          </cell>
          <cell r="Q4815" t="str">
            <v>EST CADEIRA KEEF C/BRACO (JEQ TING NOG) (MISTA) (C4 PINHAO)</v>
          </cell>
          <cell r="R4815"/>
          <cell r="S4815"/>
          <cell r="T4815">
            <v>0.55000000000000004</v>
          </cell>
          <cell r="U4815">
            <v>0.54</v>
          </cell>
          <cell r="V4815">
            <v>0.89</v>
          </cell>
          <cell r="W4815">
            <v>0</v>
          </cell>
          <cell r="X4815" t="str">
            <v>EST CADEIRA KEEF C/BRACO (JEQ TING NOG) (MISTA) (C4 PINHAO) - 0,55x0,54x0,89H</v>
          </cell>
          <cell r="Y4815">
            <v>9927.3700000000008</v>
          </cell>
          <cell r="Z4815">
            <v>0.5</v>
          </cell>
          <cell r="AA4815">
            <v>4963.6850000000004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307829</v>
          </cell>
          <cell r="P4816" t="str">
            <v>2021/350-0135-01</v>
          </cell>
          <cell r="Q4816" t="str">
            <v>EST CADEIRA KEEF C/BRACO (JEQ TING FRJ) (MISTA) (C4 CAMEL)</v>
          </cell>
          <cell r="R4816"/>
          <cell r="S4816"/>
          <cell r="T4816">
            <v>0.55000000000000004</v>
          </cell>
          <cell r="U4816">
            <v>0.54</v>
          </cell>
          <cell r="V4816">
            <v>0.89</v>
          </cell>
          <cell r="W4816">
            <v>0</v>
          </cell>
          <cell r="X4816" t="str">
            <v>EST CADEIRA KEEF C/BRACO (JEQ TING FRJ) (MISTA) (C4 CAMEL) - 0,55x0,54x0,89H</v>
          </cell>
          <cell r="Y4816">
            <v>9927.3700000000008</v>
          </cell>
          <cell r="Z4816">
            <v>0.5</v>
          </cell>
          <cell r="AA4816">
            <v>4963.6850000000004</v>
          </cell>
          <cell r="AB4816"/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H4817">
            <v>1</v>
          </cell>
          <cell r="O4817">
            <v>307829</v>
          </cell>
          <cell r="P4817" t="str">
            <v>2021/350-0136-01</v>
          </cell>
          <cell r="Q4817" t="str">
            <v>EST CADEIRA KEEF C/BRACO (JEQ TING FRJ) (MISTA) (C4 CAMEL)</v>
          </cell>
          <cell r="R4817"/>
          <cell r="S4817"/>
          <cell r="T4817">
            <v>0.55000000000000004</v>
          </cell>
          <cell r="U4817">
            <v>0.54</v>
          </cell>
          <cell r="V4817">
            <v>0.89</v>
          </cell>
          <cell r="W4817">
            <v>0</v>
          </cell>
          <cell r="X4817" t="str">
            <v>EST CADEIRA KEEF C/BRACO (JEQ TING FRJ) (MISTA) (C4 CAMEL) - 0,55x0,54x0,89H</v>
          </cell>
          <cell r="Y4817">
            <v>9927.3700000000008</v>
          </cell>
          <cell r="Z4817">
            <v>0.5</v>
          </cell>
          <cell r="AA4817">
            <v>4963.6850000000004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1</v>
          </cell>
          <cell r="O4818">
            <v>307934</v>
          </cell>
          <cell r="P4818" t="str">
            <v>2021/257-0003-01</v>
          </cell>
          <cell r="Q4818" t="str">
            <v>EST MESA CENTRO CRUX (DES) (LAM 2 FREIJO/OFF WHT) (BS LATAO)</v>
          </cell>
          <cell r="R4818"/>
          <cell r="S4818"/>
          <cell r="T4818">
            <v>1.6</v>
          </cell>
          <cell r="U4818">
            <v>1</v>
          </cell>
          <cell r="V4818">
            <v>0.35</v>
          </cell>
          <cell r="W4818">
            <v>0</v>
          </cell>
          <cell r="X4818" t="str">
            <v>EST MESA CENTRO CRUX (DES) (LAM 2 FREIJO/OFF WHT) (BS LATAO) - 1,6x1x0,35H</v>
          </cell>
          <cell r="Y4818">
            <v>16385.64</v>
          </cell>
          <cell r="Z4818">
            <v>0.5</v>
          </cell>
          <cell r="AA4818">
            <v>8192.82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1</v>
          </cell>
          <cell r="O4819">
            <v>308174</v>
          </cell>
          <cell r="P4819" t="str">
            <v>2022/018-0035-01</v>
          </cell>
          <cell r="Q4819" t="str">
            <v>EST CHAISE REGIA COURO ENC VQ570/ASS TC N2026/ALMF TC2025</v>
          </cell>
          <cell r="R4819"/>
          <cell r="S4819"/>
          <cell r="T4819">
            <v>1.68</v>
          </cell>
          <cell r="U4819">
            <v>1.65</v>
          </cell>
          <cell r="V4819">
            <v>0.85</v>
          </cell>
          <cell r="W4819">
            <v>0</v>
          </cell>
          <cell r="X4819" t="str">
            <v>EST CHAISE REGIA COURO ENC VQ570/ASS TC N2026/ALMF TC2025 - 1,68x1,65x0,85H</v>
          </cell>
          <cell r="Y4819">
            <v>59199.71</v>
          </cell>
          <cell r="Z4819">
            <v>0.5</v>
          </cell>
          <cell r="AA4819">
            <v>29599.855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2</v>
          </cell>
          <cell r="O4820">
            <v>308179</v>
          </cell>
          <cell r="P4820" t="str">
            <v>2022/203-0157-01</v>
          </cell>
          <cell r="Q4820" t="str">
            <v>EST ACESSORIO BANDEJA OCA MARMORE JADORE</v>
          </cell>
          <cell r="R4820"/>
          <cell r="S4820"/>
          <cell r="T4820">
            <v>0.3</v>
          </cell>
          <cell r="U4820">
            <v>0</v>
          </cell>
          <cell r="V4820">
            <v>0.02</v>
          </cell>
          <cell r="W4820">
            <v>0.32</v>
          </cell>
          <cell r="X4820" t="str">
            <v>EST ACESSORIO BANDEJA OCA MARMORE JADORE - Ø0,32x0,02H</v>
          </cell>
          <cell r="Y4820">
            <v>4243.68</v>
          </cell>
          <cell r="Z4820">
            <v>0.5</v>
          </cell>
          <cell r="AA4820">
            <v>2121.84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1</v>
          </cell>
          <cell r="O4821">
            <v>308750</v>
          </cell>
          <cell r="P4821"/>
          <cell r="Q4821" t="str">
            <v>EST CARRINHO BAR SAVASSI (LAMINADO NOGUEIRA/MTX PRETO)</v>
          </cell>
          <cell r="R4821"/>
          <cell r="S4821"/>
          <cell r="T4821">
            <v>1.5</v>
          </cell>
          <cell r="U4821">
            <v>0.45</v>
          </cell>
          <cell r="V4821">
            <v>0.8</v>
          </cell>
          <cell r="W4821">
            <v>0</v>
          </cell>
          <cell r="X4821" t="str">
            <v>EST CARRINHO BAR SAVASSI (LAMINADO NOGUEIRA/MTX PRETO) - 1,5x0,45x0,8H</v>
          </cell>
          <cell r="Y4821">
            <v>28016.22</v>
          </cell>
          <cell r="Z4821">
            <v>0.35</v>
          </cell>
          <cell r="AA4821">
            <v>18210.543000000001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1</v>
          </cell>
          <cell r="O4822">
            <v>309892</v>
          </cell>
          <cell r="P4822"/>
          <cell r="Q4822" t="str">
            <v>EST BANDEJA RITMO Ø55 (MARMORE 2 ROSA PARANA)</v>
          </cell>
          <cell r="R4822"/>
          <cell r="S4822"/>
          <cell r="T4822">
            <v>0.55000000000000004</v>
          </cell>
          <cell r="U4822">
            <v>0</v>
          </cell>
          <cell r="V4822">
            <v>0.02</v>
          </cell>
          <cell r="W4822">
            <v>0.55000000000000004</v>
          </cell>
          <cell r="X4822" t="str">
            <v>EST BANDEJA RITMO Ø55 (MARMORE 2 ROSA PARANA) - Ø0,55x0,02H</v>
          </cell>
          <cell r="Y4822" t="e">
            <v>#VALUE!</v>
          </cell>
          <cell r="Z4822">
            <v>0.35</v>
          </cell>
          <cell r="AA4822" t="e">
            <v>#VALUE!</v>
          </cell>
          <cell r="AB4822"/>
        </row>
        <row r="4823">
          <cell r="C4823">
            <v>1</v>
          </cell>
          <cell r="D4823">
            <v>1</v>
          </cell>
          <cell r="E4823">
            <v>1</v>
          </cell>
          <cell r="F4823">
            <v>0</v>
          </cell>
          <cell r="H4823">
            <v>0</v>
          </cell>
          <cell r="O4823">
            <v>312399</v>
          </cell>
          <cell r="P4823"/>
          <cell r="Q4823" t="str">
            <v>EST LIVRO ARQUITETURA GUSTAVO PENNA IMPRESSOES CAPA DURA</v>
          </cell>
          <cell r="R4823"/>
          <cell r="S4823"/>
          <cell r="T4823">
            <v>0</v>
          </cell>
          <cell r="U4823">
            <v>0</v>
          </cell>
          <cell r="V4823">
            <v>0</v>
          </cell>
          <cell r="W4823">
            <v>0</v>
          </cell>
          <cell r="X4823" t="str">
            <v>EST LIVRO ARQUITETURA GUSTAVO PENNA IMPRESSOES CAPA DURA - Ø0x0H</v>
          </cell>
          <cell r="Y4823">
            <v>376.32</v>
          </cell>
          <cell r="Z4823">
            <v>0.35</v>
          </cell>
          <cell r="AA4823">
            <v>244.608</v>
          </cell>
          <cell r="AB4823"/>
        </row>
        <row r="4824">
          <cell r="C4824">
            <v>1</v>
          </cell>
          <cell r="D4824">
            <v>0</v>
          </cell>
          <cell r="E4824">
            <v>1</v>
          </cell>
          <cell r="F4824">
            <v>0</v>
          </cell>
          <cell r="H4824">
            <v>0</v>
          </cell>
          <cell r="O4824">
            <v>312400</v>
          </cell>
          <cell r="P4824"/>
          <cell r="Q4824" t="str">
            <v>EST LIVRO BRASIL ARQUITETURA E DECORACAO CAPA DURA</v>
          </cell>
          <cell r="R4824"/>
          <cell r="S4824"/>
          <cell r="T4824">
            <v>0</v>
          </cell>
          <cell r="U4824">
            <v>0</v>
          </cell>
          <cell r="V4824">
            <v>0</v>
          </cell>
          <cell r="W4824">
            <v>0</v>
          </cell>
          <cell r="X4824" t="str">
            <v>EST LIVRO BRASIL ARQUITETURA E DECORACAO CAPA DURA - Ø0x0H</v>
          </cell>
          <cell r="Y4824">
            <v>1094.46</v>
          </cell>
          <cell r="Z4824">
            <v>0.35</v>
          </cell>
          <cell r="AA4824">
            <v>711.39900000000011</v>
          </cell>
          <cell r="AB4824"/>
        </row>
        <row r="4825">
          <cell r="C4825">
            <v>1</v>
          </cell>
          <cell r="D4825">
            <v>1</v>
          </cell>
          <cell r="E4825">
            <v>1</v>
          </cell>
          <cell r="F4825">
            <v>0</v>
          </cell>
          <cell r="H4825">
            <v>0</v>
          </cell>
          <cell r="O4825">
            <v>312401</v>
          </cell>
          <cell r="P4825"/>
          <cell r="Q4825" t="str">
            <v>EST LIVRO YVES SAINT LAURENT- THE SCANDALL COLLETIONS</v>
          </cell>
          <cell r="R4825"/>
          <cell r="S4825"/>
          <cell r="T4825">
            <v>0</v>
          </cell>
          <cell r="U4825">
            <v>0</v>
          </cell>
          <cell r="V4825">
            <v>0</v>
          </cell>
          <cell r="W4825">
            <v>0</v>
          </cell>
          <cell r="X4825" t="str">
            <v>EST LIVRO YVES SAINT LAURENT- THE SCANDALL COLLETIONS - Ø0x0H</v>
          </cell>
          <cell r="Y4825">
            <v>780.86</v>
          </cell>
          <cell r="Z4825">
            <v>0.35</v>
          </cell>
          <cell r="AA4825">
            <v>507.55900000000003</v>
          </cell>
          <cell r="AB4825"/>
        </row>
        <row r="4826">
          <cell r="C4826">
            <v>0</v>
          </cell>
          <cell r="D4826">
            <v>1</v>
          </cell>
          <cell r="E4826">
            <v>1</v>
          </cell>
          <cell r="F4826">
            <v>0</v>
          </cell>
          <cell r="H4826">
            <v>0</v>
          </cell>
          <cell r="O4826">
            <v>312402</v>
          </cell>
          <cell r="P4826"/>
          <cell r="Q4826" t="str">
            <v>EST LIVRO DEBRET E O BRASIL CAPA DURA</v>
          </cell>
          <cell r="R4826"/>
          <cell r="S4826"/>
          <cell r="T4826">
            <v>0</v>
          </cell>
          <cell r="U4826">
            <v>0</v>
          </cell>
          <cell r="V4826">
            <v>0</v>
          </cell>
          <cell r="W4826">
            <v>0</v>
          </cell>
          <cell r="X4826" t="str">
            <v>EST LIVRO DEBRET E O BRASIL CAPA DURA - Ø0x0H</v>
          </cell>
          <cell r="Y4826">
            <v>611.52</v>
          </cell>
          <cell r="Z4826">
            <v>0.35</v>
          </cell>
          <cell r="AA4826">
            <v>397.488</v>
          </cell>
          <cell r="AB4826"/>
        </row>
        <row r="4827">
          <cell r="C4827">
            <v>2</v>
          </cell>
          <cell r="D4827">
            <v>1</v>
          </cell>
          <cell r="E4827">
            <v>0</v>
          </cell>
          <cell r="F4827">
            <v>0</v>
          </cell>
          <cell r="H4827">
            <v>0</v>
          </cell>
          <cell r="O4827">
            <v>312403</v>
          </cell>
          <cell r="P4827"/>
          <cell r="Q4827" t="str">
            <v>EST LIVRO DIOR FOR EVER CAPA DURA</v>
          </cell>
          <cell r="R4827"/>
          <cell r="S4827"/>
          <cell r="T4827">
            <v>0</v>
          </cell>
          <cell r="U4827">
            <v>0</v>
          </cell>
          <cell r="V4827">
            <v>0</v>
          </cell>
          <cell r="W4827">
            <v>0</v>
          </cell>
          <cell r="X4827" t="str">
            <v>EST LIVRO DIOR FOR EVER CAPA DURA - Ø0x0H</v>
          </cell>
          <cell r="Y4827">
            <v>752.64</v>
          </cell>
          <cell r="Z4827">
            <v>0.35</v>
          </cell>
          <cell r="AA4827">
            <v>489.21600000000001</v>
          </cell>
          <cell r="AB4827"/>
        </row>
        <row r="4828">
          <cell r="C4828">
            <v>1</v>
          </cell>
          <cell r="D4828">
            <v>1</v>
          </cell>
          <cell r="E4828">
            <v>1</v>
          </cell>
          <cell r="F4828">
            <v>0</v>
          </cell>
          <cell r="H4828">
            <v>0</v>
          </cell>
          <cell r="O4828">
            <v>312404</v>
          </cell>
          <cell r="P4828"/>
          <cell r="Q4828" t="str">
            <v>EST LIVRO HISTORIA GLOBAL DA ARQUITETURA CAPA DURA</v>
          </cell>
          <cell r="R4828"/>
          <cell r="S4828"/>
          <cell r="T4828">
            <v>0</v>
          </cell>
          <cell r="U4828">
            <v>0</v>
          </cell>
          <cell r="V4828">
            <v>0</v>
          </cell>
          <cell r="W4828">
            <v>0</v>
          </cell>
          <cell r="X4828" t="str">
            <v>EST LIVRO HISTORIA GLOBAL DA ARQUITETURA CAPA DURA - Ø0x0H</v>
          </cell>
          <cell r="Y4828">
            <v>780.86</v>
          </cell>
          <cell r="Z4828">
            <v>0.35</v>
          </cell>
          <cell r="AA4828">
            <v>507.55900000000003</v>
          </cell>
          <cell r="AB4828"/>
        </row>
        <row r="4829">
          <cell r="C4829">
            <v>2</v>
          </cell>
          <cell r="D4829">
            <v>1</v>
          </cell>
          <cell r="E4829">
            <v>0</v>
          </cell>
          <cell r="F4829">
            <v>0</v>
          </cell>
          <cell r="H4829">
            <v>0</v>
          </cell>
          <cell r="O4829">
            <v>312405</v>
          </cell>
          <cell r="P4829"/>
          <cell r="Q4829" t="str">
            <v>EST LIVRO INTERIORS - INSIDE THE AMERICAN HOME CAPA DURA</v>
          </cell>
          <cell r="R4829"/>
          <cell r="S4829"/>
          <cell r="T4829">
            <v>0</v>
          </cell>
          <cell r="U4829">
            <v>0</v>
          </cell>
          <cell r="V4829">
            <v>0</v>
          </cell>
          <cell r="W4829">
            <v>0</v>
          </cell>
          <cell r="X4829" t="str">
            <v>EST LIVRO INTERIORS - INSIDE THE AMERICAN HOME CAPA DURA - Ø0x0H</v>
          </cell>
          <cell r="Y4829">
            <v>937.66</v>
          </cell>
          <cell r="Z4829">
            <v>0.35</v>
          </cell>
          <cell r="AA4829">
            <v>609.47900000000004</v>
          </cell>
          <cell r="AB4829"/>
        </row>
        <row r="4830">
          <cell r="C4830">
            <v>1</v>
          </cell>
          <cell r="D4830">
            <v>2</v>
          </cell>
          <cell r="E4830">
            <v>0</v>
          </cell>
          <cell r="F4830">
            <v>0</v>
          </cell>
          <cell r="H4830">
            <v>0</v>
          </cell>
          <cell r="O4830">
            <v>312406</v>
          </cell>
          <cell r="P4830"/>
          <cell r="Q4830" t="str">
            <v>EST LIVRO LIVING WITH COLOR CAPA DURA</v>
          </cell>
          <cell r="R4830"/>
          <cell r="S4830"/>
          <cell r="T4830">
            <v>0</v>
          </cell>
          <cell r="U4830">
            <v>0</v>
          </cell>
          <cell r="V4830">
            <v>0</v>
          </cell>
          <cell r="W4830">
            <v>0</v>
          </cell>
          <cell r="X4830" t="str">
            <v>EST LIVRO LIVING WITH COLOR CAPA DURA - Ø0x0H</v>
          </cell>
          <cell r="Y4830">
            <v>799.68</v>
          </cell>
          <cell r="Z4830">
            <v>0.35</v>
          </cell>
          <cell r="AA4830">
            <v>519.79199999999992</v>
          </cell>
          <cell r="AB4830"/>
        </row>
        <row r="4831">
          <cell r="C4831">
            <v>2</v>
          </cell>
          <cell r="D4831">
            <v>1</v>
          </cell>
          <cell r="E4831">
            <v>0</v>
          </cell>
          <cell r="F4831">
            <v>0</v>
          </cell>
          <cell r="H4831">
            <v>0</v>
          </cell>
          <cell r="O4831">
            <v>312407</v>
          </cell>
          <cell r="P4831"/>
          <cell r="Q4831" t="str">
            <v>EST LIVRO MMM ROBERTO CAPA DURA</v>
          </cell>
          <cell r="R4831"/>
          <cell r="S4831"/>
          <cell r="T4831">
            <v>0</v>
          </cell>
          <cell r="U4831">
            <v>0</v>
          </cell>
          <cell r="V4831">
            <v>0</v>
          </cell>
          <cell r="W4831">
            <v>0</v>
          </cell>
          <cell r="X4831" t="str">
            <v>EST LIVRO MMM ROBERTO CAPA DURA - Ø0x0H</v>
          </cell>
          <cell r="Y4831">
            <v>470.4</v>
          </cell>
          <cell r="Z4831">
            <v>0.35</v>
          </cell>
          <cell r="AA4831">
            <v>305.76</v>
          </cell>
          <cell r="AB4831"/>
        </row>
        <row r="4832">
          <cell r="C4832">
            <v>1</v>
          </cell>
          <cell r="D4832">
            <v>1</v>
          </cell>
          <cell r="E4832">
            <v>0</v>
          </cell>
          <cell r="F4832">
            <v>0</v>
          </cell>
          <cell r="H4832">
            <v>0</v>
          </cell>
          <cell r="O4832">
            <v>312408</v>
          </cell>
          <cell r="P4832"/>
          <cell r="Q4832" t="str">
            <v>EST LIVRO JEAN GILLON CAPA DURA</v>
          </cell>
          <cell r="R4832"/>
          <cell r="S4832"/>
          <cell r="T4832">
            <v>0</v>
          </cell>
          <cell r="U4832">
            <v>0</v>
          </cell>
          <cell r="V4832">
            <v>0</v>
          </cell>
          <cell r="W4832">
            <v>0</v>
          </cell>
          <cell r="X4832" t="str">
            <v>EST LIVRO JEAN GILLON CAPA DURA - Ø0x0H</v>
          </cell>
          <cell r="Y4832">
            <v>529.98</v>
          </cell>
          <cell r="Z4832">
            <v>0.35</v>
          </cell>
          <cell r="AA4832">
            <v>344.48700000000002</v>
          </cell>
          <cell r="AB4832"/>
        </row>
        <row r="4833">
          <cell r="C4833">
            <v>1</v>
          </cell>
          <cell r="D4833">
            <v>1</v>
          </cell>
          <cell r="E4833">
            <v>1</v>
          </cell>
          <cell r="F4833">
            <v>0</v>
          </cell>
          <cell r="H4833">
            <v>0</v>
          </cell>
          <cell r="O4833">
            <v>312409</v>
          </cell>
          <cell r="P4833"/>
          <cell r="Q4833" t="str">
            <v>EST LIVRO OCA - ARQUITETURA DO BRASIL VOL. 16 CAPA DURA</v>
          </cell>
          <cell r="R4833"/>
          <cell r="S4833"/>
          <cell r="T4833">
            <v>0</v>
          </cell>
          <cell r="U4833">
            <v>0</v>
          </cell>
          <cell r="V4833">
            <v>0</v>
          </cell>
          <cell r="W4833">
            <v>0</v>
          </cell>
          <cell r="X4833" t="str">
            <v>EST LIVRO OCA - ARQUITETURA DO BRASIL VOL. 16 CAPA DURA - Ø0x0H</v>
          </cell>
          <cell r="Y4833">
            <v>874.94</v>
          </cell>
          <cell r="Z4833">
            <v>0.35</v>
          </cell>
          <cell r="AA4833">
            <v>568.71100000000001</v>
          </cell>
          <cell r="AB4833"/>
        </row>
        <row r="4834">
          <cell r="C4834">
            <v>2</v>
          </cell>
          <cell r="D4834">
            <v>1</v>
          </cell>
          <cell r="E4834">
            <v>0</v>
          </cell>
          <cell r="F4834">
            <v>0</v>
          </cell>
          <cell r="H4834">
            <v>0</v>
          </cell>
          <cell r="O4834">
            <v>312410</v>
          </cell>
          <cell r="P4834"/>
          <cell r="Q4834" t="str">
            <v>EST LIVRO MODERN MACRAME CAPA DURA</v>
          </cell>
          <cell r="R4834"/>
          <cell r="S4834"/>
          <cell r="T4834">
            <v>0</v>
          </cell>
          <cell r="U4834">
            <v>0</v>
          </cell>
          <cell r="V4834">
            <v>0</v>
          </cell>
          <cell r="W4834">
            <v>0</v>
          </cell>
          <cell r="X4834" t="str">
            <v>EST LIVRO MODERN MACRAME CAPA DURA - Ø0x0H</v>
          </cell>
          <cell r="Y4834">
            <v>533.12</v>
          </cell>
          <cell r="Z4834">
            <v>0.35</v>
          </cell>
          <cell r="AA4834">
            <v>346.52800000000002</v>
          </cell>
          <cell r="AB4834"/>
        </row>
        <row r="4835">
          <cell r="C4835">
            <v>1</v>
          </cell>
          <cell r="D4835">
            <v>1</v>
          </cell>
          <cell r="E4835">
            <v>1</v>
          </cell>
          <cell r="F4835">
            <v>0</v>
          </cell>
          <cell r="H4835">
            <v>0</v>
          </cell>
          <cell r="O4835">
            <v>312411</v>
          </cell>
          <cell r="P4835"/>
          <cell r="Q4835" t="str">
            <v>EST LIVRO RUY OTHAKE - ARQUITETURA E A CIDADE CAPA DURA</v>
          </cell>
          <cell r="R4835"/>
          <cell r="S4835"/>
          <cell r="T4835">
            <v>0</v>
          </cell>
          <cell r="U4835">
            <v>0</v>
          </cell>
          <cell r="V4835">
            <v>0</v>
          </cell>
          <cell r="W4835">
            <v>0</v>
          </cell>
          <cell r="X4835" t="str">
            <v>EST LIVRO RUY OTHAKE - ARQUITETURA E A CIDADE CAPA DURA - Ø0x0H</v>
          </cell>
          <cell r="Y4835">
            <v>564.48</v>
          </cell>
          <cell r="Z4835">
            <v>0.35</v>
          </cell>
          <cell r="AA4835">
            <v>366.91200000000003</v>
          </cell>
          <cell r="AB4835"/>
        </row>
        <row r="4836">
          <cell r="C4836">
            <v>1</v>
          </cell>
          <cell r="D4836">
            <v>0</v>
          </cell>
          <cell r="E4836">
            <v>0</v>
          </cell>
          <cell r="F4836">
            <v>0</v>
          </cell>
          <cell r="H4836">
            <v>0</v>
          </cell>
          <cell r="O4836">
            <v>312413</v>
          </cell>
          <cell r="P4836"/>
          <cell r="Q4836" t="str">
            <v>EST LIVRO SUPERYATCH BOOK CAPA DURA</v>
          </cell>
          <cell r="R4836"/>
          <cell r="S4836"/>
          <cell r="T4836">
            <v>0</v>
          </cell>
          <cell r="U4836">
            <v>0</v>
          </cell>
          <cell r="V4836">
            <v>0</v>
          </cell>
          <cell r="W4836">
            <v>0</v>
          </cell>
          <cell r="X4836" t="str">
            <v>EST LIVRO SUPERYATCH BOOK CAPA DURA - Ø0x0H</v>
          </cell>
          <cell r="Y4836">
            <v>846.72</v>
          </cell>
          <cell r="Z4836">
            <v>0.35</v>
          </cell>
          <cell r="AA4836">
            <v>550.36800000000005</v>
          </cell>
          <cell r="AB4836"/>
        </row>
        <row r="4837">
          <cell r="C4837">
            <v>1</v>
          </cell>
          <cell r="D4837">
            <v>1</v>
          </cell>
          <cell r="E4837">
            <v>1</v>
          </cell>
          <cell r="F4837">
            <v>0</v>
          </cell>
          <cell r="H4837">
            <v>0</v>
          </cell>
          <cell r="O4837">
            <v>312414</v>
          </cell>
          <cell r="P4837"/>
          <cell r="Q4837" t="str">
            <v>EST LIVRO TRACOS CAPA DURA</v>
          </cell>
          <cell r="R4837"/>
          <cell r="S4837"/>
          <cell r="T4837">
            <v>0</v>
          </cell>
          <cell r="U4837">
            <v>0</v>
          </cell>
          <cell r="V4837">
            <v>0</v>
          </cell>
          <cell r="W4837">
            <v>0</v>
          </cell>
          <cell r="X4837" t="str">
            <v>EST LIVRO TRACOS CAPA DURA - Ø0x0H</v>
          </cell>
          <cell r="Y4837">
            <v>392</v>
          </cell>
          <cell r="Z4837">
            <v>0.35</v>
          </cell>
          <cell r="AA4837">
            <v>254.8</v>
          </cell>
          <cell r="AB4837"/>
        </row>
        <row r="4838">
          <cell r="C4838">
            <v>0</v>
          </cell>
          <cell r="D4838">
            <v>1</v>
          </cell>
          <cell r="E4838">
            <v>0</v>
          </cell>
          <cell r="F4838">
            <v>0</v>
          </cell>
          <cell r="H4838">
            <v>0</v>
          </cell>
          <cell r="O4838">
            <v>312425</v>
          </cell>
          <cell r="P4838" t="str">
            <v>2022/039-0012-01</v>
          </cell>
          <cell r="Q4838" t="str">
            <v>EST QUADRO FLACK BLUE DIAGO (COD877)</v>
          </cell>
          <cell r="R4838"/>
          <cell r="S4838"/>
          <cell r="T4838">
            <v>1.2</v>
          </cell>
          <cell r="U4838">
            <v>1.2</v>
          </cell>
          <cell r="V4838">
            <v>0</v>
          </cell>
          <cell r="W4838">
            <v>0</v>
          </cell>
          <cell r="X4838" t="str">
            <v>EST QUADRO FLACK BLUE DIAGO (COD877) - 1,2x1,2x0H</v>
          </cell>
          <cell r="Y4838">
            <v>4351.2</v>
          </cell>
          <cell r="Z4838">
            <v>0.5</v>
          </cell>
          <cell r="AA4838">
            <v>2175.6</v>
          </cell>
          <cell r="AB4838"/>
        </row>
        <row r="4839">
          <cell r="C4839">
            <v>1</v>
          </cell>
          <cell r="D4839">
            <v>0</v>
          </cell>
          <cell r="E4839">
            <v>1</v>
          </cell>
          <cell r="F4839">
            <v>0</v>
          </cell>
          <cell r="H4839">
            <v>0</v>
          </cell>
          <cell r="O4839">
            <v>314829</v>
          </cell>
          <cell r="P4839" t="str">
            <v>2022/178-0055-01</v>
          </cell>
          <cell r="Q4839" t="str">
            <v>EST ALMOFADA LIVERPOOL MATTE</v>
          </cell>
          <cell r="R4839"/>
          <cell r="S4839"/>
          <cell r="T4839">
            <v>0.5</v>
          </cell>
          <cell r="U4839">
            <v>0.5</v>
          </cell>
          <cell r="V4839">
            <v>0</v>
          </cell>
          <cell r="W4839">
            <v>0</v>
          </cell>
          <cell r="X4839" t="str">
            <v>EST ALMOFADA LIVERPOOL MATTE - 0,5x0,5x0H</v>
          </cell>
          <cell r="Y4839">
            <v>837.31</v>
          </cell>
          <cell r="Z4839">
            <v>0.35</v>
          </cell>
          <cell r="AA4839">
            <v>544.25149999999996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314829</v>
          </cell>
          <cell r="P4840" t="str">
            <v>2022/178-0057-01</v>
          </cell>
          <cell r="Q4840" t="str">
            <v>EST ALMOFADA LIVERPOOL MATTE</v>
          </cell>
          <cell r="R4840"/>
          <cell r="S4840"/>
          <cell r="T4840">
            <v>0.5</v>
          </cell>
          <cell r="U4840">
            <v>0.5</v>
          </cell>
          <cell r="V4840">
            <v>0</v>
          </cell>
          <cell r="W4840">
            <v>0</v>
          </cell>
          <cell r="X4840" t="str">
            <v>EST ALMOFADA LIVERPOOL MATTE - 0,5x0,5x0H</v>
          </cell>
          <cell r="Y4840">
            <v>837.31</v>
          </cell>
          <cell r="Z4840">
            <v>0.35</v>
          </cell>
          <cell r="AA4840">
            <v>544.25149999999996</v>
          </cell>
          <cell r="AB4840"/>
        </row>
        <row r="4841">
          <cell r="C4841">
            <v>1</v>
          </cell>
          <cell r="D4841">
            <v>0</v>
          </cell>
          <cell r="E4841">
            <v>1</v>
          </cell>
          <cell r="F4841">
            <v>0</v>
          </cell>
          <cell r="H4841">
            <v>0</v>
          </cell>
          <cell r="O4841">
            <v>314829</v>
          </cell>
          <cell r="P4841"/>
          <cell r="Q4841" t="str">
            <v>EST ALMOFADA LIVERPOOL MATTE</v>
          </cell>
          <cell r="R4841"/>
          <cell r="S4841"/>
          <cell r="T4841">
            <v>0.5</v>
          </cell>
          <cell r="U4841">
            <v>0.5</v>
          </cell>
          <cell r="V4841">
            <v>0</v>
          </cell>
          <cell r="W4841">
            <v>0</v>
          </cell>
          <cell r="X4841" t="str">
            <v>EST ALMOFADA LIVERPOOL MATTE - 0,5x0,5x0H</v>
          </cell>
          <cell r="Y4841">
            <v>837.31</v>
          </cell>
          <cell r="Z4841">
            <v>0.35</v>
          </cell>
          <cell r="AA4841">
            <v>544.25149999999996</v>
          </cell>
          <cell r="AB4841"/>
        </row>
        <row r="4842">
          <cell r="C4842">
            <v>1</v>
          </cell>
          <cell r="D4842">
            <v>3</v>
          </cell>
          <cell r="E4842">
            <v>0</v>
          </cell>
          <cell r="F4842">
            <v>0</v>
          </cell>
          <cell r="H4842">
            <v>0</v>
          </cell>
          <cell r="O4842">
            <v>314835</v>
          </cell>
          <cell r="P4842" t="str">
            <v>2021/344-0107-01</v>
          </cell>
          <cell r="Q4842" t="str">
            <v>EST ALMOFADA MONTENEGRO BEGE/OFF WHITE</v>
          </cell>
          <cell r="R4842"/>
          <cell r="S4842"/>
          <cell r="T4842">
            <v>0.5</v>
          </cell>
          <cell r="U4842">
            <v>0.5</v>
          </cell>
          <cell r="V4842">
            <v>0</v>
          </cell>
          <cell r="W4842">
            <v>0</v>
          </cell>
          <cell r="X4842" t="str">
            <v>EST ALMOFADA MONTENEGRO BEGE/OFF WHITE - 0,5x0,5x0H</v>
          </cell>
          <cell r="Y4842">
            <v>1320.7</v>
          </cell>
          <cell r="Z4842">
            <v>0.35</v>
          </cell>
          <cell r="AA4842">
            <v>858.45500000000004</v>
          </cell>
          <cell r="AB4842"/>
        </row>
        <row r="4843">
          <cell r="C4843">
            <v>1</v>
          </cell>
          <cell r="D4843">
            <v>3</v>
          </cell>
          <cell r="E4843">
            <v>0</v>
          </cell>
          <cell r="F4843">
            <v>0</v>
          </cell>
          <cell r="H4843">
            <v>0</v>
          </cell>
          <cell r="O4843">
            <v>314835</v>
          </cell>
          <cell r="P4843" t="str">
            <v>2021/344-0108-01</v>
          </cell>
          <cell r="Q4843" t="str">
            <v>EST ALMOFADA MONTENEGRO BEGE/OFF WHITE</v>
          </cell>
          <cell r="R4843"/>
          <cell r="S4843"/>
          <cell r="T4843">
            <v>0.5</v>
          </cell>
          <cell r="U4843">
            <v>0.5</v>
          </cell>
          <cell r="V4843">
            <v>0</v>
          </cell>
          <cell r="W4843">
            <v>0</v>
          </cell>
          <cell r="X4843" t="str">
            <v>EST ALMOFADA MONTENEGRO BEGE/OFF WHITE - 0,5x0,5x0H</v>
          </cell>
          <cell r="Y4843">
            <v>1320.7</v>
          </cell>
          <cell r="Z4843">
            <v>0.35</v>
          </cell>
          <cell r="AA4843">
            <v>858.45500000000004</v>
          </cell>
          <cell r="AB4843"/>
        </row>
        <row r="4844">
          <cell r="C4844">
            <v>1</v>
          </cell>
          <cell r="D4844">
            <v>3</v>
          </cell>
          <cell r="E4844">
            <v>0</v>
          </cell>
          <cell r="F4844">
            <v>0</v>
          </cell>
          <cell r="H4844">
            <v>0</v>
          </cell>
          <cell r="O4844">
            <v>314835</v>
          </cell>
          <cell r="P4844" t="str">
            <v>2021/344-0109-01</v>
          </cell>
          <cell r="Q4844" t="str">
            <v>EST ALMOFADA MONTENEGRO BEGE/OFF WHITE</v>
          </cell>
          <cell r="R4844"/>
          <cell r="S4844"/>
          <cell r="T4844">
            <v>0.5</v>
          </cell>
          <cell r="U4844">
            <v>0.5</v>
          </cell>
          <cell r="V4844">
            <v>0</v>
          </cell>
          <cell r="W4844">
            <v>0</v>
          </cell>
          <cell r="X4844" t="str">
            <v>EST ALMOFADA MONTENEGRO BEGE/OFF WHITE - 0,5x0,5x0H</v>
          </cell>
          <cell r="Y4844">
            <v>1320.7</v>
          </cell>
          <cell r="Z4844">
            <v>0.35</v>
          </cell>
          <cell r="AA4844">
            <v>858.45500000000004</v>
          </cell>
          <cell r="AB4844"/>
        </row>
        <row r="4845">
          <cell r="C4845">
            <v>1</v>
          </cell>
          <cell r="D4845">
            <v>3</v>
          </cell>
          <cell r="E4845">
            <v>0</v>
          </cell>
          <cell r="F4845">
            <v>0</v>
          </cell>
          <cell r="H4845">
            <v>0</v>
          </cell>
          <cell r="O4845">
            <v>314835</v>
          </cell>
          <cell r="P4845" t="str">
            <v>2021/344-0110-01</v>
          </cell>
          <cell r="Q4845" t="str">
            <v>EST ALMOFADA MONTENEGRO BEGE/OFF WHITE</v>
          </cell>
          <cell r="R4845"/>
          <cell r="S4845"/>
          <cell r="T4845">
            <v>0.5</v>
          </cell>
          <cell r="U4845">
            <v>0.5</v>
          </cell>
          <cell r="V4845">
            <v>0</v>
          </cell>
          <cell r="W4845">
            <v>0</v>
          </cell>
          <cell r="X4845" t="str">
            <v>EST ALMOFADA MONTENEGRO BEGE/OFF WHITE - 0,5x0,5x0H</v>
          </cell>
          <cell r="Y4845">
            <v>1320.7</v>
          </cell>
          <cell r="Z4845">
            <v>0.35</v>
          </cell>
          <cell r="AA4845">
            <v>858.45500000000004</v>
          </cell>
          <cell r="AB4845"/>
        </row>
        <row r="4846">
          <cell r="C4846">
            <v>0</v>
          </cell>
          <cell r="D4846">
            <v>0</v>
          </cell>
          <cell r="E4846">
            <v>1</v>
          </cell>
          <cell r="F4846">
            <v>0</v>
          </cell>
          <cell r="H4846">
            <v>0</v>
          </cell>
          <cell r="O4846">
            <v>314836</v>
          </cell>
          <cell r="P4846" t="str">
            <v>2021/344-0119-01</v>
          </cell>
          <cell r="Q4846" t="str">
            <v>EST ALMOFADA MONTENEGRO COBRE/LICOR</v>
          </cell>
          <cell r="R4846"/>
          <cell r="S4846"/>
          <cell r="T4846">
            <v>0.5</v>
          </cell>
          <cell r="U4846">
            <v>0.5</v>
          </cell>
          <cell r="V4846">
            <v>0</v>
          </cell>
          <cell r="W4846">
            <v>0</v>
          </cell>
          <cell r="X4846" t="str">
            <v>EST ALMOFADA MONTENEGRO COBRE/LICOR - 0,5x0,5x0H</v>
          </cell>
          <cell r="Y4846">
            <v>1320.7</v>
          </cell>
          <cell r="Z4846">
            <v>0.5</v>
          </cell>
          <cell r="AA4846">
            <v>660.35</v>
          </cell>
          <cell r="AB4846"/>
        </row>
        <row r="4847">
          <cell r="C4847">
            <v>0</v>
          </cell>
          <cell r="D4847">
            <v>0</v>
          </cell>
          <cell r="E4847">
            <v>1</v>
          </cell>
          <cell r="F4847">
            <v>0</v>
          </cell>
          <cell r="H4847">
            <v>0</v>
          </cell>
          <cell r="O4847">
            <v>314836</v>
          </cell>
          <cell r="P4847" t="str">
            <v>2021/344-0120-01</v>
          </cell>
          <cell r="Q4847" t="str">
            <v>EST ALMOFADA MONTENEGRO COBRE/LICOR</v>
          </cell>
          <cell r="R4847"/>
          <cell r="S4847"/>
          <cell r="T4847">
            <v>0.5</v>
          </cell>
          <cell r="U4847">
            <v>0.5</v>
          </cell>
          <cell r="V4847">
            <v>0</v>
          </cell>
          <cell r="W4847">
            <v>0</v>
          </cell>
          <cell r="X4847" t="str">
            <v>EST ALMOFADA MONTENEGRO COBRE/LICOR - 0,5x0,5x0H</v>
          </cell>
          <cell r="Y4847">
            <v>1320.7</v>
          </cell>
          <cell r="Z4847">
            <v>0.5</v>
          </cell>
          <cell r="AA4847">
            <v>660.35</v>
          </cell>
          <cell r="AB4847"/>
        </row>
        <row r="4848">
          <cell r="C4848">
            <v>2</v>
          </cell>
          <cell r="D4848">
            <v>0</v>
          </cell>
          <cell r="E4848">
            <v>0</v>
          </cell>
          <cell r="F4848">
            <v>0</v>
          </cell>
          <cell r="H4848">
            <v>0</v>
          </cell>
          <cell r="O4848">
            <v>314839</v>
          </cell>
          <cell r="P4848"/>
          <cell r="Q4848" t="str">
            <v>EST ALMOFADA RET.LIVERPOOL OLIVA</v>
          </cell>
          <cell r="R4848"/>
          <cell r="S4848"/>
          <cell r="T4848">
            <v>0.6</v>
          </cell>
          <cell r="U4848">
            <v>0.4</v>
          </cell>
          <cell r="V4848">
            <v>0</v>
          </cell>
          <cell r="W4848">
            <v>0</v>
          </cell>
          <cell r="X4848" t="str">
            <v>EST ALMOFADA RET.LIVERPOOL OLIVA - 0,6x0,4x0H</v>
          </cell>
          <cell r="Y4848">
            <v>729.34</v>
          </cell>
          <cell r="Z4848">
            <v>0.35</v>
          </cell>
          <cell r="AA4848">
            <v>474.07100000000003</v>
          </cell>
          <cell r="AB4848"/>
        </row>
        <row r="4849">
          <cell r="C4849">
            <v>2</v>
          </cell>
          <cell r="D4849">
            <v>0</v>
          </cell>
          <cell r="E4849">
            <v>0</v>
          </cell>
          <cell r="F4849">
            <v>0</v>
          </cell>
          <cell r="H4849">
            <v>0</v>
          </cell>
          <cell r="O4849">
            <v>314839</v>
          </cell>
          <cell r="P4849"/>
          <cell r="Q4849" t="str">
            <v>EST ALMOFADA RET.LIVERPOOL OLIVA</v>
          </cell>
          <cell r="R4849"/>
          <cell r="S4849"/>
          <cell r="T4849">
            <v>0.6</v>
          </cell>
          <cell r="U4849">
            <v>0.4</v>
          </cell>
          <cell r="V4849">
            <v>0</v>
          </cell>
          <cell r="W4849">
            <v>0</v>
          </cell>
          <cell r="X4849" t="str">
            <v>EST ALMOFADA RET.LIVERPOOL OLIVA - 0,6x0,4x0H</v>
          </cell>
          <cell r="Y4849">
            <v>729.34</v>
          </cell>
          <cell r="Z4849">
            <v>0.35</v>
          </cell>
          <cell r="AA4849">
            <v>474.07100000000003</v>
          </cell>
          <cell r="AB4849"/>
        </row>
        <row r="4850">
          <cell r="C4850">
            <v>0</v>
          </cell>
          <cell r="D4850">
            <v>0</v>
          </cell>
          <cell r="E4850">
            <v>3</v>
          </cell>
          <cell r="F4850">
            <v>0</v>
          </cell>
          <cell r="H4850">
            <v>0</v>
          </cell>
          <cell r="O4850">
            <v>314843</v>
          </cell>
          <cell r="P4850" t="str">
            <v>2021/344-0166-01</v>
          </cell>
          <cell r="Q4850" t="str">
            <v>EST ALMOFADA TRESSE MUSGO</v>
          </cell>
          <cell r="R4850"/>
          <cell r="S4850"/>
          <cell r="T4850">
            <v>0.5</v>
          </cell>
          <cell r="U4850">
            <v>0.5</v>
          </cell>
          <cell r="V4850">
            <v>0</v>
          </cell>
          <cell r="W4850">
            <v>0</v>
          </cell>
          <cell r="X4850" t="str">
            <v>EST ALMOFADA TRESSE MUSGO - 0,5x0,5x0H</v>
          </cell>
          <cell r="Y4850">
            <v>1320.7</v>
          </cell>
          <cell r="Z4850">
            <v>0.35</v>
          </cell>
          <cell r="AA4850">
            <v>858.45500000000004</v>
          </cell>
          <cell r="AB4850"/>
        </row>
        <row r="4851">
          <cell r="C4851">
            <v>0</v>
          </cell>
          <cell r="D4851">
            <v>0</v>
          </cell>
          <cell r="E4851">
            <v>3</v>
          </cell>
          <cell r="F4851">
            <v>0</v>
          </cell>
          <cell r="H4851">
            <v>0</v>
          </cell>
          <cell r="O4851">
            <v>314843</v>
          </cell>
          <cell r="P4851" t="str">
            <v>2021/344-0167-01</v>
          </cell>
          <cell r="Q4851" t="str">
            <v>EST ALMOFADA TRESSE MUSGO</v>
          </cell>
          <cell r="R4851"/>
          <cell r="S4851"/>
          <cell r="T4851">
            <v>0.5</v>
          </cell>
          <cell r="U4851">
            <v>0.5</v>
          </cell>
          <cell r="V4851">
            <v>0</v>
          </cell>
          <cell r="W4851">
            <v>0</v>
          </cell>
          <cell r="X4851" t="str">
            <v>EST ALMOFADA TRESSE MUSGO - 0,5x0,5x0H</v>
          </cell>
          <cell r="Y4851">
            <v>1320.7</v>
          </cell>
          <cell r="Z4851">
            <v>0.35</v>
          </cell>
          <cell r="AA4851">
            <v>858.45500000000004</v>
          </cell>
          <cell r="AB4851"/>
        </row>
        <row r="4852">
          <cell r="C4852">
            <v>0</v>
          </cell>
          <cell r="D4852">
            <v>0</v>
          </cell>
          <cell r="E4852">
            <v>3</v>
          </cell>
          <cell r="F4852">
            <v>0</v>
          </cell>
          <cell r="H4852">
            <v>0</v>
          </cell>
          <cell r="O4852">
            <v>314843</v>
          </cell>
          <cell r="P4852" t="str">
            <v>2021/344-0168-01</v>
          </cell>
          <cell r="Q4852" t="str">
            <v>EST ALMOFADA TRESSE MUSGO</v>
          </cell>
          <cell r="R4852"/>
          <cell r="S4852"/>
          <cell r="T4852">
            <v>0.5</v>
          </cell>
          <cell r="U4852">
            <v>0.5</v>
          </cell>
          <cell r="V4852">
            <v>0</v>
          </cell>
          <cell r="W4852">
            <v>0</v>
          </cell>
          <cell r="X4852" t="str">
            <v>EST ALMOFADA TRESSE MUSGO - 0,5x0,5x0H</v>
          </cell>
          <cell r="Y4852">
            <v>1320.7</v>
          </cell>
          <cell r="Z4852">
            <v>0.35</v>
          </cell>
          <cell r="AA4852">
            <v>858.45500000000004</v>
          </cell>
          <cell r="AB4852"/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H4853">
            <v>3</v>
          </cell>
          <cell r="O4853">
            <v>316487</v>
          </cell>
          <cell r="P4853" t="str">
            <v>2022/041-0020-01</v>
          </cell>
          <cell r="Q4853" t="str">
            <v>EST POLTRONA 164 (ASS/ENC TELA SEXTAVADA) (FREIJO NATURAL)</v>
          </cell>
          <cell r="R4853"/>
          <cell r="S4853"/>
          <cell r="T4853">
            <v>0.74</v>
          </cell>
          <cell r="U4853">
            <v>0.72</v>
          </cell>
          <cell r="V4853">
            <v>0.73</v>
          </cell>
          <cell r="W4853">
            <v>0</v>
          </cell>
          <cell r="X4853" t="str">
            <v>EST POLTRONA 164 (ASS/ENC TELA SEXTAVADA) (FREIJO NATURAL) - 0,74x0,72x0,73H</v>
          </cell>
          <cell r="Y4853">
            <v>14511.88</v>
          </cell>
          <cell r="Z4853">
            <v>0.5</v>
          </cell>
          <cell r="AA4853">
            <v>7255.94</v>
          </cell>
          <cell r="AB4853"/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H4854">
            <v>3</v>
          </cell>
          <cell r="O4854">
            <v>316487</v>
          </cell>
          <cell r="P4854" t="str">
            <v>2022/041-0022-01</v>
          </cell>
          <cell r="Q4854" t="str">
            <v>EST POLTRONA 164 (ASS/ENC TELA SEXTAVADA) (FREIJO NATURAL)</v>
          </cell>
          <cell r="R4854"/>
          <cell r="S4854"/>
          <cell r="T4854">
            <v>0.74</v>
          </cell>
          <cell r="U4854">
            <v>0.72</v>
          </cell>
          <cell r="V4854">
            <v>0.73</v>
          </cell>
          <cell r="W4854">
            <v>0</v>
          </cell>
          <cell r="X4854" t="str">
            <v>EST POLTRONA 164 (ASS/ENC TELA SEXTAVADA) (FREIJO NATURAL) - 0,74x0,72x0,73H</v>
          </cell>
          <cell r="Y4854">
            <v>14511.88</v>
          </cell>
          <cell r="Z4854">
            <v>0.5</v>
          </cell>
          <cell r="AA4854">
            <v>7255.94</v>
          </cell>
          <cell r="AB4854"/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H4855">
            <v>3</v>
          </cell>
          <cell r="O4855">
            <v>316487</v>
          </cell>
          <cell r="P4855" t="str">
            <v>2022/041-0019-01</v>
          </cell>
          <cell r="Q4855" t="str">
            <v>EST POLTRONA 164 (ASS/ENC TELA SEXTAVADA) (FREIJO NATURAL)</v>
          </cell>
          <cell r="R4855"/>
          <cell r="S4855"/>
          <cell r="T4855">
            <v>0.74</v>
          </cell>
          <cell r="U4855">
            <v>0.72</v>
          </cell>
          <cell r="V4855">
            <v>0.73</v>
          </cell>
          <cell r="W4855">
            <v>0</v>
          </cell>
          <cell r="X4855" t="str">
            <v>EST POLTRONA 164 (ASS/ENC TELA SEXTAVADA) (FREIJO NATURAL) - 0,74x0,72x0,73H</v>
          </cell>
          <cell r="Y4855">
            <v>14511.88</v>
          </cell>
          <cell r="Z4855">
            <v>0.5</v>
          </cell>
          <cell r="AA4855">
            <v>7255.94</v>
          </cell>
          <cell r="AB4855"/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H4856">
            <v>3</v>
          </cell>
          <cell r="O4856">
            <v>316487</v>
          </cell>
          <cell r="P4856" t="str">
            <v>2022/041-0021-01</v>
          </cell>
          <cell r="Q4856" t="str">
            <v>EST POLTRONA 164 (ASS/ENC TELA SEXTAVADA) (FREIJO NATURAL)</v>
          </cell>
          <cell r="R4856"/>
          <cell r="S4856"/>
          <cell r="T4856">
            <v>0.74</v>
          </cell>
          <cell r="U4856">
            <v>0.72</v>
          </cell>
          <cell r="V4856">
            <v>0.73</v>
          </cell>
          <cell r="W4856">
            <v>0</v>
          </cell>
          <cell r="X4856" t="str">
            <v>EST POLTRONA 164 (ASS/ENC TELA SEXTAVADA) (FREIJO NATURAL) - 0,74x0,72x0,73H</v>
          </cell>
          <cell r="Y4856">
            <v>14511.88</v>
          </cell>
          <cell r="Z4856">
            <v>0.5</v>
          </cell>
          <cell r="AA4856">
            <v>7255.94</v>
          </cell>
          <cell r="AB4856"/>
        </row>
        <row r="4857">
          <cell r="C4857">
            <v>0</v>
          </cell>
          <cell r="D4857">
            <v>0</v>
          </cell>
          <cell r="E4857">
            <v>4</v>
          </cell>
          <cell r="F4857">
            <v>0</v>
          </cell>
          <cell r="H4857">
            <v>4</v>
          </cell>
          <cell r="O4857">
            <v>320671</v>
          </cell>
          <cell r="P4857" t="str">
            <v>2022/090-0021-01</v>
          </cell>
          <cell r="Q4857" t="str">
            <v>EST CADEIRA JULIA C/BRACO (COURO FIRENZE TALIN) (CORTEN)</v>
          </cell>
          <cell r="R4857"/>
          <cell r="S4857"/>
          <cell r="T4857">
            <v>0.61</v>
          </cell>
          <cell r="U4857">
            <v>0.54</v>
          </cell>
          <cell r="V4857">
            <v>0.76</v>
          </cell>
          <cell r="W4857">
            <v>0</v>
          </cell>
          <cell r="X4857" t="str">
            <v>EST CADEIRA JULIA C/BRACO (COURO FIRENZE TALIN) (CORTEN) - 0,61x0,54x0,76H</v>
          </cell>
          <cell r="Y4857">
            <v>10250.150000000001</v>
          </cell>
          <cell r="Z4857">
            <v>0.5</v>
          </cell>
          <cell r="AA4857">
            <v>5125.0750000000007</v>
          </cell>
          <cell r="AB4857"/>
        </row>
        <row r="4858">
          <cell r="C4858">
            <v>0</v>
          </cell>
          <cell r="D4858">
            <v>0</v>
          </cell>
          <cell r="E4858">
            <v>4</v>
          </cell>
          <cell r="F4858">
            <v>0</v>
          </cell>
          <cell r="H4858">
            <v>4</v>
          </cell>
          <cell r="O4858">
            <v>320671</v>
          </cell>
          <cell r="P4858" t="str">
            <v>2022/090-0020-01</v>
          </cell>
          <cell r="Q4858" t="str">
            <v>EST CADEIRA JULIA C/BRACO (COURO FIRENZE TALIN) (CORTEN)</v>
          </cell>
          <cell r="R4858"/>
          <cell r="S4858"/>
          <cell r="T4858">
            <v>0.61</v>
          </cell>
          <cell r="U4858">
            <v>0.54</v>
          </cell>
          <cell r="V4858">
            <v>0.76</v>
          </cell>
          <cell r="W4858">
            <v>0</v>
          </cell>
          <cell r="X4858" t="str">
            <v>EST CADEIRA JULIA C/BRACO (COURO FIRENZE TALIN) (CORTEN) - 0,61x0,54x0,76H</v>
          </cell>
          <cell r="Y4858">
            <v>10250.150000000001</v>
          </cell>
          <cell r="Z4858">
            <v>0.5</v>
          </cell>
          <cell r="AA4858">
            <v>5125.0750000000007</v>
          </cell>
          <cell r="AB4858"/>
        </row>
        <row r="4859">
          <cell r="C4859">
            <v>0</v>
          </cell>
          <cell r="D4859">
            <v>0</v>
          </cell>
          <cell r="E4859">
            <v>4</v>
          </cell>
          <cell r="F4859">
            <v>0</v>
          </cell>
          <cell r="H4859">
            <v>4</v>
          </cell>
          <cell r="O4859">
            <v>320671</v>
          </cell>
          <cell r="P4859" t="str">
            <v>2022/090-0019-01</v>
          </cell>
          <cell r="Q4859" t="str">
            <v>EST CADEIRA JULIA C/BRACO (COURO FIRENZE TALIN) (CORTEN)</v>
          </cell>
          <cell r="R4859"/>
          <cell r="S4859"/>
          <cell r="T4859">
            <v>0.61</v>
          </cell>
          <cell r="U4859">
            <v>0.54</v>
          </cell>
          <cell r="V4859">
            <v>0.76</v>
          </cell>
          <cell r="W4859">
            <v>0</v>
          </cell>
          <cell r="X4859" t="str">
            <v>EST CADEIRA JULIA C/BRACO (COURO FIRENZE TALIN) (CORTEN) - 0,61x0,54x0,76H</v>
          </cell>
          <cell r="Y4859">
            <v>10250.150000000001</v>
          </cell>
          <cell r="Z4859">
            <v>0.5</v>
          </cell>
          <cell r="AA4859">
            <v>5125.0750000000007</v>
          </cell>
          <cell r="AB4859"/>
        </row>
        <row r="4860">
          <cell r="C4860">
            <v>0</v>
          </cell>
          <cell r="D4860">
            <v>0</v>
          </cell>
          <cell r="E4860">
            <v>4</v>
          </cell>
          <cell r="F4860">
            <v>0</v>
          </cell>
          <cell r="H4860">
            <v>4</v>
          </cell>
          <cell r="O4860">
            <v>320671</v>
          </cell>
          <cell r="P4860" t="str">
            <v>2022/090-0025-01</v>
          </cell>
          <cell r="Q4860" t="str">
            <v>EST CADEIRA JULIA C/BRACO (COURO FIRENZE TALIN) (CORTEN)</v>
          </cell>
          <cell r="R4860"/>
          <cell r="S4860"/>
          <cell r="T4860">
            <v>0.61</v>
          </cell>
          <cell r="U4860">
            <v>0.54</v>
          </cell>
          <cell r="V4860">
            <v>0.76</v>
          </cell>
          <cell r="W4860">
            <v>0</v>
          </cell>
          <cell r="X4860" t="str">
            <v>EST CADEIRA JULIA C/BRACO (COURO FIRENZE TALIN) (CORTEN) - 0,61x0,54x0,76H</v>
          </cell>
          <cell r="Y4860">
            <v>10250.150000000001</v>
          </cell>
          <cell r="Z4860">
            <v>0.5</v>
          </cell>
          <cell r="AA4860">
            <v>5125.0750000000007</v>
          </cell>
          <cell r="AB4860"/>
        </row>
        <row r="4861">
          <cell r="C4861">
            <v>0</v>
          </cell>
          <cell r="D4861">
            <v>0</v>
          </cell>
          <cell r="E4861">
            <v>1</v>
          </cell>
          <cell r="F4861">
            <v>0</v>
          </cell>
          <cell r="H4861">
            <v>1</v>
          </cell>
          <cell r="O4861">
            <v>324007</v>
          </cell>
          <cell r="P4861" t="str">
            <v>2022/090-0036-01</v>
          </cell>
          <cell r="Q4861" t="str">
            <v>EST TAPETE TROPICAL (LISO) (1 COR) (10MM) F:5013</v>
          </cell>
          <cell r="R4861"/>
          <cell r="S4861"/>
          <cell r="T4861">
            <v>4</v>
          </cell>
          <cell r="U4861">
            <v>2.5</v>
          </cell>
          <cell r="V4861">
            <v>0.01</v>
          </cell>
          <cell r="W4861">
            <v>0</v>
          </cell>
          <cell r="X4861" t="str">
            <v>EST TAPETE TROPICAL (LISO) (1 COR) (10MM) F:5013 - 4x2,5x0,01H</v>
          </cell>
          <cell r="Y4861">
            <v>16934.400000000001</v>
          </cell>
          <cell r="Z4861">
            <v>0.35</v>
          </cell>
          <cell r="AA4861">
            <v>11007.36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1</v>
          </cell>
          <cell r="O4862">
            <v>324007</v>
          </cell>
          <cell r="P4862" t="str">
            <v>2022/090-0037-01</v>
          </cell>
          <cell r="Q4862" t="str">
            <v>EST TAPETE TROPICAL (LISO) (1 COR) (10MM) F:5013</v>
          </cell>
          <cell r="R4862"/>
          <cell r="S4862"/>
          <cell r="T4862">
            <v>4</v>
          </cell>
          <cell r="U4862">
            <v>2.5</v>
          </cell>
          <cell r="V4862">
            <v>0.01</v>
          </cell>
          <cell r="W4862">
            <v>0</v>
          </cell>
          <cell r="X4862" t="str">
            <v>EST TAPETE TROPICAL (LISO) (1 COR) (10MM) F:5013 - 4x2,5x0,01H</v>
          </cell>
          <cell r="Y4862">
            <v>16934.400000000001</v>
          </cell>
          <cell r="Z4862">
            <v>0.35</v>
          </cell>
          <cell r="AA4862">
            <v>11007.36</v>
          </cell>
          <cell r="AB4862"/>
        </row>
        <row r="4863">
          <cell r="C4863">
            <v>1</v>
          </cell>
          <cell r="D4863">
            <v>0</v>
          </cell>
          <cell r="E4863">
            <v>0</v>
          </cell>
          <cell r="F4863">
            <v>0</v>
          </cell>
          <cell r="H4863">
            <v>0</v>
          </cell>
          <cell r="O4863">
            <v>324008</v>
          </cell>
          <cell r="P4863"/>
          <cell r="Q4863" t="str">
            <v>EST TAPETE TROPICAL (LISO) (1 COR) (10MM) F:5013</v>
          </cell>
          <cell r="R4863"/>
          <cell r="S4863"/>
          <cell r="T4863">
            <v>2</v>
          </cell>
          <cell r="U4863">
            <v>2.6</v>
          </cell>
          <cell r="V4863">
            <v>0.01</v>
          </cell>
          <cell r="W4863">
            <v>0</v>
          </cell>
          <cell r="X4863" t="str">
            <v>EST TAPETE TROPICAL (LISO) (1 COR) (10MM) F:5013 - 2x2,6x0,01H</v>
          </cell>
          <cell r="Y4863" t="e">
            <v>#VALUE!</v>
          </cell>
          <cell r="Z4863">
            <v>0.35</v>
          </cell>
          <cell r="AA4863" t="e">
            <v>#VALUE!</v>
          </cell>
          <cell r="AB4863"/>
        </row>
        <row r="4864">
          <cell r="C4864">
            <v>1</v>
          </cell>
          <cell r="D4864">
            <v>0</v>
          </cell>
          <cell r="E4864">
            <v>1</v>
          </cell>
          <cell r="F4864">
            <v>0</v>
          </cell>
          <cell r="H4864">
            <v>0</v>
          </cell>
          <cell r="O4864">
            <v>324009</v>
          </cell>
          <cell r="P4864" t="str">
            <v>2022/090-0044-01</v>
          </cell>
          <cell r="Q4864" t="str">
            <v>EST TAPETE TROPICAL (LISO) (1 COR) (10MM) F:5056</v>
          </cell>
          <cell r="R4864"/>
          <cell r="S4864"/>
          <cell r="T4864">
            <v>3.5</v>
          </cell>
          <cell r="U4864">
            <v>4.5</v>
          </cell>
          <cell r="V4864">
            <v>0.01</v>
          </cell>
          <cell r="W4864">
            <v>0</v>
          </cell>
          <cell r="X4864" t="str">
            <v>EST TAPETE TROPICAL (LISO) (1 COR) (10MM) F:5056 - 3,5x4,5x0,01H</v>
          </cell>
          <cell r="Y4864">
            <v>26671.68</v>
          </cell>
          <cell r="Z4864">
            <v>0.35</v>
          </cell>
          <cell r="AA4864">
            <v>17336.592000000001</v>
          </cell>
          <cell r="AB4864"/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324010</v>
          </cell>
          <cell r="P4865"/>
          <cell r="Q4865" t="str">
            <v>EST TAPETE TROPICAL (LISO) (1 COR) (10MM) F:1205</v>
          </cell>
          <cell r="R4865"/>
          <cell r="S4865"/>
          <cell r="T4865">
            <v>4</v>
          </cell>
          <cell r="U4865">
            <v>3.5</v>
          </cell>
          <cell r="V4865">
            <v>0.01</v>
          </cell>
          <cell r="W4865">
            <v>0</v>
          </cell>
          <cell r="X4865" t="str">
            <v>EST TAPETE TROPICAL (LISO) (1 COR) (10MM) F:1205 - 4x3,5x0,01H</v>
          </cell>
          <cell r="Y4865">
            <v>23708.16</v>
          </cell>
          <cell r="Z4865">
            <v>0.35</v>
          </cell>
          <cell r="AA4865">
            <v>15410.304</v>
          </cell>
          <cell r="AB4865"/>
        </row>
        <row r="4866">
          <cell r="C4866">
            <v>1</v>
          </cell>
          <cell r="D4866">
            <v>0</v>
          </cell>
          <cell r="E4866">
            <v>0</v>
          </cell>
          <cell r="F4866">
            <v>0</v>
          </cell>
          <cell r="H4866">
            <v>0</v>
          </cell>
          <cell r="O4866">
            <v>324012</v>
          </cell>
          <cell r="P4866"/>
          <cell r="Q4866" t="str">
            <v>EST TAPETE TROPICAL (LISO) (1 COR) (10MM) F:917</v>
          </cell>
          <cell r="R4866"/>
          <cell r="S4866"/>
          <cell r="T4866">
            <v>4</v>
          </cell>
          <cell r="U4866">
            <v>5</v>
          </cell>
          <cell r="V4866">
            <v>0.01</v>
          </cell>
          <cell r="W4866">
            <v>0</v>
          </cell>
          <cell r="X4866" t="str">
            <v>EST TAPETE TROPICAL (LISO) (1 COR) (10MM) F:917 - 4x5x0,01H</v>
          </cell>
          <cell r="Y4866" t="e">
            <v>#VALUE!</v>
          </cell>
          <cell r="Z4866">
            <v>0.35</v>
          </cell>
          <cell r="AA4866" t="e">
            <v>#VALUE!</v>
          </cell>
          <cell r="AB4866"/>
        </row>
        <row r="4867">
          <cell r="C4867">
            <v>0</v>
          </cell>
          <cell r="D4867">
            <v>1</v>
          </cell>
          <cell r="E4867">
            <v>0</v>
          </cell>
          <cell r="F4867">
            <v>0</v>
          </cell>
          <cell r="H4867">
            <v>0</v>
          </cell>
          <cell r="O4867">
            <v>324015</v>
          </cell>
          <cell r="P4867" t="str">
            <v>2022/101-0068-01</v>
          </cell>
          <cell r="Q4867" t="str">
            <v>EST TAPETE MAR (QUADR) (2 CORES) (10MM) F:4090/1147</v>
          </cell>
          <cell r="R4867"/>
          <cell r="S4867"/>
          <cell r="T4867">
            <v>3.5</v>
          </cell>
          <cell r="U4867">
            <v>5</v>
          </cell>
          <cell r="V4867">
            <v>0.01</v>
          </cell>
          <cell r="W4867">
            <v>0</v>
          </cell>
          <cell r="X4867" t="str">
            <v>EST TAPETE MAR (QUADR) (2 CORES) (10MM) F:4090/1147 - 3,5x5x0,01H</v>
          </cell>
          <cell r="Y4867">
            <v>50646.400000000001</v>
          </cell>
          <cell r="Z4867">
            <v>0.35</v>
          </cell>
          <cell r="AA4867">
            <v>32920.160000000003</v>
          </cell>
          <cell r="AB4867"/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H4868">
            <v>1</v>
          </cell>
          <cell r="O4868">
            <v>324016</v>
          </cell>
          <cell r="P4868" t="str">
            <v>2022/090-0047-01</v>
          </cell>
          <cell r="Q4868" t="str">
            <v>EST TAPETE MAR (QUADR) (2 CORES) (10MM) F:4090/1147</v>
          </cell>
          <cell r="R4868"/>
          <cell r="S4868"/>
          <cell r="T4868">
            <v>4.5</v>
          </cell>
          <cell r="U4868">
            <v>4</v>
          </cell>
          <cell r="V4868">
            <v>0.01</v>
          </cell>
          <cell r="W4868">
            <v>0</v>
          </cell>
          <cell r="X4868" t="str">
            <v>EST TAPETE MAR (QUADR) (2 CORES) (10MM) F:4090/1147 - 4,5x4x0,01H</v>
          </cell>
          <cell r="Y4868">
            <v>52093.440000000002</v>
          </cell>
          <cell r="Z4868">
            <v>0.35</v>
          </cell>
          <cell r="AA4868">
            <v>33860.736000000004</v>
          </cell>
          <cell r="AB4868"/>
        </row>
        <row r="4869">
          <cell r="C4869">
            <v>1</v>
          </cell>
          <cell r="D4869">
            <v>0</v>
          </cell>
          <cell r="E4869">
            <v>0</v>
          </cell>
          <cell r="F4869">
            <v>0</v>
          </cell>
          <cell r="H4869">
            <v>0</v>
          </cell>
          <cell r="O4869">
            <v>324019</v>
          </cell>
          <cell r="P4869" t="str">
            <v>2022/090-0048-01</v>
          </cell>
          <cell r="Q4869" t="str">
            <v>EST TAPETE PEROLA (LIST DENSO) (2 CORES) (10MM) F:1236/5061</v>
          </cell>
          <cell r="R4869"/>
          <cell r="S4869"/>
          <cell r="T4869">
            <v>4</v>
          </cell>
          <cell r="U4869">
            <v>5</v>
          </cell>
          <cell r="V4869">
            <v>0.01</v>
          </cell>
          <cell r="W4869">
            <v>0</v>
          </cell>
          <cell r="X4869" t="str">
            <v>EST TAPETE PEROLA (LIST DENSO) (2 CORES) (10MM) F:1236/5061 - 4x5x0,01H</v>
          </cell>
          <cell r="Y4869">
            <v>44620.800000000003</v>
          </cell>
          <cell r="Z4869">
            <v>0.35</v>
          </cell>
          <cell r="AA4869">
            <v>29003.520000000004</v>
          </cell>
          <cell r="AB4869"/>
        </row>
        <row r="4870">
          <cell r="C4870">
            <v>1</v>
          </cell>
          <cell r="D4870">
            <v>0</v>
          </cell>
          <cell r="E4870">
            <v>0</v>
          </cell>
          <cell r="F4870">
            <v>0</v>
          </cell>
          <cell r="H4870">
            <v>0</v>
          </cell>
          <cell r="O4870">
            <v>324022</v>
          </cell>
          <cell r="P4870"/>
          <cell r="Q4870" t="str">
            <v>EST TAPETE TROPICAL (MESCLA) (2 CORES) (10MM) 1T:6005 T2:72</v>
          </cell>
          <cell r="R4870"/>
          <cell r="S4870"/>
          <cell r="T4870">
            <v>3.5</v>
          </cell>
          <cell r="U4870">
            <v>4.5</v>
          </cell>
          <cell r="V4870">
            <v>0</v>
          </cell>
          <cell r="W4870">
            <v>0</v>
          </cell>
          <cell r="X4870" t="str">
            <v>EST TAPETE TROPICAL (MESCLA) (2 CORES) (10MM) 1T:6005 T2:72 - 3,5x4,5x0H</v>
          </cell>
          <cell r="Y4870" t="e">
            <v>#VALUE!</v>
          </cell>
          <cell r="Z4870">
            <v>0.35</v>
          </cell>
          <cell r="AA4870" t="e">
            <v>#VALUE!</v>
          </cell>
          <cell r="AB4870"/>
        </row>
        <row r="4871">
          <cell r="C4871">
            <v>1</v>
          </cell>
          <cell r="D4871">
            <v>0</v>
          </cell>
          <cell r="E4871">
            <v>0</v>
          </cell>
          <cell r="F4871">
            <v>0</v>
          </cell>
          <cell r="H4871">
            <v>1</v>
          </cell>
          <cell r="O4871">
            <v>324027</v>
          </cell>
          <cell r="P4871" t="str">
            <v>2022/090-0050-01</v>
          </cell>
          <cell r="Q4871" t="str">
            <v>EST TAPETE DUNAS (DES) (10MM) D:1399/6005/87/89</v>
          </cell>
          <cell r="R4871"/>
          <cell r="S4871"/>
          <cell r="T4871">
            <v>4</v>
          </cell>
          <cell r="U4871">
            <v>4.5</v>
          </cell>
          <cell r="V4871">
            <v>0.01</v>
          </cell>
          <cell r="W4871">
            <v>0</v>
          </cell>
          <cell r="X4871" t="str">
            <v>EST TAPETE DUNAS (DES) (10MM) D:1399/6005/87/89 - 4x4,5x0,01H</v>
          </cell>
          <cell r="Y4871">
            <v>45803.519999999997</v>
          </cell>
          <cell r="Z4871">
            <v>0.35</v>
          </cell>
          <cell r="AA4871">
            <v>29772.288</v>
          </cell>
          <cell r="AB4871"/>
        </row>
        <row r="4872">
          <cell r="C4872">
            <v>1</v>
          </cell>
          <cell r="D4872">
            <v>0</v>
          </cell>
          <cell r="E4872">
            <v>0</v>
          </cell>
          <cell r="F4872">
            <v>0</v>
          </cell>
          <cell r="H4872">
            <v>1</v>
          </cell>
          <cell r="O4872">
            <v>324027</v>
          </cell>
          <cell r="P4872" t="str">
            <v>2022/090-0051-01</v>
          </cell>
          <cell r="Q4872" t="str">
            <v>EST TAPETE DUNAS (DES) (10MM) D:1399/6005/87/89</v>
          </cell>
          <cell r="R4872"/>
          <cell r="S4872"/>
          <cell r="T4872">
            <v>4</v>
          </cell>
          <cell r="U4872">
            <v>4.5</v>
          </cell>
          <cell r="V4872">
            <v>0.01</v>
          </cell>
          <cell r="W4872">
            <v>0</v>
          </cell>
          <cell r="X4872" t="str">
            <v>EST TAPETE DUNAS (DES) (10MM) D:1399/6005/87/89 - 4x4,5x0,01H</v>
          </cell>
          <cell r="Y4872">
            <v>45803.519999999997</v>
          </cell>
          <cell r="Z4872">
            <v>0.35</v>
          </cell>
          <cell r="AA4872">
            <v>29772.288</v>
          </cell>
          <cell r="AB4872"/>
        </row>
        <row r="4873">
          <cell r="C4873">
            <v>1</v>
          </cell>
          <cell r="D4873">
            <v>0</v>
          </cell>
          <cell r="E4873">
            <v>0</v>
          </cell>
          <cell r="F4873">
            <v>0</v>
          </cell>
          <cell r="H4873">
            <v>0</v>
          </cell>
          <cell r="O4873">
            <v>324028</v>
          </cell>
          <cell r="P4873" t="str">
            <v>2022/101-0072-01</v>
          </cell>
          <cell r="Q4873" t="str">
            <v>EST TAPETE LUA (ORGANIC) (2 CORES) (10MM) F:139/FX:1137</v>
          </cell>
          <cell r="R4873"/>
          <cell r="S4873"/>
          <cell r="T4873">
            <v>2.8</v>
          </cell>
          <cell r="U4873">
            <v>2.8</v>
          </cell>
          <cell r="V4873">
            <v>0.01</v>
          </cell>
          <cell r="W4873">
            <v>0</v>
          </cell>
          <cell r="X4873" t="str">
            <v>EST TAPETE LUA (ORGANIC) (2 CORES) (10MM) F:139/FX:1137 - 2,8x2,8x0,01H</v>
          </cell>
          <cell r="Y4873">
            <v>28660.531199999994</v>
          </cell>
          <cell r="Z4873">
            <v>0.35</v>
          </cell>
          <cell r="AA4873">
            <v>18629.345279999994</v>
          </cell>
          <cell r="AB4873"/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H4874">
            <v>1</v>
          </cell>
          <cell r="O4874">
            <v>324517</v>
          </cell>
          <cell r="P4874"/>
          <cell r="Q4874" t="str">
            <v>EST MESA JANTAR DINA (FREIJO NATURAL)</v>
          </cell>
          <cell r="R4874"/>
          <cell r="S4874"/>
          <cell r="T4874">
            <v>3</v>
          </cell>
          <cell r="U4874">
            <v>1.2</v>
          </cell>
          <cell r="V4874">
            <v>0.75</v>
          </cell>
          <cell r="W4874">
            <v>0</v>
          </cell>
          <cell r="X4874" t="str">
            <v>EST MESA JANTAR DINA (FREIJO NATURAL) - 3x1,2x0,75H</v>
          </cell>
          <cell r="Y4874">
            <v>0</v>
          </cell>
          <cell r="Z4874">
            <v>0.35</v>
          </cell>
          <cell r="AA4874">
            <v>0</v>
          </cell>
          <cell r="AB4874"/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H4875">
            <v>1</v>
          </cell>
          <cell r="O4875">
            <v>325537</v>
          </cell>
          <cell r="P4875" t="str">
            <v>2023/047-0001-01</v>
          </cell>
          <cell r="Q4875" t="str">
            <v>EST MESA CENTRO ORGAN (TP FREIJO MACICO/PES LAMINADO FREIJO)</v>
          </cell>
          <cell r="R4875"/>
          <cell r="S4875"/>
          <cell r="T4875">
            <v>1.1000000000000001</v>
          </cell>
          <cell r="U4875">
            <v>1.1000000000000001</v>
          </cell>
          <cell r="V4875">
            <v>0.27</v>
          </cell>
          <cell r="W4875">
            <v>0</v>
          </cell>
          <cell r="X4875" t="str">
            <v>EST MESA CENTRO ORGAN (TP FREIJO MACICO/PES LAMINADO FREIJO) - 1,1x1,1x0,27H</v>
          </cell>
          <cell r="Y4875">
            <v>26589.25</v>
          </cell>
          <cell r="Z4875">
            <v>0.35</v>
          </cell>
          <cell r="AA4875">
            <v>17283.012500000001</v>
          </cell>
          <cell r="AB4875"/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H4876">
            <v>1</v>
          </cell>
          <cell r="O4876">
            <v>327120</v>
          </cell>
          <cell r="P4876" t="str">
            <v>2022/129-0143-01</v>
          </cell>
          <cell r="Q4876" t="str">
            <v>EST MESA CENTRO SANTIAGO (TRI) (MTX MARROM) (MARM IMPERADOR)</v>
          </cell>
          <cell r="R4876"/>
          <cell r="S4876"/>
          <cell r="T4876">
            <v>1.4</v>
          </cell>
          <cell r="U4876">
            <v>1.5</v>
          </cell>
          <cell r="V4876">
            <v>0.32</v>
          </cell>
          <cell r="W4876">
            <v>0</v>
          </cell>
          <cell r="X4876" t="str">
            <v>EST MESA CENTRO SANTIAGO (TRI) (MTX MARROM) (MARM IMPERADOR) - 1,4x1,5x0,32H</v>
          </cell>
          <cell r="Y4876">
            <v>32531.19</v>
          </cell>
          <cell r="Z4876">
            <v>0.35</v>
          </cell>
          <cell r="AA4876">
            <v>21145.273499999999</v>
          </cell>
          <cell r="AB4876"/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H4877">
            <v>1</v>
          </cell>
          <cell r="O4877">
            <v>327235</v>
          </cell>
          <cell r="P4877"/>
          <cell r="Q4877" t="str">
            <v>EST MESA JANTAR OBLONGO (PAU FERRO CLARO) ALTERNADO PTO FSC</v>
          </cell>
          <cell r="R4877"/>
          <cell r="S4877"/>
          <cell r="T4877">
            <v>3</v>
          </cell>
          <cell r="U4877">
            <v>1.1000000000000001</v>
          </cell>
          <cell r="V4877">
            <v>0.74</v>
          </cell>
          <cell r="W4877">
            <v>0</v>
          </cell>
          <cell r="X4877" t="str">
            <v>EST MESA JANTAR OBLONGO (PAU FERRO CLARO) ALTERNADO PTO FSC - 3x1,1x0,74H</v>
          </cell>
          <cell r="Y4877">
            <v>0</v>
          </cell>
          <cell r="Z4877">
            <v>0.35</v>
          </cell>
          <cell r="AA4877">
            <v>0</v>
          </cell>
          <cell r="AB4877"/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H4878">
            <v>5</v>
          </cell>
          <cell r="O4878">
            <v>327989</v>
          </cell>
          <cell r="P4878"/>
          <cell r="Q4878" t="str">
            <v>EST BANCO IRENE (FREIJO NATURAL)</v>
          </cell>
          <cell r="R4878"/>
          <cell r="S4878"/>
          <cell r="T4878">
            <v>0.38</v>
          </cell>
          <cell r="U4878">
            <v>0</v>
          </cell>
          <cell r="V4878">
            <v>0.51</v>
          </cell>
          <cell r="W4878">
            <v>0.38</v>
          </cell>
          <cell r="X4878" t="str">
            <v>EST BANCO IRENE (FREIJO NATURAL) - Ø0,38x0,51H</v>
          </cell>
          <cell r="Y4878">
            <v>0</v>
          </cell>
          <cell r="Z4878">
            <v>0.35</v>
          </cell>
          <cell r="AA4878">
            <v>0</v>
          </cell>
          <cell r="AB4878"/>
        </row>
        <row r="4879">
          <cell r="C4879">
            <v>0</v>
          </cell>
          <cell r="D4879">
            <v>1</v>
          </cell>
          <cell r="E4879">
            <v>0</v>
          </cell>
          <cell r="F4879">
            <v>0</v>
          </cell>
          <cell r="H4879">
            <v>1</v>
          </cell>
          <cell r="O4879">
            <v>328005</v>
          </cell>
          <cell r="P4879" t="str">
            <v>2022/160-0024-01</v>
          </cell>
          <cell r="Q4879" t="str">
            <v>EST POLTRONA KAZZ TC C3016/REC 2562/ESTRUTURA MARROM CLARO</v>
          </cell>
          <cell r="R4879"/>
          <cell r="S4879"/>
          <cell r="T4879">
            <v>0.85</v>
          </cell>
          <cell r="U4879">
            <v>0.85</v>
          </cell>
          <cell r="V4879">
            <v>0.75</v>
          </cell>
          <cell r="W4879">
            <v>0</v>
          </cell>
          <cell r="X4879" t="str">
            <v>EST POLTRONA KAZZ TC C3016/REC 2562/ESTRUTURA MARROM CLARO - 0,85x0,85x0,75H</v>
          </cell>
          <cell r="Y4879">
            <v>18360.2</v>
          </cell>
          <cell r="Z4879">
            <v>0.35</v>
          </cell>
          <cell r="AA4879">
            <v>11934.130000000001</v>
          </cell>
          <cell r="AB4879"/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H4880">
            <v>0</v>
          </cell>
          <cell r="O4880">
            <v>328747</v>
          </cell>
          <cell r="P4880" t="str">
            <v>2022/182-0007-01</v>
          </cell>
          <cell r="Q4880" t="str">
            <v>EST SOFA ANDROS (2B) FX C3092(BASE LAMINA WALNUT)</v>
          </cell>
          <cell r="R4880"/>
          <cell r="S4880"/>
          <cell r="T4880">
            <v>3</v>
          </cell>
          <cell r="U4880">
            <v>1.5</v>
          </cell>
          <cell r="V4880">
            <v>0.76</v>
          </cell>
          <cell r="W4880">
            <v>0</v>
          </cell>
          <cell r="X4880" t="str">
            <v>EST SOFA ANDROS (2B) FX C3092(BASE LAMINA WALNUT) - 3x1,5x0,76H</v>
          </cell>
          <cell r="Y4880">
            <v>48220.08</v>
          </cell>
          <cell r="Z4880">
            <v>0.5</v>
          </cell>
          <cell r="AA4880">
            <v>24110.04</v>
          </cell>
          <cell r="AB4880"/>
        </row>
        <row r="4881">
          <cell r="C4881">
            <v>0</v>
          </cell>
          <cell r="D4881">
            <v>0</v>
          </cell>
          <cell r="E4881">
            <v>1</v>
          </cell>
          <cell r="F4881">
            <v>0</v>
          </cell>
          <cell r="H4881">
            <v>1</v>
          </cell>
          <cell r="O4881">
            <v>328748</v>
          </cell>
          <cell r="P4881" t="str">
            <v>2022/178-0046-01</v>
          </cell>
          <cell r="Q4881" t="str">
            <v>EST POLTRONA SOFT (BS ELET CORTEN) B0707-024/SOL MARFIM</v>
          </cell>
          <cell r="R4881"/>
          <cell r="S4881"/>
          <cell r="T4881">
            <v>0.87</v>
          </cell>
          <cell r="U4881">
            <v>1.02</v>
          </cell>
          <cell r="V4881">
            <v>0.8</v>
          </cell>
          <cell r="W4881">
            <v>0</v>
          </cell>
          <cell r="X4881" t="str">
            <v>EST POLTRONA SOFT (BS ELET CORTEN) B0707-024/SOL MARFIM - 0,87x1,02x0,8H</v>
          </cell>
          <cell r="Y4881">
            <v>30356.12</v>
          </cell>
          <cell r="Z4881">
            <v>0.35</v>
          </cell>
          <cell r="AA4881">
            <v>19731.477999999999</v>
          </cell>
          <cell r="AB4881"/>
        </row>
        <row r="4882">
          <cell r="C4882">
            <v>0</v>
          </cell>
          <cell r="D4882">
            <v>0</v>
          </cell>
          <cell r="E4882">
            <v>1</v>
          </cell>
          <cell r="F4882">
            <v>0</v>
          </cell>
          <cell r="H4882">
            <v>1</v>
          </cell>
          <cell r="O4882">
            <v>328749</v>
          </cell>
          <cell r="P4882" t="str">
            <v>2022/178-0047-01</v>
          </cell>
          <cell r="Q4882" t="str">
            <v>EST BANQUETA SOFT (BS ELET CORTEN) B0707-024/SOL MARFIM</v>
          </cell>
          <cell r="R4882"/>
          <cell r="S4882"/>
          <cell r="T4882">
            <v>0.57999999999999996</v>
          </cell>
          <cell r="U4882">
            <v>0.75</v>
          </cell>
          <cell r="V4882">
            <v>0.4</v>
          </cell>
          <cell r="W4882">
            <v>0</v>
          </cell>
          <cell r="X4882" t="str">
            <v>EST BANQUETA SOFT (BS ELET CORTEN) B0707-024/SOL MARFIM - 0,58x0,75x0,4H</v>
          </cell>
          <cell r="Y4882">
            <v>13823.8</v>
          </cell>
          <cell r="Z4882">
            <v>0.35</v>
          </cell>
          <cell r="AA4882">
            <v>8985.4700000000012</v>
          </cell>
          <cell r="AB4882"/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H4883">
            <v>3</v>
          </cell>
          <cell r="O4883">
            <v>328943</v>
          </cell>
          <cell r="P4883"/>
          <cell r="Q4883" t="str">
            <v>EST POLTRONA ESTICADA (PALANTI) (IMBUIA) (SOLETA MARROM)</v>
          </cell>
          <cell r="R4883"/>
          <cell r="S4883"/>
          <cell r="T4883">
            <v>0.55000000000000004</v>
          </cell>
          <cell r="U4883">
            <v>0.7</v>
          </cell>
          <cell r="V4883">
            <v>0.88</v>
          </cell>
          <cell r="W4883">
            <v>0</v>
          </cell>
          <cell r="X4883" t="str">
            <v>EST POLTRONA ESTICADA (PALANTI) (IMBUIA) (SOLETA MARROM) - 0,55x0,7x0,88H</v>
          </cell>
          <cell r="Y4883">
            <v>0</v>
          </cell>
          <cell r="Z4883">
            <v>0.35</v>
          </cell>
          <cell r="AA4883">
            <v>0</v>
          </cell>
          <cell r="AB4883"/>
        </row>
        <row r="4884">
          <cell r="C4884">
            <v>4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331872</v>
          </cell>
          <cell r="P4884"/>
          <cell r="Q4884" t="str">
            <v>EST ALMOFADA FEDD CONHAQUE 050X050</v>
          </cell>
          <cell r="R4884"/>
          <cell r="S4884"/>
          <cell r="T4884">
            <v>0.5</v>
          </cell>
          <cell r="U4884">
            <v>0.5</v>
          </cell>
          <cell r="V4884">
            <v>0</v>
          </cell>
          <cell r="W4884">
            <v>0</v>
          </cell>
          <cell r="X4884" t="str">
            <v>EST ALMOFADA FEDD CONHAQUE 050X050 - 0,5x0,5x0H</v>
          </cell>
          <cell r="Y4884" t="e">
            <v>#VALUE!</v>
          </cell>
          <cell r="Z4884">
            <v>0.35</v>
          </cell>
          <cell r="AA4884" t="e">
            <v>#VALUE!</v>
          </cell>
          <cell r="AB4884"/>
        </row>
        <row r="4885">
          <cell r="C4885">
            <v>3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331874</v>
          </cell>
          <cell r="P4885"/>
          <cell r="Q4885" t="str">
            <v>EST ALMOFADA FEDD BLACK</v>
          </cell>
          <cell r="R4885"/>
          <cell r="S4885"/>
          <cell r="T4885">
            <v>0.5</v>
          </cell>
          <cell r="U4885">
            <v>0.5</v>
          </cell>
          <cell r="V4885">
            <v>0</v>
          </cell>
          <cell r="W4885">
            <v>0</v>
          </cell>
          <cell r="X4885" t="str">
            <v>EST ALMOFADA FEDD BLACK - 0,5x0,5x0H</v>
          </cell>
          <cell r="Y4885">
            <v>0</v>
          </cell>
          <cell r="Z4885">
            <v>0.35</v>
          </cell>
          <cell r="AA4885">
            <v>0</v>
          </cell>
          <cell r="AB4885"/>
        </row>
        <row r="4886">
          <cell r="C4886">
            <v>1</v>
          </cell>
          <cell r="D4886">
            <v>1</v>
          </cell>
          <cell r="E4886">
            <v>1</v>
          </cell>
          <cell r="F4886">
            <v>1</v>
          </cell>
          <cell r="H4886">
            <v>2</v>
          </cell>
          <cell r="O4886">
            <v>334164</v>
          </cell>
          <cell r="P4886" t="str">
            <v>2022/175-0009-01</v>
          </cell>
          <cell r="Q4886" t="str">
            <v>EST CADEIRA JULIETA (JEQ PECAN) (COURO PIGUIMENTADO AREIA)</v>
          </cell>
          <cell r="R4886"/>
          <cell r="S4886"/>
          <cell r="T4886">
            <v>0.6</v>
          </cell>
          <cell r="U4886">
            <v>0.54</v>
          </cell>
          <cell r="V4886">
            <v>0.71</v>
          </cell>
          <cell r="W4886">
            <v>0</v>
          </cell>
          <cell r="X4886" t="str">
            <v>EST CADEIRA JULIETA (JEQ PECAN) (COURO PIGUIMENTADO AREIA) - 0,6x0,54x0,71H</v>
          </cell>
          <cell r="Y4886">
            <v>9657.4</v>
          </cell>
          <cell r="Z4886">
            <v>0.35</v>
          </cell>
          <cell r="AA4886">
            <v>6277.3099999999995</v>
          </cell>
          <cell r="AB4886"/>
        </row>
        <row r="4887">
          <cell r="C4887">
            <v>1</v>
          </cell>
          <cell r="D4887">
            <v>1</v>
          </cell>
          <cell r="E4887">
            <v>1</v>
          </cell>
          <cell r="F4887">
            <v>1</v>
          </cell>
          <cell r="H4887">
            <v>2</v>
          </cell>
          <cell r="O4887">
            <v>334164</v>
          </cell>
          <cell r="P4887" t="str">
            <v>2022/175-0011-01</v>
          </cell>
          <cell r="Q4887" t="str">
            <v>EST CADEIRA JULIETA (JEQ PECAN) (COURO PIGUIMENTADO AREIA)</v>
          </cell>
          <cell r="R4887"/>
          <cell r="S4887"/>
          <cell r="T4887">
            <v>0.6</v>
          </cell>
          <cell r="U4887">
            <v>0.54</v>
          </cell>
          <cell r="V4887">
            <v>0.71</v>
          </cell>
          <cell r="W4887">
            <v>0</v>
          </cell>
          <cell r="X4887" t="str">
            <v>EST CADEIRA JULIETA (JEQ PECAN) (COURO PIGUIMENTADO AREIA) - 0,6x0,54x0,71H</v>
          </cell>
          <cell r="Y4887">
            <v>9657.4</v>
          </cell>
          <cell r="Z4887">
            <v>0.35</v>
          </cell>
          <cell r="AA4887">
            <v>6277.3099999999995</v>
          </cell>
          <cell r="AB4887"/>
        </row>
        <row r="4888">
          <cell r="C4888">
            <v>0</v>
          </cell>
          <cell r="D4888">
            <v>0</v>
          </cell>
          <cell r="E4888">
            <v>1</v>
          </cell>
          <cell r="F4888">
            <v>0</v>
          </cell>
          <cell r="H4888">
            <v>0</v>
          </cell>
          <cell r="O4888">
            <v>334166</v>
          </cell>
          <cell r="P4888" t="str">
            <v>2022/200-0053-01</v>
          </cell>
          <cell r="Q4888" t="str">
            <v>EST MESA JANTAR MONIZ (C/GIR) (ESPINHADA D) (LAM 2 NOGUEIRA)</v>
          </cell>
          <cell r="R4888"/>
          <cell r="S4888"/>
          <cell r="T4888">
            <v>1.8</v>
          </cell>
          <cell r="U4888">
            <v>0</v>
          </cell>
          <cell r="V4888">
            <v>0.75</v>
          </cell>
          <cell r="W4888">
            <v>1.8</v>
          </cell>
          <cell r="X4888" t="str">
            <v>EST MESA JANTAR MONIZ (C/GIR) (ESPINHADA D) (LAM 2 NOGUEIRA) - Ø1,8x0,75H</v>
          </cell>
          <cell r="Y4888">
            <v>44771.28</v>
          </cell>
          <cell r="Z4888">
            <v>0.35</v>
          </cell>
          <cell r="AA4888">
            <v>29101.332000000002</v>
          </cell>
          <cell r="AB4888"/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H4889">
            <v>2</v>
          </cell>
          <cell r="O4889">
            <v>334175</v>
          </cell>
          <cell r="P4889" t="str">
            <v>2022/196-0061-01</v>
          </cell>
          <cell r="Q4889" t="str">
            <v>EST POLTRONA PATER (IMBUIA) TAURUS 30/ALMOF FX10008</v>
          </cell>
          <cell r="R4889"/>
          <cell r="S4889"/>
          <cell r="T4889">
            <v>0.82</v>
          </cell>
          <cell r="U4889">
            <v>0.94</v>
          </cell>
          <cell r="V4889">
            <v>0.83</v>
          </cell>
          <cell r="W4889">
            <v>0</v>
          </cell>
          <cell r="X4889" t="str">
            <v>EST POLTRONA PATER (IMBUIA) TAURUS 30/ALMOF FX10008 - 0,82x0,94x0,83H</v>
          </cell>
          <cell r="Y4889">
            <v>32157.17</v>
          </cell>
          <cell r="Z4889">
            <v>0.5</v>
          </cell>
          <cell r="AA4889">
            <v>16078.584999999999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8</v>
          </cell>
          <cell r="O4890">
            <v>334198</v>
          </cell>
          <cell r="P4890" t="str">
            <v>2022/203-0147-01</v>
          </cell>
          <cell r="Q4890" t="str">
            <v>EST CADEIRA MEDALHINHA (TAUARI EBNZ) (COLMEIA ARAMID NT)</v>
          </cell>
          <cell r="R4890"/>
          <cell r="S4890"/>
          <cell r="T4890">
            <v>0.47</v>
          </cell>
          <cell r="U4890">
            <v>0.61</v>
          </cell>
          <cell r="V4890">
            <v>0.82</v>
          </cell>
          <cell r="W4890">
            <v>0</v>
          </cell>
          <cell r="X4890" t="str">
            <v>EST CADEIRA MEDALHINHA (TAUARI EBNZ) (COLMEIA ARAMID NT) - 0,47x0,61x0,82H</v>
          </cell>
          <cell r="Y4890">
            <v>9872.7529999999988</v>
          </cell>
          <cell r="Z4890">
            <v>0.5</v>
          </cell>
          <cell r="AA4890">
            <v>4936.3764999999994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8</v>
          </cell>
          <cell r="O4891">
            <v>334198</v>
          </cell>
          <cell r="P4891" t="str">
            <v>2022/203-0148-01</v>
          </cell>
          <cell r="Q4891" t="str">
            <v>EST CADEIRA MEDALHINHA (TAUARI EBNZ) (COLMEIA ARAMID NT)</v>
          </cell>
          <cell r="R4891"/>
          <cell r="S4891"/>
          <cell r="T4891">
            <v>0.47</v>
          </cell>
          <cell r="U4891">
            <v>0.61</v>
          </cell>
          <cell r="V4891">
            <v>0.82</v>
          </cell>
          <cell r="W4891">
            <v>0</v>
          </cell>
          <cell r="X4891" t="str">
            <v>EST CADEIRA MEDALHINHA (TAUARI EBNZ) (COLMEIA ARAMID NT) - 0,47x0,61x0,82H</v>
          </cell>
          <cell r="Y4891">
            <v>9872.7529999999988</v>
          </cell>
          <cell r="Z4891">
            <v>0.5</v>
          </cell>
          <cell r="AA4891">
            <v>4936.3764999999994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8</v>
          </cell>
          <cell r="O4892">
            <v>334198</v>
          </cell>
          <cell r="P4892" t="str">
            <v>2025/051-0004-01</v>
          </cell>
          <cell r="Q4892" t="str">
            <v>EST CADEIRA MEDALHINHA (TAUARI EBNZ) (COLMEIA ARAMID NT)</v>
          </cell>
          <cell r="R4892"/>
          <cell r="S4892"/>
          <cell r="T4892">
            <v>0.47</v>
          </cell>
          <cell r="U4892">
            <v>0.61</v>
          </cell>
          <cell r="V4892">
            <v>0.82</v>
          </cell>
          <cell r="W4892">
            <v>0</v>
          </cell>
          <cell r="X4892" t="str">
            <v>EST CADEIRA MEDALHINHA (TAUARI EBNZ) (COLMEIA ARAMID NT) - 0,47x0,61x0,82H</v>
          </cell>
          <cell r="Y4892">
            <v>9872.7529999999988</v>
          </cell>
          <cell r="Z4892">
            <v>0.5</v>
          </cell>
          <cell r="AA4892">
            <v>4936.3764999999994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8</v>
          </cell>
          <cell r="O4893">
            <v>334198</v>
          </cell>
          <cell r="P4893" t="str">
            <v>2022/203-0150-01</v>
          </cell>
          <cell r="Q4893" t="str">
            <v>EST CADEIRA MEDALHINHA (TAUARI EBNZ) (COLMEIA ARAMID NT)</v>
          </cell>
          <cell r="R4893"/>
          <cell r="S4893"/>
          <cell r="T4893">
            <v>0.47</v>
          </cell>
          <cell r="U4893">
            <v>0.61</v>
          </cell>
          <cell r="V4893">
            <v>0.82</v>
          </cell>
          <cell r="W4893">
            <v>0</v>
          </cell>
          <cell r="X4893" t="str">
            <v>EST CADEIRA MEDALHINHA (TAUARI EBNZ) (COLMEIA ARAMID NT) - 0,47x0,61x0,82H</v>
          </cell>
          <cell r="Y4893">
            <v>9872.7529999999988</v>
          </cell>
          <cell r="Z4893">
            <v>0.5</v>
          </cell>
          <cell r="AA4893">
            <v>4936.3764999999994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8</v>
          </cell>
          <cell r="O4894">
            <v>334198</v>
          </cell>
          <cell r="P4894" t="str">
            <v>2022/203-0151-01</v>
          </cell>
          <cell r="Q4894" t="str">
            <v>EST CADEIRA MEDALHINHA (TAUARI EBNZ) (COLMEIA ARAMID NT)</v>
          </cell>
          <cell r="R4894"/>
          <cell r="S4894"/>
          <cell r="T4894">
            <v>0.47</v>
          </cell>
          <cell r="U4894">
            <v>0.61</v>
          </cell>
          <cell r="V4894">
            <v>0.82</v>
          </cell>
          <cell r="W4894">
            <v>0</v>
          </cell>
          <cell r="X4894" t="str">
            <v>EST CADEIRA MEDALHINHA (TAUARI EBNZ) (COLMEIA ARAMID NT) - 0,47x0,61x0,82H</v>
          </cell>
          <cell r="Y4894">
            <v>9872.7529999999988</v>
          </cell>
          <cell r="Z4894">
            <v>0.5</v>
          </cell>
          <cell r="AA4894">
            <v>4936.3764999999994</v>
          </cell>
          <cell r="AB4894"/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H4895">
            <v>8</v>
          </cell>
          <cell r="O4895">
            <v>334198</v>
          </cell>
          <cell r="P4895" t="str">
            <v>2025/051-0005-01</v>
          </cell>
          <cell r="Q4895" t="str">
            <v>EST CADEIRA MEDALHINHA (TAUARI EBNZ) (COLMEIA ARAMID NT)</v>
          </cell>
          <cell r="R4895"/>
          <cell r="S4895"/>
          <cell r="T4895">
            <v>0.47</v>
          </cell>
          <cell r="U4895">
            <v>0.61</v>
          </cell>
          <cell r="V4895">
            <v>0.82</v>
          </cell>
          <cell r="W4895">
            <v>0</v>
          </cell>
          <cell r="X4895" t="str">
            <v>EST CADEIRA MEDALHINHA (TAUARI EBNZ) (COLMEIA ARAMID NT) - 0,47x0,61x0,82H</v>
          </cell>
          <cell r="Y4895">
            <v>9872.7529999999988</v>
          </cell>
          <cell r="Z4895">
            <v>0.5</v>
          </cell>
          <cell r="AA4895">
            <v>4936.3764999999994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8</v>
          </cell>
          <cell r="O4896">
            <v>334198</v>
          </cell>
          <cell r="P4896" t="str">
            <v>2025/051-0006-01</v>
          </cell>
          <cell r="Q4896" t="str">
            <v>EST CADEIRA MEDALHINHA (TAUARI EBNZ) (COLMEIA ARAMID NT)</v>
          </cell>
          <cell r="R4896"/>
          <cell r="S4896"/>
          <cell r="T4896">
            <v>0.47</v>
          </cell>
          <cell r="U4896">
            <v>0.61</v>
          </cell>
          <cell r="V4896">
            <v>0.82</v>
          </cell>
          <cell r="W4896">
            <v>0</v>
          </cell>
          <cell r="X4896" t="str">
            <v>EST CADEIRA MEDALHINHA (TAUARI EBNZ) (COLMEIA ARAMID NT) - 0,47x0,61x0,82H</v>
          </cell>
          <cell r="Y4896">
            <v>9872.7529999999988</v>
          </cell>
          <cell r="Z4896">
            <v>0.5</v>
          </cell>
          <cell r="AA4896">
            <v>4936.3764999999994</v>
          </cell>
          <cell r="AB4896"/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H4897">
            <v>8</v>
          </cell>
          <cell r="O4897">
            <v>334198</v>
          </cell>
          <cell r="P4897" t="str">
            <v>2025/051-0007-01</v>
          </cell>
          <cell r="Q4897" t="str">
            <v>EST CADEIRA MEDALHINHA (TAUARI EBNZ) (COLMEIA ARAMID NT)</v>
          </cell>
          <cell r="R4897"/>
          <cell r="S4897"/>
          <cell r="T4897">
            <v>0.47</v>
          </cell>
          <cell r="U4897">
            <v>0.61</v>
          </cell>
          <cell r="V4897">
            <v>0.82</v>
          </cell>
          <cell r="W4897">
            <v>0</v>
          </cell>
          <cell r="X4897" t="str">
            <v>EST CADEIRA MEDALHINHA (TAUARI EBNZ) (COLMEIA ARAMID NT) - 0,47x0,61x0,82H</v>
          </cell>
          <cell r="Y4897">
            <v>9872.7529999999988</v>
          </cell>
          <cell r="Z4897">
            <v>0.5</v>
          </cell>
          <cell r="AA4897">
            <v>4936.3764999999994</v>
          </cell>
          <cell r="AB4897"/>
        </row>
        <row r="4898">
          <cell r="C4898">
            <v>1</v>
          </cell>
          <cell r="D4898">
            <v>0</v>
          </cell>
          <cell r="E4898">
            <v>0</v>
          </cell>
          <cell r="F4898">
            <v>0</v>
          </cell>
          <cell r="H4898">
            <v>4</v>
          </cell>
          <cell r="O4898">
            <v>334238</v>
          </cell>
          <cell r="P4898" t="str">
            <v>2022/166-0095-01</v>
          </cell>
          <cell r="Q4898" t="str">
            <v>EST CADEIRA ALE (LAM FREIJO MEL) (REC CARAM) SOLETA CARAMELO</v>
          </cell>
          <cell r="R4898"/>
          <cell r="S4898"/>
          <cell r="T4898">
            <v>0.56000000000000005</v>
          </cell>
          <cell r="U4898">
            <v>0.55000000000000004</v>
          </cell>
          <cell r="V4898">
            <v>0.78</v>
          </cell>
          <cell r="W4898">
            <v>0</v>
          </cell>
          <cell r="X4898" t="str">
            <v>EST CADEIRA ALE (LAM FREIJO MEL) (REC CARAM) SOLETA CARAMELO - 0,56x0,55x0,78H</v>
          </cell>
          <cell r="Y4898">
            <v>9327.9</v>
          </cell>
          <cell r="Z4898">
            <v>0.5</v>
          </cell>
          <cell r="AA4898">
            <v>4663.95</v>
          </cell>
          <cell r="AB4898"/>
        </row>
        <row r="4899">
          <cell r="C4899">
            <v>1</v>
          </cell>
          <cell r="D4899">
            <v>0</v>
          </cell>
          <cell r="E4899">
            <v>0</v>
          </cell>
          <cell r="F4899">
            <v>0</v>
          </cell>
          <cell r="H4899">
            <v>4</v>
          </cell>
          <cell r="O4899">
            <v>334238</v>
          </cell>
          <cell r="P4899" t="str">
            <v>2022/166-0097-01</v>
          </cell>
          <cell r="Q4899" t="str">
            <v>EST CADEIRA ALE (LAM FREIJO MEL) (REC CARAM) SOLETA CARAMELO</v>
          </cell>
          <cell r="R4899"/>
          <cell r="S4899"/>
          <cell r="T4899">
            <v>0.56000000000000005</v>
          </cell>
          <cell r="U4899">
            <v>0.55000000000000004</v>
          </cell>
          <cell r="V4899">
            <v>0.78</v>
          </cell>
          <cell r="W4899">
            <v>0</v>
          </cell>
          <cell r="X4899" t="str">
            <v>EST CADEIRA ALE (LAM FREIJO MEL) (REC CARAM) SOLETA CARAMELO - 0,56x0,55x0,78H</v>
          </cell>
          <cell r="Y4899">
            <v>9327.9</v>
          </cell>
          <cell r="Z4899">
            <v>0.5</v>
          </cell>
          <cell r="AA4899">
            <v>4663.95</v>
          </cell>
          <cell r="AB4899"/>
        </row>
        <row r="4900">
          <cell r="C4900">
            <v>1</v>
          </cell>
          <cell r="D4900">
            <v>0</v>
          </cell>
          <cell r="E4900">
            <v>0</v>
          </cell>
          <cell r="F4900">
            <v>0</v>
          </cell>
          <cell r="H4900">
            <v>4</v>
          </cell>
          <cell r="O4900">
            <v>334238</v>
          </cell>
          <cell r="P4900" t="str">
            <v>2022/166-0099-01</v>
          </cell>
          <cell r="Q4900" t="str">
            <v>EST CADEIRA ALE (LAM FREIJO MEL) (REC CARAM) SOLETA CARAMELO</v>
          </cell>
          <cell r="R4900"/>
          <cell r="S4900"/>
          <cell r="T4900">
            <v>0.56000000000000005</v>
          </cell>
          <cell r="U4900">
            <v>0.55000000000000004</v>
          </cell>
          <cell r="V4900">
            <v>0.78</v>
          </cell>
          <cell r="W4900">
            <v>0</v>
          </cell>
          <cell r="X4900" t="str">
            <v>EST CADEIRA ALE (LAM FREIJO MEL) (REC CARAM) SOLETA CARAMELO - 0,56x0,55x0,78H</v>
          </cell>
          <cell r="Y4900">
            <v>9327.9</v>
          </cell>
          <cell r="Z4900">
            <v>0.5</v>
          </cell>
          <cell r="AA4900">
            <v>4663.95</v>
          </cell>
          <cell r="AB4900"/>
        </row>
        <row r="4901">
          <cell r="C4901">
            <v>1</v>
          </cell>
          <cell r="D4901">
            <v>0</v>
          </cell>
          <cell r="E4901">
            <v>0</v>
          </cell>
          <cell r="F4901">
            <v>0</v>
          </cell>
          <cell r="H4901">
            <v>4</v>
          </cell>
          <cell r="O4901">
            <v>334238</v>
          </cell>
          <cell r="P4901" t="str">
            <v>2022/166-0102-01</v>
          </cell>
          <cell r="Q4901" t="str">
            <v>EST CADEIRA ALE (LAM FREIJO MEL) (REC CARAM) SOLETA CARAMELO</v>
          </cell>
          <cell r="R4901"/>
          <cell r="S4901"/>
          <cell r="T4901">
            <v>0.56000000000000005</v>
          </cell>
          <cell r="U4901">
            <v>0.55000000000000004</v>
          </cell>
          <cell r="V4901">
            <v>0.78</v>
          </cell>
          <cell r="W4901">
            <v>0</v>
          </cell>
          <cell r="X4901" t="str">
            <v>EST CADEIRA ALE (LAM FREIJO MEL) (REC CARAM) SOLETA CARAMELO - 0,56x0,55x0,78H</v>
          </cell>
          <cell r="Y4901">
            <v>9327.9</v>
          </cell>
          <cell r="Z4901">
            <v>0.5</v>
          </cell>
          <cell r="AA4901">
            <v>4663.95</v>
          </cell>
          <cell r="AB4901"/>
        </row>
        <row r="4902"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H4902">
            <v>1</v>
          </cell>
          <cell r="O4902">
            <v>334240</v>
          </cell>
          <cell r="P4902" t="str">
            <v>2022/196-0026-01</v>
          </cell>
          <cell r="Q4902" t="str">
            <v>EST MESA CENTRO CANCUN (FX4 ALPI BRI) (AUT BRONW)</v>
          </cell>
          <cell r="R4902"/>
          <cell r="S4902"/>
          <cell r="T4902">
            <v>1.1000000000000001</v>
          </cell>
          <cell r="U4902">
            <v>0</v>
          </cell>
          <cell r="V4902">
            <v>0.32</v>
          </cell>
          <cell r="W4902">
            <v>1.1000000000000001</v>
          </cell>
          <cell r="X4902" t="str">
            <v>EST MESA CENTRO CANCUN (FX4 ALPI BRI) (AUT BRONW) - Ø1,1x0,32H</v>
          </cell>
          <cell r="Y4902">
            <v>30567.08</v>
          </cell>
          <cell r="Z4902">
            <v>0.5</v>
          </cell>
          <cell r="AA4902">
            <v>15283.54</v>
          </cell>
          <cell r="AB4902"/>
        </row>
        <row r="4903">
          <cell r="C4903">
            <v>1</v>
          </cell>
          <cell r="D4903">
            <v>0</v>
          </cell>
          <cell r="E4903">
            <v>0</v>
          </cell>
          <cell r="F4903">
            <v>0</v>
          </cell>
          <cell r="H4903">
            <v>0</v>
          </cell>
          <cell r="O4903">
            <v>334244</v>
          </cell>
          <cell r="P4903" t="str">
            <v>2022/210-0115-01</v>
          </cell>
          <cell r="Q4903" t="str">
            <v>EST MESA CENTRO IPANEMA (LAM EBANIZADO C/CRIS PINT PT)</v>
          </cell>
          <cell r="R4903"/>
          <cell r="S4903"/>
          <cell r="T4903">
            <v>0.9</v>
          </cell>
          <cell r="U4903">
            <v>0</v>
          </cell>
          <cell r="V4903">
            <v>0.35</v>
          </cell>
          <cell r="W4903">
            <v>0.9</v>
          </cell>
          <cell r="X4903" t="str">
            <v>EST MESA CENTRO IPANEMA (LAM EBANIZADO C/CRIS PINT PT) - Ø0,9x0,35H</v>
          </cell>
          <cell r="Y4903">
            <v>9114.11</v>
          </cell>
          <cell r="Z4903">
            <v>0.5</v>
          </cell>
          <cell r="AA4903">
            <v>4557.0550000000003</v>
          </cell>
          <cell r="AB4903"/>
        </row>
        <row r="4904"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H4904">
            <v>1</v>
          </cell>
          <cell r="O4904">
            <v>334261</v>
          </cell>
          <cell r="P4904" t="str">
            <v>2022/214-0036-01</v>
          </cell>
          <cell r="Q4904" t="str">
            <v>EST MESA CENTRO ORGAN (TP CALACATA/NOGUEIRA)</v>
          </cell>
          <cell r="R4904"/>
          <cell r="S4904"/>
          <cell r="T4904">
            <v>1.1000000000000001</v>
          </cell>
          <cell r="U4904">
            <v>1.1000000000000001</v>
          </cell>
          <cell r="V4904">
            <v>0.27</v>
          </cell>
          <cell r="W4904">
            <v>0</v>
          </cell>
          <cell r="X4904" t="str">
            <v>EST MESA CENTRO ORGAN (TP CALACATA/NOGUEIRA) - 1,1x1,1x0,27H</v>
          </cell>
          <cell r="Y4904">
            <v>42642.879999999997</v>
          </cell>
          <cell r="Z4904">
            <v>0.5</v>
          </cell>
          <cell r="AA4904">
            <v>21321.439999999999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1</v>
          </cell>
          <cell r="O4905">
            <v>334262</v>
          </cell>
          <cell r="P4905" t="str">
            <v>2022/214-0037-01</v>
          </cell>
          <cell r="Q4905" t="str">
            <v>EST MESA CENTRO ORGAN (TP/BS LAMINADO NOGUEIRA)</v>
          </cell>
          <cell r="R4905"/>
          <cell r="S4905"/>
          <cell r="T4905">
            <v>1.1000000000000001</v>
          </cell>
          <cell r="U4905">
            <v>1.1000000000000001</v>
          </cell>
          <cell r="V4905">
            <v>0.27</v>
          </cell>
          <cell r="W4905">
            <v>0</v>
          </cell>
          <cell r="X4905" t="str">
            <v>EST MESA CENTRO ORGAN (TP/BS LAMINADO NOGUEIRA) - 1,1x1,1x0,27H</v>
          </cell>
          <cell r="Y4905">
            <v>20501.38</v>
          </cell>
          <cell r="Z4905">
            <v>0.5</v>
          </cell>
          <cell r="AA4905">
            <v>10250.69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6</v>
          </cell>
          <cell r="O4906">
            <v>334271</v>
          </cell>
          <cell r="P4906" t="str">
            <v>2022/157-0018-01</v>
          </cell>
          <cell r="Q4906" t="str">
            <v>EST CADEIRA LUIZA C/BRACO COU 2 ESTONADO 8001/JEQ CAST CLARO</v>
          </cell>
          <cell r="R4906"/>
          <cell r="S4906"/>
          <cell r="T4906">
            <v>0.59</v>
          </cell>
          <cell r="U4906">
            <v>0.56000000000000005</v>
          </cell>
          <cell r="V4906">
            <v>0.74</v>
          </cell>
          <cell r="W4906">
            <v>0</v>
          </cell>
          <cell r="X4906" t="str">
            <v>EST CADEIRA LUIZA C/BRACO COU 2 ESTONADO 8001/JEQ CAST CLARO - 0,59x0,56x0,74H</v>
          </cell>
          <cell r="Y4906">
            <v>9433.94</v>
          </cell>
          <cell r="Z4906">
            <v>0.5</v>
          </cell>
          <cell r="AA4906">
            <v>4716.97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6</v>
          </cell>
          <cell r="O4907">
            <v>334271</v>
          </cell>
          <cell r="P4907" t="str">
            <v>2022/157-0019-01</v>
          </cell>
          <cell r="Q4907" t="str">
            <v>EST CADEIRA LUIZA C/BRACO COU 2 ESTONADO 8001/JEQ CAST CLARO</v>
          </cell>
          <cell r="R4907"/>
          <cell r="S4907"/>
          <cell r="T4907">
            <v>0.59</v>
          </cell>
          <cell r="U4907">
            <v>0.56000000000000005</v>
          </cell>
          <cell r="V4907">
            <v>0.74</v>
          </cell>
          <cell r="W4907">
            <v>0</v>
          </cell>
          <cell r="X4907" t="str">
            <v>EST CADEIRA LUIZA C/BRACO COU 2 ESTONADO 8001/JEQ CAST CLARO - 0,59x0,56x0,74H</v>
          </cell>
          <cell r="Y4907">
            <v>9433.94</v>
          </cell>
          <cell r="Z4907">
            <v>0.5</v>
          </cell>
          <cell r="AA4907">
            <v>4716.97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6</v>
          </cell>
          <cell r="O4908">
            <v>334271</v>
          </cell>
          <cell r="P4908" t="str">
            <v>2022/157-0020-01</v>
          </cell>
          <cell r="Q4908" t="str">
            <v>EST CADEIRA LUIZA C/BRACO COU 2 ESTONADO 8001/JEQ CAST CLARO</v>
          </cell>
          <cell r="R4908"/>
          <cell r="S4908"/>
          <cell r="T4908">
            <v>0.59</v>
          </cell>
          <cell r="U4908">
            <v>0.56000000000000005</v>
          </cell>
          <cell r="V4908">
            <v>0.74</v>
          </cell>
          <cell r="W4908">
            <v>0</v>
          </cell>
          <cell r="X4908" t="str">
            <v>EST CADEIRA LUIZA C/BRACO COU 2 ESTONADO 8001/JEQ CAST CLARO - 0,59x0,56x0,74H</v>
          </cell>
          <cell r="Y4908">
            <v>9433.94</v>
          </cell>
          <cell r="Z4908">
            <v>0.5</v>
          </cell>
          <cell r="AA4908">
            <v>4716.97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6</v>
          </cell>
          <cell r="O4909">
            <v>334271</v>
          </cell>
          <cell r="P4909" t="str">
            <v>2022/157-0021-01</v>
          </cell>
          <cell r="Q4909" t="str">
            <v>EST CADEIRA LUIZA C/BRACO COU 2 ESTONADO 8001/JEQ CAST CLARO</v>
          </cell>
          <cell r="R4909"/>
          <cell r="S4909"/>
          <cell r="T4909">
            <v>0.59</v>
          </cell>
          <cell r="U4909">
            <v>0.56000000000000005</v>
          </cell>
          <cell r="V4909">
            <v>0.74</v>
          </cell>
          <cell r="W4909">
            <v>0</v>
          </cell>
          <cell r="X4909" t="str">
            <v>EST CADEIRA LUIZA C/BRACO COU 2 ESTONADO 8001/JEQ CAST CLARO - 0,59x0,56x0,74H</v>
          </cell>
          <cell r="Y4909">
            <v>9433.94</v>
          </cell>
          <cell r="Z4909">
            <v>0.5</v>
          </cell>
          <cell r="AA4909">
            <v>4716.97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6</v>
          </cell>
          <cell r="O4910">
            <v>334271</v>
          </cell>
          <cell r="P4910" t="str">
            <v>2022/157-0022-01</v>
          </cell>
          <cell r="Q4910" t="str">
            <v>EST CADEIRA LUIZA C/BRACO COU 2 ESTONADO 8001/JEQ CAST CLARO</v>
          </cell>
          <cell r="R4910"/>
          <cell r="S4910"/>
          <cell r="T4910">
            <v>0.59</v>
          </cell>
          <cell r="U4910">
            <v>0.56000000000000005</v>
          </cell>
          <cell r="V4910">
            <v>0.74</v>
          </cell>
          <cell r="W4910">
            <v>0</v>
          </cell>
          <cell r="X4910" t="str">
            <v>EST CADEIRA LUIZA C/BRACO COU 2 ESTONADO 8001/JEQ CAST CLARO - 0,59x0,56x0,74H</v>
          </cell>
          <cell r="Y4910">
            <v>9433.94</v>
          </cell>
          <cell r="Z4910">
            <v>0.5</v>
          </cell>
          <cell r="AA4910">
            <v>4716.97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6</v>
          </cell>
          <cell r="O4911">
            <v>334271</v>
          </cell>
          <cell r="P4911" t="str">
            <v>2022/157-0023-01</v>
          </cell>
          <cell r="Q4911" t="str">
            <v>EST CADEIRA LUIZA C/BRACO COU 2 ESTONADO 8001/JEQ CAST CLARO</v>
          </cell>
          <cell r="R4911"/>
          <cell r="S4911"/>
          <cell r="T4911">
            <v>0.59</v>
          </cell>
          <cell r="U4911">
            <v>0.56000000000000005</v>
          </cell>
          <cell r="V4911">
            <v>0.74</v>
          </cell>
          <cell r="W4911">
            <v>0</v>
          </cell>
          <cell r="X4911" t="str">
            <v>EST CADEIRA LUIZA C/BRACO COU 2 ESTONADO 8001/JEQ CAST CLARO - 0,59x0,56x0,74H</v>
          </cell>
          <cell r="Y4911">
            <v>9433.94</v>
          </cell>
          <cell r="Z4911">
            <v>0.5</v>
          </cell>
          <cell r="AA4911">
            <v>4716.97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2</v>
          </cell>
          <cell r="O4912">
            <v>334342</v>
          </cell>
          <cell r="P4912" t="str">
            <v>2022/166-0103-01</v>
          </cell>
          <cell r="Q4912" t="str">
            <v>EST POLTRONA ALE (LAM CARV PT) (TC LISO BRUN GELO) SOLETA PT</v>
          </cell>
          <cell r="R4912"/>
          <cell r="S4912"/>
          <cell r="T4912">
            <v>0.72</v>
          </cell>
          <cell r="U4912">
            <v>0.65</v>
          </cell>
          <cell r="V4912">
            <v>0.73</v>
          </cell>
          <cell r="W4912">
            <v>0</v>
          </cell>
          <cell r="X4912" t="str">
            <v>EST POLTRONA ALE (LAM CARV PT) (TC LISO BRUN GELO) SOLETA PT - 0,72x0,65x0,73H</v>
          </cell>
          <cell r="Y4912">
            <v>12498.48</v>
          </cell>
          <cell r="Z4912">
            <v>0.35</v>
          </cell>
          <cell r="AA4912">
            <v>8124.0119999999997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2</v>
          </cell>
          <cell r="O4913">
            <v>334342</v>
          </cell>
          <cell r="P4913" t="str">
            <v>2022/166-0104-01</v>
          </cell>
          <cell r="Q4913" t="str">
            <v>EST POLTRONA ALE (LAM CARV PT) (TC LISO BRUN GELO) SOLETA PT</v>
          </cell>
          <cell r="R4913"/>
          <cell r="S4913"/>
          <cell r="T4913">
            <v>0.72</v>
          </cell>
          <cell r="U4913">
            <v>0.65</v>
          </cell>
          <cell r="V4913">
            <v>0.73</v>
          </cell>
          <cell r="W4913">
            <v>0</v>
          </cell>
          <cell r="X4913" t="str">
            <v>EST POLTRONA ALE (LAM CARV PT) (TC LISO BRUN GELO) SOLETA PT - 0,72x0,65x0,73H</v>
          </cell>
          <cell r="Y4913">
            <v>12498.48</v>
          </cell>
          <cell r="Z4913">
            <v>0.35</v>
          </cell>
          <cell r="AA4913">
            <v>8124.0119999999997</v>
          </cell>
          <cell r="AB4913"/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H4914">
            <v>1</v>
          </cell>
          <cell r="O4914">
            <v>334350</v>
          </cell>
          <cell r="P4914" t="str">
            <v>2022/210-0086-01</v>
          </cell>
          <cell r="Q4914" t="str">
            <v>EST MESA LATERAL LEED (LAMINADA NOGUEIRA)</v>
          </cell>
          <cell r="R4914"/>
          <cell r="S4914"/>
          <cell r="T4914">
            <v>0.9</v>
          </cell>
          <cell r="U4914">
            <v>0.9</v>
          </cell>
          <cell r="V4914">
            <v>0.5</v>
          </cell>
          <cell r="W4914">
            <v>0</v>
          </cell>
          <cell r="X4914" t="str">
            <v>EST MESA LATERAL LEED (LAMINADA NOGUEIRA) - 0,9x0,9x0,5H</v>
          </cell>
          <cell r="Y4914">
            <v>16111.11</v>
          </cell>
          <cell r="Z4914">
            <v>0.5</v>
          </cell>
          <cell r="AA4914">
            <v>8055.5550000000003</v>
          </cell>
          <cell r="AB4914"/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H4915">
            <v>1</v>
          </cell>
          <cell r="O4915">
            <v>334459</v>
          </cell>
          <cell r="P4915" t="str">
            <v>2022/222-0026-01</v>
          </cell>
          <cell r="Q4915" t="str">
            <v>EST ESTANTE VO (B) (MTZ ONIX PRETO) (LAM 3 LOURO PRETO)</v>
          </cell>
          <cell r="R4915"/>
          <cell r="S4915"/>
          <cell r="T4915">
            <v>1.04</v>
          </cell>
          <cell r="U4915">
            <v>0.45</v>
          </cell>
          <cell r="V4915">
            <v>2.11</v>
          </cell>
          <cell r="W4915">
            <v>0</v>
          </cell>
          <cell r="X4915" t="str">
            <v>EST ESTANTE VO (B) (MTZ ONIX PRETO) (LAM 3 LOURO PRETO) - 1,04x0,45x2,11H</v>
          </cell>
          <cell r="Y4915">
            <v>69966.850000000006</v>
          </cell>
          <cell r="Z4915">
            <v>0.35</v>
          </cell>
          <cell r="AA4915">
            <v>45478.452500000007</v>
          </cell>
          <cell r="AB4915"/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H4916">
            <v>1</v>
          </cell>
          <cell r="O4916">
            <v>334460</v>
          </cell>
          <cell r="P4916" t="str">
            <v>2022/222-0027-01</v>
          </cell>
          <cell r="Q4916" t="str">
            <v>EST ESTANTE VO (C) (MTZ ONIX PRETO) (LAM 3 LOURO PRETO)</v>
          </cell>
          <cell r="R4916"/>
          <cell r="S4916"/>
          <cell r="T4916">
            <v>1.04</v>
          </cell>
          <cell r="U4916">
            <v>0.45</v>
          </cell>
          <cell r="V4916">
            <v>2.11</v>
          </cell>
          <cell r="W4916">
            <v>0</v>
          </cell>
          <cell r="X4916" t="str">
            <v>EST ESTANTE VO (C) (MTZ ONIX PRETO) (LAM 3 LOURO PRETO) - 1,04x0,45x2,11H</v>
          </cell>
          <cell r="Y4916">
            <v>65765.279999999999</v>
          </cell>
          <cell r="Z4916">
            <v>0.35</v>
          </cell>
          <cell r="AA4916">
            <v>42747.432000000001</v>
          </cell>
          <cell r="AB4916"/>
        </row>
        <row r="4917">
          <cell r="C4917">
            <v>6</v>
          </cell>
          <cell r="D4917">
            <v>0</v>
          </cell>
          <cell r="E4917">
            <v>0</v>
          </cell>
          <cell r="F4917">
            <v>0</v>
          </cell>
          <cell r="H4917">
            <v>6</v>
          </cell>
          <cell r="O4917">
            <v>334461</v>
          </cell>
          <cell r="P4917" t="str">
            <v>2022/222-0029-01</v>
          </cell>
          <cell r="Q4917" t="str">
            <v>EST COMPONENTE PRATELEIRA ESTANTE VO (UNIAO) (LAM 3 LOURO P)</v>
          </cell>
          <cell r="R4917"/>
          <cell r="S4917"/>
          <cell r="T4917">
            <v>0.6</v>
          </cell>
          <cell r="U4917">
            <v>0.39</v>
          </cell>
          <cell r="V4917">
            <v>0.03</v>
          </cell>
          <cell r="W4917">
            <v>0</v>
          </cell>
          <cell r="X4917" t="str">
            <v>EST COMPONENTE PRATELEIRA ESTANTE VO (UNIAO) (LAM 3 LOURO P) - 0,6x0,39x0,03H</v>
          </cell>
          <cell r="Y4917">
            <v>2825.8</v>
          </cell>
          <cell r="Z4917">
            <v>0.35</v>
          </cell>
          <cell r="AA4917">
            <v>1836.7700000000002</v>
          </cell>
          <cell r="AB4917"/>
        </row>
        <row r="4918">
          <cell r="C4918">
            <v>6</v>
          </cell>
          <cell r="D4918">
            <v>0</v>
          </cell>
          <cell r="E4918">
            <v>0</v>
          </cell>
          <cell r="F4918">
            <v>0</v>
          </cell>
          <cell r="H4918">
            <v>6</v>
          </cell>
          <cell r="O4918">
            <v>334461</v>
          </cell>
          <cell r="P4918" t="str">
            <v>2022/222-0030-01</v>
          </cell>
          <cell r="Q4918" t="str">
            <v>EST COMPONENTE PRATELEIRA ESTANTE VO (UNIAO) (LAM 3 LOURO P)</v>
          </cell>
          <cell r="R4918"/>
          <cell r="S4918"/>
          <cell r="T4918">
            <v>0.6</v>
          </cell>
          <cell r="U4918">
            <v>0.39</v>
          </cell>
          <cell r="V4918">
            <v>0.03</v>
          </cell>
          <cell r="W4918">
            <v>0</v>
          </cell>
          <cell r="X4918" t="str">
            <v>EST COMPONENTE PRATELEIRA ESTANTE VO (UNIAO) (LAM 3 LOURO P) - 0,6x0,39x0,03H</v>
          </cell>
          <cell r="Y4918">
            <v>2825.8</v>
          </cell>
          <cell r="Z4918">
            <v>0.35</v>
          </cell>
          <cell r="AA4918">
            <v>1836.7700000000002</v>
          </cell>
          <cell r="AB4918"/>
        </row>
        <row r="4919">
          <cell r="C4919">
            <v>6</v>
          </cell>
          <cell r="D4919">
            <v>0</v>
          </cell>
          <cell r="E4919">
            <v>0</v>
          </cell>
          <cell r="F4919">
            <v>0</v>
          </cell>
          <cell r="H4919">
            <v>6</v>
          </cell>
          <cell r="O4919">
            <v>334461</v>
          </cell>
          <cell r="P4919" t="str">
            <v>2022/222-0031-01</v>
          </cell>
          <cell r="Q4919" t="str">
            <v>EST COMPONENTE PRATELEIRA ESTANTE VO (UNIAO) (LAM 3 LOURO P)</v>
          </cell>
          <cell r="R4919"/>
          <cell r="S4919"/>
          <cell r="T4919">
            <v>0.6</v>
          </cell>
          <cell r="U4919">
            <v>0.39</v>
          </cell>
          <cell r="V4919">
            <v>0.03</v>
          </cell>
          <cell r="W4919">
            <v>0</v>
          </cell>
          <cell r="X4919" t="str">
            <v>EST COMPONENTE PRATELEIRA ESTANTE VO (UNIAO) (LAM 3 LOURO P) - 0,6x0,39x0,03H</v>
          </cell>
          <cell r="Y4919">
            <v>2825.8</v>
          </cell>
          <cell r="Z4919">
            <v>0.35</v>
          </cell>
          <cell r="AA4919">
            <v>1836.7700000000002</v>
          </cell>
          <cell r="AB4919"/>
        </row>
        <row r="4920">
          <cell r="C4920">
            <v>6</v>
          </cell>
          <cell r="D4920">
            <v>0</v>
          </cell>
          <cell r="E4920">
            <v>0</v>
          </cell>
          <cell r="F4920">
            <v>0</v>
          </cell>
          <cell r="H4920">
            <v>6</v>
          </cell>
          <cell r="O4920">
            <v>334461</v>
          </cell>
          <cell r="P4920" t="str">
            <v>2022/222-0033-01</v>
          </cell>
          <cell r="Q4920" t="str">
            <v>EST COMPONENTE PRATELEIRA ESTANTE VO (UNIAO) (LAM 3 LOURO P)</v>
          </cell>
          <cell r="R4920"/>
          <cell r="S4920"/>
          <cell r="T4920">
            <v>0.6</v>
          </cell>
          <cell r="U4920">
            <v>0.39</v>
          </cell>
          <cell r="V4920">
            <v>0.03</v>
          </cell>
          <cell r="W4920">
            <v>0</v>
          </cell>
          <cell r="X4920" t="str">
            <v>EST COMPONENTE PRATELEIRA ESTANTE VO (UNIAO) (LAM 3 LOURO P) - 0,6x0,39x0,03H</v>
          </cell>
          <cell r="Y4920">
            <v>2825.8</v>
          </cell>
          <cell r="Z4920">
            <v>0.35</v>
          </cell>
          <cell r="AA4920">
            <v>1836.7700000000002</v>
          </cell>
          <cell r="AB4920"/>
        </row>
        <row r="4921">
          <cell r="C4921">
            <v>6</v>
          </cell>
          <cell r="D4921">
            <v>0</v>
          </cell>
          <cell r="E4921">
            <v>0</v>
          </cell>
          <cell r="F4921">
            <v>0</v>
          </cell>
          <cell r="H4921">
            <v>6</v>
          </cell>
          <cell r="O4921">
            <v>334461</v>
          </cell>
          <cell r="P4921" t="str">
            <v>2022/222-0036-01</v>
          </cell>
          <cell r="Q4921" t="str">
            <v>EST COMPONENTE PRATELEIRA ESTANTE VO (UNIAO) (LAM 3 LOURO P)</v>
          </cell>
          <cell r="R4921"/>
          <cell r="S4921"/>
          <cell r="T4921">
            <v>0.6</v>
          </cell>
          <cell r="U4921">
            <v>0.39</v>
          </cell>
          <cell r="V4921">
            <v>0.03</v>
          </cell>
          <cell r="W4921">
            <v>0</v>
          </cell>
          <cell r="X4921" t="str">
            <v>EST COMPONENTE PRATELEIRA ESTANTE VO (UNIAO) (LAM 3 LOURO P) - 0,6x0,39x0,03H</v>
          </cell>
          <cell r="Y4921">
            <v>2825.8</v>
          </cell>
          <cell r="Z4921">
            <v>0.35</v>
          </cell>
          <cell r="AA4921">
            <v>1836.7700000000002</v>
          </cell>
          <cell r="AB4921"/>
        </row>
        <row r="4922">
          <cell r="C4922">
            <v>6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334461</v>
          </cell>
          <cell r="P4922" t="str">
            <v>2022/222-0039-01</v>
          </cell>
          <cell r="Q4922" t="str">
            <v>EST COMPONENTE PRATELEIRA ESTANTE VO (UNIAO) (LAM 3 LOURO P)</v>
          </cell>
          <cell r="R4922"/>
          <cell r="S4922"/>
          <cell r="T4922">
            <v>0.6</v>
          </cell>
          <cell r="U4922">
            <v>0.39</v>
          </cell>
          <cell r="V4922">
            <v>0.03</v>
          </cell>
          <cell r="W4922">
            <v>0</v>
          </cell>
          <cell r="X4922" t="str">
            <v>EST COMPONENTE PRATELEIRA ESTANTE VO (UNIAO) (LAM 3 LOURO P) - 0,6x0,39x0,03H</v>
          </cell>
          <cell r="Y4922">
            <v>2825.8</v>
          </cell>
          <cell r="Z4922">
            <v>0.35</v>
          </cell>
          <cell r="AA4922">
            <v>1836.7700000000002</v>
          </cell>
          <cell r="AB4922"/>
        </row>
        <row r="4923">
          <cell r="C4923">
            <v>0</v>
          </cell>
          <cell r="D4923">
            <v>1</v>
          </cell>
          <cell r="E4923">
            <v>0</v>
          </cell>
          <cell r="F4923">
            <v>0</v>
          </cell>
          <cell r="H4923">
            <v>0</v>
          </cell>
          <cell r="O4923">
            <v>334463</v>
          </cell>
          <cell r="P4923" t="str">
            <v>2022/222-0040-01</v>
          </cell>
          <cell r="Q4923" t="str">
            <v>EST ESCRIVANINHA REGIA (LAMINA 3 LOURO PRETO)</v>
          </cell>
          <cell r="R4923"/>
          <cell r="S4923"/>
          <cell r="T4923">
            <v>1.8</v>
          </cell>
          <cell r="U4923">
            <v>0.7</v>
          </cell>
          <cell r="V4923">
            <v>0.75</v>
          </cell>
          <cell r="W4923">
            <v>0</v>
          </cell>
          <cell r="X4923" t="str">
            <v>EST ESCRIVANINHA REGIA (LAMINA 3 LOURO PRETO) - 1,8x0,7x0,75H</v>
          </cell>
          <cell r="Y4923">
            <v>36477.949999999997</v>
          </cell>
          <cell r="Z4923">
            <v>0.5</v>
          </cell>
          <cell r="AA4923">
            <v>18238.974999999999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0</v>
          </cell>
          <cell r="O4924">
            <v>334464</v>
          </cell>
          <cell r="P4924" t="str">
            <v>2022/200-0054-01</v>
          </cell>
          <cell r="Q4924" t="str">
            <v>EST MESA JANTAR MONIZ (C/GIR) (CZ FENDI ESC M157 C/VD 4MM)</v>
          </cell>
          <cell r="R4924"/>
          <cell r="S4924"/>
          <cell r="T4924">
            <v>1.5</v>
          </cell>
          <cell r="U4924">
            <v>0</v>
          </cell>
          <cell r="V4924">
            <v>0.75</v>
          </cell>
          <cell r="W4924">
            <v>1.5</v>
          </cell>
          <cell r="X4924" t="str">
            <v>EST MESA JANTAR MONIZ (C/GIR) (CZ FENDI ESC M157 C/VD 4MM) - Ø1,5x0,75H</v>
          </cell>
          <cell r="Y4924">
            <v>37265.360000000001</v>
          </cell>
          <cell r="Z4924">
            <v>0.35</v>
          </cell>
          <cell r="AA4924">
            <v>24222.484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2</v>
          </cell>
          <cell r="O4925">
            <v>334521</v>
          </cell>
          <cell r="P4925" t="str">
            <v>2022/199-0088-01</v>
          </cell>
          <cell r="Q4925" t="str">
            <v>EST PUFF OLY H45 FX F8027 HASTE METAL MARROM CLARO</v>
          </cell>
          <cell r="R4925"/>
          <cell r="S4925"/>
          <cell r="T4925">
            <v>0.6</v>
          </cell>
          <cell r="U4925">
            <v>0</v>
          </cell>
          <cell r="V4925">
            <v>0.45</v>
          </cell>
          <cell r="W4925">
            <v>0.6</v>
          </cell>
          <cell r="X4925" t="str">
            <v>EST PUFF OLY H45 FX F8027 HASTE METAL MARROM CLARO - Ø0,6x0,45H</v>
          </cell>
          <cell r="Y4925">
            <v>7494.64</v>
          </cell>
          <cell r="Z4925">
            <v>0.5</v>
          </cell>
          <cell r="AA4925">
            <v>3747.32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1</v>
          </cell>
          <cell r="O4926">
            <v>334631</v>
          </cell>
          <cell r="P4926" t="str">
            <v>2022/224-0050-01</v>
          </cell>
          <cell r="Q4926" t="str">
            <v>EST MESA CENTRO PISAC (RET) (MTX PRETA) (LAMINA WALNUT)</v>
          </cell>
          <cell r="R4926"/>
          <cell r="S4926"/>
          <cell r="T4926">
            <v>1.4</v>
          </cell>
          <cell r="U4926">
            <v>0.7</v>
          </cell>
          <cell r="V4926">
            <v>0.4</v>
          </cell>
          <cell r="W4926">
            <v>0</v>
          </cell>
          <cell r="X4926" t="str">
            <v>EST MESA CENTRO PISAC (RET) (MTX PRETA) (LAMINA WALNUT) - 1,4x0,7x0,4H</v>
          </cell>
          <cell r="Y4926">
            <v>16851.34</v>
          </cell>
          <cell r="Z4926">
            <v>0.5</v>
          </cell>
          <cell r="AA4926">
            <v>8425.67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0</v>
          </cell>
          <cell r="O4927">
            <v>334653</v>
          </cell>
          <cell r="P4927" t="str">
            <v>2022/210-0136-01</v>
          </cell>
          <cell r="Q4927" t="str">
            <v>EST MESA LATERAL CANCUN (MAD PINT AUT GREY) (TP AUT GREY)</v>
          </cell>
          <cell r="R4927"/>
          <cell r="S4927"/>
          <cell r="T4927">
            <v>0.55000000000000004</v>
          </cell>
          <cell r="U4927">
            <v>0</v>
          </cell>
          <cell r="V4927">
            <v>0.52</v>
          </cell>
          <cell r="W4927">
            <v>0.55000000000000004</v>
          </cell>
          <cell r="X4927" t="str">
            <v>EST MESA LATERAL CANCUN (MAD PINT AUT GREY) (TP AUT GREY) - Ø0,55x0,52H</v>
          </cell>
          <cell r="Y4927">
            <v>8089.85</v>
          </cell>
          <cell r="Z4927">
            <v>0.35</v>
          </cell>
          <cell r="AA4927">
            <v>5258.4025000000001</v>
          </cell>
          <cell r="AB4927"/>
        </row>
        <row r="4928">
          <cell r="C4928" t="e">
            <v>#N/A</v>
          </cell>
          <cell r="D4928" t="e">
            <v>#N/A</v>
          </cell>
          <cell r="E4928" t="e">
            <v>#N/A</v>
          </cell>
          <cell r="F4928" t="e">
            <v>#N/A</v>
          </cell>
          <cell r="H4928" t="e">
            <v>#N/A</v>
          </cell>
          <cell r="O4928">
            <v>335087</v>
          </cell>
          <cell r="P4928" t="str">
            <v>2022/228-0010-01</v>
          </cell>
          <cell r="Q4928" t="e">
            <v>#N/A</v>
          </cell>
          <cell r="R4928"/>
          <cell r="S4928"/>
          <cell r="T4928" t="e">
            <v>#N/A</v>
          </cell>
          <cell r="U4928" t="e">
            <v>#N/A</v>
          </cell>
          <cell r="V4928" t="e">
            <v>#N/A</v>
          </cell>
          <cell r="W4928" t="e">
            <v>#N/A</v>
          </cell>
          <cell r="X4928" t="e">
            <v>#N/A</v>
          </cell>
          <cell r="Y4928">
            <v>6244.63</v>
          </cell>
          <cell r="Z4928">
            <v>0.5</v>
          </cell>
          <cell r="AA4928">
            <v>3122.3150000000001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3</v>
          </cell>
          <cell r="O4929">
            <v>335132</v>
          </cell>
          <cell r="P4929" t="str">
            <v>2022/220-0011-01</v>
          </cell>
          <cell r="Q4929" t="str">
            <v>EST ALMOFADA BRACO PARATY (FX 50043) (WALNUT MATT)</v>
          </cell>
          <cell r="R4929"/>
          <cell r="S4929"/>
          <cell r="T4929">
            <v>0.52</v>
          </cell>
          <cell r="U4929">
            <v>0.23</v>
          </cell>
          <cell r="V4929">
            <v>0.14000000000000001</v>
          </cell>
          <cell r="W4929">
            <v>0</v>
          </cell>
          <cell r="X4929" t="str">
            <v>EST ALMOFADA BRACO PARATY (FX 50043) (WALNUT MATT) - 0,52x0,23x0,14H</v>
          </cell>
          <cell r="Y4929">
            <v>1564.28</v>
          </cell>
          <cell r="Z4929">
            <v>0.35</v>
          </cell>
          <cell r="AA4929">
            <v>1016.782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3</v>
          </cell>
          <cell r="O4930">
            <v>335132</v>
          </cell>
          <cell r="P4930" t="str">
            <v>2022/220-0012-01</v>
          </cell>
          <cell r="Q4930" t="str">
            <v>EST ALMOFADA BRACO PARATY (FX 50043) (WALNUT MATT)</v>
          </cell>
          <cell r="R4930"/>
          <cell r="S4930"/>
          <cell r="T4930">
            <v>0.52</v>
          </cell>
          <cell r="U4930">
            <v>0.23</v>
          </cell>
          <cell r="V4930">
            <v>0.14000000000000001</v>
          </cell>
          <cell r="W4930">
            <v>0</v>
          </cell>
          <cell r="X4930" t="str">
            <v>EST ALMOFADA BRACO PARATY (FX 50043) (WALNUT MATT) - 0,52x0,23x0,14H</v>
          </cell>
          <cell r="Y4930">
            <v>1564.28</v>
          </cell>
          <cell r="Z4930">
            <v>0.35</v>
          </cell>
          <cell r="AA4930">
            <v>1016.782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3</v>
          </cell>
          <cell r="O4931">
            <v>335132</v>
          </cell>
          <cell r="P4931" t="str">
            <v>2022/220-0013-01</v>
          </cell>
          <cell r="Q4931" t="str">
            <v>EST ALMOFADA BRACO PARATY (FX 50043) (WALNUT MATT)</v>
          </cell>
          <cell r="R4931"/>
          <cell r="S4931"/>
          <cell r="T4931">
            <v>0.52</v>
          </cell>
          <cell r="U4931">
            <v>0.23</v>
          </cell>
          <cell r="V4931">
            <v>0.14000000000000001</v>
          </cell>
          <cell r="W4931">
            <v>0</v>
          </cell>
          <cell r="X4931" t="str">
            <v>EST ALMOFADA BRACO PARATY (FX 50043) (WALNUT MATT) - 0,52x0,23x0,14H</v>
          </cell>
          <cell r="Y4931">
            <v>1564.28</v>
          </cell>
          <cell r="Z4931">
            <v>0.35</v>
          </cell>
          <cell r="AA4931">
            <v>1016.782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6</v>
          </cell>
          <cell r="O4932">
            <v>335133</v>
          </cell>
          <cell r="P4932" t="str">
            <v>2022/220-0014-01</v>
          </cell>
          <cell r="Q4932" t="str">
            <v>EST ALMOFADA ENCOSTO PARATY (FX 50043)</v>
          </cell>
          <cell r="R4932"/>
          <cell r="S4932"/>
          <cell r="T4932">
            <v>0.65</v>
          </cell>
          <cell r="U4932">
            <v>0.65</v>
          </cell>
          <cell r="V4932">
            <v>0</v>
          </cell>
          <cell r="W4932">
            <v>0</v>
          </cell>
          <cell r="X4932" t="str">
            <v>EST ALMOFADA ENCOSTO PARATY (FX 50043) - 0,65x0,65x0H</v>
          </cell>
          <cell r="Y4932">
            <v>1730.89</v>
          </cell>
          <cell r="Z4932">
            <v>0.35</v>
          </cell>
          <cell r="AA4932">
            <v>1125.0785000000001</v>
          </cell>
          <cell r="AB4932"/>
        </row>
        <row r="4933"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335133</v>
          </cell>
          <cell r="P4933" t="str">
            <v>2022/220-0018-01</v>
          </cell>
          <cell r="Q4933" t="str">
            <v>EST ALMOFADA ENCOSTO PARATY (FX 50043)</v>
          </cell>
          <cell r="R4933"/>
          <cell r="S4933"/>
          <cell r="T4933">
            <v>0.65</v>
          </cell>
          <cell r="U4933">
            <v>0.65</v>
          </cell>
          <cell r="V4933">
            <v>0</v>
          </cell>
          <cell r="W4933">
            <v>0</v>
          </cell>
          <cell r="X4933" t="str">
            <v>EST ALMOFADA ENCOSTO PARATY (FX 50043) - 0,65x0,65x0H</v>
          </cell>
          <cell r="Y4933">
            <v>1730.89</v>
          </cell>
          <cell r="Z4933">
            <v>0.35</v>
          </cell>
          <cell r="AA4933">
            <v>1125.0785000000001</v>
          </cell>
          <cell r="AB4933"/>
        </row>
        <row r="4934"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335133</v>
          </cell>
          <cell r="P4934" t="str">
            <v>2022/220-0019-01</v>
          </cell>
          <cell r="Q4934" t="str">
            <v>EST ALMOFADA ENCOSTO PARATY (FX 50043)</v>
          </cell>
          <cell r="R4934"/>
          <cell r="S4934"/>
          <cell r="T4934">
            <v>0.65</v>
          </cell>
          <cell r="U4934">
            <v>0.65</v>
          </cell>
          <cell r="V4934">
            <v>0</v>
          </cell>
          <cell r="W4934">
            <v>0</v>
          </cell>
          <cell r="X4934" t="str">
            <v>EST ALMOFADA ENCOSTO PARATY (FX 50043) - 0,65x0,65x0H</v>
          </cell>
          <cell r="Y4934">
            <v>1730.89</v>
          </cell>
          <cell r="Z4934">
            <v>0.35</v>
          </cell>
          <cell r="AA4934">
            <v>1125.0785000000001</v>
          </cell>
          <cell r="AB4934"/>
        </row>
        <row r="4935"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335133</v>
          </cell>
          <cell r="P4935" t="str">
            <v>2022/220-0015-01</v>
          </cell>
          <cell r="Q4935" t="str">
            <v>EST ALMOFADA ENCOSTO PARATY (FX 50043)</v>
          </cell>
          <cell r="R4935"/>
          <cell r="S4935"/>
          <cell r="T4935">
            <v>0.65</v>
          </cell>
          <cell r="U4935">
            <v>0.65</v>
          </cell>
          <cell r="V4935">
            <v>0</v>
          </cell>
          <cell r="W4935">
            <v>0</v>
          </cell>
          <cell r="X4935" t="str">
            <v>EST ALMOFADA ENCOSTO PARATY (FX 50043) - 0,65x0,65x0H</v>
          </cell>
          <cell r="Y4935">
            <v>1730.89</v>
          </cell>
          <cell r="Z4935">
            <v>0.35</v>
          </cell>
          <cell r="AA4935">
            <v>1125.0785000000001</v>
          </cell>
          <cell r="AB4935"/>
        </row>
        <row r="4936"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335133</v>
          </cell>
          <cell r="P4936" t="str">
            <v>2022/220-0016-01</v>
          </cell>
          <cell r="Q4936" t="str">
            <v>EST ALMOFADA ENCOSTO PARATY (FX 50043)</v>
          </cell>
          <cell r="R4936"/>
          <cell r="S4936"/>
          <cell r="T4936">
            <v>0.65</v>
          </cell>
          <cell r="U4936">
            <v>0.65</v>
          </cell>
          <cell r="V4936">
            <v>0</v>
          </cell>
          <cell r="W4936">
            <v>0</v>
          </cell>
          <cell r="X4936" t="str">
            <v>EST ALMOFADA ENCOSTO PARATY (FX 50043) - 0,65x0,65x0H</v>
          </cell>
          <cell r="Y4936">
            <v>1730.89</v>
          </cell>
          <cell r="Z4936">
            <v>0.35</v>
          </cell>
          <cell r="AA4936">
            <v>1125.0785000000001</v>
          </cell>
          <cell r="AB4936"/>
        </row>
        <row r="4937">
          <cell r="C4937">
            <v>0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335133</v>
          </cell>
          <cell r="P4937" t="str">
            <v>2022/220-0017-01</v>
          </cell>
          <cell r="Q4937" t="str">
            <v>EST ALMOFADA ENCOSTO PARATY (FX 50043)</v>
          </cell>
          <cell r="R4937"/>
          <cell r="S4937"/>
          <cell r="T4937">
            <v>0.65</v>
          </cell>
          <cell r="U4937">
            <v>0.65</v>
          </cell>
          <cell r="V4937">
            <v>0</v>
          </cell>
          <cell r="W4937">
            <v>0</v>
          </cell>
          <cell r="X4937" t="str">
            <v>EST ALMOFADA ENCOSTO PARATY (FX 50043) - 0,65x0,65x0H</v>
          </cell>
          <cell r="Y4937">
            <v>1730.89</v>
          </cell>
          <cell r="Z4937">
            <v>0.35</v>
          </cell>
          <cell r="AA4937">
            <v>1125.0785000000001</v>
          </cell>
          <cell r="AB4937"/>
        </row>
        <row r="4938"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H4938">
            <v>1</v>
          </cell>
          <cell r="O4938">
            <v>335134</v>
          </cell>
          <cell r="P4938" t="str">
            <v>2022/220-0020-01</v>
          </cell>
          <cell r="Q4938" t="str">
            <v>EST MODULO S/BRACO C/ENC PARATY (FX 50043) (WALNUT MATT)</v>
          </cell>
          <cell r="R4938"/>
          <cell r="S4938"/>
          <cell r="T4938">
            <v>1.8</v>
          </cell>
          <cell r="U4938">
            <v>1</v>
          </cell>
          <cell r="V4938">
            <v>0.77</v>
          </cell>
          <cell r="W4938">
            <v>0</v>
          </cell>
          <cell r="X4938" t="str">
            <v>EST MODULO S/BRACO C/ENC PARATY (FX 50043) (WALNUT MATT) - 1,8x1x0,77H</v>
          </cell>
          <cell r="Y4938">
            <v>18690.87</v>
          </cell>
          <cell r="Z4938">
            <v>0.35</v>
          </cell>
          <cell r="AA4938">
            <v>12149.065500000001</v>
          </cell>
          <cell r="AB4938"/>
        </row>
        <row r="4939"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H4939">
            <v>3</v>
          </cell>
          <cell r="O4939">
            <v>335135</v>
          </cell>
          <cell r="P4939" t="str">
            <v>2022/220-0021-01</v>
          </cell>
          <cell r="Q4939" t="str">
            <v>EST MODULO PUFF PARATY (FX 50043) (WALNUT MATT)</v>
          </cell>
          <cell r="R4939"/>
          <cell r="S4939"/>
          <cell r="T4939">
            <v>0.9</v>
          </cell>
          <cell r="U4939">
            <v>0.7</v>
          </cell>
          <cell r="V4939">
            <v>0.4</v>
          </cell>
          <cell r="W4939">
            <v>0</v>
          </cell>
          <cell r="X4939" t="str">
            <v>EST MODULO PUFF PARATY (FX 50043) (WALNUT MATT) - 0,9x0,7x0,4H</v>
          </cell>
          <cell r="Y4939">
            <v>7893.18</v>
          </cell>
          <cell r="Z4939">
            <v>0.35</v>
          </cell>
          <cell r="AA4939">
            <v>5130.5670000000009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3</v>
          </cell>
          <cell r="O4940">
            <v>335135</v>
          </cell>
          <cell r="P4940" t="str">
            <v>2022/220-0022-01</v>
          </cell>
          <cell r="Q4940" t="str">
            <v>EST MODULO PUFF PARATY (FX 50043) (WALNUT MATT)</v>
          </cell>
          <cell r="R4940"/>
          <cell r="S4940"/>
          <cell r="T4940">
            <v>0.9</v>
          </cell>
          <cell r="U4940">
            <v>0.7</v>
          </cell>
          <cell r="V4940">
            <v>0.4</v>
          </cell>
          <cell r="W4940">
            <v>0</v>
          </cell>
          <cell r="X4940" t="str">
            <v>EST MODULO PUFF PARATY (FX 50043) (WALNUT MATT) - 0,9x0,7x0,4H</v>
          </cell>
          <cell r="Y4940">
            <v>7893.18</v>
          </cell>
          <cell r="Z4940">
            <v>0.35</v>
          </cell>
          <cell r="AA4940">
            <v>5130.5670000000009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3</v>
          </cell>
          <cell r="O4941">
            <v>335135</v>
          </cell>
          <cell r="P4941" t="str">
            <v>2022/220-0023-01</v>
          </cell>
          <cell r="Q4941" t="str">
            <v>EST MODULO PUFF PARATY (FX 50043) (WALNUT MATT)</v>
          </cell>
          <cell r="R4941"/>
          <cell r="S4941"/>
          <cell r="T4941">
            <v>0.9</v>
          </cell>
          <cell r="U4941">
            <v>0.7</v>
          </cell>
          <cell r="V4941">
            <v>0.4</v>
          </cell>
          <cell r="W4941">
            <v>0</v>
          </cell>
          <cell r="X4941" t="str">
            <v>EST MODULO PUFF PARATY (FX 50043) (WALNUT MATT) - 0,9x0,7x0,4H</v>
          </cell>
          <cell r="Y4941">
            <v>7893.18</v>
          </cell>
          <cell r="Z4941">
            <v>0.35</v>
          </cell>
          <cell r="AA4941">
            <v>5130.5670000000009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335136</v>
          </cell>
          <cell r="P4942" t="str">
            <v>2022/220-0024-01</v>
          </cell>
          <cell r="Q4942" t="str">
            <v>EST MODULO S/BRACO C/ENC PARATY(FX 50043) (WALNUT MATT)</v>
          </cell>
          <cell r="R4942"/>
          <cell r="S4942"/>
          <cell r="T4942">
            <v>0.9</v>
          </cell>
          <cell r="U4942">
            <v>0</v>
          </cell>
          <cell r="V4942">
            <v>0.77</v>
          </cell>
          <cell r="W4942">
            <v>0</v>
          </cell>
          <cell r="X4942" t="str">
            <v>EST MODULO S/BRACO C/ENC PARATY(FX 50043) (WALNUT MATT) - Ø0x0,77H</v>
          </cell>
          <cell r="Y4942">
            <v>11679.99</v>
          </cell>
          <cell r="Z4942">
            <v>0.35</v>
          </cell>
          <cell r="AA4942">
            <v>7591.9935000000005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2</v>
          </cell>
          <cell r="O4943">
            <v>335137</v>
          </cell>
          <cell r="P4943" t="str">
            <v>2022/220-0025-01</v>
          </cell>
          <cell r="Q4943" t="str">
            <v>EST PUFF PARATY (FX 50043) (WALNUT MATT)</v>
          </cell>
          <cell r="R4943"/>
          <cell r="S4943"/>
          <cell r="T4943">
            <v>1.77</v>
          </cell>
          <cell r="U4943">
            <v>0.75</v>
          </cell>
          <cell r="V4943">
            <v>0.4</v>
          </cell>
          <cell r="W4943">
            <v>0</v>
          </cell>
          <cell r="X4943" t="str">
            <v>EST PUFF PARATY (FX 50043) (WALNUT MATT) - 1,77x0,75x0,4H</v>
          </cell>
          <cell r="Y4943">
            <v>11980.46</v>
          </cell>
          <cell r="Z4943">
            <v>0.35</v>
          </cell>
          <cell r="AA4943">
            <v>7787.299</v>
          </cell>
          <cell r="AB4943"/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H4944">
            <v>2</v>
          </cell>
          <cell r="O4944">
            <v>335137</v>
          </cell>
          <cell r="P4944" t="str">
            <v>2022/220-0026-01</v>
          </cell>
          <cell r="Q4944" t="str">
            <v>EST PUFF PARATY (FX 50043) (WALNUT MATT)</v>
          </cell>
          <cell r="R4944"/>
          <cell r="S4944"/>
          <cell r="T4944">
            <v>1.77</v>
          </cell>
          <cell r="U4944">
            <v>0.75</v>
          </cell>
          <cell r="V4944">
            <v>0.4</v>
          </cell>
          <cell r="W4944">
            <v>0</v>
          </cell>
          <cell r="X4944" t="str">
            <v>EST PUFF PARATY (FX 50043) (WALNUT MATT) - 1,77x0,75x0,4H</v>
          </cell>
          <cell r="Y4944">
            <v>11980.46</v>
          </cell>
          <cell r="Z4944">
            <v>0.35</v>
          </cell>
          <cell r="AA4944">
            <v>7787.299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1</v>
          </cell>
          <cell r="O4945">
            <v>335139</v>
          </cell>
          <cell r="P4945" t="str">
            <v>2022/206-0018-01</v>
          </cell>
          <cell r="Q4945" t="str">
            <v>EST MODULO ENCOSTO (L) LENCOIS M (DET BG4) (FX8285)</v>
          </cell>
          <cell r="R4945"/>
          <cell r="S4945"/>
          <cell r="T4945">
            <v>1.2</v>
          </cell>
          <cell r="U4945">
            <v>0.8</v>
          </cell>
          <cell r="V4945">
            <v>0.26</v>
          </cell>
          <cell r="W4945">
            <v>0</v>
          </cell>
          <cell r="X4945" t="str">
            <v>EST MODULO ENCOSTO (L) LENCOIS M (DET BG4) (FX8285) - 1,2x0,8x0,26H</v>
          </cell>
          <cell r="Y4945">
            <v>7455.97</v>
          </cell>
          <cell r="Z4945">
            <v>0.35</v>
          </cell>
          <cell r="AA4945">
            <v>4846.3805000000002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2</v>
          </cell>
          <cell r="O4946">
            <v>335140</v>
          </cell>
          <cell r="P4946" t="str">
            <v>2022/206-0019-01</v>
          </cell>
          <cell r="Q4946" t="str">
            <v>EST MODULO ENCOSTO RETO LENCOIS M (DET BG4) (FX8285)</v>
          </cell>
          <cell r="R4946"/>
          <cell r="S4946"/>
          <cell r="T4946">
            <v>0.8</v>
          </cell>
          <cell r="U4946">
            <v>0.26</v>
          </cell>
          <cell r="V4946">
            <v>0.26</v>
          </cell>
          <cell r="W4946">
            <v>0</v>
          </cell>
          <cell r="X4946" t="str">
            <v>EST MODULO ENCOSTO RETO LENCOIS M (DET BG4) (FX8285) - 0,8x0,26x0,26H</v>
          </cell>
          <cell r="Y4946">
            <v>3828.83</v>
          </cell>
          <cell r="Z4946">
            <v>0.35</v>
          </cell>
          <cell r="AA4946">
            <v>2488.7395000000001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2</v>
          </cell>
          <cell r="O4947">
            <v>335140</v>
          </cell>
          <cell r="P4947" t="str">
            <v>2022/206-0020-01</v>
          </cell>
          <cell r="Q4947" t="str">
            <v>EST MODULO ENCOSTO RETO LENCOIS M (DET BG4) (FX8285)</v>
          </cell>
          <cell r="R4947"/>
          <cell r="S4947"/>
          <cell r="T4947">
            <v>0.8</v>
          </cell>
          <cell r="U4947">
            <v>0.26</v>
          </cell>
          <cell r="V4947">
            <v>0.26</v>
          </cell>
          <cell r="W4947">
            <v>0</v>
          </cell>
          <cell r="X4947" t="str">
            <v>EST MODULO ENCOSTO RETO LENCOIS M (DET BG4) (FX8285) - 0,8x0,26x0,26H</v>
          </cell>
          <cell r="Y4947">
            <v>3828.83</v>
          </cell>
          <cell r="Z4947">
            <v>0.35</v>
          </cell>
          <cell r="AA4947">
            <v>2488.7395000000001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2</v>
          </cell>
          <cell r="O4948">
            <v>335203</v>
          </cell>
          <cell r="P4948" t="str">
            <v>2022/206-0021-01</v>
          </cell>
          <cell r="Q4948" t="str">
            <v>EST MODULO ENCOSTO RETO LENCOIS M (DET MR5) (FX5322)</v>
          </cell>
          <cell r="R4948"/>
          <cell r="S4948"/>
          <cell r="T4948">
            <v>0.8</v>
          </cell>
          <cell r="U4948">
            <v>0.26</v>
          </cell>
          <cell r="V4948">
            <v>0.26</v>
          </cell>
          <cell r="W4948">
            <v>0</v>
          </cell>
          <cell r="X4948" t="str">
            <v>EST MODULO ENCOSTO RETO LENCOIS M (DET MR5) (FX5322) - 0,8x0,26x0,26H</v>
          </cell>
          <cell r="Y4948">
            <v>3265.79</v>
          </cell>
          <cell r="Z4948">
            <v>0.35</v>
          </cell>
          <cell r="AA4948">
            <v>2122.7635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2</v>
          </cell>
          <cell r="O4949">
            <v>335203</v>
          </cell>
          <cell r="P4949" t="str">
            <v>2022/206-0022-01</v>
          </cell>
          <cell r="Q4949" t="str">
            <v>EST MODULO ENCOSTO RETO LENCOIS M (DET MR5) (FX5322)</v>
          </cell>
          <cell r="R4949"/>
          <cell r="S4949"/>
          <cell r="T4949">
            <v>0.8</v>
          </cell>
          <cell r="U4949">
            <v>0.26</v>
          </cell>
          <cell r="V4949">
            <v>0.26</v>
          </cell>
          <cell r="W4949">
            <v>0</v>
          </cell>
          <cell r="X4949" t="str">
            <v>EST MODULO ENCOSTO RETO LENCOIS M (DET MR5) (FX5322) - 0,8x0,26x0,26H</v>
          </cell>
          <cell r="Y4949">
            <v>3265.79</v>
          </cell>
          <cell r="Z4949">
            <v>0.35</v>
          </cell>
          <cell r="AA4949">
            <v>2122.7635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1</v>
          </cell>
          <cell r="O4950">
            <v>335206</v>
          </cell>
          <cell r="P4950" t="str">
            <v>2022/206-0023-01</v>
          </cell>
          <cell r="Q4950" t="str">
            <v>EST MODULO PUFF CANTO 90 LENCOIS M (RVST BG4) (FX8285)</v>
          </cell>
          <cell r="R4950"/>
          <cell r="S4950"/>
          <cell r="T4950">
            <v>1</v>
          </cell>
          <cell r="U4950">
            <v>1</v>
          </cell>
          <cell r="V4950">
            <v>0.38</v>
          </cell>
          <cell r="W4950">
            <v>0</v>
          </cell>
          <cell r="X4950" t="str">
            <v>EST MODULO PUFF CANTO 90 LENCOIS M (RVST BG4) (FX8285) - 1x1x0,38H</v>
          </cell>
          <cell r="Y4950">
            <v>11125.27</v>
          </cell>
          <cell r="Z4950">
            <v>0.35</v>
          </cell>
          <cell r="AA4950">
            <v>7231.4255000000012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1</v>
          </cell>
          <cell r="O4951">
            <v>335210</v>
          </cell>
          <cell r="P4951" t="str">
            <v>2022/206-0024-01</v>
          </cell>
          <cell r="Q4951" t="str">
            <v>EST MODULO PUFF CHAISE LENCOIS M (RVST MR5) (FX5322)</v>
          </cell>
          <cell r="R4951"/>
          <cell r="S4951"/>
          <cell r="T4951">
            <v>2.4</v>
          </cell>
          <cell r="U4951">
            <v>1.55</v>
          </cell>
          <cell r="V4951">
            <v>0.38</v>
          </cell>
          <cell r="W4951">
            <v>0</v>
          </cell>
          <cell r="X4951" t="str">
            <v>EST MODULO PUFF CHAISE LENCOIS M (RVST MR5) (FX5322) - 2,4x1,55x0,38H</v>
          </cell>
          <cell r="Y4951">
            <v>23400.2</v>
          </cell>
          <cell r="Z4951">
            <v>0.35</v>
          </cell>
          <cell r="AA4951">
            <v>15210.130000000001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1</v>
          </cell>
          <cell r="O4952">
            <v>335211</v>
          </cell>
          <cell r="P4952" t="str">
            <v>2022/206-0025-01</v>
          </cell>
          <cell r="Q4952" t="str">
            <v>EST MODULO PUFF LENCOIS M (RVST MR5) (FX5322)</v>
          </cell>
          <cell r="R4952"/>
          <cell r="S4952"/>
          <cell r="T4952">
            <v>2.4</v>
          </cell>
          <cell r="U4952">
            <v>1</v>
          </cell>
          <cell r="V4952">
            <v>0.38</v>
          </cell>
          <cell r="W4952">
            <v>0</v>
          </cell>
          <cell r="X4952" t="str">
            <v>EST MODULO PUFF LENCOIS M (RVST MR5) (FX5322) - 2,4x1x0,38H</v>
          </cell>
          <cell r="Y4952">
            <v>15817.54</v>
          </cell>
          <cell r="Z4952">
            <v>0.35</v>
          </cell>
          <cell r="AA4952">
            <v>10281.401000000002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6</v>
          </cell>
          <cell r="H4953">
            <v>2</v>
          </cell>
          <cell r="O4953">
            <v>335230</v>
          </cell>
          <cell r="P4953" t="str">
            <v>2022/220-0006-01</v>
          </cell>
          <cell r="Q4953" t="str">
            <v>EST CADEIRA JULIA C/BRACO (COURO PIG 000) (MARROM MTZ)</v>
          </cell>
          <cell r="R4953"/>
          <cell r="S4953"/>
          <cell r="T4953">
            <v>0.61</v>
          </cell>
          <cell r="U4953">
            <v>0.54</v>
          </cell>
          <cell r="V4953">
            <v>0.76</v>
          </cell>
          <cell r="W4953">
            <v>0</v>
          </cell>
          <cell r="X4953" t="str">
            <v>EST CADEIRA JULIA C/BRACO (COURO PIG 000) (MARROM MTZ) - 0,61x0,54x0,76H</v>
          </cell>
          <cell r="Y4953">
            <v>8798.630000000001</v>
          </cell>
          <cell r="Z4953">
            <v>0.5</v>
          </cell>
          <cell r="AA4953">
            <v>4399.3150000000005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6</v>
          </cell>
          <cell r="H4954">
            <v>2</v>
          </cell>
          <cell r="O4954">
            <v>335230</v>
          </cell>
          <cell r="P4954" t="str">
            <v>2022/220-0008-01</v>
          </cell>
          <cell r="Q4954" t="str">
            <v>EST CADEIRA JULIA C/BRACO (COURO PIG 000) (MARROM MTZ)</v>
          </cell>
          <cell r="R4954"/>
          <cell r="S4954"/>
          <cell r="T4954">
            <v>0.61</v>
          </cell>
          <cell r="U4954">
            <v>0.54</v>
          </cell>
          <cell r="V4954">
            <v>0.76</v>
          </cell>
          <cell r="W4954">
            <v>0</v>
          </cell>
          <cell r="X4954" t="str">
            <v>EST CADEIRA JULIA C/BRACO (COURO PIG 000) (MARROM MTZ) - 0,61x0,54x0,76H</v>
          </cell>
          <cell r="Y4954">
            <v>8798.630000000001</v>
          </cell>
          <cell r="Z4954">
            <v>0.5</v>
          </cell>
          <cell r="AA4954">
            <v>4399.3150000000005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1</v>
          </cell>
          <cell r="O4955">
            <v>335234</v>
          </cell>
          <cell r="P4955" t="str">
            <v>2022/217-0026-01</v>
          </cell>
          <cell r="Q4955" t="str">
            <v>EST BANCO EOS Ø66 (ACO PINT MARROM) TC RUST CAVALC 5204/755</v>
          </cell>
          <cell r="R4955"/>
          <cell r="S4955"/>
          <cell r="T4955">
            <v>0.66</v>
          </cell>
          <cell r="U4955">
            <v>0</v>
          </cell>
          <cell r="V4955">
            <v>0.51</v>
          </cell>
          <cell r="W4955">
            <v>0.66</v>
          </cell>
          <cell r="X4955" t="str">
            <v>EST BANCO EOS Ø66 (ACO PINT MARROM) TC RUST CAVALC 5204/755 - Ø0,66x0,51H</v>
          </cell>
          <cell r="Y4955">
            <v>4388.38</v>
          </cell>
          <cell r="Z4955">
            <v>0.5</v>
          </cell>
          <cell r="AA4955">
            <v>2194.19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1</v>
          </cell>
          <cell r="O4956">
            <v>335325</v>
          </cell>
          <cell r="P4956" t="str">
            <v>2022/213-0003-01</v>
          </cell>
          <cell r="Q4956" t="str">
            <v>EST POLTRONA HARRY (GIRATORIA) FX B2171</v>
          </cell>
          <cell r="R4956"/>
          <cell r="S4956"/>
          <cell r="T4956">
            <v>0.89</v>
          </cell>
          <cell r="U4956">
            <v>0.83</v>
          </cell>
          <cell r="V4956">
            <v>0.72</v>
          </cell>
          <cell r="W4956">
            <v>0</v>
          </cell>
          <cell r="X4956" t="str">
            <v>EST POLTRONA HARRY (GIRATORIA) FX B2171 - 0,89x0,83x0,72H</v>
          </cell>
          <cell r="Y4956">
            <v>8599.4</v>
          </cell>
          <cell r="Z4956">
            <v>0.5</v>
          </cell>
          <cell r="AA4956">
            <v>4299.7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336638</v>
          </cell>
          <cell r="P4957" t="str">
            <v>2022/203-0092-01</v>
          </cell>
          <cell r="Q4957" t="str">
            <v>EST CADEIRA MELIZA (GIR) (COURO 2 2014) (TING AMENDOA)</v>
          </cell>
          <cell r="R4957"/>
          <cell r="S4957"/>
          <cell r="T4957">
            <v>0.6</v>
          </cell>
          <cell r="U4957">
            <v>0.49</v>
          </cell>
          <cell r="V4957">
            <v>0.79</v>
          </cell>
          <cell r="W4957">
            <v>0</v>
          </cell>
          <cell r="X4957" t="str">
            <v>EST CADEIRA MELIZA (GIR) (COURO 2 2014) (TING AMENDOA) - 0,6x0,49x0,79H</v>
          </cell>
          <cell r="Y4957">
            <v>8851.81</v>
          </cell>
          <cell r="Z4957">
            <v>0.5</v>
          </cell>
          <cell r="AA4957">
            <v>4425.9049999999997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3</v>
          </cell>
          <cell r="O4958">
            <v>336638</v>
          </cell>
          <cell r="P4958" t="str">
            <v>2022/203-0095-01</v>
          </cell>
          <cell r="Q4958" t="str">
            <v>EST CADEIRA MELIZA (GIR) (COURO 2 2014) (TING AMENDOA)</v>
          </cell>
          <cell r="R4958"/>
          <cell r="S4958"/>
          <cell r="T4958">
            <v>0.6</v>
          </cell>
          <cell r="U4958">
            <v>0.49</v>
          </cell>
          <cell r="V4958">
            <v>0.79</v>
          </cell>
          <cell r="W4958">
            <v>0</v>
          </cell>
          <cell r="X4958" t="str">
            <v>EST CADEIRA MELIZA (GIR) (COURO 2 2014) (TING AMENDOA) - 0,6x0,49x0,79H</v>
          </cell>
          <cell r="Y4958">
            <v>8851.81</v>
          </cell>
          <cell r="Z4958">
            <v>0.5</v>
          </cell>
          <cell r="AA4958">
            <v>4425.9049999999997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3</v>
          </cell>
          <cell r="O4959">
            <v>336638</v>
          </cell>
          <cell r="P4959" t="str">
            <v>2022/203-0096-01</v>
          </cell>
          <cell r="Q4959" t="str">
            <v>EST CADEIRA MELIZA (GIR) (COURO 2 2014) (TING AMENDOA)</v>
          </cell>
          <cell r="R4959"/>
          <cell r="S4959"/>
          <cell r="T4959">
            <v>0.6</v>
          </cell>
          <cell r="U4959">
            <v>0.49</v>
          </cell>
          <cell r="V4959">
            <v>0.79</v>
          </cell>
          <cell r="W4959">
            <v>0</v>
          </cell>
          <cell r="X4959" t="str">
            <v>EST CADEIRA MELIZA (GIR) (COURO 2 2014) (TING AMENDOA) - 0,6x0,49x0,79H</v>
          </cell>
          <cell r="Y4959">
            <v>8851.81</v>
          </cell>
          <cell r="Z4959">
            <v>0.5</v>
          </cell>
          <cell r="AA4959">
            <v>4425.9049999999997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3</v>
          </cell>
          <cell r="O4960">
            <v>336638</v>
          </cell>
          <cell r="P4960" t="str">
            <v>2022/203-0098-01</v>
          </cell>
          <cell r="Q4960" t="str">
            <v>EST CADEIRA MELIZA (GIR) (COURO 2 2014) (TING AMENDOA)</v>
          </cell>
          <cell r="R4960"/>
          <cell r="S4960"/>
          <cell r="T4960">
            <v>0.6</v>
          </cell>
          <cell r="U4960">
            <v>0.49</v>
          </cell>
          <cell r="V4960">
            <v>0.79</v>
          </cell>
          <cell r="W4960">
            <v>0</v>
          </cell>
          <cell r="X4960" t="str">
            <v>EST CADEIRA MELIZA (GIR) (COURO 2 2014) (TING AMENDOA) - 0,6x0,49x0,79H</v>
          </cell>
          <cell r="Y4960">
            <v>8851.81</v>
          </cell>
          <cell r="Z4960">
            <v>0.5</v>
          </cell>
          <cell r="AA4960">
            <v>4425.9049999999997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0</v>
          </cell>
          <cell r="O4961">
            <v>336640</v>
          </cell>
          <cell r="P4961" t="str">
            <v>2022/251-0026-01</v>
          </cell>
          <cell r="Q4961" t="str">
            <v>EST MESA JANTAR VELL (FREIJO NT) (TP FREIJO NT) (CHAMPAGNE)</v>
          </cell>
          <cell r="R4961"/>
          <cell r="S4961"/>
          <cell r="T4961">
            <v>1.6</v>
          </cell>
          <cell r="U4961">
            <v>1.6</v>
          </cell>
          <cell r="V4961">
            <v>0.75</v>
          </cell>
          <cell r="W4961">
            <v>0</v>
          </cell>
          <cell r="X4961" t="str">
            <v>EST MESA JANTAR VELL (FREIJO NT) (TP FREIJO NT) (CHAMPAGNE) - 1,6x1,6x0,75H</v>
          </cell>
          <cell r="Y4961">
            <v>49715.99</v>
          </cell>
          <cell r="Z4961">
            <v>0.5</v>
          </cell>
          <cell r="AA4961">
            <v>24857.994999999999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1</v>
          </cell>
          <cell r="O4962">
            <v>336641</v>
          </cell>
          <cell r="P4962" t="str">
            <v>2022/251-0027-01</v>
          </cell>
          <cell r="Q4962" t="str">
            <v>EST APARADOR VELL 01 (FREIJO NT) (TP FREIJO NT) (CHAMPAGNE)</v>
          </cell>
          <cell r="R4962"/>
          <cell r="S4962"/>
          <cell r="T4962">
            <v>2.2000000000000002</v>
          </cell>
          <cell r="U4962">
            <v>0.5</v>
          </cell>
          <cell r="V4962">
            <v>0.75</v>
          </cell>
          <cell r="W4962">
            <v>0</v>
          </cell>
          <cell r="X4962" t="str">
            <v>EST APARADOR VELL 01 (FREIJO NT) (TP FREIJO NT) (CHAMPAGNE) - 2,2x0,5x0,75H</v>
          </cell>
          <cell r="Y4962">
            <v>34630.71</v>
          </cell>
          <cell r="Z4962">
            <v>0.35</v>
          </cell>
          <cell r="AA4962">
            <v>22509.961499999998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1</v>
          </cell>
          <cell r="O4963">
            <v>336654</v>
          </cell>
          <cell r="P4963" t="str">
            <v>2022/217-0027-01</v>
          </cell>
          <cell r="Q4963" t="str">
            <v>EST BANCO EOS Ø40 (PINT MARROM) TC RUST CAVAL 5204/755</v>
          </cell>
          <cell r="R4963"/>
          <cell r="S4963"/>
          <cell r="T4963">
            <v>0.4</v>
          </cell>
          <cell r="U4963">
            <v>0</v>
          </cell>
          <cell r="V4963">
            <v>0.43</v>
          </cell>
          <cell r="W4963">
            <v>0.4</v>
          </cell>
          <cell r="X4963" t="str">
            <v>EST BANCO EOS Ø40 (PINT MARROM) TC RUST CAVAL 5204/755 - Ø0,4x0,43H</v>
          </cell>
          <cell r="Y4963">
            <v>4209.63</v>
          </cell>
          <cell r="Z4963">
            <v>0.5</v>
          </cell>
          <cell r="AA4963">
            <v>2104.8150000000001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0</v>
          </cell>
          <cell r="O4964">
            <v>342296</v>
          </cell>
          <cell r="P4964" t="str">
            <v>2022/217-0004-01</v>
          </cell>
          <cell r="Q4964" t="str">
            <v>EST TAPETE MATISSE ETERNITY 1 (10MM) F:918/D:94</v>
          </cell>
          <cell r="R4964"/>
          <cell r="S4964"/>
          <cell r="T4964">
            <v>3</v>
          </cell>
          <cell r="U4964">
            <v>0</v>
          </cell>
          <cell r="V4964">
            <v>0.01</v>
          </cell>
          <cell r="W4964">
            <v>3</v>
          </cell>
          <cell r="X4964" t="str">
            <v>EST TAPETE MATISSE ETERNITY 1 (10MM) F:918/D:94 - Ø3x0,01H</v>
          </cell>
          <cell r="Y4964">
            <v>28022.399999999998</v>
          </cell>
          <cell r="Z4964">
            <v>0.35</v>
          </cell>
          <cell r="AA4964">
            <v>18214.559999999998</v>
          </cell>
          <cell r="AB4964"/>
        </row>
        <row r="4965">
          <cell r="C4965">
            <v>1</v>
          </cell>
          <cell r="D4965">
            <v>0</v>
          </cell>
          <cell r="E4965">
            <v>0</v>
          </cell>
          <cell r="F4965">
            <v>0</v>
          </cell>
          <cell r="H4965">
            <v>0</v>
          </cell>
          <cell r="O4965">
            <v>342297</v>
          </cell>
          <cell r="P4965" t="str">
            <v>2022/217-0005-01</v>
          </cell>
          <cell r="Q4965" t="str">
            <v>EST TAPETE MATISSE WAVES ROUND 1 (CENT) (10MM) F:1280/D:94</v>
          </cell>
          <cell r="R4965"/>
          <cell r="S4965"/>
          <cell r="T4965">
            <v>4</v>
          </cell>
          <cell r="U4965">
            <v>0</v>
          </cell>
          <cell r="V4965">
            <v>0.01</v>
          </cell>
          <cell r="W4965">
            <v>4</v>
          </cell>
          <cell r="X4965" t="str">
            <v>EST TAPETE MATISSE WAVES ROUND 1 (CENT) (10MM) F:1280/D:94 - Ø4x0,01H</v>
          </cell>
          <cell r="Y4965">
            <v>58490.879999999997</v>
          </cell>
          <cell r="Z4965">
            <v>0.35</v>
          </cell>
          <cell r="AA4965">
            <v>38019.072</v>
          </cell>
          <cell r="AB4965"/>
        </row>
        <row r="4966">
          <cell r="C4966">
            <v>0</v>
          </cell>
          <cell r="D4966">
            <v>1</v>
          </cell>
          <cell r="E4966">
            <v>0</v>
          </cell>
          <cell r="F4966">
            <v>0</v>
          </cell>
          <cell r="H4966">
            <v>0</v>
          </cell>
          <cell r="O4966">
            <v>342298</v>
          </cell>
          <cell r="P4966" t="str">
            <v>2022/217-0006-01</v>
          </cell>
          <cell r="Q4966" t="str">
            <v>EST TAPETE MATISSE STRIPES ZIG ZAG (10MM) F:918/D:94</v>
          </cell>
          <cell r="R4966"/>
          <cell r="S4966"/>
          <cell r="T4966">
            <v>6</v>
          </cell>
          <cell r="U4966">
            <v>4</v>
          </cell>
          <cell r="V4966">
            <v>0.01</v>
          </cell>
          <cell r="W4966">
            <v>0</v>
          </cell>
          <cell r="X4966" t="str">
            <v>EST TAPETE MATISSE STRIPES ZIG ZAG (10MM) F:918/D:94 - 6x4x0,01H</v>
          </cell>
          <cell r="Y4966">
            <v>87736.319999999992</v>
          </cell>
          <cell r="Z4966">
            <v>0.35</v>
          </cell>
          <cell r="AA4966">
            <v>57028.607999999993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1</v>
          </cell>
          <cell r="H4967">
            <v>0</v>
          </cell>
          <cell r="O4967">
            <v>342300</v>
          </cell>
          <cell r="P4967" t="str">
            <v>2022/217-0008-01</v>
          </cell>
          <cell r="Q4967" t="str">
            <v>EST TAPETE MATISSE CURTAIN (10MM) F:1469/D:6 CORES</v>
          </cell>
          <cell r="R4967"/>
          <cell r="S4967"/>
          <cell r="T4967">
            <v>4</v>
          </cell>
          <cell r="U4967">
            <v>0</v>
          </cell>
          <cell r="V4967">
            <v>0.01</v>
          </cell>
          <cell r="W4967">
            <v>4</v>
          </cell>
          <cell r="X4967" t="str">
            <v>EST TAPETE MATISSE CURTAIN (10MM) F:1469/D:6 CORES - Ø4x0,01H</v>
          </cell>
          <cell r="Y4967">
            <v>49817.599999999999</v>
          </cell>
          <cell r="Z4967">
            <v>0.35</v>
          </cell>
          <cell r="AA4967">
            <v>32381.439999999999</v>
          </cell>
          <cell r="AB4967"/>
        </row>
        <row r="4968">
          <cell r="C4968">
            <v>0</v>
          </cell>
          <cell r="D4968">
            <v>0</v>
          </cell>
          <cell r="E4968">
            <v>1</v>
          </cell>
          <cell r="F4968">
            <v>0</v>
          </cell>
          <cell r="H4968">
            <v>0</v>
          </cell>
          <cell r="O4968">
            <v>342304</v>
          </cell>
          <cell r="P4968" t="str">
            <v>2022/217-0013-01</v>
          </cell>
          <cell r="Q4968" t="str">
            <v>EST TAPETE MATISSE ETERNITY 2 (10MM) F:918/D:1057/73</v>
          </cell>
          <cell r="R4968"/>
          <cell r="S4968"/>
          <cell r="T4968">
            <v>4</v>
          </cell>
          <cell r="U4968">
            <v>0</v>
          </cell>
          <cell r="V4968">
            <v>0.01</v>
          </cell>
          <cell r="W4968">
            <v>4</v>
          </cell>
          <cell r="X4968" t="str">
            <v>EST TAPETE MATISSE ETERNITY 2 (10MM) F:918/D:1057/73 - Ø4x0,01H</v>
          </cell>
          <cell r="Y4968">
            <v>81428.479999999996</v>
          </cell>
          <cell r="Z4968">
            <v>0.35</v>
          </cell>
          <cell r="AA4968">
            <v>52928.512000000002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1</v>
          </cell>
          <cell r="H4969">
            <v>0</v>
          </cell>
          <cell r="O4969">
            <v>343959</v>
          </cell>
          <cell r="P4969"/>
          <cell r="Q4969" t="str">
            <v>EST LIVRO A ORIGEM DO HOMEM E SEUS DEUSES-ADRIANO GAMBARINI</v>
          </cell>
          <cell r="R4969"/>
          <cell r="S4969"/>
          <cell r="T4969">
            <v>0</v>
          </cell>
          <cell r="U4969">
            <v>0</v>
          </cell>
          <cell r="V4969">
            <v>0</v>
          </cell>
          <cell r="W4969">
            <v>0</v>
          </cell>
          <cell r="X4969" t="str">
            <v>EST LIVRO A ORIGEM DO HOMEM E SEUS DEUSES-ADRIANO GAMBARINI - Ø0x0H</v>
          </cell>
          <cell r="Y4969">
            <v>470.09</v>
          </cell>
          <cell r="Z4969">
            <v>0.35</v>
          </cell>
          <cell r="AA4969">
            <v>305.55849999999998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2</v>
          </cell>
          <cell r="H4970">
            <v>0</v>
          </cell>
          <cell r="O4970">
            <v>343960</v>
          </cell>
          <cell r="P4970"/>
          <cell r="Q4970" t="str">
            <v>EST LIVRO AMANTIKIR - PATRIMONIO NATURAL DO BRASIL</v>
          </cell>
          <cell r="R4970"/>
          <cell r="S4970"/>
          <cell r="T4970">
            <v>0</v>
          </cell>
          <cell r="U4970">
            <v>0</v>
          </cell>
          <cell r="V4970">
            <v>0</v>
          </cell>
          <cell r="W4970">
            <v>0</v>
          </cell>
          <cell r="X4970" t="str">
            <v>EST LIVRO AMANTIKIR - PATRIMONIO NATURAL DO BRASIL - Ø0x0H</v>
          </cell>
          <cell r="Y4970">
            <v>279.10000000000002</v>
          </cell>
          <cell r="Z4970">
            <v>0.35</v>
          </cell>
          <cell r="AA4970">
            <v>181.41500000000002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1</v>
          </cell>
          <cell r="H4971">
            <v>0</v>
          </cell>
          <cell r="O4971">
            <v>343961</v>
          </cell>
          <cell r="P4971"/>
          <cell r="Q4971" t="str">
            <v>EST LIVRO ANNA MARIA MAIOLINO: PSSSIIIUUU... - MIYADA</v>
          </cell>
          <cell r="R4971"/>
          <cell r="S4971"/>
          <cell r="T4971">
            <v>0</v>
          </cell>
          <cell r="U4971">
            <v>0</v>
          </cell>
          <cell r="V4971">
            <v>0</v>
          </cell>
          <cell r="W4971">
            <v>0</v>
          </cell>
          <cell r="X4971" t="str">
            <v>EST LIVRO ANNA MARIA MAIOLINO: PSSSIIIUUU... - MIYADA - Ø0x0H</v>
          </cell>
          <cell r="Y4971">
            <v>467.26</v>
          </cell>
          <cell r="Z4971">
            <v>0.35</v>
          </cell>
          <cell r="AA4971">
            <v>303.71899999999999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2</v>
          </cell>
          <cell r="H4972">
            <v>0</v>
          </cell>
          <cell r="O4972">
            <v>343962</v>
          </cell>
          <cell r="P4972"/>
          <cell r="Q4972" t="str">
            <v>EST LIVRO ANTONIO DIAS - ANTONIO DIAS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LIVRO ANTONIO DIAS - ANTONIO DIAS - Ø0x0H</v>
          </cell>
          <cell r="Y4972">
            <v>373.18</v>
          </cell>
          <cell r="Z4972">
            <v>0.35</v>
          </cell>
          <cell r="AA4972">
            <v>242.56700000000001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1</v>
          </cell>
          <cell r="H4973">
            <v>0</v>
          </cell>
          <cell r="O4973">
            <v>343963</v>
          </cell>
          <cell r="P4973"/>
          <cell r="Q4973" t="str">
            <v>EST LIVRO ARAUCARIA - A FLORESTA DO BRASIL MERIDIONAL</v>
          </cell>
          <cell r="R4973"/>
          <cell r="S4973"/>
          <cell r="T4973">
            <v>0</v>
          </cell>
          <cell r="U4973">
            <v>0</v>
          </cell>
          <cell r="V4973">
            <v>0</v>
          </cell>
          <cell r="W4973">
            <v>0</v>
          </cell>
          <cell r="X4973" t="str">
            <v>EST LIVRO ARAUCARIA - A FLORESTA DO BRASIL MERIDIONAL - Ø0x0H</v>
          </cell>
          <cell r="Y4973">
            <v>376.32</v>
          </cell>
          <cell r="Z4973">
            <v>0.35</v>
          </cell>
          <cell r="AA4973">
            <v>244.608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2</v>
          </cell>
          <cell r="H4974">
            <v>0</v>
          </cell>
          <cell r="O4974">
            <v>343964</v>
          </cell>
          <cell r="P4974"/>
          <cell r="Q4974" t="str">
            <v>EST LIVRO ART DECO NO BRASIL - COL FULVIA E ADOLPHO LEIRNER</v>
          </cell>
          <cell r="R4974"/>
          <cell r="S4974"/>
          <cell r="T4974">
            <v>0</v>
          </cell>
          <cell r="U4974">
            <v>0</v>
          </cell>
          <cell r="V4974">
            <v>0</v>
          </cell>
          <cell r="W4974">
            <v>0</v>
          </cell>
          <cell r="X4974" t="str">
            <v>EST LIVRO ART DECO NO BRASIL - COL FULVIA E ADOLPHO LEIRNER - Ø0x0H</v>
          </cell>
          <cell r="Y4974">
            <v>564.48</v>
          </cell>
          <cell r="Z4974">
            <v>0.35</v>
          </cell>
          <cell r="AA4974">
            <v>366.91200000000003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1</v>
          </cell>
          <cell r="H4975">
            <v>0</v>
          </cell>
          <cell r="O4975">
            <v>343965</v>
          </cell>
          <cell r="P4975"/>
          <cell r="Q4975" t="str">
            <v>EST LIVRO ATHLETAS - GUSTAVO MALHEIROS</v>
          </cell>
          <cell r="R4975"/>
          <cell r="S4975"/>
          <cell r="T4975">
            <v>0</v>
          </cell>
          <cell r="U4975">
            <v>0</v>
          </cell>
          <cell r="V4975">
            <v>0</v>
          </cell>
          <cell r="W4975">
            <v>0</v>
          </cell>
          <cell r="X4975" t="str">
            <v>EST LIVRO ATHLETAS - GUSTAVO MALHEIROS - Ø0x0H</v>
          </cell>
          <cell r="Y4975">
            <v>282.24</v>
          </cell>
          <cell r="Z4975">
            <v>0.35</v>
          </cell>
          <cell r="AA4975">
            <v>183.45600000000002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1</v>
          </cell>
          <cell r="H4976">
            <v>0</v>
          </cell>
          <cell r="O4976">
            <v>343966</v>
          </cell>
          <cell r="P4976"/>
          <cell r="Q4976" t="str">
            <v>EST LIVRO AVES / BIRDS AQUARELAS DE TOMAS SIGRIST</v>
          </cell>
          <cell r="R4976"/>
          <cell r="S4976"/>
          <cell r="T4976">
            <v>0</v>
          </cell>
          <cell r="U4976">
            <v>0</v>
          </cell>
          <cell r="V4976">
            <v>0</v>
          </cell>
          <cell r="W4976">
            <v>0</v>
          </cell>
          <cell r="X4976" t="str">
            <v>EST LIVRO AVES / BIRDS AQUARELAS DE TOMAS SIGRIST - Ø0x0H</v>
          </cell>
          <cell r="Y4976">
            <v>658.56</v>
          </cell>
          <cell r="Z4976">
            <v>0.35</v>
          </cell>
          <cell r="AA4976">
            <v>428.06399999999996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1</v>
          </cell>
          <cell r="H4977">
            <v>0</v>
          </cell>
          <cell r="O4977">
            <v>343967</v>
          </cell>
          <cell r="P4977"/>
          <cell r="Q4977" t="str">
            <v>EST LIVRO BEATRIZ MILHAZES, COLAGENS - PAUL/ARMSTRONG</v>
          </cell>
          <cell r="R4977"/>
          <cell r="S4977"/>
          <cell r="T4977">
            <v>0</v>
          </cell>
          <cell r="U4977">
            <v>0</v>
          </cell>
          <cell r="V4977">
            <v>0</v>
          </cell>
          <cell r="W4977">
            <v>0</v>
          </cell>
          <cell r="X4977" t="str">
            <v>EST LIVRO BEATRIZ MILHAZES, COLAGENS - PAUL/ARMSTRONG - Ø0x0H</v>
          </cell>
          <cell r="Y4977">
            <v>392</v>
          </cell>
          <cell r="Z4977">
            <v>0.35</v>
          </cell>
          <cell r="AA4977">
            <v>254.8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1</v>
          </cell>
          <cell r="H4978">
            <v>0</v>
          </cell>
          <cell r="O4978">
            <v>343968</v>
          </cell>
          <cell r="P4978"/>
          <cell r="Q4978" t="str">
            <v>EST LIVRO BEIJA-FLORES DO BRASIL - SILVEIRA, LUIS FABIO</v>
          </cell>
          <cell r="R4978"/>
          <cell r="S4978"/>
          <cell r="T4978">
            <v>0</v>
          </cell>
          <cell r="U4978">
            <v>0</v>
          </cell>
          <cell r="V4978">
            <v>0</v>
          </cell>
          <cell r="W4978">
            <v>0</v>
          </cell>
          <cell r="X4978" t="str">
            <v>EST LIVRO BEIJA-FLORES DO BRASIL - SILVEIRA, LUIS FABIO - Ø0x0H</v>
          </cell>
          <cell r="Y4978">
            <v>937.66</v>
          </cell>
          <cell r="Z4978">
            <v>0.35</v>
          </cell>
          <cell r="AA4978">
            <v>609.47900000000004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1</v>
          </cell>
          <cell r="H4979">
            <v>0</v>
          </cell>
          <cell r="O4979">
            <v>343969</v>
          </cell>
          <cell r="P4979"/>
          <cell r="Q4979" t="str">
            <v>EST LIVRO BONITO - CONFINS DO NOVO MUNDO - CRUZ</v>
          </cell>
          <cell r="R4979"/>
          <cell r="S4979"/>
          <cell r="T4979">
            <v>0</v>
          </cell>
          <cell r="U4979">
            <v>0</v>
          </cell>
          <cell r="V4979">
            <v>0</v>
          </cell>
          <cell r="W4979">
            <v>0</v>
          </cell>
          <cell r="X4979" t="str">
            <v>EST LIVRO BONITO - CONFINS DO NOVO MUNDO - CRUZ - Ø0x0H</v>
          </cell>
          <cell r="Y4979">
            <v>376.32</v>
          </cell>
          <cell r="Z4979">
            <v>0.35</v>
          </cell>
          <cell r="AA4979">
            <v>244.608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1</v>
          </cell>
          <cell r="H4980">
            <v>0</v>
          </cell>
          <cell r="O4980">
            <v>343970</v>
          </cell>
          <cell r="P4980"/>
          <cell r="Q4980" t="str">
            <v>EST LIVRO BRASIL: DUAS DECADAS, DUAS CAPITAIS- INTERNACIONAL</v>
          </cell>
          <cell r="R4980"/>
          <cell r="S4980"/>
          <cell r="T4980">
            <v>0</v>
          </cell>
          <cell r="U4980">
            <v>0</v>
          </cell>
          <cell r="V4980">
            <v>0</v>
          </cell>
          <cell r="W4980">
            <v>0</v>
          </cell>
          <cell r="X4980" t="str">
            <v>EST LIVRO BRASIL: DUAS DECADAS, DUAS CAPITAIS- INTERNACIONAL - Ø0x0H</v>
          </cell>
          <cell r="Y4980">
            <v>250.57</v>
          </cell>
          <cell r="Z4980">
            <v>0.35</v>
          </cell>
          <cell r="AA4980">
            <v>162.87049999999999</v>
          </cell>
          <cell r="AB4980"/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1</v>
          </cell>
          <cell r="H4981">
            <v>0</v>
          </cell>
          <cell r="O4981">
            <v>343971</v>
          </cell>
          <cell r="P4981"/>
          <cell r="Q4981" t="str">
            <v>EST LIVRO BRASIL: DUAS DECADAS, DUAS CAPITAIS-NACIONAL</v>
          </cell>
          <cell r="R4981"/>
          <cell r="S4981"/>
          <cell r="T4981">
            <v>0</v>
          </cell>
          <cell r="U4981">
            <v>0</v>
          </cell>
          <cell r="V4981">
            <v>0</v>
          </cell>
          <cell r="W4981">
            <v>0</v>
          </cell>
          <cell r="X4981" t="str">
            <v>EST LIVRO BRASIL: DUAS DECADAS, DUAS CAPITAIS-NACIONAL - Ø0x0H</v>
          </cell>
          <cell r="Y4981">
            <v>250.57</v>
          </cell>
          <cell r="Z4981">
            <v>0.35</v>
          </cell>
          <cell r="AA4981">
            <v>162.87049999999999</v>
          </cell>
          <cell r="AB4981"/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H4982">
            <v>0</v>
          </cell>
          <cell r="O4982">
            <v>343972</v>
          </cell>
          <cell r="P4982"/>
          <cell r="Q4982" t="str">
            <v>EST LIVRO BRASILIA -HISTORIA E MODERNIDADE-LEONARDO FINOTTI</v>
          </cell>
          <cell r="R4982"/>
          <cell r="S4982"/>
          <cell r="T4982">
            <v>0</v>
          </cell>
          <cell r="U4982">
            <v>0</v>
          </cell>
          <cell r="V4982">
            <v>0</v>
          </cell>
          <cell r="W4982">
            <v>0</v>
          </cell>
          <cell r="X4982" t="str">
            <v>EST LIVRO BRASILIA -HISTORIA E MODERNIDADE-LEONARDO FINOTTI - Ø0x0H</v>
          </cell>
          <cell r="Y4982">
            <v>219.52</v>
          </cell>
          <cell r="Z4982">
            <v>0.35</v>
          </cell>
          <cell r="AA4982">
            <v>142.68800000000002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343973</v>
          </cell>
          <cell r="P4983"/>
          <cell r="Q4983" t="str">
            <v>EST LIVRO CAIS - ADERI COSTA</v>
          </cell>
          <cell r="R4983"/>
          <cell r="S4983"/>
          <cell r="T4983">
            <v>0</v>
          </cell>
          <cell r="U4983">
            <v>0</v>
          </cell>
          <cell r="V4983">
            <v>0</v>
          </cell>
          <cell r="W4983">
            <v>0</v>
          </cell>
          <cell r="X4983" t="str">
            <v>EST LIVRO CAIS - ADERI COSTA - Ø0x0H</v>
          </cell>
          <cell r="Y4983">
            <v>564.48</v>
          </cell>
          <cell r="Z4983">
            <v>0.35</v>
          </cell>
          <cell r="AA4983">
            <v>366.91200000000003</v>
          </cell>
          <cell r="AB4983"/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H4984">
            <v>0</v>
          </cell>
          <cell r="O4984">
            <v>343974</v>
          </cell>
          <cell r="P4984"/>
          <cell r="Q4984" t="str">
            <v>EST LIVRO CATAS ALTAS DO MATTO DENTRO MINAS GERAES</v>
          </cell>
          <cell r="R4984"/>
          <cell r="S4984"/>
          <cell r="T4984">
            <v>0</v>
          </cell>
          <cell r="U4984">
            <v>0</v>
          </cell>
          <cell r="V4984">
            <v>0</v>
          </cell>
          <cell r="W4984">
            <v>0</v>
          </cell>
          <cell r="X4984" t="str">
            <v>EST LIVRO CATAS ALTAS DO MATTO DENTRO MINAS GERAES - Ø0x0H</v>
          </cell>
          <cell r="Y4984">
            <v>297.92</v>
          </cell>
          <cell r="Z4984">
            <v>0.35</v>
          </cell>
          <cell r="AA4984">
            <v>193.64800000000002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343975</v>
          </cell>
          <cell r="P4985"/>
          <cell r="Q4985" t="str">
            <v>EST LIVRO COFFEA - O CAFE NO BRASIL - MARCOS PIFFER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COFFEA - O CAFE NO BRASIL - MARCOS PIFFER - Ø0x0H</v>
          </cell>
          <cell r="Y4985">
            <v>341.82</v>
          </cell>
          <cell r="Z4985">
            <v>0.35</v>
          </cell>
          <cell r="AA4985">
            <v>222.18299999999999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1</v>
          </cell>
          <cell r="H4986">
            <v>0</v>
          </cell>
          <cell r="O4986">
            <v>343976</v>
          </cell>
          <cell r="P4986"/>
          <cell r="Q4986" t="str">
            <v>EST LIVRO COPACABANA - CAFI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COPACABANA - CAFI - Ø0x0H</v>
          </cell>
          <cell r="Y4986">
            <v>156.80000000000001</v>
          </cell>
          <cell r="Z4986">
            <v>0.35</v>
          </cell>
          <cell r="AA4986">
            <v>101.92000000000002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343977</v>
          </cell>
          <cell r="P4987"/>
          <cell r="Q4987" t="str">
            <v>EST LIVRO GABRIEL WICKBOLD - WICKBOLD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GABRIEL WICKBOLD - WICKBOLD - Ø0x0H</v>
          </cell>
          <cell r="Y4987">
            <v>1097.5999999999999</v>
          </cell>
          <cell r="Z4987">
            <v>0.35</v>
          </cell>
          <cell r="AA4987">
            <v>713.43999999999994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1</v>
          </cell>
          <cell r="H4988">
            <v>0</v>
          </cell>
          <cell r="O4988">
            <v>343978</v>
          </cell>
          <cell r="P4988"/>
          <cell r="Q4988" t="str">
            <v>EST LIVRO GENEVIEVE NAYLOR - ERMAKOFF GEORGE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GENEVIEVE NAYLOR - ERMAKOFF GEORGE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343979</v>
          </cell>
          <cell r="P4989"/>
          <cell r="Q4989" t="str">
            <v>EST LIVRO HISTORIA DAS AGUAS RIO NEGRO - ADRIANO GAMBARINI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HISTORIA DAS AGUAS RIO NEGRO - ADRIANO GAMBARINI - Ø0x0H</v>
          </cell>
          <cell r="Y4989">
            <v>470.4</v>
          </cell>
          <cell r="Z4989">
            <v>0.35</v>
          </cell>
          <cell r="AA4989">
            <v>305.76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1</v>
          </cell>
          <cell r="H4990">
            <v>0</v>
          </cell>
          <cell r="O4990">
            <v>343980</v>
          </cell>
          <cell r="P4990"/>
          <cell r="Q4990" t="str">
            <v>EST LIVRO ICONOGRAFIA DAS AVES DO BRASIL: BIOMA CERRADO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ICONOGRAFIA DAS AVES DO BRASIL: BIOMA CERRADO - Ø0x0H</v>
          </cell>
          <cell r="Y4990">
            <v>874.94</v>
          </cell>
          <cell r="Z4990">
            <v>0.35</v>
          </cell>
          <cell r="AA4990">
            <v>568.71100000000001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343981</v>
          </cell>
          <cell r="P4991"/>
          <cell r="Q4991" t="str">
            <v>EST LIVRO JUN SAKAMOTO-O VIRTUOSE DO SUSHI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JUN SAKAMOTO-O VIRTUOSE DO SUSHI - Ø0x0H</v>
          </cell>
          <cell r="Y4991">
            <v>548.79999999999995</v>
          </cell>
          <cell r="Z4991">
            <v>0.35</v>
          </cell>
          <cell r="AA4991">
            <v>356.71999999999997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2</v>
          </cell>
          <cell r="H4992">
            <v>0</v>
          </cell>
          <cell r="O4992">
            <v>343982</v>
          </cell>
          <cell r="P4992"/>
          <cell r="Q4992" t="str">
            <v>EST LIVRO LASAR SEGALL (1889-1957)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LASAR SEGALL (1889-1957) - Ø0x0H</v>
          </cell>
          <cell r="Y4992">
            <v>156.80000000000001</v>
          </cell>
          <cell r="Z4992">
            <v>0.35</v>
          </cell>
          <cell r="AA4992">
            <v>101.92000000000002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2</v>
          </cell>
          <cell r="H4993">
            <v>0</v>
          </cell>
          <cell r="O4993">
            <v>343983</v>
          </cell>
          <cell r="P4993"/>
          <cell r="Q4993" t="str">
            <v>EST LIVRO LASAR SEGALL (1891-1957) OBRAS SOBRE PAPEL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LASAR SEGALL (1891-1957) OBRAS SOBRE PAPEL - Ø0x0H</v>
          </cell>
          <cell r="Y4993">
            <v>279.10000000000002</v>
          </cell>
          <cell r="Z4993">
            <v>0.35</v>
          </cell>
          <cell r="AA4993">
            <v>181.41500000000002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343984</v>
          </cell>
          <cell r="P4994"/>
          <cell r="Q4994" t="str">
            <v>EST LIVRO MARCELO MOSCHETA - MOSCHETA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MARCELO MOSCHETA - MOSCHETA - Ø0x0H</v>
          </cell>
          <cell r="Y4994">
            <v>282.24</v>
          </cell>
          <cell r="Z4994">
            <v>0.35</v>
          </cell>
          <cell r="AA4994">
            <v>183.45600000000002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343985</v>
          </cell>
          <cell r="P4995"/>
          <cell r="Q4995" t="str">
            <v>EST LIVRO MINAS EM FOCO - MARCIO CARVALHO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MINAS EM FOCO - MARCIO CARVALHO - Ø0x0H</v>
          </cell>
          <cell r="Y4995">
            <v>439.04</v>
          </cell>
          <cell r="Z4995">
            <v>0.35</v>
          </cell>
          <cell r="AA4995">
            <v>285.37600000000003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2</v>
          </cell>
          <cell r="H4996">
            <v>0</v>
          </cell>
          <cell r="O4996">
            <v>343986</v>
          </cell>
          <cell r="P4996"/>
          <cell r="Q4996" t="str">
            <v>EST LIVRO O LIVRO DA MATEMATICA - KINDERSLEY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O LIVRO DA MATEMATICA - KINDERSLEY - Ø0x0H</v>
          </cell>
          <cell r="Y4996">
            <v>247.74</v>
          </cell>
          <cell r="Z4996">
            <v>0.35</v>
          </cell>
          <cell r="AA4996">
            <v>161.03100000000001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343987</v>
          </cell>
          <cell r="P4997"/>
          <cell r="Q4997" t="str">
            <v>EST LIVRO PAO DA PAZ -RECEITAS DE PAISES MEMBROS DA ONU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PAO DA PAZ -RECEITAS DE PAISES MEMBROS DA ONU - Ø0x0H</v>
          </cell>
          <cell r="Y4997">
            <v>624.05999999999995</v>
          </cell>
          <cell r="Z4997">
            <v>0.35</v>
          </cell>
          <cell r="AA4997">
            <v>405.63900000000001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343988</v>
          </cell>
          <cell r="P4998"/>
          <cell r="Q4998" t="str">
            <v>EST LIVRO PIERRE VERGER - GOMES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PIERRE VERGER - GOMES - Ø0x0H</v>
          </cell>
          <cell r="Y4998">
            <v>376.32</v>
          </cell>
          <cell r="Z4998">
            <v>0.35</v>
          </cell>
          <cell r="AA4998">
            <v>244.608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2</v>
          </cell>
          <cell r="H4999">
            <v>0</v>
          </cell>
          <cell r="O4999">
            <v>343989</v>
          </cell>
          <cell r="P4999"/>
          <cell r="Q4999" t="str">
            <v>EST LIVRO RONALDO BARBOSA: 40 ANOS DE ARTE E DESIGN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RONALDO BARBOSA: 40 ANOS DE ARTE E DESIGN - Ø0x0H</v>
          </cell>
          <cell r="Y4999">
            <v>627.20000000000005</v>
          </cell>
          <cell r="Z4999">
            <v>0.35</v>
          </cell>
          <cell r="AA4999">
            <v>407.68000000000006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343990</v>
          </cell>
          <cell r="P5000"/>
          <cell r="Q5000" t="str">
            <v>EST LIVRO TIRADENTES - TIRADENTES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TIRADENTES - TIRADENTES - Ø0x0H</v>
          </cell>
          <cell r="Y5000">
            <v>196</v>
          </cell>
          <cell r="Z5000">
            <v>0.35</v>
          </cell>
          <cell r="AA5000">
            <v>127.4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343991</v>
          </cell>
          <cell r="P5001"/>
          <cell r="Q5001" t="str">
            <v>EST LIVRO UMA OUTRA MISSAO FRANCESA 1917-1918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UMA OUTRA MISSAO FRANCESA 1917-1918 - Ø0x0H</v>
          </cell>
          <cell r="Y5001">
            <v>282.24</v>
          </cell>
          <cell r="Z5001">
            <v>0.35</v>
          </cell>
          <cell r="AA5001">
            <v>183.45600000000002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3</v>
          </cell>
          <cell r="H5002">
            <v>0</v>
          </cell>
          <cell r="O5002">
            <v>343992</v>
          </cell>
          <cell r="P5002" t="str">
            <v>2022/208-0090-01</v>
          </cell>
          <cell r="Q5002" t="str">
            <v>EST LIVRO VICTOR BRECHERET 1894-1955 - CHIARELLI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VICTOR BRECHERET 1894-1955 - CHIARELLI - Ø0x0H</v>
          </cell>
          <cell r="Y5002">
            <v>250.88</v>
          </cell>
          <cell r="Z5002">
            <v>0.35</v>
          </cell>
          <cell r="AA5002">
            <v>163.072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3</v>
          </cell>
          <cell r="H5003">
            <v>0</v>
          </cell>
          <cell r="O5003">
            <v>343992</v>
          </cell>
          <cell r="P5003" t="str">
            <v>2022/208-0091-01</v>
          </cell>
          <cell r="Q5003" t="str">
            <v>EST LIVRO VICTOR BRECHERET 1894-1955 - CHIARELLI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VICTOR BRECHERET 1894-1955 - CHIARELLI - Ø0x0H</v>
          </cell>
          <cell r="Y5003">
            <v>250.88</v>
          </cell>
          <cell r="Z5003">
            <v>0.35</v>
          </cell>
          <cell r="AA5003">
            <v>163.072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3</v>
          </cell>
          <cell r="H5004">
            <v>0</v>
          </cell>
          <cell r="O5004">
            <v>343992</v>
          </cell>
          <cell r="P5004" t="str">
            <v>2022/208-0092-01</v>
          </cell>
          <cell r="Q5004" t="str">
            <v>EST LIVRO VICTOR BRECHERET 1894-1955 - CHIARELLI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VICTOR BRECHERET 1894-1955 - CHIARELLI - Ø0x0H</v>
          </cell>
          <cell r="Y5004">
            <v>250.88</v>
          </cell>
          <cell r="Z5004">
            <v>0.35</v>
          </cell>
          <cell r="AA5004">
            <v>163.072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343993</v>
          </cell>
          <cell r="P5005"/>
          <cell r="Q5005" t="str">
            <v>EST LIVRO VINICIUS DE MORAES - POETA DENTRO DA VIDA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VINICIUS DE MORAES - POETA DENTRO DA VIDA - Ø0x0H</v>
          </cell>
          <cell r="Y5005">
            <v>376.32</v>
          </cell>
          <cell r="Z5005">
            <v>0.35</v>
          </cell>
          <cell r="AA5005">
            <v>244.608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343994</v>
          </cell>
          <cell r="P5006"/>
          <cell r="Q5006" t="str">
            <v>EST LIVRO VITALINO E VERGER ARTE DO BARRO E O OLHAR DA ARTE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VITALINO E VERGER ARTE DO BARRO E O OLHAR DA ARTE - Ø0x0H</v>
          </cell>
          <cell r="Y5006">
            <v>219.52</v>
          </cell>
          <cell r="Z5006">
            <v>0.35</v>
          </cell>
          <cell r="AA5006">
            <v>142.68800000000002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H5007">
            <v>1</v>
          </cell>
          <cell r="O5007">
            <v>349986</v>
          </cell>
          <cell r="P5007"/>
          <cell r="Q5007" t="str">
            <v>EST CAPA ENCOSTO RETO LENCOIS M (DET MR5) FX7621</v>
          </cell>
          <cell r="R5007"/>
          <cell r="S5007"/>
          <cell r="T5007">
            <v>0.7</v>
          </cell>
          <cell r="U5007">
            <v>0.26</v>
          </cell>
          <cell r="V5007">
            <v>0.26</v>
          </cell>
          <cell r="W5007">
            <v>0</v>
          </cell>
          <cell r="X5007" t="str">
            <v>EST CAPA ENCOSTO RETO LENCOIS M (DET MR5) FX7621 - 0,7x0,26x0,26H</v>
          </cell>
          <cell r="Y5007" t="e">
            <v>#VALUE!</v>
          </cell>
          <cell r="Z5007">
            <v>0.35</v>
          </cell>
          <cell r="AA5007" t="e">
            <v>#VALUE!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H5008">
            <v>2</v>
          </cell>
          <cell r="O5008">
            <v>351423</v>
          </cell>
          <cell r="P5008"/>
          <cell r="Q5008" t="str">
            <v>EST ACESSORIO VASO VIDRO GOYA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ACESSORIO VASO VIDRO GOYA - Ø0x0H</v>
          </cell>
          <cell r="Y5008" t="e">
            <v>#VALUE!</v>
          </cell>
          <cell r="Z5008">
            <v>0.35</v>
          </cell>
          <cell r="AA5008" t="e">
            <v>#VALUE!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H5009">
            <v>2</v>
          </cell>
          <cell r="O5009">
            <v>351424</v>
          </cell>
          <cell r="P5009"/>
          <cell r="Q5009" t="str">
            <v>EST ACESSORIO VASO CERAMICA CLAY II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ACESSORIO VASO CERAMICA CLAY II - Ø0x0H</v>
          </cell>
          <cell r="Y5009" t="e">
            <v>#VALUE!</v>
          </cell>
          <cell r="Z5009">
            <v>0.35</v>
          </cell>
          <cell r="AA5009" t="e">
            <v>#VALUE!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351677</v>
          </cell>
          <cell r="P5010" t="str">
            <v>2022/242-0009-01</v>
          </cell>
          <cell r="Q5010" t="str">
            <v>EST ALMOFADA CLAMI 1 (PLUMA SINT) (BISTROL AMARELO/CINZA)</v>
          </cell>
          <cell r="R5010"/>
          <cell r="S5010"/>
          <cell r="T5010">
            <v>0.7</v>
          </cell>
          <cell r="U5010">
            <v>0.3</v>
          </cell>
          <cell r="V5010">
            <v>0.15</v>
          </cell>
          <cell r="W5010">
            <v>0</v>
          </cell>
          <cell r="X5010" t="str">
            <v>EST ALMOFADA CLAMI 1 (PLUMA SINT) (BISTROL AMARELO/CINZA) - 0,7x0,3x0,15H</v>
          </cell>
          <cell r="Y5010">
            <v>770.52</v>
          </cell>
          <cell r="Z5010">
            <v>0.35</v>
          </cell>
          <cell r="AA5010">
            <v>500.83800000000002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351678</v>
          </cell>
          <cell r="P5011"/>
          <cell r="Q5011" t="str">
            <v>EST ALMOFADA CLAMI 1 (PLUMA SINT) (BISTROL AMARELO/CINZA)</v>
          </cell>
          <cell r="R5011"/>
          <cell r="S5011"/>
          <cell r="T5011">
            <v>0.6</v>
          </cell>
          <cell r="U5011">
            <v>0.25</v>
          </cell>
          <cell r="V5011">
            <v>0.15</v>
          </cell>
          <cell r="W5011">
            <v>0</v>
          </cell>
          <cell r="X5011" t="str">
            <v>EST ALMOFADA CLAMI 1 (PLUMA SINT) (BISTROL AMARELO/CINZA) - 0,6x0,25x0,15H</v>
          </cell>
          <cell r="Y5011">
            <v>550.37</v>
          </cell>
          <cell r="Z5011">
            <v>0.35</v>
          </cell>
          <cell r="AA5011">
            <v>357.7405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351688</v>
          </cell>
          <cell r="P5012" t="str">
            <v>2022/242-0019-01</v>
          </cell>
          <cell r="Q5012" t="str">
            <v>EST ALMOFADA CLAMI 1 (PLUMA SINT) (BISTROL NUVEM/CINZA)</v>
          </cell>
          <cell r="R5012"/>
          <cell r="S5012"/>
          <cell r="T5012">
            <v>0.7</v>
          </cell>
          <cell r="U5012">
            <v>0.3</v>
          </cell>
          <cell r="V5012">
            <v>0.15</v>
          </cell>
          <cell r="W5012">
            <v>0</v>
          </cell>
          <cell r="X5012" t="str">
            <v>EST ALMOFADA CLAMI 1 (PLUMA SINT) (BISTROL NUVEM/CINZA) - 0,7x0,3x0,15H</v>
          </cell>
          <cell r="Y5012">
            <v>770.52</v>
          </cell>
          <cell r="Z5012">
            <v>0.35</v>
          </cell>
          <cell r="AA5012">
            <v>500.83800000000002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2</v>
          </cell>
          <cell r="H5013">
            <v>0</v>
          </cell>
          <cell r="O5013">
            <v>351688</v>
          </cell>
          <cell r="P5013" t="str">
            <v>2022/242-0020-01</v>
          </cell>
          <cell r="Q5013" t="str">
            <v>EST ALMOFADA CLAMI 1 (PLUMA SINT) (BISTROL NUVEM/CINZA)</v>
          </cell>
          <cell r="R5013"/>
          <cell r="S5013"/>
          <cell r="T5013">
            <v>0.7</v>
          </cell>
          <cell r="U5013">
            <v>0.3</v>
          </cell>
          <cell r="V5013">
            <v>0.15</v>
          </cell>
          <cell r="W5013">
            <v>0</v>
          </cell>
          <cell r="X5013" t="str">
            <v>EST ALMOFADA CLAMI 1 (PLUMA SINT) (BISTROL NUVEM/CINZA) - 0,7x0,3x0,15H</v>
          </cell>
          <cell r="Y5013">
            <v>770.52</v>
          </cell>
          <cell r="Z5013">
            <v>0.35</v>
          </cell>
          <cell r="AA5013">
            <v>500.83800000000002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2</v>
          </cell>
          <cell r="H5014">
            <v>0</v>
          </cell>
          <cell r="O5014">
            <v>351696</v>
          </cell>
          <cell r="P5014" t="str">
            <v>2022/242-0035-01</v>
          </cell>
          <cell r="Q5014" t="str">
            <v>EST ALMOFADA CLAMI 2 (PLUMA SINT) (BISTROL NUVEM/CINZA)</v>
          </cell>
          <cell r="R5014"/>
          <cell r="S5014"/>
          <cell r="T5014">
            <v>0.7</v>
          </cell>
          <cell r="U5014">
            <v>0.3</v>
          </cell>
          <cell r="V5014">
            <v>0.15</v>
          </cell>
          <cell r="W5014">
            <v>0</v>
          </cell>
          <cell r="X5014" t="str">
            <v>EST ALMOFADA CLAMI 2 (PLUMA SINT) (BISTROL NUVEM/CINZA) - 0,7x0,3x0,15H</v>
          </cell>
          <cell r="Y5014">
            <v>770.52</v>
          </cell>
          <cell r="Z5014">
            <v>0.35</v>
          </cell>
          <cell r="AA5014">
            <v>500.83800000000002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351696</v>
          </cell>
          <cell r="P5015"/>
          <cell r="Q5015" t="str">
            <v>EST ALMOFADA CLAMI 2 (PLUMA SINT) (BISTROL NUVEM/CINZA)</v>
          </cell>
          <cell r="R5015"/>
          <cell r="S5015"/>
          <cell r="T5015">
            <v>0.7</v>
          </cell>
          <cell r="U5015">
            <v>0.3</v>
          </cell>
          <cell r="V5015">
            <v>0.15</v>
          </cell>
          <cell r="W5015">
            <v>0</v>
          </cell>
          <cell r="X5015" t="str">
            <v>EST ALMOFADA CLAMI 2 (PLUMA SINT) (BISTROL NUVEM/CINZA) - 0,7x0,3x0,15H</v>
          </cell>
          <cell r="Y5015">
            <v>770.52</v>
          </cell>
          <cell r="Z5015">
            <v>0.35</v>
          </cell>
          <cell r="AA5015">
            <v>500.83800000000002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351710</v>
          </cell>
          <cell r="P5016"/>
          <cell r="Q5016" t="str">
            <v>EST ALMOFADA CLAMI 1 (PLUMA SINT) (PALLA CINZA/CINZA)</v>
          </cell>
          <cell r="R5016"/>
          <cell r="S5016"/>
          <cell r="T5016">
            <v>0.7</v>
          </cell>
          <cell r="U5016">
            <v>0.3</v>
          </cell>
          <cell r="V5016">
            <v>0.15</v>
          </cell>
          <cell r="W5016">
            <v>0</v>
          </cell>
          <cell r="X5016" t="str">
            <v>EST ALMOFADA CLAMI 1 (PLUMA SINT) (PALLA CINZA/CINZA) - 0,7x0,3x0,15H</v>
          </cell>
          <cell r="Y5016">
            <v>770.52</v>
          </cell>
          <cell r="Z5016">
            <v>0.35</v>
          </cell>
          <cell r="AA5016">
            <v>500.83800000000002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351711</v>
          </cell>
          <cell r="P5017"/>
          <cell r="Q5017" t="str">
            <v>EST ALMOFADA CLAMI 1 (PLUMA SINT) (PALLA CINZA/CINZA)</v>
          </cell>
          <cell r="R5017"/>
          <cell r="S5017"/>
          <cell r="T5017">
            <v>0.6</v>
          </cell>
          <cell r="U5017">
            <v>0.25</v>
          </cell>
          <cell r="V5017">
            <v>0.15</v>
          </cell>
          <cell r="W5017">
            <v>0</v>
          </cell>
          <cell r="X5017" t="str">
            <v>EST ALMOFADA CLAMI 1 (PLUMA SINT) (PALLA CINZA/CINZA) - 0,6x0,25x0,15H</v>
          </cell>
          <cell r="Y5017">
            <v>550.37</v>
          </cell>
          <cell r="Z5017">
            <v>0.35</v>
          </cell>
          <cell r="AA5017">
            <v>357.7405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2</v>
          </cell>
          <cell r="H5018">
            <v>0</v>
          </cell>
          <cell r="O5018">
            <v>351723</v>
          </cell>
          <cell r="P5018" t="str">
            <v>2022/242-0077-01</v>
          </cell>
          <cell r="Q5018" t="str">
            <v>EST ALMOFADA CLAMI 2 (PLUMA SINT) (MAQUINETADO CRU/PRETO)</v>
          </cell>
          <cell r="R5018"/>
          <cell r="S5018"/>
          <cell r="T5018">
            <v>0.7</v>
          </cell>
          <cell r="U5018">
            <v>0.3</v>
          </cell>
          <cell r="V5018">
            <v>0.15</v>
          </cell>
          <cell r="W5018">
            <v>0</v>
          </cell>
          <cell r="X5018" t="str">
            <v>EST ALMOFADA CLAMI 2 (PLUMA SINT) (MAQUINETADO CRU/PRETO) - 0,7x0,3x0,15H</v>
          </cell>
          <cell r="Y5018">
            <v>770.52</v>
          </cell>
          <cell r="Z5018">
            <v>0.35</v>
          </cell>
          <cell r="AA5018">
            <v>500.83800000000002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2</v>
          </cell>
          <cell r="H5019">
            <v>0</v>
          </cell>
          <cell r="O5019">
            <v>351723</v>
          </cell>
          <cell r="P5019" t="str">
            <v>2022/242-0078-01</v>
          </cell>
          <cell r="Q5019" t="str">
            <v>EST ALMOFADA CLAMI 2 (PLUMA SINT) (MAQUINETADO CRU/PRETO)</v>
          </cell>
          <cell r="R5019"/>
          <cell r="S5019"/>
          <cell r="T5019">
            <v>0.7</v>
          </cell>
          <cell r="U5019">
            <v>0.3</v>
          </cell>
          <cell r="V5019">
            <v>0.15</v>
          </cell>
          <cell r="W5019">
            <v>0</v>
          </cell>
          <cell r="X5019" t="str">
            <v>EST ALMOFADA CLAMI 2 (PLUMA SINT) (MAQUINETADO CRU/PRETO) - 0,7x0,3x0,15H</v>
          </cell>
          <cell r="Y5019">
            <v>770.52</v>
          </cell>
          <cell r="Z5019">
            <v>0.35</v>
          </cell>
          <cell r="AA5019">
            <v>500.83800000000002</v>
          </cell>
          <cell r="AB5019"/>
        </row>
        <row r="5020">
          <cell r="C5020">
            <v>0</v>
          </cell>
          <cell r="D5020">
            <v>1</v>
          </cell>
          <cell r="E5020">
            <v>0</v>
          </cell>
          <cell r="F5020">
            <v>0</v>
          </cell>
          <cell r="H5020">
            <v>2</v>
          </cell>
          <cell r="O5020">
            <v>354570</v>
          </cell>
          <cell r="P5020" t="str">
            <v>2022/245-0016-01</v>
          </cell>
          <cell r="Q5020" t="str">
            <v>EST TAPETE MATISSE WAVES ROUND 2 (LAT) (10MM) F:1280/D:73</v>
          </cell>
          <cell r="R5020"/>
          <cell r="S5020"/>
          <cell r="T5020">
            <v>3</v>
          </cell>
          <cell r="U5020">
            <v>0</v>
          </cell>
          <cell r="V5020">
            <v>0.01</v>
          </cell>
          <cell r="W5020">
            <v>3</v>
          </cell>
          <cell r="X5020" t="str">
            <v>EST TAPETE MATISSE WAVES ROUND 2 (LAT) (10MM) F:1280/D:73 - Ø3x0,01H</v>
          </cell>
          <cell r="Y5020">
            <v>26046.720000000001</v>
          </cell>
          <cell r="Z5020">
            <v>0.35</v>
          </cell>
          <cell r="AA5020">
            <v>16930.368000000002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H5021">
            <v>1</v>
          </cell>
          <cell r="O5021">
            <v>355669</v>
          </cell>
          <cell r="P5021"/>
          <cell r="Q5021" t="str">
            <v>EST MESA LATERAL JANETE (FREIJO NATURAL)</v>
          </cell>
          <cell r="R5021"/>
          <cell r="S5021"/>
          <cell r="T5021">
            <v>0.6</v>
          </cell>
          <cell r="U5021">
            <v>0</v>
          </cell>
          <cell r="V5021">
            <v>0.6</v>
          </cell>
          <cell r="W5021">
            <v>0.6</v>
          </cell>
          <cell r="X5021" t="str">
            <v>EST MESA LATERAL JANETE (FREIJO NATURAL) - Ø0,6x0,6H</v>
          </cell>
          <cell r="Y5021">
            <v>0</v>
          </cell>
          <cell r="Z5021">
            <v>0.35</v>
          </cell>
          <cell r="AA5021">
            <v>0</v>
          </cell>
          <cell r="AB5021"/>
        </row>
        <row r="5022">
          <cell r="C5022">
            <v>1</v>
          </cell>
          <cell r="D5022">
            <v>1</v>
          </cell>
          <cell r="E5022">
            <v>1</v>
          </cell>
          <cell r="F5022">
            <v>0</v>
          </cell>
          <cell r="H5022">
            <v>0</v>
          </cell>
          <cell r="O5022">
            <v>359591</v>
          </cell>
          <cell r="P5022" t="str">
            <v>2022/347-0001-01</v>
          </cell>
          <cell r="Q5022" t="str">
            <v>EST VASO MATISSE III (OURO VELHO)</v>
          </cell>
          <cell r="R5022"/>
          <cell r="S5022"/>
          <cell r="T5022">
            <v>0.15</v>
          </cell>
          <cell r="U5022">
            <v>0.1</v>
          </cell>
          <cell r="V5022">
            <v>0.16</v>
          </cell>
          <cell r="W5022">
            <v>0</v>
          </cell>
          <cell r="X5022" t="str">
            <v>EST VASO MATISSE III (OURO VELHO) - 0,15x0,1x0,16H</v>
          </cell>
          <cell r="Y5022">
            <v>380.8</v>
          </cell>
          <cell r="Z5022">
            <v>0.5</v>
          </cell>
          <cell r="AA5022">
            <v>190.4</v>
          </cell>
          <cell r="AB5022"/>
        </row>
        <row r="5023">
          <cell r="C5023">
            <v>1</v>
          </cell>
          <cell r="D5023">
            <v>0</v>
          </cell>
          <cell r="E5023">
            <v>0</v>
          </cell>
          <cell r="F5023">
            <v>1</v>
          </cell>
          <cell r="H5023">
            <v>0</v>
          </cell>
          <cell r="O5023">
            <v>359684</v>
          </cell>
          <cell r="P5023" t="str">
            <v>2022/347-0027-01</v>
          </cell>
          <cell r="Q5023" t="str">
            <v>EST VASO MATISSE I (TRANSPARENTE)</v>
          </cell>
          <cell r="R5023"/>
          <cell r="S5023"/>
          <cell r="T5023">
            <v>0.19</v>
          </cell>
          <cell r="U5023">
            <v>0.17</v>
          </cell>
          <cell r="V5023">
            <v>0.28000000000000003</v>
          </cell>
          <cell r="W5023">
            <v>0</v>
          </cell>
          <cell r="X5023" t="str">
            <v>EST VASO MATISSE I (TRANSPARENTE) - 0,19x0,17x0,28H</v>
          </cell>
          <cell r="Y5023">
            <v>582.4</v>
          </cell>
          <cell r="Z5023">
            <v>0.5</v>
          </cell>
          <cell r="AA5023">
            <v>291.2</v>
          </cell>
          <cell r="AB5023"/>
        </row>
        <row r="5024">
          <cell r="C5024">
            <v>1</v>
          </cell>
          <cell r="D5024">
            <v>1</v>
          </cell>
          <cell r="E5024">
            <v>0</v>
          </cell>
          <cell r="F5024">
            <v>1</v>
          </cell>
          <cell r="H5024">
            <v>0</v>
          </cell>
          <cell r="O5024">
            <v>359685</v>
          </cell>
          <cell r="P5024" t="str">
            <v>2022/347-0030-01</v>
          </cell>
          <cell r="Q5024" t="str">
            <v>EST VASO MATISSE II (TRANSPARENTE)</v>
          </cell>
          <cell r="R5024"/>
          <cell r="S5024"/>
          <cell r="T5024">
            <v>0.16</v>
          </cell>
          <cell r="U5024">
            <v>0.14000000000000001</v>
          </cell>
          <cell r="V5024">
            <v>0.24</v>
          </cell>
          <cell r="W5024">
            <v>0</v>
          </cell>
          <cell r="X5024" t="str">
            <v>EST VASO MATISSE II (TRANSPARENTE) - 0,16x0,14x0,24H</v>
          </cell>
          <cell r="Y5024">
            <v>492.8</v>
          </cell>
          <cell r="Z5024">
            <v>0.5</v>
          </cell>
          <cell r="AA5024">
            <v>246.4</v>
          </cell>
          <cell r="AB5024"/>
        </row>
        <row r="5025">
          <cell r="C5025">
            <v>1</v>
          </cell>
          <cell r="D5025">
            <v>1</v>
          </cell>
          <cell r="E5025">
            <v>0</v>
          </cell>
          <cell r="F5025">
            <v>1</v>
          </cell>
          <cell r="H5025">
            <v>0</v>
          </cell>
          <cell r="O5025">
            <v>359686</v>
          </cell>
          <cell r="P5025" t="str">
            <v>2022/347-0036-01</v>
          </cell>
          <cell r="Q5025" t="str">
            <v>EST VASO MATISSE III (TRANSPARENTE)</v>
          </cell>
          <cell r="R5025"/>
          <cell r="S5025"/>
          <cell r="T5025">
            <v>0.15</v>
          </cell>
          <cell r="U5025">
            <v>0.1</v>
          </cell>
          <cell r="V5025">
            <v>0.16</v>
          </cell>
          <cell r="W5025">
            <v>0</v>
          </cell>
          <cell r="X5025" t="str">
            <v>EST VASO MATISSE III (TRANSPARENTE) - 0,15x0,1x0,16H</v>
          </cell>
          <cell r="Y5025">
            <v>380.8</v>
          </cell>
          <cell r="Z5025">
            <v>0.5</v>
          </cell>
          <cell r="AA5025">
            <v>190.4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H5026">
            <v>1</v>
          </cell>
          <cell r="O5026">
            <v>361331</v>
          </cell>
          <cell r="P5026" t="str">
            <v>2023/039-0007-01</v>
          </cell>
          <cell r="Q5026" t="str">
            <v>EST MESA CENTRO CACAU (BAND MARM 5 SCARLAT) (MTZ CHAMP ACIN)</v>
          </cell>
          <cell r="R5026"/>
          <cell r="S5026"/>
          <cell r="T5026">
            <v>1.3</v>
          </cell>
          <cell r="U5026">
            <v>0.8</v>
          </cell>
          <cell r="V5026">
            <v>0.3</v>
          </cell>
          <cell r="W5026">
            <v>0</v>
          </cell>
          <cell r="X5026" t="str">
            <v>EST MESA CENTRO CACAU (BAND MARM 5 SCARLAT) (MTZ CHAMP ACIN) - 1,3x0,8x0,3H</v>
          </cell>
          <cell r="Y5026">
            <v>38764.36</v>
          </cell>
          <cell r="Z5026">
            <v>0.5</v>
          </cell>
          <cell r="AA5026">
            <v>19382.18</v>
          </cell>
          <cell r="AB5026"/>
        </row>
        <row r="5027">
          <cell r="C5027" t="e">
            <v>#N/A</v>
          </cell>
          <cell r="D5027" t="e">
            <v>#N/A</v>
          </cell>
          <cell r="E5027" t="e">
            <v>#N/A</v>
          </cell>
          <cell r="F5027" t="e">
            <v>#N/A</v>
          </cell>
          <cell r="H5027" t="e">
            <v>#N/A</v>
          </cell>
          <cell r="O5027">
            <v>361518</v>
          </cell>
          <cell r="P5027" t="str">
            <v>2023/025-0041-01</v>
          </cell>
          <cell r="Q5027" t="e">
            <v>#N/A</v>
          </cell>
          <cell r="R5027"/>
          <cell r="S5027"/>
          <cell r="T5027" t="e">
            <v>#N/A</v>
          </cell>
          <cell r="U5027" t="e">
            <v>#N/A</v>
          </cell>
          <cell r="V5027" t="e">
            <v>#N/A</v>
          </cell>
          <cell r="W5027" t="e">
            <v>#N/A</v>
          </cell>
          <cell r="X5027" t="e">
            <v>#N/A</v>
          </cell>
          <cell r="Y5027">
            <v>24926.68</v>
          </cell>
          <cell r="Z5027">
            <v>0.5</v>
          </cell>
          <cell r="AA5027">
            <v>12463.34</v>
          </cell>
          <cell r="AB5027"/>
        </row>
        <row r="5028">
          <cell r="C5028">
            <v>1</v>
          </cell>
          <cell r="D5028">
            <v>1</v>
          </cell>
          <cell r="E5028">
            <v>0</v>
          </cell>
          <cell r="F5028">
            <v>0</v>
          </cell>
          <cell r="H5028">
            <v>2</v>
          </cell>
          <cell r="O5028">
            <v>361520</v>
          </cell>
          <cell r="P5028" t="str">
            <v>2023/041-0016-01</v>
          </cell>
          <cell r="Q5028" t="str">
            <v>EST BANQUETA BAR MELIZA H75 (GIR) (FX 60004) (TING NOGAL)</v>
          </cell>
          <cell r="R5028"/>
          <cell r="S5028"/>
          <cell r="T5028">
            <v>0.5</v>
          </cell>
          <cell r="U5028">
            <v>0.6</v>
          </cell>
          <cell r="V5028">
            <v>0.99</v>
          </cell>
          <cell r="W5028">
            <v>0</v>
          </cell>
          <cell r="X5028" t="str">
            <v>EST BANQUETA BAR MELIZA H75 (GIR) (FX 60004) (TING NOGAL) - 0,5x0,6x0,99H</v>
          </cell>
          <cell r="Y5028">
            <v>6882.09</v>
          </cell>
          <cell r="Z5028">
            <v>0.5</v>
          </cell>
          <cell r="AA5028">
            <v>3441.0450000000001</v>
          </cell>
          <cell r="AB5028"/>
        </row>
        <row r="5029">
          <cell r="C5029">
            <v>1</v>
          </cell>
          <cell r="D5029">
            <v>1</v>
          </cell>
          <cell r="E5029">
            <v>0</v>
          </cell>
          <cell r="F5029">
            <v>0</v>
          </cell>
          <cell r="H5029">
            <v>2</v>
          </cell>
          <cell r="O5029">
            <v>361520</v>
          </cell>
          <cell r="P5029" t="str">
            <v>2023/041-0017-01</v>
          </cell>
          <cell r="Q5029" t="str">
            <v>EST BANQUETA BAR MELIZA H75 (GIR) (FX 60004) (TING NOGAL)</v>
          </cell>
          <cell r="R5029"/>
          <cell r="S5029"/>
          <cell r="T5029">
            <v>0.5</v>
          </cell>
          <cell r="U5029">
            <v>0.6</v>
          </cell>
          <cell r="V5029">
            <v>0.99</v>
          </cell>
          <cell r="W5029">
            <v>0</v>
          </cell>
          <cell r="X5029" t="str">
            <v>EST BANQUETA BAR MELIZA H75 (GIR) (FX 60004) (TING NOGAL) - 0,5x0,6x0,99H</v>
          </cell>
          <cell r="Y5029">
            <v>6882.09</v>
          </cell>
          <cell r="Z5029">
            <v>0.5</v>
          </cell>
          <cell r="AA5029">
            <v>3441.0450000000001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H5030">
            <v>0</v>
          </cell>
          <cell r="O5030">
            <v>361796</v>
          </cell>
          <cell r="P5030"/>
          <cell r="Q5030" t="str">
            <v>EST TAMPO CENTRO LITORAL (DAGUA) (MARMORE ROSA PARANA)</v>
          </cell>
          <cell r="R5030"/>
          <cell r="S5030"/>
          <cell r="T5030">
            <v>1.5</v>
          </cell>
          <cell r="U5030">
            <v>1.37</v>
          </cell>
          <cell r="V5030">
            <v>0.02</v>
          </cell>
          <cell r="W5030">
            <v>0</v>
          </cell>
          <cell r="X5030" t="str">
            <v>EST TAMPO CENTRO LITORAL (DAGUA) (MARMORE ROSA PARANA) - 1,5x1,37x0,02H</v>
          </cell>
          <cell r="Y5030">
            <v>0</v>
          </cell>
          <cell r="Z5030">
            <v>0.35</v>
          </cell>
          <cell r="AA5030">
            <v>0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H5031">
            <v>1</v>
          </cell>
          <cell r="O5031">
            <v>362425</v>
          </cell>
          <cell r="P5031" t="str">
            <v>2023/082-0013-01</v>
          </cell>
          <cell r="Q5031" t="str">
            <v>EST POLTRONA BUBA (TC CURATOR 136195 COR 166)</v>
          </cell>
          <cell r="R5031"/>
          <cell r="S5031"/>
          <cell r="T5031">
            <v>1.05</v>
          </cell>
          <cell r="U5031">
            <v>1</v>
          </cell>
          <cell r="V5031">
            <v>0.74</v>
          </cell>
          <cell r="W5031">
            <v>0</v>
          </cell>
          <cell r="X5031" t="str">
            <v>EST POLTRONA BUBA (TC CURATOR 136195 COR 166) - 1,05x1x0,74H</v>
          </cell>
          <cell r="Y5031">
            <v>29586.37</v>
          </cell>
          <cell r="Z5031">
            <v>0.35</v>
          </cell>
          <cell r="AA5031">
            <v>19231.140500000001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H5032">
            <v>1</v>
          </cell>
          <cell r="O5032">
            <v>362425</v>
          </cell>
          <cell r="P5032" t="str">
            <v>2023/082-0014-01</v>
          </cell>
          <cell r="Q5032" t="str">
            <v>EST POLTRONA BUBA (TC CURATOR 136195 COR 166)</v>
          </cell>
          <cell r="R5032"/>
          <cell r="S5032"/>
          <cell r="T5032">
            <v>1.05</v>
          </cell>
          <cell r="U5032">
            <v>1</v>
          </cell>
          <cell r="V5032">
            <v>0.74</v>
          </cell>
          <cell r="W5032">
            <v>0</v>
          </cell>
          <cell r="X5032" t="str">
            <v>EST POLTRONA BUBA (TC CURATOR 136195 COR 166) - 1,05x1x0,74H</v>
          </cell>
          <cell r="Y5032">
            <v>29586.37</v>
          </cell>
          <cell r="Z5032">
            <v>0.35</v>
          </cell>
          <cell r="AA5032">
            <v>19231.140500000001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H5033">
            <v>5</v>
          </cell>
          <cell r="O5033">
            <v>364289</v>
          </cell>
          <cell r="P5033" t="str">
            <v>2023/152-0031-01</v>
          </cell>
          <cell r="Q5033" t="str">
            <v>EST CADEIRA CACAU (DAMASCO) (LATAO) TC PREMIUM P018</v>
          </cell>
          <cell r="R5033"/>
          <cell r="S5033"/>
          <cell r="T5033">
            <v>0.5</v>
          </cell>
          <cell r="U5033">
            <v>0.61</v>
          </cell>
          <cell r="V5033">
            <v>0.84</v>
          </cell>
          <cell r="W5033">
            <v>0</v>
          </cell>
          <cell r="X5033" t="str">
            <v>EST CADEIRA CACAU (DAMASCO) (LATAO) TC PREMIUM P018 - 0,5x0,61x0,84H</v>
          </cell>
          <cell r="Y5033">
            <v>5085.5600000000004</v>
          </cell>
          <cell r="Z5033">
            <v>0.35</v>
          </cell>
          <cell r="AA5033">
            <v>3305.6140000000005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H5034">
            <v>5</v>
          </cell>
          <cell r="O5034">
            <v>364289</v>
          </cell>
          <cell r="P5034" t="str">
            <v>2023/152-0032-01</v>
          </cell>
          <cell r="Q5034" t="str">
            <v>EST CADEIRA CACAU (DAMASCO) (LATAO) TC PREMIUM P018</v>
          </cell>
          <cell r="R5034"/>
          <cell r="S5034"/>
          <cell r="T5034">
            <v>0.5</v>
          </cell>
          <cell r="U5034">
            <v>0.61</v>
          </cell>
          <cell r="V5034">
            <v>0.84</v>
          </cell>
          <cell r="W5034">
            <v>0</v>
          </cell>
          <cell r="X5034" t="str">
            <v>EST CADEIRA CACAU (DAMASCO) (LATAO) TC PREMIUM P018 - 0,5x0,61x0,84H</v>
          </cell>
          <cell r="Y5034">
            <v>5085.5600000000004</v>
          </cell>
          <cell r="Z5034">
            <v>0.35</v>
          </cell>
          <cell r="AA5034">
            <v>3305.6140000000005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H5035">
            <v>5</v>
          </cell>
          <cell r="O5035">
            <v>364289</v>
          </cell>
          <cell r="P5035" t="str">
            <v>2023/152-0033-01</v>
          </cell>
          <cell r="Q5035" t="str">
            <v>EST CADEIRA CACAU (DAMASCO) (LATAO) TC PREMIUM P018</v>
          </cell>
          <cell r="R5035"/>
          <cell r="S5035"/>
          <cell r="T5035">
            <v>0.5</v>
          </cell>
          <cell r="U5035">
            <v>0.61</v>
          </cell>
          <cell r="V5035">
            <v>0.84</v>
          </cell>
          <cell r="W5035">
            <v>0</v>
          </cell>
          <cell r="X5035" t="str">
            <v>EST CADEIRA CACAU (DAMASCO) (LATAO) TC PREMIUM P018 - 0,5x0,61x0,84H</v>
          </cell>
          <cell r="Y5035">
            <v>5085.5600000000004</v>
          </cell>
          <cell r="Z5035">
            <v>0.35</v>
          </cell>
          <cell r="AA5035">
            <v>3305.6140000000005</v>
          </cell>
          <cell r="AB5035"/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H5036">
            <v>5</v>
          </cell>
          <cell r="O5036">
            <v>364289</v>
          </cell>
          <cell r="P5036" t="str">
            <v>2023/152-0034-01</v>
          </cell>
          <cell r="Q5036" t="str">
            <v>EST CADEIRA CACAU (DAMASCO) (LATAO) TC PREMIUM P018</v>
          </cell>
          <cell r="R5036"/>
          <cell r="S5036"/>
          <cell r="T5036">
            <v>0.5</v>
          </cell>
          <cell r="U5036">
            <v>0.61</v>
          </cell>
          <cell r="V5036">
            <v>0.84</v>
          </cell>
          <cell r="W5036">
            <v>0</v>
          </cell>
          <cell r="X5036" t="str">
            <v>EST CADEIRA CACAU (DAMASCO) (LATAO) TC PREMIUM P018 - 0,5x0,61x0,84H</v>
          </cell>
          <cell r="Y5036">
            <v>5085.5600000000004</v>
          </cell>
          <cell r="Z5036">
            <v>0.35</v>
          </cell>
          <cell r="AA5036">
            <v>3305.6140000000005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5</v>
          </cell>
          <cell r="O5037">
            <v>364289</v>
          </cell>
          <cell r="P5037" t="str">
            <v>2023/152-0035-01</v>
          </cell>
          <cell r="Q5037" t="str">
            <v>EST CADEIRA CACAU (DAMASCO) (LATAO) TC PREMIUM P018</v>
          </cell>
          <cell r="R5037"/>
          <cell r="S5037"/>
          <cell r="T5037">
            <v>0.5</v>
          </cell>
          <cell r="U5037">
            <v>0.61</v>
          </cell>
          <cell r="V5037">
            <v>0.84</v>
          </cell>
          <cell r="W5037">
            <v>0</v>
          </cell>
          <cell r="X5037" t="str">
            <v>EST CADEIRA CACAU (DAMASCO) (LATAO) TC PREMIUM P018 - 0,5x0,61x0,84H</v>
          </cell>
          <cell r="Y5037">
            <v>5085.5600000000004</v>
          </cell>
          <cell r="Z5037">
            <v>0.35</v>
          </cell>
          <cell r="AA5037">
            <v>3305.6140000000005</v>
          </cell>
          <cell r="AB5037"/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H5038">
            <v>5</v>
          </cell>
          <cell r="O5038">
            <v>364289</v>
          </cell>
          <cell r="P5038" t="str">
            <v>2023/152-0036-01</v>
          </cell>
          <cell r="Q5038" t="str">
            <v>EST CADEIRA CACAU (DAMASCO) (LATAO) TC PREMIUM P018</v>
          </cell>
          <cell r="R5038"/>
          <cell r="S5038"/>
          <cell r="T5038">
            <v>0.5</v>
          </cell>
          <cell r="U5038">
            <v>0.61</v>
          </cell>
          <cell r="V5038">
            <v>0.84</v>
          </cell>
          <cell r="W5038">
            <v>0</v>
          </cell>
          <cell r="X5038" t="str">
            <v>EST CADEIRA CACAU (DAMASCO) (LATAO) TC PREMIUM P018 - 0,5x0,61x0,84H</v>
          </cell>
          <cell r="Y5038">
            <v>5085.5600000000004</v>
          </cell>
          <cell r="Z5038">
            <v>0.35</v>
          </cell>
          <cell r="AA5038">
            <v>3305.6140000000005</v>
          </cell>
          <cell r="AB5038"/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H5039">
            <v>1</v>
          </cell>
          <cell r="O5039">
            <v>364310</v>
          </cell>
          <cell r="P5039" t="str">
            <v>2023/152-0045-01</v>
          </cell>
          <cell r="Q5039" t="str">
            <v>EST CADEIRA CACAU C/BRACO (DAMASCO) (LATAO) TC PREMIUM P018</v>
          </cell>
          <cell r="R5039"/>
          <cell r="S5039"/>
          <cell r="T5039">
            <v>0.61</v>
          </cell>
          <cell r="U5039">
            <v>0.61</v>
          </cell>
          <cell r="V5039">
            <v>0.84</v>
          </cell>
          <cell r="W5039">
            <v>0</v>
          </cell>
          <cell r="X5039" t="str">
            <v>EST CADEIRA CACAU C/BRACO (DAMASCO) (LATAO) TC PREMIUM P018 - 0,61x0,61x0,84H</v>
          </cell>
          <cell r="Y5039">
            <v>7275.88</v>
          </cell>
          <cell r="Z5039">
            <v>0.35</v>
          </cell>
          <cell r="AA5039">
            <v>4729.3220000000001</v>
          </cell>
          <cell r="AB5039"/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H5040">
            <v>1</v>
          </cell>
          <cell r="O5040">
            <v>364310</v>
          </cell>
          <cell r="P5040" t="str">
            <v>2023/152-0046-01</v>
          </cell>
          <cell r="Q5040" t="str">
            <v>EST CADEIRA CACAU C/BRACO (DAMASCO) (LATAO) TC PREMIUM P018</v>
          </cell>
          <cell r="R5040"/>
          <cell r="S5040"/>
          <cell r="T5040">
            <v>0.61</v>
          </cell>
          <cell r="U5040">
            <v>0.61</v>
          </cell>
          <cell r="V5040">
            <v>0.84</v>
          </cell>
          <cell r="W5040">
            <v>0</v>
          </cell>
          <cell r="X5040" t="str">
            <v>EST CADEIRA CACAU C/BRACO (DAMASCO) (LATAO) TC PREMIUM P018 - 0,61x0,61x0,84H</v>
          </cell>
          <cell r="Y5040">
            <v>7275.88</v>
          </cell>
          <cell r="Z5040">
            <v>0.35</v>
          </cell>
          <cell r="AA5040">
            <v>4729.3220000000001</v>
          </cell>
          <cell r="AB5040"/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H5041">
            <v>1</v>
          </cell>
          <cell r="O5041">
            <v>365416</v>
          </cell>
          <cell r="P5041"/>
          <cell r="Q5041" t="str">
            <v>EST POLTRONA CEGONHA (PRETO) (TAUARI NT) COURO IMPORT 300</v>
          </cell>
          <cell r="R5041"/>
          <cell r="S5041"/>
          <cell r="T5041">
            <v>0.71</v>
          </cell>
          <cell r="U5041">
            <v>0.88</v>
          </cell>
          <cell r="V5041">
            <v>0.94</v>
          </cell>
          <cell r="W5041">
            <v>0</v>
          </cell>
          <cell r="X5041" t="str">
            <v>EST POLTRONA CEGONHA (PRETO) (TAUARI NT) COURO IMPORT 300 - 0,71x0,88x0,94H</v>
          </cell>
          <cell r="Y5041">
            <v>0</v>
          </cell>
          <cell r="Z5041">
            <v>0.35</v>
          </cell>
          <cell r="AA5041">
            <v>0</v>
          </cell>
          <cell r="AB5041"/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H5042">
            <v>0</v>
          </cell>
          <cell r="O5042">
            <v>365452</v>
          </cell>
          <cell r="P5042"/>
          <cell r="Q5042" t="str">
            <v>EST CADEIRA JOHN GRAZ (NOGUEIRA) COURO IMPORT 300</v>
          </cell>
          <cell r="R5042"/>
          <cell r="S5042"/>
          <cell r="T5042">
            <v>0.48</v>
          </cell>
          <cell r="U5042">
            <v>0.53</v>
          </cell>
          <cell r="V5042">
            <v>0.82</v>
          </cell>
          <cell r="W5042">
            <v>0</v>
          </cell>
          <cell r="X5042" t="str">
            <v>EST CADEIRA JOHN GRAZ (NOGUEIRA) COURO IMPORT 300 - 0,48x0,53x0,82H</v>
          </cell>
          <cell r="Y5042">
            <v>0</v>
          </cell>
          <cell r="Z5042">
            <v>0.35</v>
          </cell>
          <cell r="AA5042">
            <v>0</v>
          </cell>
          <cell r="AB5042"/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H5043">
            <v>1</v>
          </cell>
          <cell r="O5043">
            <v>365739</v>
          </cell>
          <cell r="P5043"/>
          <cell r="Q5043" t="str">
            <v>EST TAMPO CRISTAL LAPIDADO (12MM) INCOLOR (CIRCULAR)</v>
          </cell>
          <cell r="R5043"/>
          <cell r="S5043"/>
          <cell r="T5043">
            <v>1.5</v>
          </cell>
          <cell r="U5043">
            <v>0</v>
          </cell>
          <cell r="V5043">
            <v>0.01</v>
          </cell>
          <cell r="W5043">
            <v>1.5</v>
          </cell>
          <cell r="X5043" t="str">
            <v>EST TAMPO CRISTAL LAPIDADO (12MM) INCOLOR (CIRCULAR) - Ø1,5x0,01H</v>
          </cell>
          <cell r="Y5043" t="e">
            <v>#VALUE!</v>
          </cell>
          <cell r="Z5043">
            <v>0.35</v>
          </cell>
          <cell r="AA5043" t="e">
            <v>#VALUE!</v>
          </cell>
          <cell r="AB5043"/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H5044">
            <v>0</v>
          </cell>
          <cell r="O5044">
            <v>370670</v>
          </cell>
          <cell r="P5044"/>
          <cell r="Q5044" t="str">
            <v>EST SOFA PLATAFORMA (SUCUPIRA) ELB LUDA LINEN/SILVER/GREY</v>
          </cell>
          <cell r="R5044"/>
          <cell r="S5044"/>
          <cell r="T5044">
            <v>3.6</v>
          </cell>
          <cell r="U5044">
            <v>0.9</v>
          </cell>
          <cell r="V5044">
            <v>0.8</v>
          </cell>
          <cell r="W5044">
            <v>0</v>
          </cell>
          <cell r="X5044" t="str">
            <v>EST SOFA PLATAFORMA (SUCUPIRA) ELB LUDA LINEN/SILVER/GREY - 3,6x0,9x0,8H</v>
          </cell>
          <cell r="Y5044">
            <v>0</v>
          </cell>
          <cell r="Z5044">
            <v>0.35</v>
          </cell>
          <cell r="AA5044">
            <v>0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1</v>
          </cell>
          <cell r="O5045">
            <v>370965</v>
          </cell>
          <cell r="P5045" t="str">
            <v>2024/074-0018-01</v>
          </cell>
          <cell r="Q5045" t="str">
            <v>EST MESA JANTAR BELIZE (MADEIRA) TP/BS LAMINA AMENDOA</v>
          </cell>
          <cell r="R5045"/>
          <cell r="S5045"/>
          <cell r="T5045">
            <v>2.8</v>
          </cell>
          <cell r="U5045">
            <v>1.4</v>
          </cell>
          <cell r="V5045">
            <v>0.76</v>
          </cell>
          <cell r="W5045">
            <v>0</v>
          </cell>
          <cell r="X5045" t="str">
            <v>EST MESA JANTAR BELIZE (MADEIRA) TP/BS LAMINA AMENDOA - 2,8x1,4x0,76H</v>
          </cell>
          <cell r="Y5045">
            <v>26065</v>
          </cell>
          <cell r="Z5045">
            <v>0.35</v>
          </cell>
          <cell r="AA5045">
            <v>16942.25</v>
          </cell>
          <cell r="AB5045"/>
        </row>
        <row r="5046">
          <cell r="C5046">
            <v>0</v>
          </cell>
          <cell r="D5046">
            <v>1</v>
          </cell>
          <cell r="E5046">
            <v>0</v>
          </cell>
          <cell r="F5046">
            <v>0</v>
          </cell>
          <cell r="H5046">
            <v>1</v>
          </cell>
          <cell r="O5046">
            <v>371340</v>
          </cell>
          <cell r="P5046" t="str">
            <v>2023/234-0089-01</v>
          </cell>
          <cell r="Q5046" t="str">
            <v>EST CADEIRA QUERO QUERO (COURO 2 2016) (NATURE MATT)</v>
          </cell>
          <cell r="R5046"/>
          <cell r="S5046"/>
          <cell r="T5046">
            <v>0.49</v>
          </cell>
          <cell r="U5046">
            <v>0.54</v>
          </cell>
          <cell r="V5046">
            <v>0.8</v>
          </cell>
          <cell r="W5046">
            <v>0</v>
          </cell>
          <cell r="X5046" t="str">
            <v>EST CADEIRA QUERO QUERO (COURO 2 2016) (NATURE MATT) - 0,49x0,54x0,8H</v>
          </cell>
          <cell r="Y5046">
            <v>7735.8</v>
          </cell>
          <cell r="Z5046">
            <v>0.35</v>
          </cell>
          <cell r="AA5046">
            <v>5028.2700000000004</v>
          </cell>
          <cell r="AB5046"/>
        </row>
        <row r="5047">
          <cell r="C5047">
            <v>0</v>
          </cell>
          <cell r="D5047">
            <v>1</v>
          </cell>
          <cell r="E5047">
            <v>0</v>
          </cell>
          <cell r="F5047">
            <v>0</v>
          </cell>
          <cell r="H5047">
            <v>1</v>
          </cell>
          <cell r="O5047">
            <v>371340</v>
          </cell>
          <cell r="P5047" t="str">
            <v>2023/234-0091-01</v>
          </cell>
          <cell r="Q5047" t="str">
            <v>EST CADEIRA QUERO QUERO (COURO 2 2016) (NATURE MATT)</v>
          </cell>
          <cell r="R5047"/>
          <cell r="S5047"/>
          <cell r="T5047">
            <v>0.49</v>
          </cell>
          <cell r="U5047">
            <v>0.54</v>
          </cell>
          <cell r="V5047">
            <v>0.8</v>
          </cell>
          <cell r="W5047">
            <v>0</v>
          </cell>
          <cell r="X5047" t="str">
            <v>EST CADEIRA QUERO QUERO (COURO 2 2016) (NATURE MATT) - 0,49x0,54x0,8H</v>
          </cell>
          <cell r="Y5047">
            <v>7735.8</v>
          </cell>
          <cell r="Z5047">
            <v>0.35</v>
          </cell>
          <cell r="AA5047">
            <v>5028.2700000000004</v>
          </cell>
          <cell r="AB5047"/>
        </row>
        <row r="5048">
          <cell r="C5048">
            <v>0</v>
          </cell>
          <cell r="D5048">
            <v>1</v>
          </cell>
          <cell r="E5048">
            <v>0</v>
          </cell>
          <cell r="F5048">
            <v>0</v>
          </cell>
          <cell r="H5048">
            <v>1</v>
          </cell>
          <cell r="O5048">
            <v>371340</v>
          </cell>
          <cell r="P5048" t="str">
            <v>2023/234-0092-01</v>
          </cell>
          <cell r="Q5048" t="str">
            <v>EST CADEIRA QUERO QUERO (COURO 2 2016) (NATURE MATT)</v>
          </cell>
          <cell r="R5048"/>
          <cell r="S5048"/>
          <cell r="T5048">
            <v>0.49</v>
          </cell>
          <cell r="U5048">
            <v>0.54</v>
          </cell>
          <cell r="V5048">
            <v>0.8</v>
          </cell>
          <cell r="W5048">
            <v>0</v>
          </cell>
          <cell r="X5048" t="str">
            <v>EST CADEIRA QUERO QUERO (COURO 2 2016) (NATURE MATT) - 0,49x0,54x0,8H</v>
          </cell>
          <cell r="Y5048">
            <v>7735.8</v>
          </cell>
          <cell r="Z5048">
            <v>0.35</v>
          </cell>
          <cell r="AA5048">
            <v>5028.2700000000004</v>
          </cell>
          <cell r="AB5048"/>
        </row>
        <row r="5049">
          <cell r="C5049">
            <v>0</v>
          </cell>
          <cell r="D5049">
            <v>1</v>
          </cell>
          <cell r="E5049">
            <v>0</v>
          </cell>
          <cell r="F5049">
            <v>0</v>
          </cell>
          <cell r="H5049">
            <v>1</v>
          </cell>
          <cell r="O5049">
            <v>371340</v>
          </cell>
          <cell r="P5049" t="str">
            <v>2023/234-0093-01</v>
          </cell>
          <cell r="Q5049" t="str">
            <v>EST CADEIRA QUERO QUERO (COURO 2 2016) (NATURE MATT)</v>
          </cell>
          <cell r="R5049"/>
          <cell r="S5049"/>
          <cell r="T5049">
            <v>0.49</v>
          </cell>
          <cell r="U5049">
            <v>0.54</v>
          </cell>
          <cell r="V5049">
            <v>0.8</v>
          </cell>
          <cell r="W5049">
            <v>0</v>
          </cell>
          <cell r="X5049" t="str">
            <v>EST CADEIRA QUERO QUERO (COURO 2 2016) (NATURE MATT) - 0,49x0,54x0,8H</v>
          </cell>
          <cell r="Y5049">
            <v>7735.8</v>
          </cell>
          <cell r="Z5049">
            <v>0.35</v>
          </cell>
          <cell r="AA5049">
            <v>5028.2700000000004</v>
          </cell>
          <cell r="AB5049"/>
        </row>
        <row r="5050">
          <cell r="C5050">
            <v>0</v>
          </cell>
          <cell r="D5050">
            <v>1</v>
          </cell>
          <cell r="E5050">
            <v>0</v>
          </cell>
          <cell r="F5050">
            <v>0</v>
          </cell>
          <cell r="H5050">
            <v>1</v>
          </cell>
          <cell r="O5050">
            <v>371340</v>
          </cell>
          <cell r="P5050" t="str">
            <v>2023/234-0088-01</v>
          </cell>
          <cell r="Q5050" t="str">
            <v>EST CADEIRA QUERO QUERO (COURO 2 2016) (NATURE MATT)</v>
          </cell>
          <cell r="R5050"/>
          <cell r="S5050"/>
          <cell r="T5050">
            <v>0.49</v>
          </cell>
          <cell r="U5050">
            <v>0.54</v>
          </cell>
          <cell r="V5050">
            <v>0.8</v>
          </cell>
          <cell r="W5050">
            <v>0</v>
          </cell>
          <cell r="X5050" t="str">
            <v>EST CADEIRA QUERO QUERO (COURO 2 2016) (NATURE MATT) - 0,49x0,54x0,8H</v>
          </cell>
          <cell r="Y5050">
            <v>7735.8</v>
          </cell>
          <cell r="Z5050">
            <v>0.35</v>
          </cell>
          <cell r="AA5050">
            <v>5028.2700000000004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1</v>
          </cell>
          <cell r="O5051">
            <v>371556</v>
          </cell>
          <cell r="P5051"/>
          <cell r="Q5051" t="str">
            <v>EST MESA CENTRO VENTURA (IMBUIA)</v>
          </cell>
          <cell r="R5051"/>
          <cell r="S5051"/>
          <cell r="T5051">
            <v>1.6</v>
          </cell>
          <cell r="U5051">
            <v>0</v>
          </cell>
          <cell r="V5051">
            <v>0.35</v>
          </cell>
          <cell r="W5051">
            <v>1.6</v>
          </cell>
          <cell r="X5051" t="str">
            <v>EST MESA CENTRO VENTURA (IMBUIA) - Ø1,6x0,35H</v>
          </cell>
          <cell r="Y5051">
            <v>0</v>
          </cell>
          <cell r="Z5051">
            <v>0.35</v>
          </cell>
          <cell r="AA5051">
            <v>0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1</v>
          </cell>
          <cell r="O5052">
            <v>371595</v>
          </cell>
          <cell r="P5052" t="str">
            <v>2023/269-0007-01</v>
          </cell>
          <cell r="Q5052" t="str">
            <v>EST MESA CENTRO ECLIPSE (TP LAM NAT/LAM NAT) (MTZ CHAMP)</v>
          </cell>
          <cell r="R5052"/>
          <cell r="S5052"/>
          <cell r="T5052">
            <v>1.6</v>
          </cell>
          <cell r="U5052">
            <v>1.2</v>
          </cell>
          <cell r="V5052">
            <v>0.35</v>
          </cell>
          <cell r="W5052">
            <v>0</v>
          </cell>
          <cell r="X5052" t="str">
            <v>EST MESA CENTRO ECLIPSE (TP LAM NAT/LAM NAT) (MTZ CHAMP) - 1,6x1,2x0,35H</v>
          </cell>
          <cell r="Y5052">
            <v>22094.33</v>
          </cell>
          <cell r="Z5052">
            <v>0.35</v>
          </cell>
          <cell r="AA5052">
            <v>14361.3145</v>
          </cell>
          <cell r="AB5052"/>
        </row>
        <row r="5053">
          <cell r="C5053">
            <v>0</v>
          </cell>
          <cell r="D5053">
            <v>0</v>
          </cell>
          <cell r="E5053">
            <v>1</v>
          </cell>
          <cell r="F5053">
            <v>0</v>
          </cell>
          <cell r="H5053">
            <v>0</v>
          </cell>
          <cell r="O5053">
            <v>371604</v>
          </cell>
          <cell r="P5053" t="str">
            <v>2023/258-0044-01</v>
          </cell>
          <cell r="Q5053" t="str">
            <v>EST MESA CENTRO ECLIPSE (MARM 1 ARMANI/ESP BZ) (MTZ COSMIC)</v>
          </cell>
          <cell r="R5053"/>
          <cell r="S5053"/>
          <cell r="T5053">
            <v>1.6</v>
          </cell>
          <cell r="U5053">
            <v>1.2</v>
          </cell>
          <cell r="V5053">
            <v>0.35</v>
          </cell>
          <cell r="W5053">
            <v>0</v>
          </cell>
          <cell r="X5053" t="str">
            <v>EST MESA CENTRO ECLIPSE (MARM 1 ARMANI/ESP BZ) (MTZ COSMIC) - 1,6x1,2x0,35H</v>
          </cell>
          <cell r="Y5053">
            <v>49454.32</v>
          </cell>
          <cell r="Z5053">
            <v>0.35</v>
          </cell>
          <cell r="AA5053">
            <v>32145.308000000001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6</v>
          </cell>
          <cell r="H5054">
            <v>0</v>
          </cell>
          <cell r="O5054">
            <v>373424</v>
          </cell>
          <cell r="P5054" t="str">
            <v>2023/280-0015-01</v>
          </cell>
          <cell r="Q5054" t="str">
            <v>EST CADEIRA QUERO QUERO (FX 50010) (WALNUT MATT)</v>
          </cell>
          <cell r="R5054"/>
          <cell r="S5054"/>
          <cell r="T5054">
            <v>0.49</v>
          </cell>
          <cell r="U5054">
            <v>0.54</v>
          </cell>
          <cell r="V5054">
            <v>0.8</v>
          </cell>
          <cell r="W5054">
            <v>0</v>
          </cell>
          <cell r="X5054" t="str">
            <v>EST CADEIRA QUERO QUERO (FX 50010) (WALNUT MATT) - 0,49x0,54x0,8H</v>
          </cell>
          <cell r="Y5054">
            <v>6223.93</v>
          </cell>
          <cell r="Z5054">
            <v>0.35</v>
          </cell>
          <cell r="AA5054">
            <v>4045.5545000000002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6</v>
          </cell>
          <cell r="H5055">
            <v>0</v>
          </cell>
          <cell r="O5055">
            <v>373424</v>
          </cell>
          <cell r="P5055" t="str">
            <v>2023/280-0019-01</v>
          </cell>
          <cell r="Q5055" t="str">
            <v>EST CADEIRA QUERO QUERO (FX 50010) (WALNUT MATT)</v>
          </cell>
          <cell r="R5055"/>
          <cell r="S5055"/>
          <cell r="T5055">
            <v>0.49</v>
          </cell>
          <cell r="U5055">
            <v>0.54</v>
          </cell>
          <cell r="V5055">
            <v>0.8</v>
          </cell>
          <cell r="W5055">
            <v>0</v>
          </cell>
          <cell r="X5055" t="str">
            <v>EST CADEIRA QUERO QUERO (FX 50010) (WALNUT MATT) - 0,49x0,54x0,8H</v>
          </cell>
          <cell r="Y5055">
            <v>6223.93</v>
          </cell>
          <cell r="Z5055">
            <v>0.35</v>
          </cell>
          <cell r="AA5055">
            <v>4045.5545000000002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373835</v>
          </cell>
          <cell r="P5056" t="str">
            <v>2023/294-0009-01</v>
          </cell>
          <cell r="Q5056" t="str">
            <v>EST SOFA NEW CHATEAU (BI PARTIDO) (MTX GRAFITE) FX D4235</v>
          </cell>
          <cell r="R5056"/>
          <cell r="S5056"/>
          <cell r="T5056">
            <v>2.96</v>
          </cell>
          <cell r="U5056">
            <v>0.96</v>
          </cell>
          <cell r="V5056">
            <v>0.8</v>
          </cell>
          <cell r="W5056">
            <v>0</v>
          </cell>
          <cell r="X5056" t="str">
            <v>EST SOFA NEW CHATEAU (BI PARTIDO) (MTX GRAFITE) FX D4235 - 2,96x0,96x0,8H</v>
          </cell>
          <cell r="Y5056">
            <v>30524.75</v>
          </cell>
          <cell r="Z5056">
            <v>0.35</v>
          </cell>
          <cell r="AA5056">
            <v>19841.087500000001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1</v>
          </cell>
          <cell r="O5057">
            <v>374359</v>
          </cell>
          <cell r="P5057" t="str">
            <v>2024/026-0022-01</v>
          </cell>
          <cell r="Q5057" t="str">
            <v>EST PUFF HIMALAYA (CON) (FX PET 02) NOG</v>
          </cell>
          <cell r="R5057"/>
          <cell r="S5057"/>
          <cell r="T5057">
            <v>1.6</v>
          </cell>
          <cell r="U5057">
            <v>0</v>
          </cell>
          <cell r="V5057">
            <v>0.42</v>
          </cell>
          <cell r="W5057">
            <v>0</v>
          </cell>
          <cell r="X5057" t="str">
            <v>EST PUFF HIMALAYA (CON) (FX PET 02) NOG - Ø0x0,42H</v>
          </cell>
          <cell r="Y5057">
            <v>27884.15</v>
          </cell>
          <cell r="Z5057">
            <v>0.35</v>
          </cell>
          <cell r="AA5057">
            <v>18124.697500000002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0</v>
          </cell>
          <cell r="O5058">
            <v>374364</v>
          </cell>
          <cell r="P5058" t="str">
            <v>2024/026-0029-01</v>
          </cell>
          <cell r="Q5058" t="str">
            <v>EST POLTRONA HIMALAYA (JANTAR) (CLA) (C3002/DB3001) NOG</v>
          </cell>
          <cell r="R5058"/>
          <cell r="S5058"/>
          <cell r="T5058">
            <v>0.7</v>
          </cell>
          <cell r="U5058">
            <v>0.7</v>
          </cell>
          <cell r="V5058">
            <v>0.76</v>
          </cell>
          <cell r="W5058">
            <v>0</v>
          </cell>
          <cell r="X5058" t="str">
            <v>EST POLTRONA HIMALAYA (JANTAR) (CLA) (C3002/DB3001) NOG - 0,7x0,7x0,76H</v>
          </cell>
          <cell r="Y5058">
            <v>11584.681500000001</v>
          </cell>
          <cell r="Z5058">
            <v>0.35</v>
          </cell>
          <cell r="AA5058">
            <v>7530.0429750000003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374364</v>
          </cell>
          <cell r="P5059" t="str">
            <v>2024/026-0030-01</v>
          </cell>
          <cell r="Q5059" t="str">
            <v>EST POLTRONA HIMALAYA (JANTAR) (CLA) (C3002/DB3001) NOG</v>
          </cell>
          <cell r="R5059"/>
          <cell r="S5059"/>
          <cell r="T5059">
            <v>0.7</v>
          </cell>
          <cell r="U5059">
            <v>0.7</v>
          </cell>
          <cell r="V5059">
            <v>0.76</v>
          </cell>
          <cell r="W5059">
            <v>0</v>
          </cell>
          <cell r="X5059" t="str">
            <v>EST POLTRONA HIMALAYA (JANTAR) (CLA) (C3002/DB3001) NOG - 0,7x0,7x0,76H</v>
          </cell>
          <cell r="Y5059">
            <v>11584.681500000001</v>
          </cell>
          <cell r="Z5059">
            <v>0.35</v>
          </cell>
          <cell r="AA5059">
            <v>7530.0429750000003</v>
          </cell>
          <cell r="AB5059"/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1</v>
          </cell>
          <cell r="H5060">
            <v>1</v>
          </cell>
          <cell r="O5060">
            <v>374368</v>
          </cell>
          <cell r="P5060" t="str">
            <v>2024/026-0045-01</v>
          </cell>
          <cell r="Q5060" t="str">
            <v>EST BANQUETA BAR HIMALAYA 75H C/BR (CON) (C3008) AMENDOA</v>
          </cell>
          <cell r="R5060"/>
          <cell r="S5060"/>
          <cell r="T5060">
            <v>0.56000000000000005</v>
          </cell>
          <cell r="U5060">
            <v>0.52</v>
          </cell>
          <cell r="V5060">
            <v>1.04</v>
          </cell>
          <cell r="W5060">
            <v>0</v>
          </cell>
          <cell r="X5060" t="str">
            <v>EST BANQUETA BAR HIMALAYA 75H C/BR (CON) (C3008) AMENDOA - 0,56x0,52x1,04H</v>
          </cell>
          <cell r="Y5060">
            <v>10607.92</v>
          </cell>
          <cell r="Z5060">
            <v>0.35</v>
          </cell>
          <cell r="AA5060">
            <v>6895.1480000000001</v>
          </cell>
          <cell r="AB5060"/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H5061">
            <v>6</v>
          </cell>
          <cell r="O5061">
            <v>388702</v>
          </cell>
          <cell r="P5061" t="str">
            <v>2024/239-0095-01</v>
          </cell>
          <cell r="Q5061" t="str">
            <v>EST CADEIRA ERICA C/B (MAD A JEQ 05) TC BRUNELL0 227</v>
          </cell>
          <cell r="R5061"/>
          <cell r="S5061"/>
          <cell r="T5061">
            <v>0.5</v>
          </cell>
          <cell r="U5061">
            <v>0.61</v>
          </cell>
          <cell r="V5061">
            <v>0.78</v>
          </cell>
          <cell r="W5061">
            <v>0</v>
          </cell>
          <cell r="X5061" t="str">
            <v>EST CADEIRA ERICA C/B (MAD A JEQ 05) TC BRUNELL0 227 - 0,5x0,61x0,78H</v>
          </cell>
          <cell r="Y5061">
            <v>9209.5400000000009</v>
          </cell>
          <cell r="Z5061">
            <v>0.35</v>
          </cell>
          <cell r="AA5061">
            <v>5986.2010000000009</v>
          </cell>
          <cell r="AB5061"/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H5062">
            <v>6</v>
          </cell>
          <cell r="O5062">
            <v>388702</v>
          </cell>
          <cell r="P5062" t="str">
            <v>2024/239-0096-01</v>
          </cell>
          <cell r="Q5062" t="str">
            <v>EST CADEIRA ERICA C/B (MAD A JEQ 05) TC BRUNELL0 227</v>
          </cell>
          <cell r="R5062"/>
          <cell r="S5062"/>
          <cell r="T5062">
            <v>0.5</v>
          </cell>
          <cell r="U5062">
            <v>0.61</v>
          </cell>
          <cell r="V5062">
            <v>0.78</v>
          </cell>
          <cell r="W5062">
            <v>0</v>
          </cell>
          <cell r="X5062" t="str">
            <v>EST CADEIRA ERICA C/B (MAD A JEQ 05) TC BRUNELL0 227 - 0,5x0,61x0,78H</v>
          </cell>
          <cell r="Y5062">
            <v>9209.5400000000009</v>
          </cell>
          <cell r="Z5062">
            <v>0.35</v>
          </cell>
          <cell r="AA5062">
            <v>5986.2010000000009</v>
          </cell>
          <cell r="AB5062"/>
        </row>
        <row r="5063"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H5063">
            <v>6</v>
          </cell>
          <cell r="O5063">
            <v>388702</v>
          </cell>
          <cell r="P5063" t="str">
            <v>2024/239-0097-01</v>
          </cell>
          <cell r="Q5063" t="str">
            <v>EST CADEIRA ERICA C/B (MAD A JEQ 05) TC BRUNELL0 227</v>
          </cell>
          <cell r="R5063"/>
          <cell r="S5063"/>
          <cell r="T5063">
            <v>0.5</v>
          </cell>
          <cell r="U5063">
            <v>0.61</v>
          </cell>
          <cell r="V5063">
            <v>0.78</v>
          </cell>
          <cell r="W5063">
            <v>0</v>
          </cell>
          <cell r="X5063" t="str">
            <v>EST CADEIRA ERICA C/B (MAD A JEQ 05) TC BRUNELL0 227 - 0,5x0,61x0,78H</v>
          </cell>
          <cell r="Y5063">
            <v>9209.5400000000009</v>
          </cell>
          <cell r="Z5063">
            <v>0.35</v>
          </cell>
          <cell r="AA5063">
            <v>5986.2010000000009</v>
          </cell>
          <cell r="AB5063"/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H5064">
            <v>6</v>
          </cell>
          <cell r="O5064">
            <v>388702</v>
          </cell>
          <cell r="P5064" t="str">
            <v>2024/239-0098-01</v>
          </cell>
          <cell r="Q5064" t="str">
            <v>EST CADEIRA ERICA C/B (MAD A JEQ 05) TC BRUNELL0 227</v>
          </cell>
          <cell r="R5064"/>
          <cell r="S5064"/>
          <cell r="T5064">
            <v>0.5</v>
          </cell>
          <cell r="U5064">
            <v>0.61</v>
          </cell>
          <cell r="V5064">
            <v>0.78</v>
          </cell>
          <cell r="W5064">
            <v>0</v>
          </cell>
          <cell r="X5064" t="str">
            <v>EST CADEIRA ERICA C/B (MAD A JEQ 05) TC BRUNELL0 227 - 0,5x0,61x0,78H</v>
          </cell>
          <cell r="Y5064">
            <v>9209.5400000000009</v>
          </cell>
          <cell r="Z5064">
            <v>0.35</v>
          </cell>
          <cell r="AA5064">
            <v>5986.2010000000009</v>
          </cell>
          <cell r="AB5064"/>
        </row>
        <row r="5065">
          <cell r="C5065">
            <v>1</v>
          </cell>
          <cell r="D5065">
            <v>0</v>
          </cell>
          <cell r="E5065">
            <v>0</v>
          </cell>
          <cell r="F5065">
            <v>0</v>
          </cell>
          <cell r="H5065">
            <v>0</v>
          </cell>
          <cell r="O5065">
            <v>378168</v>
          </cell>
          <cell r="P5065" t="str">
            <v>2024/023-0004-01</v>
          </cell>
          <cell r="Q5065" t="str">
            <v>EST TAPETE SISAL CY (BARRA VIRADA)</v>
          </cell>
          <cell r="R5065"/>
          <cell r="S5065"/>
          <cell r="T5065">
            <v>6</v>
          </cell>
          <cell r="U5065">
            <v>4</v>
          </cell>
          <cell r="V5065">
            <v>0</v>
          </cell>
          <cell r="W5065">
            <v>0</v>
          </cell>
          <cell r="X5065" t="str">
            <v>EST TAPETE SISAL CY (BARRA VIRADA) - 6x4x0H</v>
          </cell>
          <cell r="Y5065">
            <v>10662.4</v>
          </cell>
          <cell r="Z5065">
            <v>0.35</v>
          </cell>
          <cell r="AA5065">
            <v>6930.5599999999995</v>
          </cell>
          <cell r="AB5065"/>
        </row>
        <row r="5066">
          <cell r="C5066">
            <v>1</v>
          </cell>
          <cell r="D5066">
            <v>0</v>
          </cell>
          <cell r="E5066">
            <v>0</v>
          </cell>
          <cell r="F5066">
            <v>0</v>
          </cell>
          <cell r="H5066">
            <v>0</v>
          </cell>
          <cell r="O5066">
            <v>378174</v>
          </cell>
          <cell r="P5066" t="str">
            <v>2024/023-0012-01</v>
          </cell>
          <cell r="Q5066" t="str">
            <v>EST TAPETE SISAL C44 (BARRA VIRADA)</v>
          </cell>
          <cell r="R5066"/>
          <cell r="S5066"/>
          <cell r="T5066">
            <v>3.9</v>
          </cell>
          <cell r="U5066">
            <v>0</v>
          </cell>
          <cell r="V5066">
            <v>0</v>
          </cell>
          <cell r="W5066">
            <v>3.9</v>
          </cell>
          <cell r="X5066" t="str">
            <v>EST TAPETE SISAL C44 (BARRA VIRADA) - Ø3,9x0H</v>
          </cell>
          <cell r="Y5066">
            <v>7123.2</v>
          </cell>
          <cell r="Z5066">
            <v>0.35</v>
          </cell>
          <cell r="AA5066">
            <v>4630.08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378220</v>
          </cell>
          <cell r="P5067"/>
          <cell r="Q5067" t="str">
            <v>EST POLTRONA JOHN GRAZ (IMBUIA) TC VINAMALA 01 MULTI</v>
          </cell>
          <cell r="R5067"/>
          <cell r="S5067"/>
          <cell r="T5067">
            <v>0.8</v>
          </cell>
          <cell r="U5067">
            <v>0.83</v>
          </cell>
          <cell r="V5067">
            <v>0.74</v>
          </cell>
          <cell r="W5067">
            <v>0</v>
          </cell>
          <cell r="X5067" t="str">
            <v>EST POLTRONA JOHN GRAZ (IMBUIA) TC VINAMALA 01 MULTI - 0,8x0,83x0,74H</v>
          </cell>
          <cell r="Y5067">
            <v>0</v>
          </cell>
          <cell r="Z5067">
            <v>0.35</v>
          </cell>
          <cell r="AA5067">
            <v>0</v>
          </cell>
          <cell r="AB5067"/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H5068">
            <v>8</v>
          </cell>
          <cell r="O5068">
            <v>378285</v>
          </cell>
          <cell r="P5068" t="str">
            <v>2024/033-0034-01</v>
          </cell>
          <cell r="Q5068" t="str">
            <v>EST CADEIRA PI C/BRACO (MARROM) TC RUSTICO ASTI 5229-121</v>
          </cell>
          <cell r="R5068"/>
          <cell r="S5068"/>
          <cell r="T5068">
            <v>0.75</v>
          </cell>
          <cell r="U5068">
            <v>0.6</v>
          </cell>
          <cell r="V5068">
            <v>0.76</v>
          </cell>
          <cell r="W5068">
            <v>0</v>
          </cell>
          <cell r="X5068" t="str">
            <v>EST CADEIRA PI C/BRACO (MARROM) TC RUSTICO ASTI 5229-121 - 0,75x0,6x0,76H</v>
          </cell>
          <cell r="Y5068">
            <v>8684.11</v>
          </cell>
          <cell r="Z5068">
            <v>0.5</v>
          </cell>
          <cell r="AA5068">
            <v>4342.0550000000003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H5069">
            <v>8</v>
          </cell>
          <cell r="O5069">
            <v>378285</v>
          </cell>
          <cell r="P5069" t="str">
            <v>2024/033-0035-01</v>
          </cell>
          <cell r="Q5069" t="str">
            <v>EST CADEIRA PI C/BRACO (MARROM) TC RUSTICO ASTI 5229-121</v>
          </cell>
          <cell r="R5069"/>
          <cell r="S5069"/>
          <cell r="T5069">
            <v>0.75</v>
          </cell>
          <cell r="U5069">
            <v>0.6</v>
          </cell>
          <cell r="V5069">
            <v>0.76</v>
          </cell>
          <cell r="W5069">
            <v>0</v>
          </cell>
          <cell r="X5069" t="str">
            <v>EST CADEIRA PI C/BRACO (MARROM) TC RUSTICO ASTI 5229-121 - 0,75x0,6x0,76H</v>
          </cell>
          <cell r="Y5069">
            <v>8684.11</v>
          </cell>
          <cell r="Z5069">
            <v>0.5</v>
          </cell>
          <cell r="AA5069">
            <v>4342.0550000000003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H5070">
            <v>8</v>
          </cell>
          <cell r="O5070">
            <v>378285</v>
          </cell>
          <cell r="P5070" t="str">
            <v>2024/033-0036-01</v>
          </cell>
          <cell r="Q5070" t="str">
            <v>EST CADEIRA PI C/BRACO (MARROM) TC RUSTICO ASTI 5229-121</v>
          </cell>
          <cell r="R5070"/>
          <cell r="S5070"/>
          <cell r="T5070">
            <v>0.75</v>
          </cell>
          <cell r="U5070">
            <v>0.6</v>
          </cell>
          <cell r="V5070">
            <v>0.76</v>
          </cell>
          <cell r="W5070">
            <v>0</v>
          </cell>
          <cell r="X5070" t="str">
            <v>EST CADEIRA PI C/BRACO (MARROM) TC RUSTICO ASTI 5229-121 - 0,75x0,6x0,76H</v>
          </cell>
          <cell r="Y5070">
            <v>8684.11</v>
          </cell>
          <cell r="Z5070">
            <v>0.5</v>
          </cell>
          <cell r="AA5070">
            <v>4342.0550000000003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8</v>
          </cell>
          <cell r="O5071">
            <v>378285</v>
          </cell>
          <cell r="P5071" t="str">
            <v>2024/033-0037-01</v>
          </cell>
          <cell r="Q5071" t="str">
            <v>EST CADEIRA PI C/BRACO (MARROM) TC RUSTICO ASTI 5229-121</v>
          </cell>
          <cell r="R5071"/>
          <cell r="S5071"/>
          <cell r="T5071">
            <v>0.75</v>
          </cell>
          <cell r="U5071">
            <v>0.6</v>
          </cell>
          <cell r="V5071">
            <v>0.76</v>
          </cell>
          <cell r="W5071">
            <v>0</v>
          </cell>
          <cell r="X5071" t="str">
            <v>EST CADEIRA PI C/BRACO (MARROM) TC RUSTICO ASTI 5229-121 - 0,75x0,6x0,76H</v>
          </cell>
          <cell r="Y5071">
            <v>8684.11</v>
          </cell>
          <cell r="Z5071">
            <v>0.5</v>
          </cell>
          <cell r="AA5071">
            <v>4342.0550000000003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8</v>
          </cell>
          <cell r="O5072">
            <v>378285</v>
          </cell>
          <cell r="P5072" t="str">
            <v>2024/033-0039-01</v>
          </cell>
          <cell r="Q5072" t="str">
            <v>EST CADEIRA PI C/BRACO (MARROM) TC RUSTICO ASTI 5229-121</v>
          </cell>
          <cell r="R5072"/>
          <cell r="S5072"/>
          <cell r="T5072">
            <v>0.75</v>
          </cell>
          <cell r="U5072">
            <v>0.6</v>
          </cell>
          <cell r="V5072">
            <v>0.76</v>
          </cell>
          <cell r="W5072">
            <v>0</v>
          </cell>
          <cell r="X5072" t="str">
            <v>EST CADEIRA PI C/BRACO (MARROM) TC RUSTICO ASTI 5229-121 - 0,75x0,6x0,76H</v>
          </cell>
          <cell r="Y5072">
            <v>8684.11</v>
          </cell>
          <cell r="Z5072">
            <v>0.5</v>
          </cell>
          <cell r="AA5072">
            <v>4342.0550000000003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8</v>
          </cell>
          <cell r="O5073">
            <v>378285</v>
          </cell>
          <cell r="P5073" t="str">
            <v>2024/033-0040-01</v>
          </cell>
          <cell r="Q5073" t="str">
            <v>EST CADEIRA PI C/BRACO (MARROM) TC RUSTICO ASTI 5229-121</v>
          </cell>
          <cell r="R5073"/>
          <cell r="S5073"/>
          <cell r="T5073">
            <v>0.75</v>
          </cell>
          <cell r="U5073">
            <v>0.6</v>
          </cell>
          <cell r="V5073">
            <v>0.76</v>
          </cell>
          <cell r="W5073">
            <v>0</v>
          </cell>
          <cell r="X5073" t="str">
            <v>EST CADEIRA PI C/BRACO (MARROM) TC RUSTICO ASTI 5229-121 - 0,75x0,6x0,76H</v>
          </cell>
          <cell r="Y5073">
            <v>8684.11</v>
          </cell>
          <cell r="Z5073">
            <v>0.5</v>
          </cell>
          <cell r="AA5073">
            <v>4342.0550000000003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8</v>
          </cell>
          <cell r="O5074">
            <v>378285</v>
          </cell>
          <cell r="P5074" t="str">
            <v>2024/033-0033-01</v>
          </cell>
          <cell r="Q5074" t="str">
            <v>EST CADEIRA PI C/BRACO (MARROM) TC RUSTICO ASTI 5229-121</v>
          </cell>
          <cell r="R5074"/>
          <cell r="S5074"/>
          <cell r="T5074">
            <v>0.75</v>
          </cell>
          <cell r="U5074">
            <v>0.6</v>
          </cell>
          <cell r="V5074">
            <v>0.76</v>
          </cell>
          <cell r="W5074">
            <v>0</v>
          </cell>
          <cell r="X5074" t="str">
            <v>EST CADEIRA PI C/BRACO (MARROM) TC RUSTICO ASTI 5229-121 - 0,75x0,6x0,76H</v>
          </cell>
          <cell r="Y5074">
            <v>8684.11</v>
          </cell>
          <cell r="Z5074">
            <v>0.5</v>
          </cell>
          <cell r="AA5074">
            <v>4342.0550000000003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0</v>
          </cell>
          <cell r="H5075">
            <v>8</v>
          </cell>
          <cell r="O5075">
            <v>378285</v>
          </cell>
          <cell r="P5075" t="str">
            <v>2024/033-0038-01</v>
          </cell>
          <cell r="Q5075" t="str">
            <v>EST CADEIRA PI C/BRACO (MARROM) TC RUSTICO ASTI 5229-121</v>
          </cell>
          <cell r="R5075"/>
          <cell r="S5075"/>
          <cell r="T5075">
            <v>0.75</v>
          </cell>
          <cell r="U5075">
            <v>0.6</v>
          </cell>
          <cell r="V5075">
            <v>0.76</v>
          </cell>
          <cell r="W5075">
            <v>0</v>
          </cell>
          <cell r="X5075" t="str">
            <v>EST CADEIRA PI C/BRACO (MARROM) TC RUSTICO ASTI 5229-121 - 0,75x0,6x0,76H</v>
          </cell>
          <cell r="Y5075">
            <v>8684.11</v>
          </cell>
          <cell r="Z5075">
            <v>0.5</v>
          </cell>
          <cell r="AA5075">
            <v>4342.0550000000003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0</v>
          </cell>
          <cell r="O5076">
            <v>378346</v>
          </cell>
          <cell r="P5076" t="str">
            <v>2024/032-0034-01</v>
          </cell>
          <cell r="Q5076" t="str">
            <v>EST POLTRONA AGHATA PLUS (GIRATORIA) (MTX MARROM) FX B2220</v>
          </cell>
          <cell r="R5076"/>
          <cell r="S5076"/>
          <cell r="T5076">
            <v>0.68</v>
          </cell>
          <cell r="U5076">
            <v>0.8</v>
          </cell>
          <cell r="V5076">
            <v>0.76</v>
          </cell>
          <cell r="W5076">
            <v>0</v>
          </cell>
          <cell r="X5076" t="str">
            <v>EST POLTRONA AGHATA PLUS (GIRATORIA) (MTX MARROM) FX B2220 - 0,68x0,8x0,76H</v>
          </cell>
          <cell r="Y5076">
            <v>9627.9699999999993</v>
          </cell>
          <cell r="Z5076">
            <v>0.35</v>
          </cell>
          <cell r="AA5076">
            <v>6258.1805000000004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0</v>
          </cell>
          <cell r="O5077">
            <v>378346</v>
          </cell>
          <cell r="P5077" t="str">
            <v>2024/032-0035-01</v>
          </cell>
          <cell r="Q5077" t="str">
            <v>EST POLTRONA AGHATA PLUS (GIRATORIA) (MTX MARROM) FX B2220</v>
          </cell>
          <cell r="R5077"/>
          <cell r="S5077"/>
          <cell r="T5077">
            <v>0.68</v>
          </cell>
          <cell r="U5077">
            <v>0.8</v>
          </cell>
          <cell r="V5077">
            <v>0.76</v>
          </cell>
          <cell r="W5077">
            <v>0</v>
          </cell>
          <cell r="X5077" t="str">
            <v>EST POLTRONA AGHATA PLUS (GIRATORIA) (MTX MARROM) FX B2220 - 0,68x0,8x0,76H</v>
          </cell>
          <cell r="Y5077">
            <v>9627.9699999999993</v>
          </cell>
          <cell r="Z5077">
            <v>0.35</v>
          </cell>
          <cell r="AA5077">
            <v>6258.1805000000004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1</v>
          </cell>
          <cell r="O5078">
            <v>378392</v>
          </cell>
          <cell r="P5078" t="str">
            <v>2024/030-0068-01</v>
          </cell>
          <cell r="Q5078" t="str">
            <v>EST TAPETE TROPICAL (LISO) (1 COR) (10MM) F:89</v>
          </cell>
          <cell r="R5078"/>
          <cell r="S5078"/>
          <cell r="T5078">
            <v>4</v>
          </cell>
          <cell r="U5078">
            <v>1</v>
          </cell>
          <cell r="V5078">
            <v>0.01</v>
          </cell>
          <cell r="W5078">
            <v>0</v>
          </cell>
          <cell r="X5078" t="str">
            <v>EST TAPETE TROPICAL (LISO) (1 COR) (10MM) F:89 - 4x1x0,01H</v>
          </cell>
          <cell r="Y5078">
            <v>6773.76</v>
          </cell>
          <cell r="Z5078">
            <v>0.35</v>
          </cell>
          <cell r="AA5078">
            <v>4402.9440000000004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1</v>
          </cell>
          <cell r="O5079">
            <v>378477</v>
          </cell>
          <cell r="P5079" t="str">
            <v>2024/030-0010-01</v>
          </cell>
          <cell r="Q5079" t="str">
            <v>EST MESA CENTRO HIMALAYA (CLAS) (TP MARM NEW ROME) (WALNUT)</v>
          </cell>
          <cell r="R5079"/>
          <cell r="S5079"/>
          <cell r="T5079">
            <v>1.2</v>
          </cell>
          <cell r="U5079">
            <v>0</v>
          </cell>
          <cell r="V5079">
            <v>0.35</v>
          </cell>
          <cell r="W5079">
            <v>1.2</v>
          </cell>
          <cell r="X5079" t="str">
            <v>EST MESA CENTRO HIMALAYA (CLAS) (TP MARM NEW ROME) (WALNUT) - Ø1,2x0,35H</v>
          </cell>
          <cell r="Y5079">
            <v>43885.41</v>
          </cell>
          <cell r="Z5079">
            <v>0.5</v>
          </cell>
          <cell r="AA5079">
            <v>21942.705000000002</v>
          </cell>
          <cell r="AB5079"/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H5080">
            <v>1</v>
          </cell>
          <cell r="O5080">
            <v>378493</v>
          </cell>
          <cell r="P5080" t="str">
            <v>2024/075-0029-01</v>
          </cell>
          <cell r="Q5080" t="str">
            <v>EST MESA JANTAR HIMALAYA (CONT) (TP MARM NUVOLA) (WALNUT)</v>
          </cell>
          <cell r="R5080"/>
          <cell r="S5080"/>
          <cell r="T5080">
            <v>1.8</v>
          </cell>
          <cell r="U5080">
            <v>0</v>
          </cell>
          <cell r="V5080">
            <v>0.75</v>
          </cell>
          <cell r="W5080">
            <v>1.8</v>
          </cell>
          <cell r="X5080" t="str">
            <v>EST MESA JANTAR HIMALAYA (CONT) (TP MARM NUVOLA) (WALNUT) - Ø1,8x0,75H</v>
          </cell>
          <cell r="Y5080">
            <v>97143.6</v>
          </cell>
          <cell r="Z5080">
            <v>0.35</v>
          </cell>
          <cell r="AA5080">
            <v>63143.340000000004</v>
          </cell>
          <cell r="AB5080"/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2</v>
          </cell>
          <cell r="H5081">
            <v>0</v>
          </cell>
          <cell r="O5081">
            <v>378711</v>
          </cell>
          <cell r="P5081" t="str">
            <v>2024/031-0035-01</v>
          </cell>
          <cell r="Q5081" t="str">
            <v>EST CADEIRA CACAU C/BRACO (AMENDOA) (LATAO) TC 1000 - 1374</v>
          </cell>
          <cell r="R5081"/>
          <cell r="S5081"/>
          <cell r="T5081">
            <v>0.61</v>
          </cell>
          <cell r="U5081">
            <v>0.61</v>
          </cell>
          <cell r="V5081">
            <v>0.84</v>
          </cell>
          <cell r="W5081">
            <v>0</v>
          </cell>
          <cell r="X5081" t="str">
            <v>EST CADEIRA CACAU C/BRACO (AMENDOA) (LATAO) TC 1000 - 1374 - 0,61x0,61x0,84H</v>
          </cell>
          <cell r="Y5081">
            <v>6616.15</v>
          </cell>
          <cell r="Z5081">
            <v>0.5</v>
          </cell>
          <cell r="AA5081">
            <v>3308.0749999999998</v>
          </cell>
          <cell r="AB5081"/>
        </row>
        <row r="5082">
          <cell r="C5082">
            <v>6</v>
          </cell>
          <cell r="D5082">
            <v>0</v>
          </cell>
          <cell r="E5082">
            <v>1</v>
          </cell>
          <cell r="F5082">
            <v>1</v>
          </cell>
          <cell r="H5082">
            <v>0</v>
          </cell>
          <cell r="O5082">
            <v>378829</v>
          </cell>
          <cell r="P5082" t="str">
            <v>2024/065-0023-01</v>
          </cell>
          <cell r="Q5082" t="str">
            <v>EST CADEIRA DYLAN III (CINAMOMO AMENDOA NOCE) COURO CH 32</v>
          </cell>
          <cell r="R5082"/>
          <cell r="S5082"/>
          <cell r="T5082">
            <v>0.5</v>
          </cell>
          <cell r="U5082">
            <v>0.57999999999999996</v>
          </cell>
          <cell r="V5082">
            <v>0.8</v>
          </cell>
          <cell r="W5082">
            <v>0</v>
          </cell>
          <cell r="X5082" t="str">
            <v>EST CADEIRA DYLAN III (CINAMOMO AMENDOA NOCE) COURO CH 32 - 0,5x0,58x0,8H</v>
          </cell>
          <cell r="Y5082">
            <v>4387.8899999999994</v>
          </cell>
          <cell r="Z5082">
            <v>0.35</v>
          </cell>
          <cell r="AA5082">
            <v>2852.1284999999998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1</v>
          </cell>
          <cell r="O5083">
            <v>378923</v>
          </cell>
          <cell r="P5083" t="str">
            <v>2024/065-0084-01</v>
          </cell>
          <cell r="Q5083" t="str">
            <v>EST MESA CENTRO HIMALAYA VITRINE (CLEAR) (LAM1 EBANIZ) NOGAL</v>
          </cell>
          <cell r="R5083"/>
          <cell r="S5083"/>
          <cell r="T5083">
            <v>1.05</v>
          </cell>
          <cell r="U5083">
            <v>1.05</v>
          </cell>
          <cell r="V5083">
            <v>0.31</v>
          </cell>
          <cell r="W5083">
            <v>0</v>
          </cell>
          <cell r="X5083" t="str">
            <v>EST MESA CENTRO HIMALAYA VITRINE (CLEAR) (LAM1 EBANIZ) NOGAL - 1,05x1,05x0,31H</v>
          </cell>
          <cell r="Y5083">
            <v>37340.35</v>
          </cell>
          <cell r="Z5083">
            <v>0.35</v>
          </cell>
          <cell r="AA5083">
            <v>24271.227500000001</v>
          </cell>
          <cell r="AB5083"/>
        </row>
        <row r="5084">
          <cell r="C5084">
            <v>0</v>
          </cell>
          <cell r="D5084">
            <v>1</v>
          </cell>
          <cell r="E5084">
            <v>0</v>
          </cell>
          <cell r="F5084">
            <v>0</v>
          </cell>
          <cell r="H5084">
            <v>5</v>
          </cell>
          <cell r="O5084">
            <v>379015</v>
          </cell>
          <cell r="P5084" t="str">
            <v>2024/211-0033-01</v>
          </cell>
          <cell r="Q5084" t="str">
            <v>EST CADEIRA VIA (COURO TP3 PROMO LA PAZ PRETO FSC) PRETO</v>
          </cell>
          <cell r="R5084"/>
          <cell r="S5084"/>
          <cell r="T5084">
            <v>0.6</v>
          </cell>
          <cell r="U5084">
            <v>0.53</v>
          </cell>
          <cell r="V5084">
            <v>0.78</v>
          </cell>
          <cell r="W5084">
            <v>0</v>
          </cell>
          <cell r="X5084" t="str">
            <v>EST CADEIRA VIA (COURO TP3 PROMO LA PAZ PRETO FSC) PRETO - 0,6x0,53x0,78H</v>
          </cell>
          <cell r="Y5084">
            <v>11913.13</v>
          </cell>
          <cell r="Z5084">
            <v>0.35</v>
          </cell>
          <cell r="AA5084">
            <v>7743.5344999999998</v>
          </cell>
          <cell r="AB5084"/>
        </row>
        <row r="5085">
          <cell r="C5085">
            <v>0</v>
          </cell>
          <cell r="D5085">
            <v>1</v>
          </cell>
          <cell r="E5085">
            <v>0</v>
          </cell>
          <cell r="F5085">
            <v>0</v>
          </cell>
          <cell r="H5085">
            <v>5</v>
          </cell>
          <cell r="O5085">
            <v>379015</v>
          </cell>
          <cell r="P5085" t="str">
            <v>2024/211-0032-01</v>
          </cell>
          <cell r="Q5085" t="str">
            <v>EST CADEIRA VIA (COURO TP3 PROMO LA PAZ PRETO FSC) PRETO</v>
          </cell>
          <cell r="R5085"/>
          <cell r="S5085"/>
          <cell r="T5085">
            <v>0.6</v>
          </cell>
          <cell r="U5085">
            <v>0.53</v>
          </cell>
          <cell r="V5085">
            <v>0.78</v>
          </cell>
          <cell r="W5085">
            <v>0</v>
          </cell>
          <cell r="X5085" t="str">
            <v>EST CADEIRA VIA (COURO TP3 PROMO LA PAZ PRETO FSC) PRETO - 0,6x0,53x0,78H</v>
          </cell>
          <cell r="Y5085">
            <v>11913.13</v>
          </cell>
          <cell r="Z5085">
            <v>0.35</v>
          </cell>
          <cell r="AA5085">
            <v>7743.5344999999998</v>
          </cell>
          <cell r="AB5085"/>
        </row>
        <row r="5086">
          <cell r="C5086">
            <v>0</v>
          </cell>
          <cell r="D5086">
            <v>1</v>
          </cell>
          <cell r="E5086">
            <v>0</v>
          </cell>
          <cell r="F5086">
            <v>0</v>
          </cell>
          <cell r="H5086">
            <v>5</v>
          </cell>
          <cell r="O5086">
            <v>379015</v>
          </cell>
          <cell r="P5086" t="str">
            <v>2024/211-0034-01</v>
          </cell>
          <cell r="Q5086" t="str">
            <v>EST CADEIRA VIA (COURO TP3 PROMO LA PAZ PRETO FSC) PRETO</v>
          </cell>
          <cell r="R5086"/>
          <cell r="S5086"/>
          <cell r="T5086">
            <v>0.6</v>
          </cell>
          <cell r="U5086">
            <v>0.53</v>
          </cell>
          <cell r="V5086">
            <v>0.78</v>
          </cell>
          <cell r="W5086">
            <v>0</v>
          </cell>
          <cell r="X5086" t="str">
            <v>EST CADEIRA VIA (COURO TP3 PROMO LA PAZ PRETO FSC) PRETO - 0,6x0,53x0,78H</v>
          </cell>
          <cell r="Y5086">
            <v>11913.13</v>
          </cell>
          <cell r="Z5086">
            <v>0.35</v>
          </cell>
          <cell r="AA5086">
            <v>7743.5344999999998</v>
          </cell>
          <cell r="AB5086"/>
        </row>
        <row r="5087">
          <cell r="C5087">
            <v>0</v>
          </cell>
          <cell r="D5087">
            <v>1</v>
          </cell>
          <cell r="E5087">
            <v>0</v>
          </cell>
          <cell r="F5087">
            <v>0</v>
          </cell>
          <cell r="H5087">
            <v>5</v>
          </cell>
          <cell r="O5087">
            <v>379015</v>
          </cell>
          <cell r="P5087" t="str">
            <v>2024/211-0036-01</v>
          </cell>
          <cell r="Q5087" t="str">
            <v>EST CADEIRA VIA (COURO TP3 PROMO LA PAZ PRETO FSC) PRETO</v>
          </cell>
          <cell r="R5087"/>
          <cell r="S5087"/>
          <cell r="T5087">
            <v>0.6</v>
          </cell>
          <cell r="U5087">
            <v>0.53</v>
          </cell>
          <cell r="V5087">
            <v>0.78</v>
          </cell>
          <cell r="W5087">
            <v>0</v>
          </cell>
          <cell r="X5087" t="str">
            <v>EST CADEIRA VIA (COURO TP3 PROMO LA PAZ PRETO FSC) PRETO - 0,6x0,53x0,78H</v>
          </cell>
          <cell r="Y5087">
            <v>11913.13</v>
          </cell>
          <cell r="Z5087">
            <v>0.35</v>
          </cell>
          <cell r="AA5087">
            <v>7743.5344999999998</v>
          </cell>
          <cell r="AB5087"/>
        </row>
        <row r="5088">
          <cell r="C5088">
            <v>2</v>
          </cell>
          <cell r="D5088">
            <v>0</v>
          </cell>
          <cell r="E5088">
            <v>0</v>
          </cell>
          <cell r="F5088">
            <v>0</v>
          </cell>
          <cell r="H5088">
            <v>4</v>
          </cell>
          <cell r="O5088">
            <v>379017</v>
          </cell>
          <cell r="P5088" t="str">
            <v>2024/201-0004-01</v>
          </cell>
          <cell r="Q5088" t="str">
            <v>EST CADEIRA VIA (COURO TP2 PROMO GRANO SANDSTORM) CHAMPAGNE</v>
          </cell>
          <cell r="R5088"/>
          <cell r="S5088"/>
          <cell r="T5088">
            <v>0.6</v>
          </cell>
          <cell r="U5088">
            <v>0.53</v>
          </cell>
          <cell r="V5088">
            <v>0.78</v>
          </cell>
          <cell r="W5088">
            <v>0</v>
          </cell>
          <cell r="X5088" t="str">
            <v>EST CADEIRA VIA (COURO TP2 PROMO GRANO SANDSTORM) CHAMPAGNE - 0,6x0,53x0,78H</v>
          </cell>
          <cell r="Y5088">
            <v>11701.89</v>
          </cell>
          <cell r="Z5088">
            <v>0.35</v>
          </cell>
          <cell r="AA5088">
            <v>7606.2284999999993</v>
          </cell>
          <cell r="AB5088"/>
        </row>
        <row r="5089">
          <cell r="C5089">
            <v>2</v>
          </cell>
          <cell r="D5089">
            <v>0</v>
          </cell>
          <cell r="E5089">
            <v>0</v>
          </cell>
          <cell r="F5089">
            <v>0</v>
          </cell>
          <cell r="H5089">
            <v>4</v>
          </cell>
          <cell r="O5089">
            <v>379017</v>
          </cell>
          <cell r="P5089" t="str">
            <v>2024/201-0005-01</v>
          </cell>
          <cell r="Q5089" t="str">
            <v>EST CADEIRA VIA (COURO TP2 PROMO GRANO SANDSTORM) CHAMPAGNE</v>
          </cell>
          <cell r="R5089"/>
          <cell r="S5089"/>
          <cell r="T5089">
            <v>0.6</v>
          </cell>
          <cell r="U5089">
            <v>0.53</v>
          </cell>
          <cell r="V5089">
            <v>0.78</v>
          </cell>
          <cell r="W5089">
            <v>0</v>
          </cell>
          <cell r="X5089" t="str">
            <v>EST CADEIRA VIA (COURO TP2 PROMO GRANO SANDSTORM) CHAMPAGNE - 0,6x0,53x0,78H</v>
          </cell>
          <cell r="Y5089">
            <v>11701.89</v>
          </cell>
          <cell r="Z5089">
            <v>0.35</v>
          </cell>
          <cell r="AA5089">
            <v>7606.2284999999993</v>
          </cell>
          <cell r="AB5089"/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H5090">
            <v>4</v>
          </cell>
          <cell r="O5090">
            <v>379017</v>
          </cell>
          <cell r="P5090" t="str">
            <v>2024/201-0006-01</v>
          </cell>
          <cell r="Q5090" t="str">
            <v>EST CADEIRA VIA (COURO TP2 PROMO GRANO SANDSTORM) CHAMPAGNE</v>
          </cell>
          <cell r="R5090"/>
          <cell r="S5090"/>
          <cell r="T5090">
            <v>0.6</v>
          </cell>
          <cell r="U5090">
            <v>0.53</v>
          </cell>
          <cell r="V5090">
            <v>0.78</v>
          </cell>
          <cell r="W5090">
            <v>0</v>
          </cell>
          <cell r="X5090" t="str">
            <v>EST CADEIRA VIA (COURO TP2 PROMO GRANO SANDSTORM) CHAMPAGNE - 0,6x0,53x0,78H</v>
          </cell>
          <cell r="Y5090">
            <v>11701.89</v>
          </cell>
          <cell r="Z5090">
            <v>0.35</v>
          </cell>
          <cell r="AA5090">
            <v>7606.2284999999993</v>
          </cell>
          <cell r="AB5090"/>
        </row>
        <row r="5091">
          <cell r="C5091">
            <v>2</v>
          </cell>
          <cell r="D5091">
            <v>0</v>
          </cell>
          <cell r="E5091">
            <v>0</v>
          </cell>
          <cell r="F5091">
            <v>0</v>
          </cell>
          <cell r="H5091">
            <v>4</v>
          </cell>
          <cell r="O5091">
            <v>379017</v>
          </cell>
          <cell r="P5091" t="str">
            <v>2024/201-0007-01</v>
          </cell>
          <cell r="Q5091" t="str">
            <v>EST CADEIRA VIA (COURO TP2 PROMO GRANO SANDSTORM) CHAMPAGNE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TP2 PROMO GRANO SANDSTORM) CHAMPAGNE - 0,6x0,53x0,78H</v>
          </cell>
          <cell r="Y5091">
            <v>11701.89</v>
          </cell>
          <cell r="Z5091">
            <v>0.35</v>
          </cell>
          <cell r="AA5091">
            <v>7606.2284999999993</v>
          </cell>
          <cell r="AB5091"/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H5092">
            <v>1</v>
          </cell>
          <cell r="O5092">
            <v>379022</v>
          </cell>
          <cell r="P5092" t="str">
            <v>2024/073-0007-01</v>
          </cell>
          <cell r="Q5092" t="str">
            <v>EST POLTRONA GALAPAGOS (MST) (TP2 G SILVESTRE) (TP4 C MUSGO)</v>
          </cell>
          <cell r="R5092"/>
          <cell r="S5092"/>
          <cell r="T5092">
            <v>0.85</v>
          </cell>
          <cell r="U5092">
            <v>0.92</v>
          </cell>
          <cell r="V5092">
            <v>0.8</v>
          </cell>
          <cell r="W5092">
            <v>0</v>
          </cell>
          <cell r="X5092" t="str">
            <v>EST POLTRONA GALAPAGOS (MST) (TP2 G SILVESTRE) (TP4 C MUSGO) - 0,85x0,92x0,8H</v>
          </cell>
          <cell r="Y5092">
            <v>25108.43</v>
          </cell>
          <cell r="Z5092">
            <v>0.35</v>
          </cell>
          <cell r="AA5092">
            <v>16320.479500000001</v>
          </cell>
          <cell r="AB5092"/>
        </row>
        <row r="5093"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H5093">
            <v>2</v>
          </cell>
          <cell r="O5093">
            <v>379023</v>
          </cell>
          <cell r="P5093" t="str">
            <v>2024/073-0008-01</v>
          </cell>
          <cell r="Q5093" t="str">
            <v>EST POLTRONA GALAPAGOS (MST) (TP3 E COGNAC) (TP4 C TABACO)</v>
          </cell>
          <cell r="R5093"/>
          <cell r="S5093"/>
          <cell r="T5093">
            <v>0.85</v>
          </cell>
          <cell r="U5093">
            <v>0.92</v>
          </cell>
          <cell r="V5093">
            <v>0.8</v>
          </cell>
          <cell r="W5093">
            <v>0</v>
          </cell>
          <cell r="X5093" t="str">
            <v>EST POLTRONA GALAPAGOS (MST) (TP3 E COGNAC) (TP4 C TABACO) - 0,85x0,92x0,8H</v>
          </cell>
          <cell r="Y5093">
            <v>25108.43</v>
          </cell>
          <cell r="Z5093">
            <v>0.35</v>
          </cell>
          <cell r="AA5093">
            <v>16320.479500000001</v>
          </cell>
          <cell r="AB5093"/>
        </row>
        <row r="5094">
          <cell r="C5094">
            <v>0</v>
          </cell>
          <cell r="D5094">
            <v>0</v>
          </cell>
          <cell r="E5094">
            <v>0</v>
          </cell>
          <cell r="F5094">
            <v>0</v>
          </cell>
          <cell r="H5094">
            <v>2</v>
          </cell>
          <cell r="O5094">
            <v>379023</v>
          </cell>
          <cell r="P5094" t="str">
            <v>2024/073-0009-01</v>
          </cell>
          <cell r="Q5094" t="str">
            <v>EST POLTRONA GALAPAGOS (MST) (TP3 E COGNAC) (TP4 C TABACO)</v>
          </cell>
          <cell r="R5094"/>
          <cell r="S5094"/>
          <cell r="T5094">
            <v>0.85</v>
          </cell>
          <cell r="U5094">
            <v>0.92</v>
          </cell>
          <cell r="V5094">
            <v>0.8</v>
          </cell>
          <cell r="W5094">
            <v>0</v>
          </cell>
          <cell r="X5094" t="str">
            <v>EST POLTRONA GALAPAGOS (MST) (TP3 E COGNAC) (TP4 C TABACO) - 0,85x0,92x0,8H</v>
          </cell>
          <cell r="Y5094">
            <v>25108.43</v>
          </cell>
          <cell r="Z5094">
            <v>0.35</v>
          </cell>
          <cell r="AA5094">
            <v>16320.479500000001</v>
          </cell>
          <cell r="AB5094"/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H5095">
            <v>0</v>
          </cell>
          <cell r="O5095">
            <v>379527</v>
          </cell>
          <cell r="P5095" t="str">
            <v>2024/068-0007-01</v>
          </cell>
          <cell r="Q5095" t="str">
            <v>EST POLTRONA MONDRIAN (LAM) (C1 CREME/CARV BR) (TC 6649)</v>
          </cell>
          <cell r="R5095"/>
          <cell r="S5095"/>
          <cell r="T5095">
            <v>0.98</v>
          </cell>
          <cell r="U5095">
            <v>1.05</v>
          </cell>
          <cell r="V5095">
            <v>0.71</v>
          </cell>
          <cell r="W5095">
            <v>0</v>
          </cell>
          <cell r="X5095" t="str">
            <v>EST POLTRONA MONDRIAN (LAM) (C1 CREME/CARV BR) (TC 6649) - 0,98x1,05x0,71H</v>
          </cell>
          <cell r="Y5095">
            <v>49714.02</v>
          </cell>
          <cell r="Z5095">
            <v>0.35</v>
          </cell>
          <cell r="AA5095">
            <v>32314.112999999998</v>
          </cell>
          <cell r="AB5095"/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H5096">
            <v>1</v>
          </cell>
          <cell r="O5096">
            <v>379528</v>
          </cell>
          <cell r="P5096" t="str">
            <v>2024/068-0008-01</v>
          </cell>
          <cell r="Q5096" t="str">
            <v>EST POLTRONA MONDRIAN (MISTO) (C2 KURK/CARV BR) (C1 CREME)</v>
          </cell>
          <cell r="R5096"/>
          <cell r="S5096"/>
          <cell r="T5096">
            <v>0.98</v>
          </cell>
          <cell r="U5096">
            <v>1.05</v>
          </cell>
          <cell r="V5096">
            <v>0.81</v>
          </cell>
          <cell r="W5096">
            <v>0</v>
          </cell>
          <cell r="X5096" t="str">
            <v>EST POLTRONA MONDRIAN (MISTO) (C2 KURK/CARV BR) (C1 CREME) - 0,98x1,05x0,81H</v>
          </cell>
          <cell r="Y5096">
            <v>72154.3</v>
          </cell>
          <cell r="Z5096">
            <v>0.35</v>
          </cell>
          <cell r="AA5096">
            <v>46900.294999999998</v>
          </cell>
          <cell r="AB5096"/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H5097">
            <v>1</v>
          </cell>
          <cell r="O5097">
            <v>379532</v>
          </cell>
          <cell r="P5097" t="str">
            <v>2024/068-0009-01</v>
          </cell>
          <cell r="Q5097" t="str">
            <v>EST CHAISE B/DIR MONDRIAN (LAM) (C1 SEPIA/NOG) (C1 SEPIA)</v>
          </cell>
          <cell r="R5097"/>
          <cell r="S5097"/>
          <cell r="T5097">
            <v>0.94</v>
          </cell>
          <cell r="U5097">
            <v>1.7</v>
          </cell>
          <cell r="V5097">
            <v>0.71</v>
          </cell>
          <cell r="W5097">
            <v>0</v>
          </cell>
          <cell r="X5097" t="str">
            <v>EST CHAISE B/DIR MONDRIAN (LAM) (C1 SEPIA/NOG) (C1 SEPIA) - 0,94x1,7x0,71H</v>
          </cell>
          <cell r="Y5097">
            <v>71279.08</v>
          </cell>
          <cell r="Z5097">
            <v>0.35</v>
          </cell>
          <cell r="AA5097">
            <v>46331.402000000002</v>
          </cell>
          <cell r="AB5097"/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H5098">
            <v>0</v>
          </cell>
          <cell r="O5098">
            <v>379548</v>
          </cell>
          <cell r="P5098" t="str">
            <v>2024/080-0011-01</v>
          </cell>
          <cell r="Q5098" t="str">
            <v>EST POLTRONA HIMALAYA (JANTAR) (CON) (C3008) NOG</v>
          </cell>
          <cell r="R5098"/>
          <cell r="S5098"/>
          <cell r="T5098">
            <v>0.7</v>
          </cell>
          <cell r="U5098">
            <v>0.7</v>
          </cell>
          <cell r="V5098">
            <v>0.76</v>
          </cell>
          <cell r="W5098">
            <v>0</v>
          </cell>
          <cell r="X5098" t="str">
            <v>EST POLTRONA HIMALAYA (JANTAR) (CON) (C3008) NOG - 0,7x0,7x0,76H</v>
          </cell>
          <cell r="Y5098">
            <v>10182.82</v>
          </cell>
          <cell r="Z5098">
            <v>0.35</v>
          </cell>
          <cell r="AA5098">
            <v>6618.8330000000005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379548</v>
          </cell>
          <cell r="P5099" t="str">
            <v>2024/080-0010-01</v>
          </cell>
          <cell r="Q5099" t="str">
            <v>EST POLTRONA HIMALAYA (JANTAR) (CON) (C3008) NOG</v>
          </cell>
          <cell r="R5099"/>
          <cell r="S5099"/>
          <cell r="T5099">
            <v>0.7</v>
          </cell>
          <cell r="U5099">
            <v>0.7</v>
          </cell>
          <cell r="V5099">
            <v>0.76</v>
          </cell>
          <cell r="W5099">
            <v>0</v>
          </cell>
          <cell r="X5099" t="str">
            <v>EST POLTRONA HIMALAYA (JANTAR) (CON) (C3008) NOG - 0,7x0,7x0,76H</v>
          </cell>
          <cell r="Y5099">
            <v>10182.82</v>
          </cell>
          <cell r="Z5099">
            <v>0.35</v>
          </cell>
          <cell r="AA5099">
            <v>6618.8330000000005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2</v>
          </cell>
          <cell r="O5100">
            <v>379646</v>
          </cell>
          <cell r="P5100" t="str">
            <v>2024/081-0055-01</v>
          </cell>
          <cell r="Q5100" t="str">
            <v>EST POLTRONA PATER (IMBUIA) COURO 1 SEPIA/ALMOF FX7560</v>
          </cell>
          <cell r="R5100"/>
          <cell r="S5100"/>
          <cell r="T5100">
            <v>0.82</v>
          </cell>
          <cell r="U5100">
            <v>0.94</v>
          </cell>
          <cell r="V5100">
            <v>0.83</v>
          </cell>
          <cell r="W5100">
            <v>0</v>
          </cell>
          <cell r="X5100" t="str">
            <v>EST POLTRONA PATER (IMBUIA) COURO 1 SEPIA/ALMOF FX7560 - 0,82x0,94x0,83H</v>
          </cell>
          <cell r="Y5100">
            <v>34077.97</v>
          </cell>
          <cell r="Z5100">
            <v>0.5</v>
          </cell>
          <cell r="AA5100">
            <v>17038.985000000001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379862</v>
          </cell>
          <cell r="P5101" t="str">
            <v>2024/068-0021-01</v>
          </cell>
          <cell r="Q5101" t="str">
            <v>EST CHAISE B/ESQ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B/ESQ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1</v>
          </cell>
          <cell r="D5102">
            <v>0</v>
          </cell>
          <cell r="E5102">
            <v>0</v>
          </cell>
          <cell r="F5102">
            <v>2</v>
          </cell>
          <cell r="H5102">
            <v>2</v>
          </cell>
          <cell r="O5102">
            <v>379864</v>
          </cell>
          <cell r="P5102" t="str">
            <v>2024/068-0028-01</v>
          </cell>
          <cell r="Q5102" t="str">
            <v>EST BASE CENTRO MONDRIAN (LAMINA NOGUEIRA)</v>
          </cell>
          <cell r="R5102"/>
          <cell r="S5102"/>
          <cell r="T5102">
            <v>0.9</v>
          </cell>
          <cell r="U5102">
            <v>0.9</v>
          </cell>
          <cell r="V5102">
            <v>0.24</v>
          </cell>
          <cell r="W5102">
            <v>0</v>
          </cell>
          <cell r="X5102" t="str">
            <v>EST BASE CENTRO MONDRIAN (LAMINA NOGUEIRA) - 0,9x0,9x0,24H</v>
          </cell>
          <cell r="Y5102">
            <v>12272.92</v>
          </cell>
          <cell r="Z5102">
            <v>0.35</v>
          </cell>
          <cell r="AA5102">
            <v>7977.3980000000001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2</v>
          </cell>
          <cell r="H5103">
            <v>1</v>
          </cell>
          <cell r="O5103">
            <v>379866</v>
          </cell>
          <cell r="P5103" t="str">
            <v>2024/068-0030-01</v>
          </cell>
          <cell r="Q5103" t="str">
            <v>EST TAMPO MONDRIAN (PEDRA 1) (BRANCO PARANA LEVIGADO)</v>
          </cell>
          <cell r="R5103"/>
          <cell r="S5103"/>
          <cell r="T5103">
            <v>0.87</v>
          </cell>
          <cell r="U5103">
            <v>0.6</v>
          </cell>
          <cell r="V5103">
            <v>0.02</v>
          </cell>
          <cell r="W5103">
            <v>0</v>
          </cell>
          <cell r="X5103" t="str">
            <v>EST TAMPO MONDRIAN (PEDRA 1) (BRANCO PARANA LEVIGADO) - 0,87x0,6x0,02H</v>
          </cell>
          <cell r="Y5103">
            <v>10052.99</v>
          </cell>
          <cell r="Z5103">
            <v>0.35</v>
          </cell>
          <cell r="AA5103">
            <v>6534.4434999999994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2</v>
          </cell>
          <cell r="H5104">
            <v>1</v>
          </cell>
          <cell r="O5104">
            <v>379866</v>
          </cell>
          <cell r="P5104" t="str">
            <v>2024/068-0033-01</v>
          </cell>
          <cell r="Q5104" t="str">
            <v>EST TAMPO MONDRIAN (PEDRA 1) (BRANCO PARANA LEVIGADO)</v>
          </cell>
          <cell r="R5104"/>
          <cell r="S5104"/>
          <cell r="T5104">
            <v>0.87</v>
          </cell>
          <cell r="U5104">
            <v>0.6</v>
          </cell>
          <cell r="V5104">
            <v>0.02</v>
          </cell>
          <cell r="W5104">
            <v>0</v>
          </cell>
          <cell r="X5104" t="str">
            <v>EST TAMPO MONDRIAN (PEDRA 1) (BRANCO PARANA LEVIGADO) - 0,87x0,6x0,02H</v>
          </cell>
          <cell r="Y5104">
            <v>10052.99</v>
          </cell>
          <cell r="Z5104">
            <v>0.35</v>
          </cell>
          <cell r="AA5104">
            <v>6534.4434999999994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379892</v>
          </cell>
          <cell r="P5105" t="str">
            <v>2024/068-0055-01</v>
          </cell>
          <cell r="Q5105" t="str">
            <v>EST PUFF MONDRIAN (C1 CREME/CARV) (TC 6649)</v>
          </cell>
          <cell r="R5105"/>
          <cell r="S5105"/>
          <cell r="T5105">
            <v>0.9</v>
          </cell>
          <cell r="U5105">
            <v>0.6</v>
          </cell>
          <cell r="V5105">
            <v>0.43</v>
          </cell>
          <cell r="W5105">
            <v>0</v>
          </cell>
          <cell r="X5105" t="str">
            <v>EST PUFF MONDRIAN (C1 CREME/CARV) (TC 6649) - 0,9x0,6x0,43H</v>
          </cell>
          <cell r="Y5105">
            <v>17198.59</v>
          </cell>
          <cell r="Z5105">
            <v>0.35</v>
          </cell>
          <cell r="AA5105">
            <v>11179.083500000001</v>
          </cell>
          <cell r="AB5105"/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H5106">
            <v>1</v>
          </cell>
          <cell r="O5106">
            <v>379893</v>
          </cell>
          <cell r="P5106" t="str">
            <v>2024/068-0056-01</v>
          </cell>
          <cell r="Q5106" t="str">
            <v>EST POLTRONA MONDRIAN (ESTOF) (C2 MAMMUT/NOG) (C1 SEPIA)</v>
          </cell>
          <cell r="R5106"/>
          <cell r="S5106"/>
          <cell r="T5106">
            <v>1.18</v>
          </cell>
          <cell r="U5106">
            <v>1.05</v>
          </cell>
          <cell r="V5106">
            <v>0.71</v>
          </cell>
          <cell r="W5106">
            <v>0</v>
          </cell>
          <cell r="X5106" t="str">
            <v>EST POLTRONA MONDRIAN (ESTOF) (C2 MAMMUT/NOG) (C1 SEPIA) - 1,18x1,05x0,71H</v>
          </cell>
          <cell r="Y5106">
            <v>72635.72</v>
          </cell>
          <cell r="Z5106">
            <v>0.35</v>
          </cell>
          <cell r="AA5106">
            <v>47213.218000000001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H5107">
            <v>1</v>
          </cell>
          <cell r="O5107">
            <v>379894</v>
          </cell>
          <cell r="P5107" t="str">
            <v>2024/072-0095-01</v>
          </cell>
          <cell r="Q5107" t="str">
            <v>EST PUFF MONDRIAN (C2 MAMMUT/NOG) (C1 SEPIA)</v>
          </cell>
          <cell r="R5107"/>
          <cell r="S5107"/>
          <cell r="T5107">
            <v>0.9</v>
          </cell>
          <cell r="U5107">
            <v>0.6</v>
          </cell>
          <cell r="V5107">
            <v>0.43</v>
          </cell>
          <cell r="W5107">
            <v>0</v>
          </cell>
          <cell r="X5107" t="str">
            <v>EST PUFF MONDRIAN (C2 MAMMUT/NOG) (C1 SEPIA) - 0,9x0,6x0,43H</v>
          </cell>
          <cell r="Y5107">
            <v>22600.79</v>
          </cell>
          <cell r="Z5107">
            <v>0.35</v>
          </cell>
          <cell r="AA5107">
            <v>14690.513500000001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H5108">
            <v>2</v>
          </cell>
          <cell r="O5108">
            <v>379907</v>
          </cell>
          <cell r="P5108" t="str">
            <v>2024/219-0036-01</v>
          </cell>
          <cell r="Q5108" t="str">
            <v>EST POLTRONA BARISTA (COURO T4 COGNAC) PRETO/PRETO</v>
          </cell>
          <cell r="R5108"/>
          <cell r="S5108"/>
          <cell r="T5108">
            <v>1</v>
          </cell>
          <cell r="U5108">
            <v>0.81</v>
          </cell>
          <cell r="V5108">
            <v>0.69</v>
          </cell>
          <cell r="W5108">
            <v>0</v>
          </cell>
          <cell r="X5108" t="str">
            <v>EST POLTRONA BARISTA (COURO T4 COGNAC) PRETO/PRETO - 1x0,81x0,69H</v>
          </cell>
          <cell r="Y5108">
            <v>21001.52</v>
          </cell>
          <cell r="Z5108">
            <v>0.35</v>
          </cell>
          <cell r="AA5108">
            <v>13650.988000000001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2</v>
          </cell>
          <cell r="O5109">
            <v>379907</v>
          </cell>
          <cell r="P5109" t="str">
            <v>2024/219-0037-01</v>
          </cell>
          <cell r="Q5109" t="str">
            <v>EST POLTRONA BARISTA (COURO T4 COGNAC) PRETO/PRETO</v>
          </cell>
          <cell r="R5109"/>
          <cell r="S5109"/>
          <cell r="T5109">
            <v>1</v>
          </cell>
          <cell r="U5109">
            <v>0.81</v>
          </cell>
          <cell r="V5109">
            <v>0.69</v>
          </cell>
          <cell r="W5109">
            <v>0</v>
          </cell>
          <cell r="X5109" t="str">
            <v>EST POLTRONA BARISTA (COURO T4 COGNAC) PRETO/PRETO - 1x0,81x0,69H</v>
          </cell>
          <cell r="Y5109">
            <v>21001.52</v>
          </cell>
          <cell r="Z5109">
            <v>0.35</v>
          </cell>
          <cell r="AA5109">
            <v>13650.988000000001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2</v>
          </cell>
          <cell r="O5110">
            <v>379908</v>
          </cell>
          <cell r="P5110" t="str">
            <v>2024/219-0038-01</v>
          </cell>
          <cell r="Q5110" t="str">
            <v>EST POLTRONA BARISTA (COURO TP2 OPALA) PRETO/NOGUEIRA</v>
          </cell>
          <cell r="R5110"/>
          <cell r="S5110"/>
          <cell r="T5110">
            <v>1</v>
          </cell>
          <cell r="U5110">
            <v>0.81</v>
          </cell>
          <cell r="V5110">
            <v>0.69</v>
          </cell>
          <cell r="W5110">
            <v>0</v>
          </cell>
          <cell r="X5110" t="str">
            <v>EST POLTRONA BARISTA (COURO TP2 OPALA) PRETO/NOGUEIRA - 1x0,81x0,69H</v>
          </cell>
          <cell r="Y5110">
            <v>19488</v>
          </cell>
          <cell r="Z5110">
            <v>0.35</v>
          </cell>
          <cell r="AA5110">
            <v>12667.2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2</v>
          </cell>
          <cell r="O5111">
            <v>379908</v>
          </cell>
          <cell r="P5111" t="str">
            <v>2024/219-0039-01</v>
          </cell>
          <cell r="Q5111" t="str">
            <v>EST POLTRONA BARISTA (COURO TP2 OPALA) PRETO/NOGUEIRA</v>
          </cell>
          <cell r="R5111"/>
          <cell r="S5111"/>
          <cell r="T5111">
            <v>1</v>
          </cell>
          <cell r="U5111">
            <v>0.81</v>
          </cell>
          <cell r="V5111">
            <v>0.69</v>
          </cell>
          <cell r="W5111">
            <v>0</v>
          </cell>
          <cell r="X5111" t="str">
            <v>EST POLTRONA BARISTA (COURO TP2 OPALA) PRETO/NOGUEIRA - 1x0,81x0,69H</v>
          </cell>
          <cell r="Y5111">
            <v>19488</v>
          </cell>
          <cell r="Z5111">
            <v>0.35</v>
          </cell>
          <cell r="AA5111">
            <v>12667.2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1</v>
          </cell>
          <cell r="O5151">
            <v>336551</v>
          </cell>
          <cell r="P5151" t="str">
            <v>2022/307-0061-01</v>
          </cell>
          <cell r="Q5151" t="str">
            <v>EST MESA LATERAL LUSA (RED CER AZUL) (MAD A TAUARI ENV)</v>
          </cell>
          <cell r="R5151"/>
          <cell r="S5151"/>
          <cell r="T5151">
            <v>0.4</v>
          </cell>
          <cell r="U5151">
            <v>0.45</v>
          </cell>
          <cell r="V5151">
            <v>0.72</v>
          </cell>
          <cell r="W5151">
            <v>0</v>
          </cell>
          <cell r="X5151" t="str">
            <v>EST MESA LATERAL LUSA (RED CER AZUL) (MAD A TAUARI ENV) - 0,4x0,45x0,72H</v>
          </cell>
          <cell r="Y5151">
            <v>13265.1</v>
          </cell>
          <cell r="Z5151">
            <v>0.5</v>
          </cell>
          <cell r="AA5151">
            <v>6632.55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1</v>
          </cell>
          <cell r="O5152">
            <v>336618</v>
          </cell>
          <cell r="P5152" t="str">
            <v>2022/307-0062-01</v>
          </cell>
          <cell r="Q5152" t="str">
            <v>EST MESA LATERAL LUSA (OBL CER BEGE) (MAD A TAUARI ENV)</v>
          </cell>
          <cell r="R5152"/>
          <cell r="S5152"/>
          <cell r="T5152">
            <v>0.51</v>
          </cell>
          <cell r="U5152">
            <v>0.28000000000000003</v>
          </cell>
          <cell r="V5152">
            <v>0.56999999999999995</v>
          </cell>
          <cell r="W5152">
            <v>0</v>
          </cell>
          <cell r="X5152" t="str">
            <v>EST MESA LATERAL LUSA (OBL CER BEGE) (MAD A TAUARI ENV) - 0,51x0,28x0,57H</v>
          </cell>
          <cell r="Y5152">
            <v>12034.76</v>
          </cell>
          <cell r="Z5152">
            <v>0.5</v>
          </cell>
          <cell r="AA5152">
            <v>6017.38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2022/230-0022-01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2022/230-0023-01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2022/230-0024-01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2022/230-0025-01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2022/230-0026-01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2022/230-0027-01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8</v>
          </cell>
          <cell r="O5159">
            <v>336658</v>
          </cell>
          <cell r="P5159" t="str">
            <v>2022/230-0028-01</v>
          </cell>
          <cell r="Q5159" t="str">
            <v>EST CADEIRA NINA (MAD A CINAM NT) TC10 11202-331/SEXT TING</v>
          </cell>
          <cell r="R5159"/>
          <cell r="S5159"/>
          <cell r="T5159">
            <v>0.5</v>
          </cell>
          <cell r="U5159">
            <v>0.61</v>
          </cell>
          <cell r="V5159">
            <v>0.88</v>
          </cell>
          <cell r="W5159">
            <v>0</v>
          </cell>
          <cell r="X5159" t="str">
            <v>EST CADEIRA NINA (MAD A CINAM NT) TC10 11202-331/SEXT TING - 0,5x0,61x0,88H</v>
          </cell>
          <cell r="Y5159">
            <v>7742.6</v>
          </cell>
          <cell r="Z5159">
            <v>0.5</v>
          </cell>
          <cell r="AA5159">
            <v>3871.3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8</v>
          </cell>
          <cell r="O5160">
            <v>336658</v>
          </cell>
          <cell r="P5160" t="str">
            <v>2022/230-0029-01</v>
          </cell>
          <cell r="Q5160" t="str">
            <v>EST CADEIRA NINA (MAD A CINAM NT) TC10 11202-331/SEXT TING</v>
          </cell>
          <cell r="R5160"/>
          <cell r="S5160"/>
          <cell r="T5160">
            <v>0.5</v>
          </cell>
          <cell r="U5160">
            <v>0.61</v>
          </cell>
          <cell r="V5160">
            <v>0.88</v>
          </cell>
          <cell r="W5160">
            <v>0</v>
          </cell>
          <cell r="X5160" t="str">
            <v>EST CADEIRA NINA (MAD A CINAM NT) TC10 11202-331/SEXT TING - 0,5x0,61x0,88H</v>
          </cell>
          <cell r="Y5160">
            <v>7742.6</v>
          </cell>
          <cell r="Z5160">
            <v>0.5</v>
          </cell>
          <cell r="AA5160">
            <v>3871.3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3</v>
          </cell>
          <cell r="O5161">
            <v>336696</v>
          </cell>
          <cell r="P5161" t="str">
            <v>2022/223-0030-01</v>
          </cell>
          <cell r="Q5161" t="str">
            <v>EST POLTRONA PACO (MAD A TAUARI ENV) TC G10-11202-343</v>
          </cell>
          <cell r="R5161"/>
          <cell r="S5161"/>
          <cell r="T5161">
            <v>0.88</v>
          </cell>
          <cell r="U5161">
            <v>1.04</v>
          </cell>
          <cell r="V5161">
            <v>0.81</v>
          </cell>
          <cell r="W5161">
            <v>0</v>
          </cell>
          <cell r="X5161" t="str">
            <v>EST POLTRONA PACO (MAD A TAUARI ENV) TC G10-11202-343 - 0,88x1,04x0,81H</v>
          </cell>
          <cell r="Y5161">
            <v>43835.360000000001</v>
          </cell>
          <cell r="Z5161">
            <v>0.5</v>
          </cell>
          <cell r="AA5161">
            <v>21917.68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1</v>
          </cell>
          <cell r="O5162">
            <v>336702</v>
          </cell>
          <cell r="P5162"/>
          <cell r="Q5162" t="str">
            <v>EST MESA LATERAL LUSA (RED CER BEGE) (FREIJO NT) HAST ENV</v>
          </cell>
          <cell r="R5162"/>
          <cell r="S5162"/>
          <cell r="T5162">
            <v>0.4</v>
          </cell>
          <cell r="U5162">
            <v>0.45</v>
          </cell>
          <cell r="V5162">
            <v>0.67</v>
          </cell>
          <cell r="W5162">
            <v>0</v>
          </cell>
          <cell r="X5162" t="str">
            <v>EST MESA LATERAL LUSA (RED CER BEGE) (FREIJO NT) HAST ENV - 0,4x0,45x0,67H</v>
          </cell>
          <cell r="Y5162" t="e">
            <v>#VALUE!</v>
          </cell>
          <cell r="Z5162">
            <v>0.35</v>
          </cell>
          <cell r="AA5162" t="e">
            <v>#VALUE!</v>
          </cell>
          <cell r="AB5162"/>
        </row>
        <row r="5163">
          <cell r="C5163">
            <v>0</v>
          </cell>
          <cell r="D5163">
            <v>0</v>
          </cell>
          <cell r="E5163">
            <v>1</v>
          </cell>
          <cell r="F5163">
            <v>0</v>
          </cell>
          <cell r="H5163">
            <v>3</v>
          </cell>
          <cell r="O5163">
            <v>336726</v>
          </cell>
          <cell r="P5163" t="str">
            <v>2022/223-0035-01</v>
          </cell>
          <cell r="Q5163" t="str">
            <v>EST CADEIRA NINA (MAD A CINAM CALRIF) 74 CAMEL/SEXT TING</v>
          </cell>
          <cell r="R5163"/>
          <cell r="S5163"/>
          <cell r="T5163">
            <v>0.5</v>
          </cell>
          <cell r="U5163">
            <v>0.61</v>
          </cell>
          <cell r="V5163">
            <v>0.88</v>
          </cell>
          <cell r="W5163">
            <v>0</v>
          </cell>
          <cell r="X5163" t="str">
            <v>EST CADEIRA NINA (MAD A CINAM CALRIF) 74 CAMEL/SEXT TING - 0,5x0,61x0,88H</v>
          </cell>
          <cell r="Y5163">
            <v>9037.64</v>
          </cell>
          <cell r="Z5163">
            <v>0.5</v>
          </cell>
          <cell r="AA5163">
            <v>4518.82</v>
          </cell>
          <cell r="AB5163"/>
        </row>
        <row r="5164">
          <cell r="C5164">
            <v>0</v>
          </cell>
          <cell r="D5164">
            <v>0</v>
          </cell>
          <cell r="E5164">
            <v>1</v>
          </cell>
          <cell r="F5164">
            <v>0</v>
          </cell>
          <cell r="H5164">
            <v>3</v>
          </cell>
          <cell r="O5164">
            <v>336726</v>
          </cell>
          <cell r="P5164" t="str">
            <v>2022/223-0037-01</v>
          </cell>
          <cell r="Q5164" t="str">
            <v>EST CADEIRA NINA (MAD A CINAM CALRIF) 74 CAMEL/SEXT TING</v>
          </cell>
          <cell r="R5164"/>
          <cell r="S5164"/>
          <cell r="T5164">
            <v>0.5</v>
          </cell>
          <cell r="U5164">
            <v>0.61</v>
          </cell>
          <cell r="V5164">
            <v>0.88</v>
          </cell>
          <cell r="W5164">
            <v>0</v>
          </cell>
          <cell r="X5164" t="str">
            <v>EST CADEIRA NINA (MAD A CINAM CALRIF) 74 CAMEL/SEXT TING - 0,5x0,61x0,88H</v>
          </cell>
          <cell r="Y5164">
            <v>9037.64</v>
          </cell>
          <cell r="Z5164">
            <v>0.5</v>
          </cell>
          <cell r="AA5164">
            <v>4518.82</v>
          </cell>
          <cell r="AB5164"/>
        </row>
        <row r="5165">
          <cell r="C5165">
            <v>0</v>
          </cell>
          <cell r="D5165">
            <v>0</v>
          </cell>
          <cell r="E5165">
            <v>1</v>
          </cell>
          <cell r="F5165">
            <v>0</v>
          </cell>
          <cell r="H5165">
            <v>5</v>
          </cell>
          <cell r="O5165">
            <v>336728</v>
          </cell>
          <cell r="P5165" t="str">
            <v>2022/223-0043-01</v>
          </cell>
          <cell r="Q5165" t="str">
            <v>EST CADEIRA PLIE (MAD A TAUARI ENV) COURO 74 CAMEL</v>
          </cell>
          <cell r="R5165"/>
          <cell r="S5165"/>
          <cell r="T5165">
            <v>0.47</v>
          </cell>
          <cell r="U5165">
            <v>0.55000000000000004</v>
          </cell>
          <cell r="V5165">
            <v>0.8</v>
          </cell>
          <cell r="W5165">
            <v>0</v>
          </cell>
          <cell r="X5165" t="str">
            <v>EST CADEIRA PLIE (MAD A TAUARI ENV) COURO 74 CAMEL - 0,47x0,55x0,8H</v>
          </cell>
          <cell r="Y5165">
            <v>13574.98</v>
          </cell>
          <cell r="Z5165">
            <v>0.5</v>
          </cell>
          <cell r="AA5165">
            <v>6787.49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1</v>
          </cell>
          <cell r="O5166">
            <v>369133</v>
          </cell>
          <cell r="P5166" t="str">
            <v>2023/124-0008-01</v>
          </cell>
          <cell r="Q5166" t="str">
            <v>EST MESA LATERAL TRIBO (C) H66 (MAD A TAUARI CASTANHO)</v>
          </cell>
          <cell r="R5166"/>
          <cell r="S5166"/>
          <cell r="T5166">
            <v>0.33</v>
          </cell>
          <cell r="U5166">
            <v>0</v>
          </cell>
          <cell r="V5166">
            <v>0.66</v>
          </cell>
          <cell r="W5166">
            <v>0.33</v>
          </cell>
          <cell r="X5166" t="str">
            <v>EST MESA LATERAL TRIBO (C) H66 (MAD A TAUARI CASTANHO) - Ø0,33x0,66H</v>
          </cell>
          <cell r="Y5166">
            <v>6331.94</v>
          </cell>
          <cell r="Z5166">
            <v>0.5</v>
          </cell>
          <cell r="AA5166">
            <v>3165.97</v>
          </cell>
          <cell r="AB5166"/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H5167">
            <v>1</v>
          </cell>
          <cell r="O5167">
            <v>389096</v>
          </cell>
          <cell r="P5167"/>
          <cell r="Q5167" t="str">
            <v>EST SOFA JOHN GRAZ (IMBUIA) (TC VERDE MUSGO)</v>
          </cell>
          <cell r="R5167"/>
          <cell r="S5167"/>
          <cell r="T5167">
            <v>1.6</v>
          </cell>
          <cell r="U5167">
            <v>0.83</v>
          </cell>
          <cell r="V5167">
            <v>0.74</v>
          </cell>
          <cell r="W5167">
            <v>0</v>
          </cell>
          <cell r="X5167" t="str">
            <v>EST SOFA JOHN GRAZ (IMBUIA) (TC VERDE MUSGO) - 1,6x0,83x0,74H</v>
          </cell>
          <cell r="Y5167">
            <v>0</v>
          </cell>
          <cell r="Z5167">
            <v>0.35</v>
          </cell>
          <cell r="AA5167">
            <v>0</v>
          </cell>
          <cell r="AB5167"/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H5168">
            <v>0</v>
          </cell>
          <cell r="O5168">
            <v>389768</v>
          </cell>
          <cell r="P5168"/>
          <cell r="Q5168" t="str">
            <v>EST LUMINARIA ITAMARATY (HASTE PTO FOSCO) (SUCUPIRA)</v>
          </cell>
          <cell r="R5168"/>
          <cell r="S5168"/>
          <cell r="T5168">
            <v>0.6</v>
          </cell>
          <cell r="U5168">
            <v>0</v>
          </cell>
          <cell r="V5168">
            <v>1.41</v>
          </cell>
          <cell r="W5168">
            <v>0</v>
          </cell>
          <cell r="X5168" t="str">
            <v>EST LUMINARIA ITAMARATY (HASTE PTO FOSCO) (SUCUPIRA) - Ø0x1,41H</v>
          </cell>
          <cell r="Y5168">
            <v>0</v>
          </cell>
          <cell r="Z5168">
            <v>0.35</v>
          </cell>
          <cell r="AA5168">
            <v>0</v>
          </cell>
          <cell r="AB5168"/>
        </row>
        <row r="5169">
          <cell r="C5169">
            <v>1</v>
          </cell>
          <cell r="D5169">
            <v>0</v>
          </cell>
          <cell r="E5169">
            <v>0</v>
          </cell>
          <cell r="F5169">
            <v>2</v>
          </cell>
          <cell r="H5169">
            <v>0</v>
          </cell>
          <cell r="O5169">
            <v>389956</v>
          </cell>
          <cell r="P5169" t="str">
            <v>2024/267-0083-01</v>
          </cell>
          <cell r="Q5169" t="str">
            <v>EST CAPA PUFF LENCOIS M OUTDOOR (CAPA LISO) TC 8599</v>
          </cell>
          <cell r="R5169"/>
          <cell r="S5169"/>
          <cell r="T5169">
            <v>1.7</v>
          </cell>
          <cell r="U5169">
            <v>0</v>
          </cell>
          <cell r="V5169">
            <v>0</v>
          </cell>
          <cell r="W5169">
            <v>0</v>
          </cell>
          <cell r="X5169" t="str">
            <v>EST CAPA PUFF LENCOIS M OUTDOOR (CAPA LISO) TC 8599 - Ø0x0H</v>
          </cell>
          <cell r="Y5169">
            <v>5320.99</v>
          </cell>
          <cell r="Z5169">
            <v>0.35</v>
          </cell>
          <cell r="AA5169">
            <v>3458.6435000000001</v>
          </cell>
          <cell r="AB5169"/>
        </row>
        <row r="5170">
          <cell r="C5170">
            <v>1</v>
          </cell>
          <cell r="D5170">
            <v>0</v>
          </cell>
          <cell r="E5170">
            <v>0</v>
          </cell>
          <cell r="F5170">
            <v>2</v>
          </cell>
          <cell r="H5170">
            <v>1</v>
          </cell>
          <cell r="O5170">
            <v>389958</v>
          </cell>
          <cell r="P5170" t="str">
            <v>2024/267-0089-01</v>
          </cell>
          <cell r="Q5170" t="str">
            <v>EST ALMOFADA DECORATIVA LENCOIS M OUTDOOR TC KEEPSAKE TAUPE</v>
          </cell>
          <cell r="R5170"/>
          <cell r="S5170"/>
          <cell r="T5170">
            <v>0.6</v>
          </cell>
          <cell r="U5170">
            <v>0.6</v>
          </cell>
          <cell r="V5170">
            <v>0</v>
          </cell>
          <cell r="W5170">
            <v>0</v>
          </cell>
          <cell r="X5170" t="str">
            <v>EST ALMOFADA DECORATIVA LENCOIS M OUTDOOR TC KEEPSAKE TAUPE - 0,6x0,6x0H</v>
          </cell>
          <cell r="Y5170">
            <v>1751.3990200000003</v>
          </cell>
          <cell r="Z5170">
            <v>0.35</v>
          </cell>
          <cell r="AA5170">
            <v>1138.4093630000002</v>
          </cell>
          <cell r="AB5170"/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H5171">
            <v>1</v>
          </cell>
          <cell r="O5171">
            <v>389996</v>
          </cell>
          <cell r="P5171" t="str">
            <v>2024/297-0132-01</v>
          </cell>
          <cell r="Q5171" t="str">
            <v>EST CADEIRA WOODY C/B (TING MEL) CAMURCA HAVANA/SOL HAVANA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MEL) CAMURCA HAVANA/SOL HAVANA - 0,53x0,53x0,82H</v>
          </cell>
          <cell r="Y5171">
            <v>12116.470000000001</v>
          </cell>
          <cell r="Z5171">
            <v>0.35</v>
          </cell>
          <cell r="AA5171">
            <v>7875.7055000000009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1</v>
          </cell>
          <cell r="O5172">
            <v>389996</v>
          </cell>
          <cell r="P5172" t="str">
            <v>2024/297-0133-01</v>
          </cell>
          <cell r="Q5172" t="str">
            <v>EST CADEIRA WOODY C/B (TING MEL) CAMURCA HAVANA/SOL HAVANA</v>
          </cell>
          <cell r="R5172"/>
          <cell r="S5172"/>
          <cell r="T5172">
            <v>0.53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C/B (TING MEL) CAMURCA HAVANA/SOL HAVANA - 0,53x0,53x0,82H</v>
          </cell>
          <cell r="Y5172">
            <v>12116.470000000001</v>
          </cell>
          <cell r="Z5172">
            <v>0.35</v>
          </cell>
          <cell r="AA5172">
            <v>7875.7055000000009</v>
          </cell>
          <cell r="AB5172"/>
        </row>
        <row r="5173">
          <cell r="C5173">
            <v>0</v>
          </cell>
          <cell r="D5173">
            <v>0</v>
          </cell>
          <cell r="E5173">
            <v>1</v>
          </cell>
          <cell r="F5173">
            <v>0</v>
          </cell>
          <cell r="H5173">
            <v>1</v>
          </cell>
          <cell r="O5173">
            <v>389998</v>
          </cell>
          <cell r="P5173" t="str">
            <v>2024/281-0097-01</v>
          </cell>
          <cell r="Q5173" t="str">
            <v>EST CADEIRA WOODY C/B (TING AVELA) COURO PIG 513/SOL FENDY</v>
          </cell>
          <cell r="R5173"/>
          <cell r="S5173"/>
          <cell r="T5173">
            <v>0.53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C/B (TING AVELA) COURO PIG 513/SOL FENDY - 0,53x0,53x0,82H</v>
          </cell>
          <cell r="Y5173">
            <v>10521.59</v>
          </cell>
          <cell r="Z5173">
            <v>0.35</v>
          </cell>
          <cell r="AA5173">
            <v>6839.0335000000005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2024/281-0098-01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2024/281-0099-01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2024/281-0100-01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2024/281-0101-01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6</v>
          </cell>
          <cell r="O5178">
            <v>389999</v>
          </cell>
          <cell r="P5178" t="str">
            <v>2024/281-0102-01</v>
          </cell>
          <cell r="Q5178" t="str">
            <v>EST CADEIRA WOODY (TING AVELA) COURO PIG 513/SOL FENDY</v>
          </cell>
          <cell r="R5178"/>
          <cell r="S5178"/>
          <cell r="T5178">
            <v>0.49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(TING AVELA) COURO PIG 513/SOL FENDY - 0,49x0,53x0,82H</v>
          </cell>
          <cell r="Y5178">
            <v>9782.0400000000009</v>
          </cell>
          <cell r="Z5178">
            <v>0.35</v>
          </cell>
          <cell r="AA5178">
            <v>6358.3260000000009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6</v>
          </cell>
          <cell r="O5179">
            <v>389999</v>
          </cell>
          <cell r="P5179" t="str">
            <v>2024/281-0103-01</v>
          </cell>
          <cell r="Q5179" t="str">
            <v>EST CADEIRA WOODY (TING AVELA) COURO PIG 513/SOL FENDY</v>
          </cell>
          <cell r="R5179"/>
          <cell r="S5179"/>
          <cell r="T5179">
            <v>0.49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(TING AVELA) COURO PIG 513/SOL FENDY - 0,49x0,53x0,82H</v>
          </cell>
          <cell r="Y5179">
            <v>9782.0400000000009</v>
          </cell>
          <cell r="Z5179">
            <v>0.35</v>
          </cell>
          <cell r="AA5179">
            <v>6358.3260000000009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2</v>
          </cell>
          <cell r="O5180">
            <v>390000</v>
          </cell>
          <cell r="P5180" t="str">
            <v>2024/302-0039-01</v>
          </cell>
          <cell r="Q5180" t="str">
            <v>EST CADEIRA WOODY C/B (TING CHARUTO) COURO PIG 410/SOL CAFE</v>
          </cell>
          <cell r="R5180"/>
          <cell r="S5180"/>
          <cell r="T5180">
            <v>0.53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C/B (TING CHARUTO) COURO PIG 410/SOL CAFE - 0,53x0,53x0,82H</v>
          </cell>
          <cell r="Y5180">
            <v>10521.59</v>
          </cell>
          <cell r="Z5180">
            <v>0.35</v>
          </cell>
          <cell r="AA5180">
            <v>6839.0335000000005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2</v>
          </cell>
          <cell r="O5181">
            <v>390000</v>
          </cell>
          <cell r="P5181" t="str">
            <v>2024/302-0040-01</v>
          </cell>
          <cell r="Q5181" t="str">
            <v>EST CADEIRA WOODY C/B (TING CHARUTO) COURO PIG 410/SOL CAFE</v>
          </cell>
          <cell r="R5181"/>
          <cell r="S5181"/>
          <cell r="T5181">
            <v>0.53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C/B (TING CHARUTO) COURO PIG 410/SOL CAFE - 0,53x0,53x0,82H</v>
          </cell>
          <cell r="Y5181">
            <v>10521.59</v>
          </cell>
          <cell r="Z5181">
            <v>0.35</v>
          </cell>
          <cell r="AA5181">
            <v>6839.0335000000005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5</v>
          </cell>
          <cell r="O5182">
            <v>390002</v>
          </cell>
          <cell r="P5182" t="str">
            <v>2024/302-0041-01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5</v>
          </cell>
          <cell r="O5183">
            <v>390002</v>
          </cell>
          <cell r="P5183" t="str">
            <v>2024/302-0042-01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5</v>
          </cell>
          <cell r="O5184">
            <v>390002</v>
          </cell>
          <cell r="P5184" t="str">
            <v>2024/302-0043-01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5</v>
          </cell>
          <cell r="O5185">
            <v>390002</v>
          </cell>
          <cell r="P5185" t="str">
            <v>2024/302-0044-01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5</v>
          </cell>
          <cell r="O5186">
            <v>390002</v>
          </cell>
          <cell r="P5186" t="str">
            <v>2024/302-0045-01</v>
          </cell>
          <cell r="Q5186" t="str">
            <v>EST CADEIRA WOODY (TING CHARUTO) COURO PIG 410/SOL CAFE</v>
          </cell>
          <cell r="R5186"/>
          <cell r="S5186"/>
          <cell r="T5186">
            <v>0.49</v>
          </cell>
          <cell r="U5186">
            <v>0.53</v>
          </cell>
          <cell r="V5186">
            <v>0.82</v>
          </cell>
          <cell r="W5186">
            <v>0</v>
          </cell>
          <cell r="X5186" t="str">
            <v>EST CADEIRA WOODY (TING CHARUTO) COURO PIG 410/SOL CAFE - 0,49x0,53x0,82H</v>
          </cell>
          <cell r="Y5186">
            <v>9782.0400000000009</v>
          </cell>
          <cell r="Z5186">
            <v>0.35</v>
          </cell>
          <cell r="AA5186">
            <v>6358.3260000000009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5</v>
          </cell>
          <cell r="O5187">
            <v>390002</v>
          </cell>
          <cell r="P5187" t="str">
            <v>2024/302-0046-01</v>
          </cell>
          <cell r="Q5187" t="str">
            <v>EST CADEIRA WOODY (TING CHARUTO) COURO PIG 410/SOL CAFE</v>
          </cell>
          <cell r="R5187"/>
          <cell r="S5187"/>
          <cell r="T5187">
            <v>0.49</v>
          </cell>
          <cell r="U5187">
            <v>0.53</v>
          </cell>
          <cell r="V5187">
            <v>0.82</v>
          </cell>
          <cell r="W5187">
            <v>0</v>
          </cell>
          <cell r="X5187" t="str">
            <v>EST CADEIRA WOODY (TING CHARUTO) COURO PIG 410/SOL CAFE - 0,49x0,53x0,82H</v>
          </cell>
          <cell r="Y5187">
            <v>9782.0400000000009</v>
          </cell>
          <cell r="Z5187">
            <v>0.35</v>
          </cell>
          <cell r="AA5187">
            <v>6358.3260000000009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1</v>
          </cell>
          <cell r="H5188">
            <v>0</v>
          </cell>
          <cell r="O5188">
            <v>390838</v>
          </cell>
          <cell r="P5188" t="str">
            <v>2024/226-0025-01</v>
          </cell>
          <cell r="Q5188" t="str">
            <v>EST BANQUETA BAR CAVALETTA H65 (JEQUITIBA CASTANHO CLARO)</v>
          </cell>
          <cell r="R5188"/>
          <cell r="S5188"/>
          <cell r="T5188">
            <v>0.42</v>
          </cell>
          <cell r="U5188">
            <v>0.46</v>
          </cell>
          <cell r="V5188">
            <v>0.65</v>
          </cell>
          <cell r="W5188">
            <v>0</v>
          </cell>
          <cell r="X5188" t="str">
            <v>EST BANQUETA BAR CAVALETTA H65 (JEQUITIBA CASTANHO CLARO) - 0,42x0,46x0,65H</v>
          </cell>
          <cell r="Y5188">
            <v>6456.31</v>
          </cell>
          <cell r="Z5188">
            <v>0.35</v>
          </cell>
          <cell r="AA5188">
            <v>4196.6015000000007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1</v>
          </cell>
          <cell r="H5189">
            <v>0</v>
          </cell>
          <cell r="O5189">
            <v>390838</v>
          </cell>
          <cell r="P5189" t="str">
            <v>2024/226-0027-01</v>
          </cell>
          <cell r="Q5189" t="str">
            <v>EST BANQUETA BAR CAVALETTA H65 (JEQUITIBA CASTANHO CLARO)</v>
          </cell>
          <cell r="R5189"/>
          <cell r="S5189"/>
          <cell r="T5189">
            <v>0.42</v>
          </cell>
          <cell r="U5189">
            <v>0.46</v>
          </cell>
          <cell r="V5189">
            <v>0.65</v>
          </cell>
          <cell r="W5189">
            <v>0</v>
          </cell>
          <cell r="X5189" t="str">
            <v>EST BANQUETA BAR CAVALETTA H65 (JEQUITIBA CASTANHO CLARO) - 0,42x0,46x0,65H</v>
          </cell>
          <cell r="Y5189">
            <v>6456.31</v>
          </cell>
          <cell r="Z5189">
            <v>0.35</v>
          </cell>
          <cell r="AA5189">
            <v>4196.6015000000007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2023/331-0032-01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H5191">
            <v>1</v>
          </cell>
          <cell r="O5191">
            <v>394928</v>
          </cell>
          <cell r="P5191" t="str">
            <v>2025/118-0005-01</v>
          </cell>
          <cell r="Q5191" t="str">
            <v>EST MESA CENTRO ESSENCE OBLONGO (MTZ GOLDEN) CLEAR/ESP CARV</v>
          </cell>
          <cell r="R5191"/>
          <cell r="S5191"/>
          <cell r="T5191">
            <v>1.58</v>
          </cell>
          <cell r="U5191">
            <v>1.2</v>
          </cell>
          <cell r="V5191">
            <v>0.3</v>
          </cell>
          <cell r="W5191">
            <v>0</v>
          </cell>
          <cell r="X5191" t="str">
            <v>EST MESA CENTRO ESSENCE OBLONGO (MTZ GOLDEN) CLEAR/ESP CARV - 1,58x1,2x0,3H</v>
          </cell>
          <cell r="Y5191">
            <v>21664.34</v>
          </cell>
          <cell r="Z5191">
            <v>0.35</v>
          </cell>
          <cell r="AA5191">
            <v>14081.821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2</v>
          </cell>
          <cell r="O5192">
            <v>377309</v>
          </cell>
          <cell r="P5192" t="str">
            <v>2023/331-0033-01</v>
          </cell>
          <cell r="Q5192" t="str">
            <v>EST POLTRONA SALVADOR (MAD B TECA NT) TC VALENCIA 302</v>
          </cell>
          <cell r="R5192"/>
          <cell r="S5192"/>
          <cell r="T5192">
            <v>0.7</v>
          </cell>
          <cell r="U5192">
            <v>0.66</v>
          </cell>
          <cell r="V5192">
            <v>0.7</v>
          </cell>
          <cell r="W5192">
            <v>0</v>
          </cell>
          <cell r="X5192" t="str">
            <v>EST POLTRONA SALVADOR (MAD B TECA NT) TC VALENCIA 302 - 0,7x0,66x0,7H</v>
          </cell>
          <cell r="Y5192">
            <v>18577.57</v>
          </cell>
          <cell r="Z5192">
            <v>0.5</v>
          </cell>
          <cell r="AA5192">
            <v>9288.7849999999999</v>
          </cell>
          <cell r="AB5192"/>
        </row>
        <row r="5193">
          <cell r="C5193" t="e">
            <v>#N/A</v>
          </cell>
          <cell r="D5193" t="e">
            <v>#N/A</v>
          </cell>
          <cell r="E5193" t="e">
            <v>#N/A</v>
          </cell>
          <cell r="F5193" t="e">
            <v>#N/A</v>
          </cell>
          <cell r="H5193" t="e">
            <v>#N/A</v>
          </cell>
          <cell r="O5193">
            <v>387259</v>
          </cell>
          <cell r="P5193"/>
          <cell r="Q5193" t="e">
            <v>#N/A</v>
          </cell>
          <cell r="R5193"/>
          <cell r="S5193"/>
          <cell r="T5193" t="e">
            <v>#N/A</v>
          </cell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>
            <v>0</v>
          </cell>
          <cell r="Z5193">
            <v>0.35</v>
          </cell>
          <cell r="AA5193">
            <v>0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398569</v>
          </cell>
          <cell r="P5194"/>
          <cell r="Q5194" t="str">
            <v>EST TAMPO GELSOMINA (CIRCULAR) (VITORIA REGIA)</v>
          </cell>
          <cell r="R5194"/>
          <cell r="S5194"/>
          <cell r="T5194">
            <v>1.2</v>
          </cell>
          <cell r="U5194">
            <v>0</v>
          </cell>
          <cell r="V5194">
            <v>0.02</v>
          </cell>
          <cell r="W5194">
            <v>1.2</v>
          </cell>
          <cell r="X5194" t="str">
            <v>EST TAMPO GELSOMINA (CIRCULAR) (VITORIA REGIA) - Ø1,2x0,02H</v>
          </cell>
          <cell r="Y5194">
            <v>0</v>
          </cell>
          <cell r="Z5194">
            <v>0.35</v>
          </cell>
          <cell r="AA5194">
            <v>0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398669</v>
          </cell>
          <cell r="P5195"/>
          <cell r="Q5195" t="str">
            <v>EST MODULO ENCOSTO RETO LENCOIS M (DET CR5) (FX5416)</v>
          </cell>
          <cell r="R5195"/>
          <cell r="S5195"/>
          <cell r="T5195">
            <v>0.8</v>
          </cell>
          <cell r="U5195">
            <v>0.26</v>
          </cell>
          <cell r="V5195">
            <v>0.26</v>
          </cell>
          <cell r="W5195">
            <v>0</v>
          </cell>
          <cell r="X5195" t="str">
            <v>EST MODULO ENCOSTO RETO LENCOIS M (DET CR5) (FX5416) - 0,8x0,26x0,26H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1</v>
          </cell>
          <cell r="O5196">
            <v>398670</v>
          </cell>
          <cell r="P5196" t="str">
            <v>2024/305-0063-01</v>
          </cell>
          <cell r="Q5196" t="str">
            <v>EST MODULO PUFF LENCOIS M (RVST DET CR5) (FX5416)</v>
          </cell>
          <cell r="R5196"/>
          <cell r="S5196"/>
          <cell r="T5196">
            <v>2</v>
          </cell>
          <cell r="U5196">
            <v>1</v>
          </cell>
          <cell r="V5196">
            <v>0.38</v>
          </cell>
          <cell r="W5196">
            <v>0</v>
          </cell>
          <cell r="X5196" t="str">
            <v>EST MODULO PUFF LENCOIS M (RVST DET CR5) (FX5416) - 2x1x0,38H</v>
          </cell>
          <cell r="Y5196" t="e">
            <v>#VALUE!</v>
          </cell>
          <cell r="Z5196">
            <v>0.35</v>
          </cell>
          <cell r="AA5196" t="e">
            <v>#VALUE!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398671</v>
          </cell>
          <cell r="P5197"/>
          <cell r="Q5197" t="str">
            <v>EST MODULO ENCOSTO (L) LENCOIS M (DET CR5) (FX5416)</v>
          </cell>
          <cell r="R5197"/>
          <cell r="S5197"/>
          <cell r="T5197">
            <v>1</v>
          </cell>
          <cell r="U5197">
            <v>0.8</v>
          </cell>
          <cell r="V5197">
            <v>0.26</v>
          </cell>
          <cell r="W5197">
            <v>0</v>
          </cell>
          <cell r="X5197" t="str">
            <v>EST MODULO ENCOSTO (L) LENCOIS M (DET CR5) (FX5416) - 1x0,8x0,26H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6</v>
          </cell>
          <cell r="O5198">
            <v>388701</v>
          </cell>
          <cell r="P5198" t="str">
            <v>2024/239-0089-01</v>
          </cell>
          <cell r="Q5198" t="str">
            <v>EST CADEIRA ERICA C/B (MAD A TAUARI ENV) TC MITRA ECO 005</v>
          </cell>
          <cell r="R5198"/>
          <cell r="S5198"/>
          <cell r="T5198">
            <v>0.5</v>
          </cell>
          <cell r="U5198">
            <v>0.61</v>
          </cell>
          <cell r="V5198">
            <v>0.78</v>
          </cell>
          <cell r="W5198">
            <v>0</v>
          </cell>
          <cell r="X5198" t="str">
            <v>EST CADEIRA ERICA C/B (MAD A TAUARI ENV) TC MITRA ECO 005 - 0,5x0,61x0,78H</v>
          </cell>
          <cell r="Y5198">
            <v>9390.08</v>
          </cell>
          <cell r="Z5198">
            <v>0.35</v>
          </cell>
          <cell r="AA5198">
            <v>6103.5519999999997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1</v>
          </cell>
          <cell r="O5199">
            <v>399204</v>
          </cell>
          <cell r="P5199"/>
          <cell r="Q5199" t="str">
            <v>EST CADEIRA JULIETA (JEQ BS DAGUA) (COURO PIGMENTADO PRETO)</v>
          </cell>
          <cell r="R5199"/>
          <cell r="S5199"/>
          <cell r="T5199">
            <v>0.6</v>
          </cell>
          <cell r="U5199">
            <v>0.5</v>
          </cell>
          <cell r="V5199">
            <v>0.7</v>
          </cell>
          <cell r="W5199">
            <v>0</v>
          </cell>
          <cell r="X5199" t="str">
            <v>EST CADEIRA JULIETA (JEQ BS DAGUA) (COURO PIGMENTADO PRETO) - 0,6x0,5x0,7H</v>
          </cell>
          <cell r="Y5199" t="e">
            <v>#VALUE!</v>
          </cell>
          <cell r="Z5199">
            <v>0.35</v>
          </cell>
          <cell r="AA5199" t="e">
            <v>#VALUE!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0</v>
          </cell>
          <cell r="O5200">
            <v>399359</v>
          </cell>
          <cell r="P5200" t="str">
            <v>2025/029-0027-01</v>
          </cell>
          <cell r="Q5200" t="str">
            <v>EST SOFA NEW ANDROS (2B) (FX E5158) (BASE LAMINA WALNUT)</v>
          </cell>
          <cell r="R5200"/>
          <cell r="S5200"/>
          <cell r="T5200">
            <v>2.8</v>
          </cell>
          <cell r="U5200">
            <v>1.5</v>
          </cell>
          <cell r="V5200">
            <v>0.76</v>
          </cell>
          <cell r="W5200">
            <v>0</v>
          </cell>
          <cell r="X5200" t="str">
            <v>EST SOFA NEW ANDROS (2B) (FX E5158) (BASE LAMINA WALNUT) - 2,8x1,5x0,76H</v>
          </cell>
          <cell r="Y5200">
            <v>50309.19</v>
          </cell>
          <cell r="Z5200">
            <v>0.35</v>
          </cell>
          <cell r="AA5200">
            <v>32700.973500000004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2024/239-0090-01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H5202">
            <v>6</v>
          </cell>
          <cell r="O5202">
            <v>388701</v>
          </cell>
          <cell r="P5202" t="str">
            <v>2024/239-0091-01</v>
          </cell>
          <cell r="Q5202" t="str">
            <v>EST CADEIRA ERICA C/B (MAD A TAUARI ENV) TC MITRA ECO 005</v>
          </cell>
          <cell r="R5202"/>
          <cell r="S5202"/>
          <cell r="T5202">
            <v>0.5</v>
          </cell>
          <cell r="U5202">
            <v>0.61</v>
          </cell>
          <cell r="V5202">
            <v>0.78</v>
          </cell>
          <cell r="W5202">
            <v>0</v>
          </cell>
          <cell r="X5202" t="str">
            <v>EST CADEIRA ERICA C/B (MAD A TAUARI ENV) TC MITRA ECO 005 - 0,5x0,61x0,78H</v>
          </cell>
          <cell r="Y5202">
            <v>9390.08</v>
          </cell>
          <cell r="Z5202">
            <v>0.35</v>
          </cell>
          <cell r="AA5202">
            <v>6103.5519999999997</v>
          </cell>
          <cell r="AB5202"/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H5203">
            <v>6</v>
          </cell>
          <cell r="O5203">
            <v>388701</v>
          </cell>
          <cell r="P5203" t="str">
            <v>2024/239-0092-01</v>
          </cell>
          <cell r="Q5203" t="str">
            <v>EST CADEIRA ERICA C/B (MAD A TAUARI ENV) TC MITRA ECO 005</v>
          </cell>
          <cell r="R5203"/>
          <cell r="S5203"/>
          <cell r="T5203">
            <v>0.5</v>
          </cell>
          <cell r="U5203">
            <v>0.61</v>
          </cell>
          <cell r="V5203">
            <v>0.78</v>
          </cell>
          <cell r="W5203">
            <v>0</v>
          </cell>
          <cell r="X5203" t="str">
            <v>EST CADEIRA ERICA C/B (MAD A TAUARI ENV) TC MITRA ECO 005 - 0,5x0,61x0,78H</v>
          </cell>
          <cell r="Y5203">
            <v>9390.08</v>
          </cell>
          <cell r="Z5203">
            <v>0.35</v>
          </cell>
          <cell r="AA5203">
            <v>6103.5519999999997</v>
          </cell>
          <cell r="AB5203"/>
        </row>
        <row r="5204">
          <cell r="C5204" t="e">
            <v>#N/A</v>
          </cell>
          <cell r="D5204" t="e">
            <v>#N/A</v>
          </cell>
          <cell r="E5204" t="e">
            <v>#N/A</v>
          </cell>
          <cell r="F5204" t="e">
            <v>#N/A</v>
          </cell>
          <cell r="H5204" t="e">
            <v>#N/A</v>
          </cell>
          <cell r="O5204">
            <v>400437</v>
          </cell>
          <cell r="P5204" t="str">
            <v>2025/052-0035-01</v>
          </cell>
          <cell r="Q5204" t="e">
            <v>#N/A</v>
          </cell>
          <cell r="R5204"/>
          <cell r="S5204"/>
          <cell r="T5204" t="e">
            <v>#N/A</v>
          </cell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>
            <v>51742.99</v>
          </cell>
          <cell r="Z5204">
            <v>0.35</v>
          </cell>
          <cell r="AA5204">
            <v>33632.943500000001</v>
          </cell>
          <cell r="AB5204"/>
        </row>
        <row r="5205">
          <cell r="C5205" t="e">
            <v>#N/A</v>
          </cell>
          <cell r="D5205" t="e">
            <v>#N/A</v>
          </cell>
          <cell r="E5205" t="e">
            <v>#N/A</v>
          </cell>
          <cell r="F5205" t="e">
            <v>#N/A</v>
          </cell>
          <cell r="H5205" t="e">
            <v>#N/A</v>
          </cell>
          <cell r="O5205">
            <v>400438</v>
          </cell>
          <cell r="P5205" t="str">
            <v>2025/052-0036-01</v>
          </cell>
          <cell r="Q5205" t="e">
            <v>#N/A</v>
          </cell>
          <cell r="R5205"/>
          <cell r="S5205"/>
          <cell r="T5205" t="e">
            <v>#N/A</v>
          </cell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>
            <v>19338.61</v>
          </cell>
          <cell r="Z5205">
            <v>0.35</v>
          </cell>
          <cell r="AA5205">
            <v>12570.0965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1</v>
          </cell>
          <cell r="O5206">
            <v>400456</v>
          </cell>
          <cell r="P5206" t="str">
            <v>2025/055-0036-01</v>
          </cell>
          <cell r="Q5206" t="str">
            <v>EST MESA CENTRO TAPI (SUCUPIRA NATURAL) (CAMURCA VERDE)</v>
          </cell>
          <cell r="R5206"/>
          <cell r="S5206"/>
          <cell r="T5206">
            <v>1.8</v>
          </cell>
          <cell r="U5206">
            <v>0.9</v>
          </cell>
          <cell r="V5206">
            <v>0.3</v>
          </cell>
          <cell r="W5206">
            <v>0</v>
          </cell>
          <cell r="X5206" t="str">
            <v>EST MESA CENTRO TAPI (SUCUPIRA NATURAL) (CAMURCA VERDE) - 1,8x0,9x0,3H</v>
          </cell>
          <cell r="Y5206">
            <v>64597.83</v>
          </cell>
          <cell r="Z5206">
            <v>0.35</v>
          </cell>
          <cell r="AA5206">
            <v>41988.589500000002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1</v>
          </cell>
          <cell r="O5207">
            <v>400456</v>
          </cell>
          <cell r="P5207"/>
          <cell r="Q5207" t="str">
            <v>EST MESA CENTRO TAPI (SUCUPIRA NATURAL) (CAMURCA VERDE)</v>
          </cell>
          <cell r="R5207"/>
          <cell r="S5207"/>
          <cell r="T5207">
            <v>1.8</v>
          </cell>
          <cell r="U5207">
            <v>0.9</v>
          </cell>
          <cell r="V5207">
            <v>0.3</v>
          </cell>
          <cell r="W5207">
            <v>0</v>
          </cell>
          <cell r="X5207" t="str">
            <v>EST MESA CENTRO TAPI (SUCUPIRA NATURAL) (CAMURCA VERDE) - 1,8x0,9x0,3H</v>
          </cell>
          <cell r="Y5207">
            <v>0</v>
          </cell>
          <cell r="Z5207">
            <v>0.35</v>
          </cell>
          <cell r="AA5207">
            <v>0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2</v>
          </cell>
          <cell r="O5208">
            <v>400486</v>
          </cell>
          <cell r="P5208"/>
          <cell r="Q5208" t="str">
            <v>EST POLTRONA DIZ (ESTOF S/FURO) (MAD A COR 2) COURO CH 05</v>
          </cell>
          <cell r="R5208"/>
          <cell r="S5208"/>
          <cell r="T5208">
            <v>0.78</v>
          </cell>
          <cell r="U5208">
            <v>0.89</v>
          </cell>
          <cell r="V5208">
            <v>0.71</v>
          </cell>
          <cell r="W5208">
            <v>0</v>
          </cell>
          <cell r="X5208" t="str">
            <v>EST POLTRONA DIZ (ESTOF S/FURO) (MAD A COR 2) COURO CH 05 - 0,78x0,89x0,71H</v>
          </cell>
          <cell r="Y5208">
            <v>0</v>
          </cell>
          <cell r="Z5208">
            <v>0.35</v>
          </cell>
          <cell r="AA5208">
            <v>0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6</v>
          </cell>
          <cell r="O5209">
            <v>388701</v>
          </cell>
          <cell r="P5209" t="str">
            <v>2024/239-0093-01</v>
          </cell>
          <cell r="Q5209" t="str">
            <v>EST CADEIRA ERICA C/B (MAD A TAUARI ENV) TC MITRA ECO 005</v>
          </cell>
          <cell r="R5209"/>
          <cell r="S5209"/>
          <cell r="T5209">
            <v>0.5</v>
          </cell>
          <cell r="U5209">
            <v>0.61</v>
          </cell>
          <cell r="V5209">
            <v>0.78</v>
          </cell>
          <cell r="W5209">
            <v>0</v>
          </cell>
          <cell r="X5209" t="str">
            <v>EST CADEIRA ERICA C/B (MAD A TAUARI ENV) TC MITRA ECO 005 - 0,5x0,61x0,78H</v>
          </cell>
          <cell r="Y5209">
            <v>9390.08</v>
          </cell>
          <cell r="Z5209">
            <v>0.35</v>
          </cell>
          <cell r="AA5209">
            <v>6103.5519999999997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6</v>
          </cell>
          <cell r="O5210">
            <v>388701</v>
          </cell>
          <cell r="P5210" t="str">
            <v>2024/239-0094-01</v>
          </cell>
          <cell r="Q5210" t="str">
            <v>EST CADEIRA ERICA C/B (MAD A TAUARI ENV) TC MITRA ECO 005</v>
          </cell>
          <cell r="R5210"/>
          <cell r="S5210"/>
          <cell r="T5210">
            <v>0.5</v>
          </cell>
          <cell r="U5210">
            <v>0.61</v>
          </cell>
          <cell r="V5210">
            <v>0.78</v>
          </cell>
          <cell r="W5210">
            <v>0</v>
          </cell>
          <cell r="X5210" t="str">
            <v>EST CADEIRA ERICA C/B (MAD A TAUARI ENV) TC MITRA ECO 005 - 0,5x0,61x0,78H</v>
          </cell>
          <cell r="Y5210">
            <v>9390.08</v>
          </cell>
          <cell r="Z5210">
            <v>0.35</v>
          </cell>
          <cell r="AA5210">
            <v>6103.5519999999997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400747</v>
          </cell>
          <cell r="P5211"/>
          <cell r="Q5211" t="str">
            <v>EST BASE JANTAR FIO (4 PES) (P/TP 3,00X1,20) (CANELA ESCURA)</v>
          </cell>
          <cell r="R5211"/>
          <cell r="S5211"/>
          <cell r="T5211">
            <v>2.84</v>
          </cell>
          <cell r="U5211">
            <v>1.04</v>
          </cell>
          <cell r="V5211">
            <v>0.72</v>
          </cell>
          <cell r="W5211">
            <v>0</v>
          </cell>
          <cell r="X5211" t="str">
            <v>EST BASE JANTAR FIO (4 PES) (P/TP 3,00X1,20) (CANELA ESCURA) - 2,84x1,04x0,72H</v>
          </cell>
          <cell r="Y5211">
            <v>0</v>
          </cell>
          <cell r="Z5211">
            <v>0.35</v>
          </cell>
          <cell r="AA5211">
            <v>0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0</v>
          </cell>
          <cell r="O5212">
            <v>400750</v>
          </cell>
          <cell r="P5212"/>
          <cell r="Q5212" t="str">
            <v>EST TAMPO FIO (G4-GREEN BAMBOO LEVIG) (TRIP)</v>
          </cell>
          <cell r="R5212"/>
          <cell r="S5212"/>
          <cell r="T5212">
            <v>3</v>
          </cell>
          <cell r="U5212">
            <v>1.2</v>
          </cell>
          <cell r="V5212">
            <v>0</v>
          </cell>
          <cell r="W5212">
            <v>0</v>
          </cell>
          <cell r="X5212" t="str">
            <v>EST TAMPO FIO (G4-GREEN BAMBOO LEVIG) (TRIP) - 3x1,2x0H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400750</v>
          </cell>
          <cell r="P5213"/>
          <cell r="Q5213" t="str">
            <v>EST TAMPO FIO (G4-GREEN BAMBOO LEVIG) (TRIP)</v>
          </cell>
          <cell r="R5213"/>
          <cell r="S5213"/>
          <cell r="T5213">
            <v>3</v>
          </cell>
          <cell r="U5213">
            <v>1.2</v>
          </cell>
          <cell r="V5213">
            <v>0</v>
          </cell>
          <cell r="W5213">
            <v>0</v>
          </cell>
          <cell r="X5213" t="str">
            <v>EST TAMPO FIO (G4-GREEN BAMBOO LEVIG) (TRIP) - 3x1,2x0H</v>
          </cell>
          <cell r="Y5213" t="str">
            <v>EST</v>
          </cell>
          <cell r="Z5213">
            <v>0.35</v>
          </cell>
          <cell r="AA5213" t="e">
            <v>#VALUE!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400828</v>
          </cell>
          <cell r="P5214"/>
          <cell r="Q5214" t="str">
            <v>EST BUFFET ITA (3P) (M2 V LACTEA) (FREIJO EBANIZADO)</v>
          </cell>
          <cell r="R5214"/>
          <cell r="S5214"/>
          <cell r="T5214">
            <v>1.89</v>
          </cell>
          <cell r="U5214">
            <v>0.5</v>
          </cell>
          <cell r="V5214">
            <v>0.78</v>
          </cell>
          <cell r="W5214">
            <v>0</v>
          </cell>
          <cell r="X5214" t="str">
            <v>EST BUFFET ITA (3P) (M2 V LACTEA) (FREIJO EBANIZADO) - 1,89x0,5x0,78H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>
            <v>0</v>
          </cell>
          <cell r="D5215">
            <v>0</v>
          </cell>
          <cell r="E5215">
            <v>0</v>
          </cell>
          <cell r="F5215">
            <v>0</v>
          </cell>
          <cell r="H5215">
            <v>0</v>
          </cell>
          <cell r="O5215">
            <v>400829</v>
          </cell>
          <cell r="P5215"/>
          <cell r="Q5215" t="str">
            <v>EST BUFFET ITA (4P/2G) (M2 V LACTEA) (P FERRO CLARO)</v>
          </cell>
          <cell r="R5215"/>
          <cell r="S5215"/>
          <cell r="T5215">
            <v>2.4</v>
          </cell>
          <cell r="U5215">
            <v>0.5</v>
          </cell>
          <cell r="V5215">
            <v>0.78</v>
          </cell>
          <cell r="W5215">
            <v>0</v>
          </cell>
          <cell r="X5215" t="str">
            <v>EST BUFFET ITA (4P/2G) (M2 V LACTEA) (P FERRO CLARO) - 2,4x0,5x0,78H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402107</v>
          </cell>
          <cell r="P5216"/>
          <cell r="Q5216" t="str">
            <v>EST MESA JANTAR TAL (AREA COBERTA) (IPE)</v>
          </cell>
          <cell r="R5216"/>
          <cell r="S5216"/>
          <cell r="T5216">
            <v>3</v>
          </cell>
          <cell r="U5216">
            <v>1.1000000000000001</v>
          </cell>
          <cell r="V5216">
            <v>0.74</v>
          </cell>
          <cell r="W5216">
            <v>0</v>
          </cell>
          <cell r="X5216" t="str">
            <v>EST MESA JANTAR TAL (AREA COBERTA) (IPE) - 3x1,1x0,74H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1</v>
          </cell>
          <cell r="O5217">
            <v>402169</v>
          </cell>
          <cell r="P5217"/>
          <cell r="Q5217" t="str">
            <v>EST BANCO DOMINO (2 LUG) (CONC GOIABA) (INOX)</v>
          </cell>
          <cell r="R5217"/>
          <cell r="S5217"/>
          <cell r="T5217">
            <v>1.27</v>
          </cell>
          <cell r="U5217">
            <v>0.45</v>
          </cell>
          <cell r="V5217">
            <v>0.48</v>
          </cell>
          <cell r="W5217">
            <v>0</v>
          </cell>
          <cell r="X5217" t="str">
            <v>EST BANCO DOMINO (2 LUG) (CONC GOIABA) (INOX) - 1,27x0,45x0,48H</v>
          </cell>
          <cell r="Y5217">
            <v>0</v>
          </cell>
          <cell r="Z5217">
            <v>0.35</v>
          </cell>
          <cell r="AA5217">
            <v>0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402174</v>
          </cell>
          <cell r="P5218"/>
          <cell r="Q5218" t="str">
            <v>EST BANCO DOMINO (6 LUG) (CILIN FREIJO) (CONC NT) (INOX)</v>
          </cell>
          <cell r="R5218"/>
          <cell r="S5218"/>
          <cell r="T5218">
            <v>2.73</v>
          </cell>
          <cell r="U5218">
            <v>0.45</v>
          </cell>
          <cell r="V5218">
            <v>0.48</v>
          </cell>
          <cell r="W5218">
            <v>0</v>
          </cell>
          <cell r="X5218" t="str">
            <v>EST BANCO DOMINO (6 LUG) (CILIN FREIJO) (CONC NT) (INOX) - 2,73x0,45x0,48H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0</v>
          </cell>
          <cell r="O5219">
            <v>402237</v>
          </cell>
          <cell r="P5219"/>
          <cell r="Q5219" t="str">
            <v>EST POLTRONA COZY (C/CAPA) (IMBUIA) TC GALLIA ESTONADO MUSGO</v>
          </cell>
          <cell r="R5219"/>
          <cell r="S5219"/>
          <cell r="T5219">
            <v>0.89</v>
          </cell>
          <cell r="U5219">
            <v>1.03</v>
          </cell>
          <cell r="V5219">
            <v>0.89</v>
          </cell>
          <cell r="W5219">
            <v>0</v>
          </cell>
          <cell r="X5219" t="str">
            <v>EST POLTRONA COZY (C/CAPA) (IMBUIA) TC GALLIA ESTONADO MUSGO - 0,89x1,03x0,89H</v>
          </cell>
          <cell r="Y5219" t="e">
            <v>#VALUE!</v>
          </cell>
          <cell r="Z5219">
            <v>0.35</v>
          </cell>
          <cell r="AA5219" t="e">
            <v>#VALUE!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1</v>
          </cell>
          <cell r="O5220">
            <v>402311</v>
          </cell>
          <cell r="P5220"/>
          <cell r="Q5220" t="str">
            <v>EST POLTRONA SAPAO (FREIJO NATURAL) COURO CAMURCA VERDE</v>
          </cell>
          <cell r="R5220"/>
          <cell r="S5220"/>
          <cell r="T5220">
            <v>0.75</v>
          </cell>
          <cell r="U5220">
            <v>0.72</v>
          </cell>
          <cell r="V5220">
            <v>0.6</v>
          </cell>
          <cell r="W5220">
            <v>0</v>
          </cell>
          <cell r="X5220" t="str">
            <v>EST POLTRONA SAPAO (FREIJO NATURAL) COURO CAMURCA VERDE - 0,75x0,72x0,6H</v>
          </cell>
          <cell r="Y5220">
            <v>0</v>
          </cell>
          <cell r="Z5220">
            <v>0.35</v>
          </cell>
          <cell r="AA5220">
            <v>0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2025/045-0005-01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0</v>
          </cell>
          <cell r="D5222">
            <v>0</v>
          </cell>
          <cell r="E5222">
            <v>0</v>
          </cell>
          <cell r="F5222">
            <v>0</v>
          </cell>
          <cell r="H5222">
            <v>3</v>
          </cell>
          <cell r="O5222">
            <v>402396</v>
          </cell>
          <cell r="P5222" t="str">
            <v>2025/045-0006-01</v>
          </cell>
          <cell r="Q5222" t="str">
            <v>EST BANQUETA BAR QUERO QUERO H65 (KOURO CAFE) (WALNUT MATT)</v>
          </cell>
          <cell r="R5222"/>
          <cell r="S5222"/>
          <cell r="T5222">
            <v>0.46</v>
          </cell>
          <cell r="U5222">
            <v>0.56000000000000005</v>
          </cell>
          <cell r="V5222">
            <v>0.92</v>
          </cell>
          <cell r="W5222">
            <v>0</v>
          </cell>
          <cell r="X5222" t="str">
            <v>EST BANQUETA BAR QUERO QUERO H65 (KOURO CAFE) (WALNUT MATT) - 0,46x0,56x0,92H</v>
          </cell>
          <cell r="Y5222">
            <v>7575.86</v>
          </cell>
          <cell r="Z5222">
            <v>0.35</v>
          </cell>
          <cell r="AA5222">
            <v>4924.3089999999993</v>
          </cell>
          <cell r="AB5222"/>
        </row>
        <row r="5223">
          <cell r="C5223">
            <v>0</v>
          </cell>
          <cell r="D5223">
            <v>0</v>
          </cell>
          <cell r="E5223">
            <v>0</v>
          </cell>
          <cell r="F5223">
            <v>0</v>
          </cell>
          <cell r="H5223">
            <v>3</v>
          </cell>
          <cell r="O5223">
            <v>402396</v>
          </cell>
          <cell r="P5223" t="str">
            <v>2025/045-0007-01</v>
          </cell>
          <cell r="Q5223" t="str">
            <v>EST BANQUETA BAR QUERO QUERO H65 (KOURO CAFE) (WALNUT MATT)</v>
          </cell>
          <cell r="R5223"/>
          <cell r="S5223"/>
          <cell r="T5223">
            <v>0.46</v>
          </cell>
          <cell r="U5223">
            <v>0.56000000000000005</v>
          </cell>
          <cell r="V5223">
            <v>0.92</v>
          </cell>
          <cell r="W5223">
            <v>0</v>
          </cell>
          <cell r="X5223" t="str">
            <v>EST BANQUETA BAR QUERO QUERO H65 (KOURO CAFE) (WALNUT MATT) - 0,46x0,56x0,92H</v>
          </cell>
          <cell r="Y5223">
            <v>7575.86</v>
          </cell>
          <cell r="Z5223">
            <v>0.35</v>
          </cell>
          <cell r="AA5223">
            <v>4924.3089999999993</v>
          </cell>
          <cell r="AB5223"/>
        </row>
        <row r="5224">
          <cell r="C5224">
            <v>1</v>
          </cell>
          <cell r="D5224">
            <v>0</v>
          </cell>
          <cell r="E5224">
            <v>1</v>
          </cell>
          <cell r="F5224">
            <v>0</v>
          </cell>
          <cell r="H5224">
            <v>0</v>
          </cell>
          <cell r="O5224">
            <v>402537</v>
          </cell>
          <cell r="P5224" t="str">
            <v>2025/125-0046-01</v>
          </cell>
          <cell r="Q5224" t="str">
            <v>EST LUMINARIA PENDENTE NOVENTA (G) (INDIRETA)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(INDIRETA)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1</v>
          </cell>
          <cell r="D5225">
            <v>0</v>
          </cell>
          <cell r="E5225">
            <v>1</v>
          </cell>
          <cell r="F5225">
            <v>0</v>
          </cell>
          <cell r="H5225">
            <v>0</v>
          </cell>
          <cell r="O5225">
            <v>402537</v>
          </cell>
          <cell r="P5225" t="str">
            <v>2025/125-0047-01</v>
          </cell>
          <cell r="Q5225" t="str">
            <v>EST LUMINARIA PENDENTE NOVENTA (G) (INDIRETA)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(INDIRETA) (PRETA) - 0,65x0,56x0,3H</v>
          </cell>
          <cell r="Y5225" t="e">
            <v>#VALUE!</v>
          </cell>
          <cell r="Z5225">
            <v>0.35</v>
          </cell>
          <cell r="AA5225" t="e">
            <v>#VALUE!</v>
          </cell>
          <cell r="AB5225"/>
        </row>
        <row r="5226">
          <cell r="C5226">
            <v>0</v>
          </cell>
          <cell r="D5226">
            <v>1</v>
          </cell>
          <cell r="E5226">
            <v>0</v>
          </cell>
          <cell r="F5226">
            <v>0</v>
          </cell>
          <cell r="H5226">
            <v>0</v>
          </cell>
          <cell r="O5226">
            <v>402539</v>
          </cell>
          <cell r="P5226" t="str">
            <v>2025/125-0049-01</v>
          </cell>
          <cell r="Q5226" t="str">
            <v>EST LUMINARIA PENDENTE NOVENTA (G) (DIRETA) (PRETA)</v>
          </cell>
          <cell r="R5226"/>
          <cell r="S5226"/>
          <cell r="T5226">
            <v>0.65</v>
          </cell>
          <cell r="U5226">
            <v>0.56000000000000005</v>
          </cell>
          <cell r="V5226">
            <v>0.3</v>
          </cell>
          <cell r="W5226">
            <v>0</v>
          </cell>
          <cell r="X5226" t="str">
            <v>EST LUMINARIA PENDENTE NOVENTA (G) (DIRETA) (PRETA) - 0,65x0,56x0,3H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0</v>
          </cell>
          <cell r="D5227">
            <v>1</v>
          </cell>
          <cell r="E5227">
            <v>0</v>
          </cell>
          <cell r="F5227">
            <v>0</v>
          </cell>
          <cell r="H5227">
            <v>0</v>
          </cell>
          <cell r="O5227">
            <v>402539</v>
          </cell>
          <cell r="P5227" t="str">
            <v>2025/125-0048-01</v>
          </cell>
          <cell r="Q5227" t="str">
            <v>EST LUMINARIA PENDENTE NOVENTA (G) (DIRETA) (PRETA)</v>
          </cell>
          <cell r="R5227"/>
          <cell r="S5227"/>
          <cell r="T5227">
            <v>0.65</v>
          </cell>
          <cell r="U5227">
            <v>0.56000000000000005</v>
          </cell>
          <cell r="V5227">
            <v>0.3</v>
          </cell>
          <cell r="W5227">
            <v>0</v>
          </cell>
          <cell r="X5227" t="str">
            <v>EST LUMINARIA PENDENTE NOVENTA (G) (DIRETA) (PRETA) - 0,65x0,56x0,3H</v>
          </cell>
          <cell r="Y5227">
            <v>7192.46</v>
          </cell>
          <cell r="Z5227">
            <v>0.35</v>
          </cell>
          <cell r="AA5227">
            <v>4675.0990000000002</v>
          </cell>
          <cell r="AB5227"/>
        </row>
        <row r="5228">
          <cell r="C5228">
            <v>1</v>
          </cell>
          <cell r="D5228">
            <v>0</v>
          </cell>
          <cell r="E5228">
            <v>1</v>
          </cell>
          <cell r="F5228">
            <v>0</v>
          </cell>
          <cell r="H5228">
            <v>0</v>
          </cell>
          <cell r="O5228">
            <v>402540</v>
          </cell>
          <cell r="P5228" t="str">
            <v>2025/125-0050-01</v>
          </cell>
          <cell r="Q5228" t="str">
            <v>EST LUMINARIA PENDENTE NOVENTA (P) (DIRETA) (PRETA)</v>
          </cell>
          <cell r="R5228"/>
          <cell r="S5228"/>
          <cell r="T5228">
            <v>0.45</v>
          </cell>
          <cell r="U5228">
            <v>0.39</v>
          </cell>
          <cell r="V5228">
            <v>0.3</v>
          </cell>
          <cell r="W5228">
            <v>0</v>
          </cell>
          <cell r="X5228" t="str">
            <v>EST LUMINARIA PENDENTE NOVENTA (P) (DIRETA) (PRETA) - 0,45x0,39x0,3H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0</v>
          </cell>
          <cell r="E5229">
            <v>1</v>
          </cell>
          <cell r="F5229">
            <v>0</v>
          </cell>
          <cell r="H5229">
            <v>0</v>
          </cell>
          <cell r="O5229">
            <v>402540</v>
          </cell>
          <cell r="P5229" t="str">
            <v>2025/125-0051-01</v>
          </cell>
          <cell r="Q5229" t="str">
            <v>EST LUMINARIA PENDENTE NOVENTA (P) (DIRETA) (PRETA)</v>
          </cell>
          <cell r="R5229"/>
          <cell r="S5229"/>
          <cell r="T5229">
            <v>0.45</v>
          </cell>
          <cell r="U5229">
            <v>0.39</v>
          </cell>
          <cell r="V5229">
            <v>0.3</v>
          </cell>
          <cell r="W5229">
            <v>0</v>
          </cell>
          <cell r="X5229" t="str">
            <v>EST LUMINARIA PENDENTE NOVENTA (P) (DIRETA) (PRETA) - 0,45x0,39x0,3H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1</v>
          </cell>
          <cell r="D5230">
            <v>1</v>
          </cell>
          <cell r="E5230">
            <v>1</v>
          </cell>
          <cell r="F5230">
            <v>1</v>
          </cell>
          <cell r="H5230">
            <v>0</v>
          </cell>
          <cell r="O5230">
            <v>402541</v>
          </cell>
          <cell r="P5230" t="str">
            <v>2025/104-0024-01</v>
          </cell>
          <cell r="Q5230" t="str">
            <v>EST LUMINARIA MESA NOVENTA (G) (PRETA)</v>
          </cell>
          <cell r="R5230"/>
          <cell r="S5230"/>
          <cell r="T5230">
            <v>0.33</v>
          </cell>
          <cell r="U5230">
            <v>0.22</v>
          </cell>
          <cell r="V5230">
            <v>0.57999999999999996</v>
          </cell>
          <cell r="W5230">
            <v>0</v>
          </cell>
          <cell r="X5230" t="str">
            <v>EST LUMINARIA MESA NOVENTA (G) (PRETA) - 0,33x0,22x0,58H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1</v>
          </cell>
          <cell r="D5231">
            <v>1</v>
          </cell>
          <cell r="E5231">
            <v>1</v>
          </cell>
          <cell r="F5231">
            <v>1</v>
          </cell>
          <cell r="H5231">
            <v>0</v>
          </cell>
          <cell r="O5231">
            <v>402541</v>
          </cell>
          <cell r="P5231" t="str">
            <v>2025/126-0028-01</v>
          </cell>
          <cell r="Q5231" t="str">
            <v>EST LUMINARIA MESA NOVENTA (G) (PRETA)</v>
          </cell>
          <cell r="R5231"/>
          <cell r="S5231"/>
          <cell r="T5231">
            <v>0.33</v>
          </cell>
          <cell r="U5231">
            <v>0.22</v>
          </cell>
          <cell r="V5231">
            <v>0.57999999999999996</v>
          </cell>
          <cell r="W5231">
            <v>0</v>
          </cell>
          <cell r="X5231" t="str">
            <v>EST LUMINARIA MESA NOVENTA (G) (PRETA) - 0,33x0,22x0,58H</v>
          </cell>
          <cell r="Y5231" t="e">
            <v>#VALUE!</v>
          </cell>
          <cell r="Z5231">
            <v>0.35</v>
          </cell>
          <cell r="AA5231" t="e">
            <v>#VALUE!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8</v>
          </cell>
          <cell r="O5232">
            <v>402646</v>
          </cell>
          <cell r="P5232"/>
          <cell r="Q5232" t="str">
            <v>EST CADEIRA GB MTF600 (S/B) TC EL ANGOLA COOPER</v>
          </cell>
          <cell r="R5232"/>
          <cell r="S5232"/>
          <cell r="T5232">
            <v>0.4</v>
          </cell>
          <cell r="U5232">
            <v>0.48</v>
          </cell>
          <cell r="V5232">
            <v>0.82</v>
          </cell>
          <cell r="W5232">
            <v>0</v>
          </cell>
          <cell r="X5232" t="str">
            <v>EST CADEIRA GB MTF600 (S/B) TC EL ANGOLA COOPER - 0,4x0,48x0,82H</v>
          </cell>
          <cell r="Y5232" t="e">
            <v>#VALUE!</v>
          </cell>
          <cell r="Z5232">
            <v>0.35</v>
          </cell>
          <cell r="AA5232" t="e">
            <v>#VALUE!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8</v>
          </cell>
          <cell r="O5233">
            <v>402646</v>
          </cell>
          <cell r="P5233"/>
          <cell r="Q5233" t="str">
            <v>EST CADEIRA GB MTF600 (S/B) TC EL ANGOLA COOPER</v>
          </cell>
          <cell r="R5233"/>
          <cell r="S5233"/>
          <cell r="T5233">
            <v>0.4</v>
          </cell>
          <cell r="U5233">
            <v>0.48</v>
          </cell>
          <cell r="V5233">
            <v>0.82</v>
          </cell>
          <cell r="W5233">
            <v>0</v>
          </cell>
          <cell r="X5233" t="str">
            <v>EST CADEIRA GB MTF600 (S/B) TC EL ANGOLA COOPER - 0,4x0,48x0,82H</v>
          </cell>
          <cell r="Y5233">
            <v>0</v>
          </cell>
          <cell r="Z5233">
            <v>0.35</v>
          </cell>
          <cell r="AA5233">
            <v>0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2</v>
          </cell>
          <cell r="O5234">
            <v>388726</v>
          </cell>
          <cell r="P5234" t="str">
            <v>2024/239-0117-01</v>
          </cell>
          <cell r="Q5234" t="str">
            <v>EST POLTRONA MUXA (MAD A MUIRACATIARA PU) TC ANGOLA BEIGE</v>
          </cell>
          <cell r="R5234"/>
          <cell r="S5234"/>
          <cell r="T5234">
            <v>0.97</v>
          </cell>
          <cell r="U5234">
            <v>0.93</v>
          </cell>
          <cell r="V5234">
            <v>0.69</v>
          </cell>
          <cell r="W5234">
            <v>0</v>
          </cell>
          <cell r="X5234" t="str">
            <v>EST POLTRONA MUXA (MAD A MUIRACATIARA PU) TC ANGOLA BEIGE - 0,97x0,93x0,69H</v>
          </cell>
          <cell r="Y5234">
            <v>39882.991999999998</v>
          </cell>
          <cell r="Z5234">
            <v>0.35</v>
          </cell>
          <cell r="AA5234">
            <v>25923.944799999997</v>
          </cell>
          <cell r="AB5234"/>
        </row>
        <row r="5235"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H5235">
            <v>2</v>
          </cell>
          <cell r="O5235">
            <v>388726</v>
          </cell>
          <cell r="P5235" t="str">
            <v>2024/239-0118-01</v>
          </cell>
          <cell r="Q5235" t="str">
            <v>EST POLTRONA MUXA (MAD A MUIRACATIARA PU) TC ANGOLA BEIGE</v>
          </cell>
          <cell r="R5235"/>
          <cell r="S5235"/>
          <cell r="T5235">
            <v>0.97</v>
          </cell>
          <cell r="U5235">
            <v>0.93</v>
          </cell>
          <cell r="V5235">
            <v>0.69</v>
          </cell>
          <cell r="W5235">
            <v>0</v>
          </cell>
          <cell r="X5235" t="str">
            <v>EST POLTRONA MUXA (MAD A MUIRACATIARA PU) TC ANGOLA BEIGE - 0,97x0,93x0,69H</v>
          </cell>
          <cell r="Y5235">
            <v>39882.991999999998</v>
          </cell>
          <cell r="Z5235">
            <v>0.35</v>
          </cell>
          <cell r="AA5235">
            <v>25923.944799999997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402715</v>
          </cell>
          <cell r="P5236"/>
          <cell r="Q5236" t="str">
            <v>EST MESA CENTRO PICK (CATUABA) (CONCRETO NATURAL)</v>
          </cell>
          <cell r="R5236"/>
          <cell r="S5236"/>
          <cell r="T5236">
            <v>1.94</v>
          </cell>
          <cell r="U5236">
            <v>1.04</v>
          </cell>
          <cell r="V5236">
            <v>0.35</v>
          </cell>
          <cell r="W5236">
            <v>0</v>
          </cell>
          <cell r="X5236" t="str">
            <v>EST MESA CENTRO PICK (CATUABA) (CONCRETO NATURAL) - 1,94x1,04x0,35H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 t="e">
            <v>#N/A</v>
          </cell>
          <cell r="D5237" t="e">
            <v>#N/A</v>
          </cell>
          <cell r="E5237" t="e">
            <v>#N/A</v>
          </cell>
          <cell r="F5237" t="e">
            <v>#N/A</v>
          </cell>
          <cell r="H5237" t="e">
            <v>#N/A</v>
          </cell>
          <cell r="O5237">
            <v>403847</v>
          </cell>
          <cell r="P5237"/>
          <cell r="Q5237" t="e">
            <v>#N/A</v>
          </cell>
          <cell r="R5237"/>
          <cell r="S5237"/>
          <cell r="T5237" t="e">
            <v>#N/A</v>
          </cell>
          <cell r="U5237" t="e">
            <v>#N/A</v>
          </cell>
          <cell r="V5237" t="e">
            <v>#N/A</v>
          </cell>
          <cell r="W5237" t="e">
            <v>#N/A</v>
          </cell>
          <cell r="X5237" t="e">
            <v>#N/A</v>
          </cell>
          <cell r="Y5237">
            <v>0</v>
          </cell>
          <cell r="Z5237">
            <v>0.35</v>
          </cell>
          <cell r="AA5237">
            <v>0</v>
          </cell>
          <cell r="AB5237"/>
        </row>
        <row r="5238">
          <cell r="C5238">
            <v>0</v>
          </cell>
          <cell r="D5238">
            <v>0</v>
          </cell>
          <cell r="E5238">
            <v>0</v>
          </cell>
          <cell r="F5238">
            <v>0</v>
          </cell>
          <cell r="H5238">
            <v>1</v>
          </cell>
          <cell r="O5238">
            <v>403848</v>
          </cell>
          <cell r="P5238"/>
          <cell r="Q5238" t="str">
            <v>EST BANCO GAMELA (ASS PAU FERRO/BASE PINHO DE RIGA XXVI)</v>
          </cell>
          <cell r="R5238"/>
          <cell r="S5238"/>
          <cell r="T5238">
            <v>3.47</v>
          </cell>
          <cell r="U5238">
            <v>0.27</v>
          </cell>
          <cell r="V5238">
            <v>0.39</v>
          </cell>
          <cell r="W5238">
            <v>0</v>
          </cell>
          <cell r="X5238" t="str">
            <v>EST BANCO GAMELA (ASS PAU FERRO/BASE PINHO DE RIGA XXVI) - 3,47x0,27x0,39H</v>
          </cell>
          <cell r="Y5238">
            <v>0</v>
          </cell>
          <cell r="Z5238">
            <v>0.35</v>
          </cell>
          <cell r="AA5238">
            <v>0</v>
          </cell>
          <cell r="AB5238"/>
        </row>
        <row r="5239">
          <cell r="C5239">
            <v>2</v>
          </cell>
          <cell r="D5239">
            <v>0</v>
          </cell>
          <cell r="E5239">
            <v>0</v>
          </cell>
          <cell r="F5239">
            <v>0</v>
          </cell>
          <cell r="H5239">
            <v>0</v>
          </cell>
          <cell r="O5239">
            <v>404174</v>
          </cell>
          <cell r="P5239" t="str">
            <v>2025/148-0043-01</v>
          </cell>
          <cell r="Q5239" t="str">
            <v>EST MOVEL AUXILIAR BARCELONA (MARM 1 NUVOLA GOLD) LAM WALNUT</v>
          </cell>
          <cell r="R5239"/>
          <cell r="S5239"/>
          <cell r="T5239">
            <v>0.5</v>
          </cell>
          <cell r="U5239">
            <v>0</v>
          </cell>
          <cell r="V5239">
            <v>0.55000000000000004</v>
          </cell>
          <cell r="W5239">
            <v>0.5</v>
          </cell>
          <cell r="X5239" t="str">
            <v>EST MOVEL AUXILIAR BARCELONA (MARM 1 NUVOLA GOLD) LAM WALNUT - Ø0,5x0,55H</v>
          </cell>
          <cell r="Y5239">
            <v>16629.45</v>
          </cell>
          <cell r="Z5239">
            <v>0.35</v>
          </cell>
          <cell r="AA5239">
            <v>10809.142500000002</v>
          </cell>
          <cell r="AB5239"/>
        </row>
        <row r="5240">
          <cell r="C5240">
            <v>2</v>
          </cell>
          <cell r="D5240">
            <v>0</v>
          </cell>
          <cell r="E5240">
            <v>0</v>
          </cell>
          <cell r="F5240">
            <v>0</v>
          </cell>
          <cell r="H5240">
            <v>0</v>
          </cell>
          <cell r="O5240">
            <v>404174</v>
          </cell>
          <cell r="P5240" t="str">
            <v>2025/148-0045-01</v>
          </cell>
          <cell r="Q5240" t="str">
            <v>EST MOVEL AUXILIAR BARCELONA (MARM 1 NUVOLA GOLD) LAM WALNUT</v>
          </cell>
          <cell r="R5240"/>
          <cell r="S5240"/>
          <cell r="T5240">
            <v>0.5</v>
          </cell>
          <cell r="U5240">
            <v>0</v>
          </cell>
          <cell r="V5240">
            <v>0.55000000000000004</v>
          </cell>
          <cell r="W5240">
            <v>0.5</v>
          </cell>
          <cell r="X5240" t="str">
            <v>EST MOVEL AUXILIAR BARCELONA (MARM 1 NUVOLA GOLD) LAM WALNUT - Ø0,5x0,55H</v>
          </cell>
          <cell r="Y5240">
            <v>16629.45</v>
          </cell>
          <cell r="Z5240">
            <v>0.35</v>
          </cell>
          <cell r="AA5240">
            <v>10809.142500000002</v>
          </cell>
          <cell r="AB5240"/>
        </row>
        <row r="5241">
          <cell r="C5241" t="e">
            <v>#N/A</v>
          </cell>
          <cell r="D5241" t="e">
            <v>#N/A</v>
          </cell>
          <cell r="E5241" t="e">
            <v>#N/A</v>
          </cell>
          <cell r="F5241" t="e">
            <v>#N/A</v>
          </cell>
          <cell r="H5241" t="e">
            <v>#N/A</v>
          </cell>
          <cell r="O5241">
            <v>404544</v>
          </cell>
          <cell r="P5241"/>
          <cell r="Q5241" t="e">
            <v>#N/A</v>
          </cell>
          <cell r="R5241"/>
          <cell r="S5241"/>
          <cell r="T5241" t="e">
            <v>#N/A</v>
          </cell>
          <cell r="U5241" t="e">
            <v>#N/A</v>
          </cell>
          <cell r="V5241" t="e">
            <v>#N/A</v>
          </cell>
          <cell r="W5241" t="e">
            <v>#N/A</v>
          </cell>
          <cell r="X5241" t="e">
            <v>#N/A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1</v>
          </cell>
          <cell r="O5242">
            <v>404545</v>
          </cell>
          <cell r="P5242"/>
          <cell r="Q5242" t="str">
            <v>EST COMPONENTE CAPA PAULISTANO (LONA 45 BLUSH ROSADO)</v>
          </cell>
          <cell r="R5242"/>
          <cell r="S5242"/>
          <cell r="T5242">
            <v>0</v>
          </cell>
          <cell r="U5242">
            <v>0</v>
          </cell>
          <cell r="V5242">
            <v>0</v>
          </cell>
          <cell r="W5242">
            <v>0</v>
          </cell>
          <cell r="X5242" t="str">
            <v>EST COMPONENTE CAPA PAULISTANO (LONA 45 BLUSH ROSADO) - Ø0x0H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0</v>
          </cell>
          <cell r="D5243">
            <v>0</v>
          </cell>
          <cell r="E5243">
            <v>0</v>
          </cell>
          <cell r="F5243">
            <v>0</v>
          </cell>
          <cell r="H5243">
            <v>3</v>
          </cell>
          <cell r="O5243">
            <v>404558</v>
          </cell>
          <cell r="P5243"/>
          <cell r="Q5243" t="str">
            <v>EST COMPONENTE ESTRUTURA CADEIRA PAULISTANO (ACO PRETO)</v>
          </cell>
          <cell r="R5243"/>
          <cell r="S5243"/>
          <cell r="T5243">
            <v>0.72</v>
          </cell>
          <cell r="U5243">
            <v>0.74</v>
          </cell>
          <cell r="V5243">
            <v>0.82</v>
          </cell>
          <cell r="W5243">
            <v>0</v>
          </cell>
          <cell r="X5243" t="str">
            <v>EST COMPONENTE ESTRUTURA CADEIRA PAULISTANO (ACO PRETO) - 0,72x0,74x0,82H</v>
          </cell>
          <cell r="Y5243">
            <v>0</v>
          </cell>
          <cell r="Z5243">
            <v>0.35</v>
          </cell>
          <cell r="AA5243">
            <v>0</v>
          </cell>
          <cell r="AB5243"/>
        </row>
        <row r="5244">
          <cell r="C5244">
            <v>0</v>
          </cell>
          <cell r="D5244">
            <v>0</v>
          </cell>
          <cell r="E5244">
            <v>0</v>
          </cell>
          <cell r="F5244">
            <v>0</v>
          </cell>
          <cell r="H5244">
            <v>2</v>
          </cell>
          <cell r="O5244">
            <v>404559</v>
          </cell>
          <cell r="P5244"/>
          <cell r="Q5244" t="str">
            <v>EST COMPONENTE ESTRUTURA CADEIRA PAULISTANO (INOX POLIDO)</v>
          </cell>
          <cell r="R5244"/>
          <cell r="S5244"/>
          <cell r="T5244">
            <v>0.72</v>
          </cell>
          <cell r="U5244">
            <v>0.74</v>
          </cell>
          <cell r="V5244">
            <v>0.82</v>
          </cell>
          <cell r="W5244">
            <v>0</v>
          </cell>
          <cell r="X5244" t="str">
            <v>EST COMPONENTE ESTRUTURA CADEIRA PAULISTANO (INOX POLIDO) - 0,72x0,74x0,82H</v>
          </cell>
          <cell r="Y5244">
            <v>0</v>
          </cell>
          <cell r="Z5244">
            <v>0.35</v>
          </cell>
          <cell r="AA5244">
            <v>0</v>
          </cell>
          <cell r="AB5244"/>
        </row>
        <row r="5245">
          <cell r="C5245">
            <v>1</v>
          </cell>
          <cell r="D5245">
            <v>0</v>
          </cell>
          <cell r="E5245">
            <v>1</v>
          </cell>
          <cell r="F5245">
            <v>0</v>
          </cell>
          <cell r="H5245">
            <v>1</v>
          </cell>
          <cell r="O5245">
            <v>404589</v>
          </cell>
          <cell r="P5245" t="str">
            <v>2025/154-0031-01</v>
          </cell>
          <cell r="Q5245" t="str">
            <v>EST COMPONENTE ALMOFADA CHAISE BELLAGIO TC KEEPSAKE SILVER</v>
          </cell>
          <cell r="R5245"/>
          <cell r="S5245"/>
          <cell r="T5245">
            <v>1.7</v>
          </cell>
          <cell r="U5245">
            <v>0.7</v>
          </cell>
          <cell r="V5245">
            <v>0.05</v>
          </cell>
          <cell r="W5245">
            <v>0</v>
          </cell>
          <cell r="X5245" t="str">
            <v>EST COMPONENTE ALMOFADA CHAISE BELLAGIO TC KEEPSAKE SILVER - 1,7x0,7x0,05H</v>
          </cell>
          <cell r="Y5245">
            <v>8865.7227999999996</v>
          </cell>
          <cell r="Z5245">
            <v>0.35</v>
          </cell>
          <cell r="AA5245">
            <v>5762.7198200000003</v>
          </cell>
          <cell r="AB5245"/>
        </row>
        <row r="5246">
          <cell r="C5246">
            <v>1</v>
          </cell>
          <cell r="D5246">
            <v>0</v>
          </cell>
          <cell r="E5246">
            <v>1</v>
          </cell>
          <cell r="F5246">
            <v>0</v>
          </cell>
          <cell r="H5246">
            <v>1</v>
          </cell>
          <cell r="O5246">
            <v>404589</v>
          </cell>
          <cell r="P5246" t="str">
            <v>2025/154-0032-01</v>
          </cell>
          <cell r="Q5246" t="str">
            <v>EST COMPONENTE ALMOFADA CHAISE BELLAGIO TC KEEPSAKE SILVER</v>
          </cell>
          <cell r="R5246"/>
          <cell r="S5246"/>
          <cell r="T5246">
            <v>1.7</v>
          </cell>
          <cell r="U5246">
            <v>0.7</v>
          </cell>
          <cell r="V5246">
            <v>0.05</v>
          </cell>
          <cell r="W5246">
            <v>0</v>
          </cell>
          <cell r="X5246" t="str">
            <v>EST COMPONENTE ALMOFADA CHAISE BELLAGIO TC KEEPSAKE SILVER - 1,7x0,7x0,05H</v>
          </cell>
          <cell r="Y5246">
            <v>8865.7227999999996</v>
          </cell>
          <cell r="Z5246">
            <v>0.35</v>
          </cell>
          <cell r="AA5246">
            <v>5762.7198200000003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0</v>
          </cell>
          <cell r="H5247">
            <v>0</v>
          </cell>
          <cell r="O5247">
            <v>404602</v>
          </cell>
          <cell r="P5247" t="str">
            <v>2025/246-0034-01</v>
          </cell>
          <cell r="Q5247" t="str">
            <v>EST MESA CENTRO BELLAGIO (ALU C29)</v>
          </cell>
          <cell r="R5247"/>
          <cell r="S5247"/>
          <cell r="T5247">
            <v>1.2</v>
          </cell>
          <cell r="U5247">
            <v>0</v>
          </cell>
          <cell r="V5247">
            <v>0.35</v>
          </cell>
          <cell r="W5247">
            <v>1.2</v>
          </cell>
          <cell r="X5247" t="str">
            <v>EST MESA CENTRO BELLAGIO (ALU C29) - Ø1,2x0,35H</v>
          </cell>
          <cell r="Y5247">
            <v>22279.71</v>
          </cell>
          <cell r="Z5247">
            <v>0.35</v>
          </cell>
          <cell r="AA5247">
            <v>14481.8115</v>
          </cell>
          <cell r="AB5247"/>
        </row>
        <row r="5248">
          <cell r="C5248">
            <v>0</v>
          </cell>
          <cell r="D5248">
            <v>0</v>
          </cell>
          <cell r="E5248">
            <v>0</v>
          </cell>
          <cell r="F5248">
            <v>0</v>
          </cell>
          <cell r="H5248">
            <v>0</v>
          </cell>
          <cell r="O5248">
            <v>404607</v>
          </cell>
          <cell r="P5248" t="str">
            <v>2025/246-0035-01</v>
          </cell>
          <cell r="Q5248" t="str">
            <v>EST MESA CENTRO BELLAGIO (ALU C32)</v>
          </cell>
          <cell r="R5248"/>
          <cell r="S5248"/>
          <cell r="T5248">
            <v>1.2</v>
          </cell>
          <cell r="U5248">
            <v>0</v>
          </cell>
          <cell r="V5248">
            <v>0.35</v>
          </cell>
          <cell r="W5248">
            <v>1.2</v>
          </cell>
          <cell r="X5248" t="str">
            <v>EST MESA CENTRO BELLAGIO (ALU C32) - Ø1,2x0,35H</v>
          </cell>
          <cell r="Y5248">
            <v>22279.71</v>
          </cell>
          <cell r="Z5248">
            <v>0.35</v>
          </cell>
          <cell r="AA5248">
            <v>14481.8115</v>
          </cell>
          <cell r="AB5248"/>
        </row>
        <row r="5249">
          <cell r="C5249">
            <v>0</v>
          </cell>
          <cell r="D5249">
            <v>0</v>
          </cell>
          <cell r="E5249">
            <v>0</v>
          </cell>
          <cell r="F5249">
            <v>1</v>
          </cell>
          <cell r="H5249">
            <v>0</v>
          </cell>
          <cell r="O5249">
            <v>404610</v>
          </cell>
          <cell r="P5249" t="str">
            <v>2025/154-0018-01</v>
          </cell>
          <cell r="Q5249" t="str">
            <v>EST MESA LATERAL BELLAGIO (FORMICA TS CORDA) (ALU C29)</v>
          </cell>
          <cell r="R5249"/>
          <cell r="S5249"/>
          <cell r="T5249">
            <v>0.5</v>
          </cell>
          <cell r="U5249">
            <v>0</v>
          </cell>
          <cell r="V5249">
            <v>0.45</v>
          </cell>
          <cell r="W5249">
            <v>0.5</v>
          </cell>
          <cell r="X5249" t="str">
            <v>EST MESA LATERAL BELLAGIO (FORMICA TS CORDA) (ALU C29) - Ø0,5x0,45H</v>
          </cell>
          <cell r="Y5249">
            <v>8226.94</v>
          </cell>
          <cell r="Z5249">
            <v>0.35</v>
          </cell>
          <cell r="AA5249">
            <v>5347.5110000000004</v>
          </cell>
          <cell r="AB5249"/>
        </row>
        <row r="5250">
          <cell r="C5250" t="e">
            <v>#N/A</v>
          </cell>
          <cell r="D5250" t="e">
            <v>#N/A</v>
          </cell>
          <cell r="E5250" t="e">
            <v>#N/A</v>
          </cell>
          <cell r="F5250" t="e">
            <v>#N/A</v>
          </cell>
          <cell r="H5250" t="e">
            <v>#N/A</v>
          </cell>
          <cell r="O5250">
            <v>404611</v>
          </cell>
          <cell r="P5250"/>
          <cell r="Q5250" t="e">
            <v>#N/A</v>
          </cell>
          <cell r="R5250"/>
          <cell r="S5250"/>
          <cell r="T5250" t="e">
            <v>#N/A</v>
          </cell>
          <cell r="U5250" t="e">
            <v>#N/A</v>
          </cell>
          <cell r="V5250" t="e">
            <v>#N/A</v>
          </cell>
          <cell r="W5250" t="e">
            <v>#N/A</v>
          </cell>
          <cell r="X5250" t="e">
            <v>#N/A</v>
          </cell>
          <cell r="Y5250">
            <v>7336.09</v>
          </cell>
          <cell r="Z5250">
            <v>0.35</v>
          </cell>
          <cell r="AA5250">
            <v>4768.4585000000006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404793</v>
          </cell>
          <cell r="P5251"/>
          <cell r="Q5251" t="str">
            <v>EST TAMPO CENTRO LITORAL (DAGUA) (G3-ROMA IMPERIALLE LEVIG)</v>
          </cell>
          <cell r="R5251"/>
          <cell r="S5251"/>
          <cell r="T5251">
            <v>1.5</v>
          </cell>
          <cell r="U5251">
            <v>1.37</v>
          </cell>
          <cell r="V5251">
            <v>0.02</v>
          </cell>
          <cell r="W5251">
            <v>0</v>
          </cell>
          <cell r="X5251" t="str">
            <v>EST TAMPO CENTRO LITORAL (DAGUA) (G3-ROMA IMPERIALLE LEVIG) - 1,5x1,37x0,02H</v>
          </cell>
          <cell r="Y5251">
            <v>0</v>
          </cell>
          <cell r="Z5251">
            <v>0.35</v>
          </cell>
          <cell r="AA5251">
            <v>0</v>
          </cell>
          <cell r="AB5251"/>
        </row>
        <row r="5252">
          <cell r="C5252">
            <v>1</v>
          </cell>
          <cell r="D5252">
            <v>0</v>
          </cell>
          <cell r="E5252">
            <v>0</v>
          </cell>
          <cell r="F5252">
            <v>0</v>
          </cell>
          <cell r="H5252">
            <v>0</v>
          </cell>
          <cell r="O5252">
            <v>404832</v>
          </cell>
          <cell r="P5252" t="str">
            <v>2025/129-0036-01</v>
          </cell>
          <cell r="Q5252" t="str">
            <v>EST TAPETE SISAL C18 (BARRA VIRADA)</v>
          </cell>
          <cell r="R5252"/>
          <cell r="S5252"/>
          <cell r="T5252">
            <v>4.5</v>
          </cell>
          <cell r="U5252">
            <v>3</v>
          </cell>
          <cell r="V5252">
            <v>0</v>
          </cell>
          <cell r="W5252">
            <v>0</v>
          </cell>
          <cell r="X5252" t="str">
            <v>EST TAPETE SISAL C18 (BARRA VIRADA) - 4,5x3x0H</v>
          </cell>
          <cell r="Y5252">
            <v>8937.24</v>
          </cell>
          <cell r="Z5252">
            <v>0.35</v>
          </cell>
          <cell r="AA5252">
            <v>5809.2060000000001</v>
          </cell>
          <cell r="AB5252"/>
        </row>
        <row r="5253">
          <cell r="C5253">
            <v>0</v>
          </cell>
          <cell r="D5253">
            <v>0</v>
          </cell>
          <cell r="E5253">
            <v>0</v>
          </cell>
          <cell r="F5253">
            <v>0</v>
          </cell>
          <cell r="H5253">
            <v>1</v>
          </cell>
          <cell r="O5253">
            <v>404833</v>
          </cell>
          <cell r="P5253" t="str">
            <v>2025/129-0037-01</v>
          </cell>
          <cell r="Q5253" t="str">
            <v>EST TAPETE SISAL CH (BARRA VIRADA)</v>
          </cell>
          <cell r="R5253"/>
          <cell r="S5253"/>
          <cell r="T5253">
            <v>6</v>
          </cell>
          <cell r="U5253">
            <v>4.5</v>
          </cell>
          <cell r="V5253">
            <v>0</v>
          </cell>
          <cell r="W5253">
            <v>0</v>
          </cell>
          <cell r="X5253" t="str">
            <v>EST TAPETE SISAL CH (BARRA VIRADA) - 6x4,5x0H</v>
          </cell>
          <cell r="Y5253">
            <v>19170.91</v>
          </cell>
          <cell r="Z5253">
            <v>0.35</v>
          </cell>
          <cell r="AA5253">
            <v>12461.0915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1</v>
          </cell>
          <cell r="O5254">
            <v>404854</v>
          </cell>
          <cell r="P5254"/>
          <cell r="Q5254" t="str">
            <v>EST CADEIRA ESTRIBO TC EL ANGOLA GREEN</v>
          </cell>
          <cell r="R5254"/>
          <cell r="S5254"/>
          <cell r="T5254">
            <v>0.44</v>
          </cell>
          <cell r="U5254">
            <v>0.57999999999999996</v>
          </cell>
          <cell r="V5254">
            <v>0.85</v>
          </cell>
          <cell r="W5254">
            <v>0</v>
          </cell>
          <cell r="X5254" t="str">
            <v>EST CADEIRA ESTRIBO TC EL ANGOLA GREEN - 0,44x0,58x0,85H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404856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0</v>
          </cell>
          <cell r="O5256">
            <v>404939</v>
          </cell>
          <cell r="P5256"/>
          <cell r="Q5256" t="str">
            <v>EST LUMINARIA ALVORADA (HASTE FREIJO)</v>
          </cell>
          <cell r="R5256"/>
          <cell r="S5256"/>
          <cell r="T5256">
            <v>0.36</v>
          </cell>
          <cell r="U5256">
            <v>0</v>
          </cell>
          <cell r="V5256">
            <v>0.57999999999999996</v>
          </cell>
          <cell r="W5256">
            <v>0.36</v>
          </cell>
          <cell r="X5256" t="str">
            <v>EST LUMINARIA ALVORADA (HASTE FREIJO) - Ø0,36x0,58H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 t="e">
            <v>#N/A</v>
          </cell>
          <cell r="D5257" t="e">
            <v>#N/A</v>
          </cell>
          <cell r="E5257" t="e">
            <v>#N/A</v>
          </cell>
          <cell r="F5257" t="e">
            <v>#N/A</v>
          </cell>
          <cell r="H5257" t="e">
            <v>#N/A</v>
          </cell>
          <cell r="O5257">
            <v>404970</v>
          </cell>
          <cell r="P5257"/>
          <cell r="Q5257" t="e">
            <v>#N/A</v>
          </cell>
          <cell r="R5257"/>
          <cell r="S5257"/>
          <cell r="T5257" t="e">
            <v>#N/A</v>
          </cell>
          <cell r="U5257" t="e">
            <v>#N/A</v>
          </cell>
          <cell r="V5257" t="e">
            <v>#N/A</v>
          </cell>
          <cell r="W5257" t="e">
            <v>#N/A</v>
          </cell>
          <cell r="X5257" t="e">
            <v>#N/A</v>
          </cell>
          <cell r="Y5257" t="e">
            <v>#VALUE!</v>
          </cell>
          <cell r="Z5257">
            <v>0.35</v>
          </cell>
          <cell r="AA5257" t="e">
            <v>#VALUE!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1</v>
          </cell>
          <cell r="O5258">
            <v>404972</v>
          </cell>
          <cell r="P5258"/>
          <cell r="Q5258" t="str">
            <v>EST SOFA CACO (BRANQUILHO) TC ABONO NATURAL</v>
          </cell>
          <cell r="R5258"/>
          <cell r="S5258"/>
          <cell r="T5258">
            <v>4.1500000000000004</v>
          </cell>
          <cell r="U5258">
            <v>1.45</v>
          </cell>
          <cell r="V5258">
            <v>0.74</v>
          </cell>
          <cell r="W5258">
            <v>0</v>
          </cell>
          <cell r="X5258" t="str">
            <v>EST SOFA CACO (BRANQUILHO) TC ABONO NATURAL - 4,15x1,45x0,74H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0</v>
          </cell>
          <cell r="O5259">
            <v>404983</v>
          </cell>
          <cell r="P5259"/>
          <cell r="Q5259" t="str">
            <v>EST POLTRONA MOLE (MAD B COR 03) COURO NOBUCK VERDE</v>
          </cell>
          <cell r="R5259"/>
          <cell r="S5259"/>
          <cell r="T5259">
            <v>1.2</v>
          </cell>
          <cell r="U5259">
            <v>1.05</v>
          </cell>
          <cell r="V5259">
            <v>0.82</v>
          </cell>
          <cell r="W5259">
            <v>0</v>
          </cell>
          <cell r="X5259" t="str">
            <v>EST POLTRONA MOLE (MAD B COR 03) COURO NOBUCK VERDE - 1,2x1,05x0,82H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H5260">
            <v>0</v>
          </cell>
          <cell r="O5260">
            <v>404991</v>
          </cell>
          <cell r="P5260"/>
          <cell r="Q5260" t="str">
            <v>EST BANQUETA MOLE (MAD B COR 03) COURO NOBUCK VERDE</v>
          </cell>
          <cell r="R5260"/>
          <cell r="S5260"/>
          <cell r="T5260">
            <v>0.82</v>
          </cell>
          <cell r="U5260">
            <v>0.59</v>
          </cell>
          <cell r="V5260">
            <v>0.45</v>
          </cell>
          <cell r="W5260">
            <v>0</v>
          </cell>
          <cell r="X5260" t="str">
            <v>EST BANQUETA MOLE (MAD B COR 03) COURO NOBUCK VERDE - 0,82x0,59x0,45H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>
            <v>0</v>
          </cell>
          <cell r="D5261">
            <v>0</v>
          </cell>
          <cell r="E5261">
            <v>0</v>
          </cell>
          <cell r="F5261">
            <v>0</v>
          </cell>
          <cell r="H5261">
            <v>0</v>
          </cell>
          <cell r="O5261">
            <v>405017</v>
          </cell>
          <cell r="P5261"/>
          <cell r="Q5261" t="str">
            <v>EST POLTRONA BEG (C/ROD) (MAD A COR 02) TC EL ANGOLA GREEN</v>
          </cell>
          <cell r="R5261"/>
          <cell r="S5261"/>
          <cell r="T5261">
            <v>0.65</v>
          </cell>
          <cell r="U5261">
            <v>0.63</v>
          </cell>
          <cell r="V5261">
            <v>0.77</v>
          </cell>
          <cell r="W5261">
            <v>0</v>
          </cell>
          <cell r="X5261" t="str">
            <v>EST POLTRONA BEG (C/ROD) (MAD A COR 02) TC EL ANGOLA GREEN - 0,65x0,63x0,77H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 t="e">
            <v>#N/A</v>
          </cell>
          <cell r="D5262" t="e">
            <v>#N/A</v>
          </cell>
          <cell r="E5262" t="e">
            <v>#N/A</v>
          </cell>
          <cell r="F5262" t="e">
            <v>#N/A</v>
          </cell>
          <cell r="H5262" t="e">
            <v>#N/A</v>
          </cell>
          <cell r="O5262">
            <v>405042</v>
          </cell>
          <cell r="P5262"/>
          <cell r="Q5262" t="e">
            <v>#N/A</v>
          </cell>
          <cell r="R5262"/>
          <cell r="S5262"/>
          <cell r="T5262" t="e">
            <v>#N/A</v>
          </cell>
          <cell r="U5262" t="e">
            <v>#N/A</v>
          </cell>
          <cell r="V5262" t="e">
            <v>#N/A</v>
          </cell>
          <cell r="W5262" t="e">
            <v>#N/A</v>
          </cell>
          <cell r="X5262" t="e">
            <v>#N/A</v>
          </cell>
          <cell r="Y5262">
            <v>0</v>
          </cell>
          <cell r="Z5262">
            <v>0.35</v>
          </cell>
          <cell r="AA5262">
            <v>0</v>
          </cell>
          <cell r="AB5262"/>
        </row>
        <row r="5263">
          <cell r="C5263" t="e">
            <v>#N/A</v>
          </cell>
          <cell r="D5263" t="e">
            <v>#N/A</v>
          </cell>
          <cell r="E5263" t="e">
            <v>#N/A</v>
          </cell>
          <cell r="F5263" t="e">
            <v>#N/A</v>
          </cell>
          <cell r="H5263" t="e">
            <v>#N/A</v>
          </cell>
          <cell r="O5263">
            <v>405043</v>
          </cell>
          <cell r="P5263"/>
          <cell r="Q5263" t="e">
            <v>#N/A</v>
          </cell>
          <cell r="R5263"/>
          <cell r="S5263"/>
          <cell r="T5263" t="e">
            <v>#N/A</v>
          </cell>
          <cell r="U5263" t="e">
            <v>#N/A</v>
          </cell>
          <cell r="V5263" t="e">
            <v>#N/A</v>
          </cell>
          <cell r="W5263" t="e">
            <v>#N/A</v>
          </cell>
          <cell r="X5263" t="e">
            <v>#N/A</v>
          </cell>
          <cell r="Y5263">
            <v>0</v>
          </cell>
          <cell r="Z5263">
            <v>0.35</v>
          </cell>
          <cell r="AA5263">
            <v>0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2025/164-0058-01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3</v>
          </cell>
          <cell r="D5265">
            <v>0</v>
          </cell>
          <cell r="E5265">
            <v>0</v>
          </cell>
          <cell r="F5265">
            <v>0</v>
          </cell>
          <cell r="H5265">
            <v>3</v>
          </cell>
          <cell r="O5265">
            <v>406188</v>
          </cell>
          <cell r="P5265" t="str">
            <v>2025/164-0059-01</v>
          </cell>
          <cell r="Q5265" t="str">
            <v>EST ALMOFADA CLAMI (VIVO) TC TRAMADO AZUL/LISO AZUL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(VIVO) TC TRAMADO AZUL/LISO AZUL - 0,5x0,5x0H</v>
          </cell>
          <cell r="Y5265">
            <v>443.52</v>
          </cell>
          <cell r="Z5265">
            <v>0.35</v>
          </cell>
          <cell r="AA5265">
            <v>288.28800000000001</v>
          </cell>
          <cell r="AB5265"/>
        </row>
        <row r="5266">
          <cell r="C5266">
            <v>3</v>
          </cell>
          <cell r="D5266">
            <v>0</v>
          </cell>
          <cell r="E5266">
            <v>0</v>
          </cell>
          <cell r="F5266">
            <v>0</v>
          </cell>
          <cell r="H5266">
            <v>3</v>
          </cell>
          <cell r="O5266">
            <v>406188</v>
          </cell>
          <cell r="P5266" t="str">
            <v>2025/164-0060-01</v>
          </cell>
          <cell r="Q5266" t="str">
            <v>EST ALMOFADA CLAMI (VIVO) TC TRAMADO AZUL/LISO AZUL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(VIVO) TC TRAMADO AZUL/LISO AZUL - 0,5x0,5x0H</v>
          </cell>
          <cell r="Y5266">
            <v>443.52</v>
          </cell>
          <cell r="Z5266">
            <v>0.35</v>
          </cell>
          <cell r="AA5266">
            <v>288.28800000000001</v>
          </cell>
          <cell r="AB5266"/>
        </row>
        <row r="5267">
          <cell r="C5267">
            <v>2</v>
          </cell>
          <cell r="D5267">
            <v>0</v>
          </cell>
          <cell r="E5267">
            <v>1</v>
          </cell>
          <cell r="F5267">
            <v>2</v>
          </cell>
          <cell r="H5267">
            <v>0</v>
          </cell>
          <cell r="O5267">
            <v>406190</v>
          </cell>
          <cell r="P5267" t="str">
            <v>2025/184-0022-01</v>
          </cell>
          <cell r="Q5267" t="str">
            <v>EST ALMOFADA CLAMI (SIMPLES) TC TRAMADO VERDE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VERDE - 0,5x0,5x0H</v>
          </cell>
          <cell r="Y5267" t="str">
            <v>EST</v>
          </cell>
          <cell r="Z5267">
            <v>0.35</v>
          </cell>
          <cell r="AA5267" t="e">
            <v>#VALUE!</v>
          </cell>
          <cell r="AB5267"/>
        </row>
        <row r="5268">
          <cell r="C5268">
            <v>2</v>
          </cell>
          <cell r="D5268">
            <v>0</v>
          </cell>
          <cell r="E5268">
            <v>1</v>
          </cell>
          <cell r="F5268">
            <v>2</v>
          </cell>
          <cell r="H5268">
            <v>0</v>
          </cell>
          <cell r="O5268">
            <v>406190</v>
          </cell>
          <cell r="P5268" t="str">
            <v>2025/184-0023-01</v>
          </cell>
          <cell r="Q5268" t="str">
            <v>EST ALMOFADA CLAMI (SIMPLES) TC TRAMADO VERDE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VERDE - 0,5x0,5x0H</v>
          </cell>
          <cell r="Y5268" t="str">
            <v>EST</v>
          </cell>
          <cell r="Z5268">
            <v>0.35</v>
          </cell>
          <cell r="AA5268" t="e">
            <v>#VALUE!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2025/164-0074-01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2</v>
          </cell>
          <cell r="D5270">
            <v>2</v>
          </cell>
          <cell r="E5270">
            <v>2</v>
          </cell>
          <cell r="F5270">
            <v>0</v>
          </cell>
          <cell r="H5270">
            <v>0</v>
          </cell>
          <cell r="O5270">
            <v>406192</v>
          </cell>
          <cell r="P5270" t="str">
            <v>2025/164-0075-01</v>
          </cell>
          <cell r="Q5270" t="str">
            <v>EST ALMOFADA CLAMI (SIMPLES) TC TRAMADO BR-LARANJA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(SIMPLES) TC TRAMADO BR-LARANJA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2</v>
          </cell>
          <cell r="D5271">
            <v>2</v>
          </cell>
          <cell r="E5271">
            <v>2</v>
          </cell>
          <cell r="F5271">
            <v>0</v>
          </cell>
          <cell r="H5271">
            <v>0</v>
          </cell>
          <cell r="O5271">
            <v>406192</v>
          </cell>
          <cell r="P5271" t="str">
            <v>2025/164-0076-01</v>
          </cell>
          <cell r="Q5271" t="str">
            <v>EST ALMOFADA CLAMI (SIMPLES) TC TRAMADO BR-LARANJA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(SIMPLES) TC TRAMADO BR-LARANJA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2025/184-0028-01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1</v>
          </cell>
          <cell r="D5273">
            <v>2</v>
          </cell>
          <cell r="E5273">
            <v>3</v>
          </cell>
          <cell r="F5273">
            <v>0</v>
          </cell>
          <cell r="H5273">
            <v>0</v>
          </cell>
          <cell r="O5273">
            <v>406193</v>
          </cell>
          <cell r="P5273" t="str">
            <v>2025/184-0029-01</v>
          </cell>
          <cell r="Q5273" t="str">
            <v>EST ALMOFADA CLAMI (VIVO) TC TRAMADO BR-LARANJA/COURO MARROM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BR-LARANJA/COURO MARROM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1</v>
          </cell>
          <cell r="D5274">
            <v>2</v>
          </cell>
          <cell r="E5274">
            <v>3</v>
          </cell>
          <cell r="F5274">
            <v>0</v>
          </cell>
          <cell r="H5274">
            <v>0</v>
          </cell>
          <cell r="O5274">
            <v>406193</v>
          </cell>
          <cell r="P5274" t="str">
            <v>2025/184-0031-01</v>
          </cell>
          <cell r="Q5274" t="str">
            <v>EST ALMOFADA CLAMI (VIVO) TC TRAMADO BR-LARANJA/COURO MARROM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BR-LARANJA/COURO MARROM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3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2025/164-0082-01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0</v>
          </cell>
          <cell r="D5276">
            <v>0</v>
          </cell>
          <cell r="E5276">
            <v>3</v>
          </cell>
          <cell r="F5276">
            <v>0</v>
          </cell>
          <cell r="H5276">
            <v>0</v>
          </cell>
          <cell r="O5276">
            <v>406195</v>
          </cell>
          <cell r="P5276" t="str">
            <v>2025/164-0083-01</v>
          </cell>
          <cell r="Q5276" t="str">
            <v>EST ALMOFADA CLAMI (VIVO) TC TRAMADO BRANCO-CINZA/LISO CREME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(VIVO) TC TRAMADO BRANCO-CINZA/LISO CREME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0</v>
          </cell>
          <cell r="D5277">
            <v>0</v>
          </cell>
          <cell r="E5277">
            <v>3</v>
          </cell>
          <cell r="F5277">
            <v>0</v>
          </cell>
          <cell r="H5277">
            <v>0</v>
          </cell>
          <cell r="O5277">
            <v>406195</v>
          </cell>
          <cell r="P5277" t="str">
            <v>2025/164-0084-01</v>
          </cell>
          <cell r="Q5277" t="str">
            <v>EST ALMOFADA CLAMI (VIVO) TC TRAMADO BRANCO-CINZA/LISO CREME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(VIVO) TC TRAMADO BRANCO-CINZA/LISO CREME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2025/164-0089-01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6</v>
          </cell>
          <cell r="D5279">
            <v>4</v>
          </cell>
          <cell r="E5279">
            <v>3</v>
          </cell>
          <cell r="F5279">
            <v>0</v>
          </cell>
          <cell r="H5279">
            <v>0</v>
          </cell>
          <cell r="O5279">
            <v>406198</v>
          </cell>
          <cell r="P5279" t="str">
            <v>2025/164-0090-01</v>
          </cell>
          <cell r="Q5279" t="str">
            <v>EST ALMOFADA CLAMI (SIMPLES) TC TRAMADO TERRACOTA</v>
          </cell>
          <cell r="R5279"/>
          <cell r="S5279"/>
          <cell r="T5279">
            <v>0.5</v>
          </cell>
          <cell r="U5279">
            <v>0.5</v>
          </cell>
          <cell r="V5279">
            <v>0</v>
          </cell>
          <cell r="W5279">
            <v>0</v>
          </cell>
          <cell r="X5279" t="str">
            <v>EST ALMOFADA CLAMI (SIMPLES) TC TRAMADO TERRACOTA - 0,5x0,5x0H</v>
          </cell>
          <cell r="Y5279">
            <v>443.52</v>
          </cell>
          <cell r="Z5279">
            <v>0.35</v>
          </cell>
          <cell r="AA5279">
            <v>288.28800000000001</v>
          </cell>
          <cell r="AB5279"/>
        </row>
        <row r="5280">
          <cell r="C5280">
            <v>6</v>
          </cell>
          <cell r="D5280">
            <v>4</v>
          </cell>
          <cell r="E5280">
            <v>3</v>
          </cell>
          <cell r="F5280">
            <v>0</v>
          </cell>
          <cell r="H5280">
            <v>0</v>
          </cell>
          <cell r="O5280">
            <v>406198</v>
          </cell>
          <cell r="P5280" t="str">
            <v>2025/164-0091-01</v>
          </cell>
          <cell r="Q5280" t="str">
            <v>EST ALMOFADA CLAMI (SIMPLES) TC TRAMADO TERRACOTA</v>
          </cell>
          <cell r="R5280"/>
          <cell r="S5280"/>
          <cell r="T5280">
            <v>0.5</v>
          </cell>
          <cell r="U5280">
            <v>0.5</v>
          </cell>
          <cell r="V5280">
            <v>0</v>
          </cell>
          <cell r="W5280">
            <v>0</v>
          </cell>
          <cell r="X5280" t="str">
            <v>EST ALMOFADA CLAMI (SIMPLES) TC TRAMADO TERRACOTA - 0,5x0,5x0H</v>
          </cell>
          <cell r="Y5280">
            <v>443.52</v>
          </cell>
          <cell r="Z5280">
            <v>0.35</v>
          </cell>
          <cell r="AA5280">
            <v>288.28800000000001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0</v>
          </cell>
          <cell r="O5281">
            <v>406273</v>
          </cell>
          <cell r="P5281"/>
          <cell r="Q5281" t="str">
            <v>EST POLTRONA JOHN GRAZ (SUCUPIRA NATURAL) TC MIKA CAMEL</v>
          </cell>
          <cell r="R5281"/>
          <cell r="S5281"/>
          <cell r="T5281">
            <v>0.8</v>
          </cell>
          <cell r="U5281">
            <v>0.83</v>
          </cell>
          <cell r="V5281">
            <v>0.74</v>
          </cell>
          <cell r="W5281">
            <v>0</v>
          </cell>
          <cell r="X5281" t="str">
            <v>EST POLTRONA JOHN GRAZ (SUCUPIRA NATURAL) TC MIKA CAMEL - 0,8x0,83x0,74H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 t="e">
            <v>#N/A</v>
          </cell>
          <cell r="D5282" t="e">
            <v>#N/A</v>
          </cell>
          <cell r="E5282" t="e">
            <v>#N/A</v>
          </cell>
          <cell r="F5282" t="e">
            <v>#N/A</v>
          </cell>
          <cell r="H5282" t="e">
            <v>#N/A</v>
          </cell>
          <cell r="O5282">
            <v>406795</v>
          </cell>
          <cell r="P5282"/>
          <cell r="Q5282" t="e">
            <v>#N/A</v>
          </cell>
          <cell r="R5282"/>
          <cell r="S5282"/>
          <cell r="T5282" t="e">
            <v>#N/A</v>
          </cell>
          <cell r="U5282" t="e">
            <v>#N/A</v>
          </cell>
          <cell r="V5282" t="e">
            <v>#N/A</v>
          </cell>
          <cell r="W5282" t="e">
            <v>#N/A</v>
          </cell>
          <cell r="X5282" t="e">
            <v>#N/A</v>
          </cell>
          <cell r="Y5282" t="e">
            <v>#VALUE!</v>
          </cell>
          <cell r="Z5282">
            <v>0.35</v>
          </cell>
          <cell r="AA5282" t="e">
            <v>#VALUE!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406830</v>
          </cell>
          <cell r="P5283"/>
          <cell r="Q5283" t="str">
            <v>EST TAMPO CRISTAL LAPIDADO (10MM) INCOLOR RETILINEO</v>
          </cell>
          <cell r="R5283"/>
          <cell r="S5283"/>
          <cell r="T5283">
            <v>1.54</v>
          </cell>
          <cell r="U5283">
            <v>0.74</v>
          </cell>
          <cell r="V5283">
            <v>0.01</v>
          </cell>
          <cell r="W5283">
            <v>0</v>
          </cell>
          <cell r="X5283" t="str">
            <v>EST TAMPO CRISTAL LAPIDADO (10MM) INCOLOR RETILINEO - 1,54x0,74x0,01H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5</v>
          </cell>
          <cell r="O5284">
            <v>400732</v>
          </cell>
          <cell r="P5284"/>
          <cell r="Q5284" t="str">
            <v>EST CADEIRA CA-02 (MAD A CINAMOMO COL) TC VELUDO VERO 224</v>
          </cell>
          <cell r="R5284"/>
          <cell r="S5284"/>
          <cell r="T5284">
            <v>0.47</v>
          </cell>
          <cell r="U5284">
            <v>0.49</v>
          </cell>
          <cell r="V5284">
            <v>0.83</v>
          </cell>
          <cell r="W5284">
            <v>0</v>
          </cell>
          <cell r="X5284" t="str">
            <v>EST CADEIRA CA-02 (MAD A CINAMOMO COL) TC VELUDO VERO 224 - 0,47x0,49x0,83H</v>
          </cell>
          <cell r="Y5284">
            <v>6256.94</v>
          </cell>
          <cell r="Z5284">
            <v>0.35</v>
          </cell>
          <cell r="AA5284">
            <v>4067.011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407139</v>
          </cell>
          <cell r="P5285"/>
          <cell r="Q5285" t="str">
            <v>EST MESA LATERAL RELEVO (COURO NOBUCK VERDE)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NOBUCK VERDE)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H5286">
            <v>2</v>
          </cell>
          <cell r="O5286">
            <v>407140</v>
          </cell>
          <cell r="P5286"/>
          <cell r="Q5286" t="str">
            <v>EST MESA LATERAL RELEVO (COURO SOFT CARAMELO)</v>
          </cell>
          <cell r="R5286"/>
          <cell r="S5286"/>
          <cell r="T5286">
            <v>0.46</v>
          </cell>
          <cell r="U5286">
            <v>0.39</v>
          </cell>
          <cell r="V5286">
            <v>0.47</v>
          </cell>
          <cell r="W5286">
            <v>0</v>
          </cell>
          <cell r="X5286" t="str">
            <v>EST MESA LATERAL RELEVO (COURO SOFT CARAMELO) - 0,46x0,39x0,47H</v>
          </cell>
          <cell r="Y5286">
            <v>0</v>
          </cell>
          <cell r="Z5286">
            <v>0.35</v>
          </cell>
          <cell r="AA5286">
            <v>0</v>
          </cell>
          <cell r="AB5286"/>
        </row>
        <row r="5287"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H5287">
            <v>2</v>
          </cell>
          <cell r="O5287">
            <v>407155</v>
          </cell>
          <cell r="P5287"/>
          <cell r="Q5287" t="str">
            <v>EST MESA LATERAL RELEVO (COURO FIRENZE 600)</v>
          </cell>
          <cell r="R5287"/>
          <cell r="S5287"/>
          <cell r="T5287">
            <v>0.46</v>
          </cell>
          <cell r="U5287">
            <v>0.39</v>
          </cell>
          <cell r="V5287">
            <v>0.47</v>
          </cell>
          <cell r="W5287">
            <v>0</v>
          </cell>
          <cell r="X5287" t="str">
            <v>EST MESA LATERAL RELEVO (COURO FIRENZE 600) - 0,46x0,39x0,47H</v>
          </cell>
          <cell r="Y5287">
            <v>0</v>
          </cell>
          <cell r="Z5287">
            <v>0.35</v>
          </cell>
          <cell r="AA5287">
            <v>0</v>
          </cell>
          <cell r="AB5287"/>
        </row>
        <row r="5288">
          <cell r="C5288">
            <v>0</v>
          </cell>
          <cell r="D5288">
            <v>0</v>
          </cell>
          <cell r="E5288">
            <v>2</v>
          </cell>
          <cell r="F5288">
            <v>0</v>
          </cell>
          <cell r="H5288">
            <v>0</v>
          </cell>
          <cell r="O5288">
            <v>407198</v>
          </cell>
          <cell r="P5288" t="str">
            <v>2025/276-0009-01</v>
          </cell>
          <cell r="Q5288" t="str">
            <v>EST POLTRONA MARIA (TAUARI TING COGNAC) COURO PIG 200</v>
          </cell>
          <cell r="R5288"/>
          <cell r="S5288"/>
          <cell r="T5288">
            <v>0.66</v>
          </cell>
          <cell r="U5288">
            <v>0.66</v>
          </cell>
          <cell r="V5288">
            <v>0.81</v>
          </cell>
          <cell r="W5288">
            <v>0</v>
          </cell>
          <cell r="X5288" t="str">
            <v>EST POLTRONA MARIA (TAUARI TING COGNAC) COURO PIG 200 - 0,66x0,66x0,81H</v>
          </cell>
          <cell r="Y5288">
            <v>20508.77</v>
          </cell>
          <cell r="Z5288">
            <v>0.35</v>
          </cell>
          <cell r="AA5288">
            <v>13330.700500000001</v>
          </cell>
          <cell r="AB5288"/>
        </row>
        <row r="5289">
          <cell r="C5289">
            <v>0</v>
          </cell>
          <cell r="D5289">
            <v>0</v>
          </cell>
          <cell r="E5289">
            <v>2</v>
          </cell>
          <cell r="F5289">
            <v>0</v>
          </cell>
          <cell r="H5289">
            <v>0</v>
          </cell>
          <cell r="O5289">
            <v>407198</v>
          </cell>
          <cell r="P5289" t="str">
            <v>2025/276-0010-01</v>
          </cell>
          <cell r="Q5289" t="str">
            <v>EST POLTRONA MARIA (TAUARI TING COGNAC) COURO PIG 200</v>
          </cell>
          <cell r="R5289"/>
          <cell r="S5289"/>
          <cell r="T5289">
            <v>0.66</v>
          </cell>
          <cell r="U5289">
            <v>0.66</v>
          </cell>
          <cell r="V5289">
            <v>0.81</v>
          </cell>
          <cell r="W5289">
            <v>0</v>
          </cell>
          <cell r="X5289" t="str">
            <v>EST POLTRONA MARIA (TAUARI TING COGNAC) COURO PIG 200 - 0,66x0,66x0,81H</v>
          </cell>
          <cell r="Y5289">
            <v>20508.77</v>
          </cell>
          <cell r="Z5289">
            <v>0.35</v>
          </cell>
          <cell r="AA5289">
            <v>13330.700500000001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1</v>
          </cell>
          <cell r="O5290">
            <v>408755</v>
          </cell>
          <cell r="P5290" t="str">
            <v>2025/169-0190-01</v>
          </cell>
          <cell r="Q5290" t="str">
            <v>EST MODULO S/BRACO DOMO (1AS) TC VELUDO CRISTAL NATURAL</v>
          </cell>
          <cell r="R5290"/>
          <cell r="S5290"/>
          <cell r="T5290">
            <v>0.9</v>
          </cell>
          <cell r="U5290">
            <v>1.05</v>
          </cell>
          <cell r="V5290">
            <v>0.85</v>
          </cell>
          <cell r="W5290">
            <v>0</v>
          </cell>
          <cell r="X5290" t="str">
            <v>EST MODULO S/BRACO DOMO (1AS) TC VELUDO CRISTAL NATURAL - 0,9x1,05x0,85H</v>
          </cell>
          <cell r="Y5290">
            <v>12641.207759999999</v>
          </cell>
          <cell r="Z5290">
            <v>0.35</v>
          </cell>
          <cell r="AA5290">
            <v>8216.7850440000002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2</v>
          </cell>
          <cell r="O5291">
            <v>408941</v>
          </cell>
          <cell r="P5291"/>
          <cell r="Q5291" t="str">
            <v>EST CADEIRA LOGAN C/B ESTAR (TAUARI NOGUEIRA) (MADEIRA)</v>
          </cell>
          <cell r="R5291"/>
          <cell r="S5291"/>
          <cell r="T5291">
            <v>0.62</v>
          </cell>
          <cell r="U5291">
            <v>0.6</v>
          </cell>
          <cell r="V5291">
            <v>0.79</v>
          </cell>
          <cell r="W5291">
            <v>0</v>
          </cell>
          <cell r="X5291" t="str">
            <v>EST CADEIRA LOGAN C/B ESTAR (TAUARI NOGUEIRA) (MADEIRA) - 0,62x0,6x0,79H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400733</v>
          </cell>
          <cell r="P5292"/>
          <cell r="Q5292" t="str">
            <v>EST CADEIRA C/BRACO CA03 (CINAMOMO COLONIAL VELUDO VERO 224)</v>
          </cell>
          <cell r="R5292"/>
          <cell r="S5292"/>
          <cell r="T5292">
            <v>0.6</v>
          </cell>
          <cell r="U5292">
            <v>0.57999999999999996</v>
          </cell>
          <cell r="V5292">
            <v>0.8</v>
          </cell>
          <cell r="W5292">
            <v>0</v>
          </cell>
          <cell r="X5292" t="str">
            <v>EST CADEIRA C/BRACO CA03 (CINAMOMO COLONIAL VELUDO VERO 224) - 0,6x0,58x0,8H</v>
          </cell>
          <cell r="Y5292">
            <v>0</v>
          </cell>
          <cell r="Z5292">
            <v>0.35</v>
          </cell>
          <cell r="AA5292">
            <v>0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5</v>
          </cell>
          <cell r="O5293">
            <v>409030</v>
          </cell>
          <cell r="P5293"/>
          <cell r="Q5293" t="str">
            <v>EST MESA LATERAL OLIVER (MARMORE RAFAELLO)</v>
          </cell>
          <cell r="R5293"/>
          <cell r="S5293"/>
          <cell r="T5293">
            <v>0.5</v>
          </cell>
          <cell r="U5293">
            <v>0</v>
          </cell>
          <cell r="V5293">
            <v>0.45</v>
          </cell>
          <cell r="W5293">
            <v>0</v>
          </cell>
          <cell r="X5293" t="str">
            <v>EST MESA LATERAL OLIVER (MARMORE RAFAELLO) - Ø0x0,45H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0</v>
          </cell>
          <cell r="O5294">
            <v>409057</v>
          </cell>
          <cell r="P5294" t="str">
            <v>2025/232-0051-01</v>
          </cell>
          <cell r="Q5294" t="str">
            <v>EST TAMPO MARMORE (F10916) (SILVER FOSCO) (BIPARTIDO)</v>
          </cell>
          <cell r="R5294"/>
          <cell r="S5294"/>
          <cell r="T5294">
            <v>3</v>
          </cell>
          <cell r="U5294">
            <v>1.1000000000000001</v>
          </cell>
          <cell r="V5294">
            <v>0.02</v>
          </cell>
          <cell r="W5294">
            <v>0</v>
          </cell>
          <cell r="X5294" t="str">
            <v>EST TAMPO MARMORE (F10916) (SILVER FOSCO) (BIPARTIDO) - 3x1,1x0,02H</v>
          </cell>
          <cell r="Y5294">
            <v>42630.092999999993</v>
          </cell>
          <cell r="Z5294">
            <v>0.35</v>
          </cell>
          <cell r="AA5294">
            <v>27709.560449999997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409083</v>
          </cell>
          <cell r="P5295"/>
          <cell r="Q5295" t="str">
            <v>EST CADEIRA MARESIAS C/B (NAUTICA TERRACOTA) (CUMARU EPS)</v>
          </cell>
          <cell r="R5295"/>
          <cell r="S5295"/>
          <cell r="T5295">
            <v>0.55000000000000004</v>
          </cell>
          <cell r="U5295">
            <v>0.57999999999999996</v>
          </cell>
          <cell r="V5295">
            <v>0.83</v>
          </cell>
          <cell r="W5295">
            <v>0</v>
          </cell>
          <cell r="X5295" t="str">
            <v>EST CADEIRA MARESIAS C/B (NAUTICA TERRACOTA) (CUMARU EPS) - 0,55x0,58x0,83H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</v>
          </cell>
          <cell r="O5296">
            <v>409345</v>
          </cell>
          <cell r="P5296"/>
          <cell r="Q5296" t="str">
            <v>EST APARADOR 14 BIS (15MM) (BRONZE)</v>
          </cell>
          <cell r="R5296"/>
          <cell r="S5296"/>
          <cell r="T5296">
            <v>2.6</v>
          </cell>
          <cell r="U5296">
            <v>0.4</v>
          </cell>
          <cell r="V5296">
            <v>0.8</v>
          </cell>
          <cell r="W5296">
            <v>0</v>
          </cell>
          <cell r="X5296" t="str">
            <v>EST APARADOR 14 BIS (15MM) (BRONZE) - 2,6x0,4x0,8H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0</v>
          </cell>
          <cell r="O5297">
            <v>409635</v>
          </cell>
          <cell r="P5297"/>
          <cell r="Q5297" t="str">
            <v>EST POLTRONA REDE (TAUARI NATURAL) (COURO IMPORT 52 PRETO)</v>
          </cell>
          <cell r="R5297"/>
          <cell r="S5297"/>
          <cell r="T5297">
            <v>0.78</v>
          </cell>
          <cell r="U5297">
            <v>0.96</v>
          </cell>
          <cell r="V5297">
            <v>1.24</v>
          </cell>
          <cell r="W5297">
            <v>0</v>
          </cell>
          <cell r="X5297" t="str">
            <v>EST POLTRONA REDE (TAUARI NATURAL) (COURO IMPORT 52 PRETO) - 0,78x0,96x1,24H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0</v>
          </cell>
          <cell r="F5298">
            <v>0</v>
          </cell>
          <cell r="H5298">
            <v>18</v>
          </cell>
          <cell r="O5298">
            <v>402651</v>
          </cell>
          <cell r="P5298"/>
          <cell r="Q5298" t="str">
            <v>EST CADEIRA TAMBORIM (TELA SEXT NAT) (MAD B IMBUIA)</v>
          </cell>
          <cell r="R5298"/>
          <cell r="S5298"/>
          <cell r="T5298">
            <v>0.59</v>
          </cell>
          <cell r="U5298">
            <v>0.47</v>
          </cell>
          <cell r="V5298">
            <v>0.84</v>
          </cell>
          <cell r="W5298">
            <v>0</v>
          </cell>
          <cell r="X5298" t="str">
            <v>EST CADEIRA TAMBORIM (TELA SEXT NAT) (MAD B IMBUIA) - 0,59x0,47x0,84H</v>
          </cell>
          <cell r="Y5298">
            <v>0</v>
          </cell>
          <cell r="Z5298">
            <v>0.35</v>
          </cell>
          <cell r="AA5298">
            <v>0</v>
          </cell>
          <cell r="AB5298"/>
        </row>
        <row r="5299">
          <cell r="C5299">
            <v>0</v>
          </cell>
          <cell r="D5299">
            <v>0</v>
          </cell>
          <cell r="E5299">
            <v>0</v>
          </cell>
          <cell r="F5299">
            <v>0</v>
          </cell>
          <cell r="H5299">
            <v>15</v>
          </cell>
          <cell r="O5299">
            <v>402654</v>
          </cell>
          <cell r="P5299"/>
          <cell r="Q5299" t="str">
            <v>EST CADEIRA TAMBORIM (TELA SEXT NAT) (MAD B FREIJO NAT)</v>
          </cell>
          <cell r="R5299"/>
          <cell r="S5299"/>
          <cell r="T5299">
            <v>0.59</v>
          </cell>
          <cell r="U5299">
            <v>0.47</v>
          </cell>
          <cell r="V5299">
            <v>0.84</v>
          </cell>
          <cell r="W5299">
            <v>0</v>
          </cell>
          <cell r="X5299" t="str">
            <v>EST CADEIRA TAMBORIM (TELA SEXT NAT) (MAD B FREIJO NAT) - 0,59x0,47x0,84H</v>
          </cell>
          <cell r="Y5299">
            <v>0</v>
          </cell>
          <cell r="Z5299">
            <v>0.35</v>
          </cell>
          <cell r="AA5299">
            <v>0</v>
          </cell>
          <cell r="AB5299"/>
        </row>
        <row r="5300">
          <cell r="C5300">
            <v>0</v>
          </cell>
          <cell r="D5300">
            <v>0</v>
          </cell>
          <cell r="E5300">
            <v>0</v>
          </cell>
          <cell r="F5300">
            <v>0</v>
          </cell>
          <cell r="H5300">
            <v>0</v>
          </cell>
          <cell r="O5300">
            <v>409787</v>
          </cell>
          <cell r="P5300" t="str">
            <v>2025/283-0019-01</v>
          </cell>
          <cell r="Q5300" t="str">
            <v>EST POLTRONA AGHATA PLUS (GIRATORIA) (MTX MARROM) FX E5173</v>
          </cell>
          <cell r="R5300"/>
          <cell r="S5300"/>
          <cell r="T5300">
            <v>0.68</v>
          </cell>
          <cell r="U5300">
            <v>0.8</v>
          </cell>
          <cell r="V5300">
            <v>0.76</v>
          </cell>
          <cell r="W5300">
            <v>0</v>
          </cell>
          <cell r="X5300" t="str">
            <v>EST POLTRONA AGHATA PLUS (GIRATORIA) (MTX MARROM) FX E5173 - 0,68x0,8x0,76H</v>
          </cell>
          <cell r="Y5300">
            <v>10217.31</v>
          </cell>
          <cell r="Z5300">
            <v>0.35</v>
          </cell>
          <cell r="AA5300">
            <v>6641.2515000000003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0</v>
          </cell>
          <cell r="O5301">
            <v>409787</v>
          </cell>
          <cell r="P5301" t="str">
            <v>2025/283-0020-01</v>
          </cell>
          <cell r="Q5301" t="str">
            <v>EST POLTRONA AGHATA PLUS (GIRATORIA) (MTX MARROM) FX E5173</v>
          </cell>
          <cell r="R5301"/>
          <cell r="S5301"/>
          <cell r="T5301">
            <v>0.68</v>
          </cell>
          <cell r="U5301">
            <v>0.8</v>
          </cell>
          <cell r="V5301">
            <v>0.76</v>
          </cell>
          <cell r="W5301">
            <v>0</v>
          </cell>
          <cell r="X5301" t="str">
            <v>EST POLTRONA AGHATA PLUS (GIRATORIA) (MTX MARROM) FX E5173 - 0,68x0,8x0,76H</v>
          </cell>
          <cell r="Y5301">
            <v>10217.31</v>
          </cell>
          <cell r="Z5301">
            <v>0.35</v>
          </cell>
          <cell r="AA5301">
            <v>6641.2515000000003</v>
          </cell>
          <cell r="AB5301"/>
        </row>
        <row r="5302">
          <cell r="C5302">
            <v>0</v>
          </cell>
          <cell r="D5302">
            <v>0</v>
          </cell>
          <cell r="E5302">
            <v>1</v>
          </cell>
          <cell r="F5302">
            <v>2</v>
          </cell>
          <cell r="H5302">
            <v>0</v>
          </cell>
          <cell r="O5302">
            <v>409982</v>
          </cell>
          <cell r="P5302" t="str">
            <v>2025/261-0024-01</v>
          </cell>
          <cell r="Q5302" t="str">
            <v>EST MESA LATERAL PIN (WALNUT MATT) (DET PINT CORTEN)</v>
          </cell>
          <cell r="R5302"/>
          <cell r="S5302"/>
          <cell r="T5302">
            <v>0.35</v>
          </cell>
          <cell r="U5302">
            <v>0</v>
          </cell>
          <cell r="V5302">
            <v>0.52</v>
          </cell>
          <cell r="W5302">
            <v>0.35</v>
          </cell>
          <cell r="X5302" t="str">
            <v>EST MESA LATERAL PIN (WALNUT MATT) (DET PINT CORTEN) - Ø0,35x0,52H</v>
          </cell>
          <cell r="Y5302">
            <v>5384.51</v>
          </cell>
          <cell r="Z5302">
            <v>0.35</v>
          </cell>
          <cell r="AA5302">
            <v>3499.9315000000006</v>
          </cell>
          <cell r="AB5302"/>
        </row>
        <row r="5303">
          <cell r="C5303">
            <v>0</v>
          </cell>
          <cell r="D5303">
            <v>0</v>
          </cell>
          <cell r="E5303">
            <v>0</v>
          </cell>
          <cell r="F5303">
            <v>0</v>
          </cell>
          <cell r="H5303">
            <v>1</v>
          </cell>
          <cell r="O5303">
            <v>409996</v>
          </cell>
          <cell r="P5303"/>
          <cell r="Q5303" t="str">
            <v>EST MESA CENTRO CAVA (G1 - ANTARTIC WHITE LEVIGADO)</v>
          </cell>
          <cell r="R5303"/>
          <cell r="S5303"/>
          <cell r="T5303">
            <v>0.8</v>
          </cell>
          <cell r="U5303">
            <v>0</v>
          </cell>
          <cell r="V5303">
            <v>0.25</v>
          </cell>
          <cell r="W5303">
            <v>0.8</v>
          </cell>
          <cell r="X5303" t="str">
            <v>EST MESA CENTRO CAVA (G1 - ANTARTIC WHITE LEVIGADO) - Ø0,8x0,25H</v>
          </cell>
          <cell r="Y5303">
            <v>0</v>
          </cell>
          <cell r="Z5303">
            <v>0.35</v>
          </cell>
          <cell r="AA5303">
            <v>0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410140</v>
          </cell>
          <cell r="P5304"/>
          <cell r="Q5304" t="str">
            <v>EST POLTRONA GB UL19 (METAL) (PAU FERRO) TC EL ANGOLA COOPER</v>
          </cell>
          <cell r="R5304"/>
          <cell r="S5304"/>
          <cell r="T5304">
            <v>0.62</v>
          </cell>
          <cell r="U5304">
            <v>0.69</v>
          </cell>
          <cell r="V5304">
            <v>0.74</v>
          </cell>
          <cell r="W5304">
            <v>0</v>
          </cell>
          <cell r="X5304" t="str">
            <v>EST POLTRONA GB UL19 (METAL) (PAU FERRO) TC EL ANGOLA COOPER - 0,62x0,69x0,74H</v>
          </cell>
          <cell r="Y5304">
            <v>0</v>
          </cell>
          <cell r="Z5304">
            <v>0.35</v>
          </cell>
          <cell r="AA5304">
            <v>0</v>
          </cell>
          <cell r="AB5304"/>
        </row>
        <row r="5305">
          <cell r="C5305" t="e">
            <v>#N/A</v>
          </cell>
          <cell r="D5305" t="e">
            <v>#N/A</v>
          </cell>
          <cell r="E5305" t="e">
            <v>#N/A</v>
          </cell>
          <cell r="F5305" t="e">
            <v>#N/A</v>
          </cell>
          <cell r="H5305" t="e">
            <v>#N/A</v>
          </cell>
          <cell r="O5305">
            <v>410759</v>
          </cell>
          <cell r="P5305" t="str">
            <v>2025/267-0016-01</v>
          </cell>
          <cell r="Q5305" t="e">
            <v>#N/A</v>
          </cell>
          <cell r="R5305"/>
          <cell r="S5305"/>
          <cell r="T5305" t="e">
            <v>#N/A</v>
          </cell>
          <cell r="U5305" t="e">
            <v>#N/A</v>
          </cell>
          <cell r="V5305" t="e">
            <v>#N/A</v>
          </cell>
          <cell r="W5305" t="e">
            <v>#N/A</v>
          </cell>
          <cell r="X5305" t="e">
            <v>#N/A</v>
          </cell>
          <cell r="Y5305">
            <v>45768.08</v>
          </cell>
          <cell r="Z5305">
            <v>0.35</v>
          </cell>
          <cell r="AA5305">
            <v>29749.252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411118</v>
          </cell>
          <cell r="P5306" t="str">
            <v>2025/283-0068-01</v>
          </cell>
          <cell r="Q5306" t="str">
            <v>EST MESA JANTAR MONIZ (C/GIR) (ESPINHADA D) (LAM 2 NOGUEIRA)</v>
          </cell>
          <cell r="R5306"/>
          <cell r="S5306"/>
          <cell r="T5306">
            <v>1.8</v>
          </cell>
          <cell r="U5306">
            <v>0</v>
          </cell>
          <cell r="V5306">
            <v>0.75</v>
          </cell>
          <cell r="W5306">
            <v>1.8</v>
          </cell>
          <cell r="X5306" t="str">
            <v>EST MESA JANTAR MONIZ (C/GIR) (ESPINHADA D) (LAM 2 NOGUEIRA) - Ø1,8x0,75H</v>
          </cell>
          <cell r="Y5306">
            <v>44771.28</v>
          </cell>
          <cell r="Z5306">
            <v>0.35</v>
          </cell>
          <cell r="AA5306">
            <v>29101.332000000002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2</v>
          </cell>
          <cell r="O5307">
            <v>179265</v>
          </cell>
          <cell r="P5307"/>
          <cell r="Q5307" t="str">
            <v>EST MESA JANTAR REDE (BASE POLISTER F100)</v>
          </cell>
          <cell r="R5307"/>
          <cell r="S5307"/>
          <cell r="T5307">
            <v>2.0499999999999998</v>
          </cell>
          <cell r="U5307">
            <v>0.5</v>
          </cell>
          <cell r="V5307">
            <v>0.76</v>
          </cell>
          <cell r="W5307">
            <v>0</v>
          </cell>
          <cell r="X5307" t="str">
            <v>EST MESA JANTAR REDE (BASE POLISTER F100) - 2,05x0,5x0,76H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154009</v>
          </cell>
          <cell r="P5308"/>
          <cell r="Q5308" t="str">
            <v>EST MESA JANTAR RAIZES (CATUABA AVELUDADA) (PES LATAO)</v>
          </cell>
          <cell r="R5308"/>
          <cell r="S5308"/>
          <cell r="T5308">
            <v>2.8</v>
          </cell>
          <cell r="U5308">
            <v>1.2</v>
          </cell>
          <cell r="V5308">
            <v>0.75</v>
          </cell>
          <cell r="W5308">
            <v>0</v>
          </cell>
          <cell r="X5308" t="str">
            <v>EST MESA JANTAR RAIZES (CATUABA AVELUDADA) (PES LATAO) - 2,8x1,2x0,75H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>
            <v>0</v>
          </cell>
          <cell r="D5309">
            <v>0</v>
          </cell>
          <cell r="E5309">
            <v>0</v>
          </cell>
          <cell r="F5309">
            <v>0</v>
          </cell>
          <cell r="H5309">
            <v>1</v>
          </cell>
          <cell r="O5309">
            <v>210425</v>
          </cell>
          <cell r="P5309"/>
          <cell r="Q5309" t="str">
            <v>EST MESA JANTAR FLAT (ALUMINIO 10 CHAMPAGNE)</v>
          </cell>
          <cell r="R5309"/>
          <cell r="S5309"/>
          <cell r="T5309">
            <v>2.5</v>
          </cell>
          <cell r="U5309">
            <v>1.1000000000000001</v>
          </cell>
          <cell r="V5309">
            <v>0.72</v>
          </cell>
          <cell r="W5309">
            <v>0</v>
          </cell>
          <cell r="X5309" t="str">
            <v>EST MESA JANTAR FLAT (ALUMINIO 10 CHAMPAGNE) - 2,5x1,1x0,72H</v>
          </cell>
          <cell r="Y5309" t="str">
            <v>EST</v>
          </cell>
          <cell r="Z5309">
            <v>0.5</v>
          </cell>
          <cell r="AA5309" t="e">
            <v>#VALUE!</v>
          </cell>
          <cell r="AB5309"/>
        </row>
        <row r="5310">
          <cell r="C5310">
            <v>0</v>
          </cell>
          <cell r="D5310">
            <v>0</v>
          </cell>
          <cell r="E5310">
            <v>0</v>
          </cell>
          <cell r="F5310">
            <v>0</v>
          </cell>
          <cell r="H5310">
            <v>1</v>
          </cell>
          <cell r="O5310">
            <v>151384</v>
          </cell>
          <cell r="P5310"/>
          <cell r="Q5310" t="str">
            <v>EST MESA JANTAR VERMONT (FITA 10MM ARGILA RASPADO TP CUMARU)</v>
          </cell>
          <cell r="R5310"/>
          <cell r="S5310"/>
          <cell r="T5310">
            <v>1.5</v>
          </cell>
          <cell r="U5310">
            <v>1.5</v>
          </cell>
          <cell r="V5310">
            <v>0.8</v>
          </cell>
          <cell r="W5310">
            <v>0</v>
          </cell>
          <cell r="X5310" t="str">
            <v>EST MESA JANTAR VERMONT (FITA 10MM ARGILA RASPADO TP CUMARU) - 1,5x1,5x0,8H</v>
          </cell>
          <cell r="Y5310" t="str">
            <v>EST</v>
          </cell>
          <cell r="Z5310">
            <v>0.5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  <row r="5325">
          <cell r="C5325" t="e">
            <v>#N/A</v>
          </cell>
          <cell r="D5325" t="e">
            <v>#N/A</v>
          </cell>
          <cell r="E5325" t="e">
            <v>#N/A</v>
          </cell>
          <cell r="F5325" t="e">
            <v>#N/A</v>
          </cell>
          <cell r="H5325" t="e">
            <v>#N/A</v>
          </cell>
          <cell r="O5325"/>
          <cell r="P5325"/>
          <cell r="Q5325" t="e">
            <v>#N/A</v>
          </cell>
          <cell r="R5325"/>
          <cell r="S5325"/>
          <cell r="T5325" t="e">
            <v>#N/A</v>
          </cell>
          <cell r="U5325" t="e">
            <v>#N/A</v>
          </cell>
          <cell r="V5325" t="e">
            <v>#N/A</v>
          </cell>
          <cell r="W5325" t="e">
            <v>#N/A</v>
          </cell>
          <cell r="X5325" t="e">
            <v>#N/A</v>
          </cell>
          <cell r="Y5325" t="str">
            <v>EST</v>
          </cell>
          <cell r="Z5325">
            <v>0.35</v>
          </cell>
          <cell r="AA5325" t="e">
            <v>#VALUE!</v>
          </cell>
          <cell r="AB5325"/>
        </row>
        <row r="5326">
          <cell r="C5326" t="e">
            <v>#N/A</v>
          </cell>
          <cell r="D5326" t="e">
            <v>#N/A</v>
          </cell>
          <cell r="E5326" t="e">
            <v>#N/A</v>
          </cell>
          <cell r="F5326" t="e">
            <v>#N/A</v>
          </cell>
          <cell r="H5326" t="e">
            <v>#N/A</v>
          </cell>
          <cell r="O5326"/>
          <cell r="P5326"/>
          <cell r="Q5326" t="e">
            <v>#N/A</v>
          </cell>
          <cell r="R5326"/>
          <cell r="S5326"/>
          <cell r="T5326" t="e">
            <v>#N/A</v>
          </cell>
          <cell r="U5326" t="e">
            <v>#N/A</v>
          </cell>
          <cell r="V5326" t="e">
            <v>#N/A</v>
          </cell>
          <cell r="W5326" t="e">
            <v>#N/A</v>
          </cell>
          <cell r="X5326" t="e">
            <v>#N/A</v>
          </cell>
          <cell r="Y5326" t="str">
            <v>EST</v>
          </cell>
          <cell r="Z5326">
            <v>0.35</v>
          </cell>
          <cell r="AA5326" t="e">
            <v>#VALUE!</v>
          </cell>
          <cell r="AB532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011"/>
  <sheetViews>
    <sheetView tabSelected="1" topLeftCell="Q1" zoomScale="85" zoomScaleNormal="85" workbookViewId="0">
      <pane ySplit="2" topLeftCell="A3" activePane="bottomLeft" state="frozen"/>
      <selection pane="bottomLeft" activeCell="U2" sqref="U2:U3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23.140625" style="9" bestFit="1" customWidth="1"/>
    <col min="15" max="15" width="19" style="2" customWidth="1"/>
    <col min="16" max="16" width="15" style="2" customWidth="1"/>
    <col min="17" max="17" width="13.7109375" style="2" customWidth="1"/>
    <col min="18" max="18" width="14.42578125" style="2" customWidth="1"/>
    <col min="19" max="19" width="10" style="2" customWidth="1"/>
    <col min="20" max="20" width="33.28515625" style="9" customWidth="1"/>
    <col min="21" max="21" width="91.85546875" style="10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42437.590000000004</v>
      </c>
      <c r="J3" s="6">
        <v>0</v>
      </c>
      <c r="K3" s="12">
        <f t="shared" ref="K3:K66" si="0">IFERROR(I3-I3*J3,"")</f>
        <v>42437.590000000004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627</v>
      </c>
      <c r="V3" t="str" cm="1">
        <f t="array" aca="1" ref="V3" ca="1">IFERROR(_xludf.TEXTJOIN(" | ",TRUE,FILTRAR($A$2:$A$596, $L$2:$L$596 = L3)),"")</f>
        <v/>
      </c>
    </row>
    <row r="4" spans="1:28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42437.590000000004</v>
      </c>
      <c r="J4" s="6">
        <v>0</v>
      </c>
      <c r="K4" s="12">
        <f t="shared" si="0"/>
        <v>42437.590000000004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627</v>
      </c>
      <c r="V4" t="str" cm="1">
        <f t="array" aca="1" ref="V4" ca="1">IFERROR(_xludf.TEXTJOIN(" | ",TRUE,FILTRAR($A$2:$A$596,$L$2:$L$596=L4)),"")</f>
        <v/>
      </c>
    </row>
    <row r="5" spans="1:28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42437.590000000004</v>
      </c>
      <c r="J5" s="6">
        <v>0</v>
      </c>
      <c r="K5" s="12">
        <f t="shared" si="0"/>
        <v>42437.590000000004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627</v>
      </c>
      <c r="V5" t="str" cm="1">
        <f t="array" aca="1" ref="V5" ca="1">IFERROR(_xludf.TEXTJOIN(" | ",TRUE,FILTRAR($A$2:$A$596,$L$2:$L$596=L5)),"")</f>
        <v/>
      </c>
    </row>
    <row r="6" spans="1:28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76597.600000000006</v>
      </c>
      <c r="J6" s="6">
        <v>0</v>
      </c>
      <c r="K6" s="12">
        <f t="shared" si="0"/>
        <v>76597.600000000006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627</v>
      </c>
      <c r="V6" t="str" cm="1">
        <f t="array" aca="1" ref="V6" ca="1">IFERROR(_xludf.TEXTJOIN(" | ",TRUE,FILTRAR($A$2:$A$596,$L$2:$L$596=L6)),"")</f>
        <v/>
      </c>
    </row>
    <row r="7" spans="1:28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76597.600000000006</v>
      </c>
      <c r="J7" s="6">
        <v>0</v>
      </c>
      <c r="K7" s="12">
        <f t="shared" si="0"/>
        <v>76597.600000000006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627</v>
      </c>
      <c r="V7" t="str" cm="1">
        <f t="array" aca="1" ref="V7" ca="1">IFERROR(_xludf.TEXTJOIN(" | ",TRUE,FILTRAR($A$2:$A$596,$L$2:$L$596=L7)),"")</f>
        <v/>
      </c>
    </row>
    <row r="8" spans="1:28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69265.460000000006</v>
      </c>
      <c r="J8" s="6">
        <v>0</v>
      </c>
      <c r="K8" s="12">
        <f t="shared" si="0"/>
        <v>69265.460000000006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627</v>
      </c>
      <c r="V8" t="str" cm="1">
        <f t="array" aca="1" ref="V8" ca="1">IFERROR(_xludf.TEXTJOIN(" | ",TRUE,FILTRAR($A$2:$A$596,$L$2:$L$596=L8)),"")</f>
        <v/>
      </c>
    </row>
    <row r="9" spans="1:28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69265.460000000006</v>
      </c>
      <c r="J9" s="6">
        <v>0</v>
      </c>
      <c r="K9" s="12">
        <f t="shared" si="0"/>
        <v>69265.460000000006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627</v>
      </c>
      <c r="V9" t="str" cm="1">
        <f t="array" aca="1" ref="V9" ca="1">IFERROR(_xludf.TEXTJOIN(" | ",TRUE,FILTRAR($A$2:$A$596,$L$2:$L$596=L9)),"")</f>
        <v/>
      </c>
    </row>
    <row r="10" spans="1:28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69265.460000000006</v>
      </c>
      <c r="J10" s="6">
        <v>0</v>
      </c>
      <c r="K10" s="12">
        <f t="shared" si="0"/>
        <v>69265.460000000006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627</v>
      </c>
      <c r="V10" t="str" cm="1">
        <f t="array" aca="1" ref="V10" ca="1">IFERROR(_xludf.TEXTJOIN(" | ",TRUE,FILTRAR($A$2:$A$596,$L$2:$L$596=L10)),"")</f>
        <v/>
      </c>
    </row>
    <row r="11" spans="1:28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63418.7</v>
      </c>
      <c r="J11" s="6">
        <v>0</v>
      </c>
      <c r="K11" s="12">
        <f t="shared" si="0"/>
        <v>63418.7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627</v>
      </c>
      <c r="V11" t="str" cm="1">
        <f t="array" aca="1" ref="V11" ca="1">IFERROR(_xludf.TEXTJOIN(" | ",TRUE,FILTRAR($A$2:$A$596,$L$2:$L$596=L11)),"")</f>
        <v/>
      </c>
    </row>
    <row r="12" spans="1:28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63418.7</v>
      </c>
      <c r="J12" s="6">
        <v>0</v>
      </c>
      <c r="K12" s="12">
        <f t="shared" si="0"/>
        <v>63418.7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627</v>
      </c>
      <c r="V12" t="str" cm="1">
        <f t="array" aca="1" ref="V12" ca="1">IFERROR(_xludf.TEXTJOIN(" | ",TRUE,FILTRAR($A$2:$A$596,$L$2:$L$596=L12)),"")</f>
        <v/>
      </c>
    </row>
    <row r="13" spans="1:28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627</v>
      </c>
      <c r="V13" t="str" cm="1">
        <f t="array" aca="1" ref="V13" ca="1">IFERROR(_xludf.TEXTJOIN(" | ",TRUE,FILTRAR($A$2:$A$596,$L$2:$L$596=L13)),"")</f>
        <v/>
      </c>
    </row>
    <row r="14" spans="1:28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627</v>
      </c>
      <c r="V14" t="str" cm="1">
        <f t="array" aca="1" ref="V14" ca="1">IFERROR(_xludf.TEXTJOIN(" | ",TRUE,FILTRAR($A$2:$A$596,$L$2:$L$596=L14)),"")</f>
        <v/>
      </c>
    </row>
    <row r="15" spans="1:28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627</v>
      </c>
      <c r="V15" t="str" cm="1">
        <f t="array" aca="1" ref="V15" ca="1">IFERROR(_xludf.TEXTJOIN(" | ",TRUE,FILTRAR($A$2:$A$596,$L$2:$L$596=L15)),"")</f>
        <v/>
      </c>
    </row>
    <row r="16" spans="1:28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627</v>
      </c>
      <c r="V16" t="str" cm="1">
        <f t="array" aca="1" ref="V16" ca="1">IFERROR(_xludf.TEXTJOIN(" | ",TRUE,FILTRAR($A$2:$A$596,$L$2:$L$596=L16)),"")</f>
        <v/>
      </c>
    </row>
    <row r="17" spans="1:22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627</v>
      </c>
      <c r="V17" t="str" cm="1">
        <f t="array" aca="1" ref="V17" ca="1">IFERROR(_xludf.TEXTJOIN(" | ",TRUE,FILTRAR($A$2:$A$596,$L$2:$L$596=L17)),"")</f>
        <v/>
      </c>
    </row>
    <row r="18" spans="1:22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627</v>
      </c>
      <c r="V18" t="str" cm="1">
        <f t="array" aca="1" ref="V18" ca="1">IFERROR(_xludf.TEXTJOIN(" | ",TRUE,FILTRAR($A$2:$A$596,$L$2:$L$596=L18)),"")</f>
        <v/>
      </c>
    </row>
    <row r="19" spans="1:22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627</v>
      </c>
      <c r="V19" t="str" cm="1">
        <f t="array" aca="1" ref="V19" ca="1">IFERROR(_xludf.TEXTJOIN(" | ",TRUE,FILTRAR($A$2:$A$596,$L$2:$L$596=L19)),"")</f>
        <v/>
      </c>
    </row>
    <row r="20" spans="1:22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627</v>
      </c>
    </row>
    <row r="21" spans="1:22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37914.78</v>
      </c>
      <c r="J21" s="6">
        <v>0</v>
      </c>
      <c r="K21" s="12">
        <f t="shared" si="0"/>
        <v>37914.78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627</v>
      </c>
    </row>
    <row r="22" spans="1:22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37914.78</v>
      </c>
      <c r="J22" s="6">
        <v>0</v>
      </c>
      <c r="K22" s="12">
        <f t="shared" si="0"/>
        <v>37914.78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627</v>
      </c>
    </row>
    <row r="23" spans="1:22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 t="shared" si="0"/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 t="shared" si="1"/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 t="shared" si="2"/>
        <v>1</v>
      </c>
      <c r="U23" s="10" t="s">
        <v>627</v>
      </c>
    </row>
    <row r="24" spans="1:22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 t="shared" si="0"/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 t="shared" si="1"/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 t="shared" si="2"/>
        <v>1</v>
      </c>
      <c r="U24" s="10" t="s">
        <v>627</v>
      </c>
    </row>
    <row r="25" spans="1:22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 t="shared" si="0"/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 t="shared" si="1"/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 t="shared" si="2"/>
        <v>3</v>
      </c>
      <c r="U25" s="10" t="s">
        <v>627</v>
      </c>
    </row>
    <row r="26" spans="1:22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 t="shared" si="0"/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 t="shared" si="1"/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 t="shared" si="2"/>
        <v>6</v>
      </c>
      <c r="U26" s="10" t="s">
        <v>627</v>
      </c>
    </row>
    <row r="27" spans="1:22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 t="shared" si="0"/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 t="shared" si="1"/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 t="shared" si="2"/>
        <v>1</v>
      </c>
      <c r="U27" s="10" t="s">
        <v>627</v>
      </c>
    </row>
    <row r="28" spans="1:22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 t="shared" si="0"/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 t="shared" si="1"/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 t="shared" si="2"/>
        <v>1</v>
      </c>
      <c r="U28" s="10" t="s">
        <v>627</v>
      </c>
    </row>
    <row r="29" spans="1:22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 t="shared" si="0"/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 t="shared" si="1"/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 t="shared" si="2"/>
        <v>3</v>
      </c>
      <c r="U29" s="10" t="s">
        <v>627</v>
      </c>
    </row>
    <row r="30" spans="1:22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 t="shared" si="0"/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 t="shared" si="1"/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 t="shared" si="2"/>
        <v>1</v>
      </c>
      <c r="U30" s="10" t="s">
        <v>627</v>
      </c>
    </row>
    <row r="31" spans="1:22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 t="shared" si="0"/>
        <v>23418.53</v>
      </c>
      <c r="L31" s="7" t="str">
        <f>IF(VLOOKUP(A31,'[1]LISTA ETIQUETAS'!O:AB,14,0)="","",(VLOOKUP(A31,'[1]LISTA ETIQUETAS'!O:AB,14,0)))</f>
        <v>HX</v>
      </c>
      <c r="M31" s="8" t="s">
        <v>41</v>
      </c>
      <c r="N31" s="9" t="str">
        <f t="shared" si="1"/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 t="shared" si="2"/>
        <v>4</v>
      </c>
      <c r="U31" s="10" t="s">
        <v>627</v>
      </c>
      <c r="V31" t="str" cm="1">
        <f t="array" aca="1" ref="V31" ca="1">IFERROR(_xludf.TEXTJOIN(" | ",TRUE,FILTRAR($A$2:$A$596,$L$2:$L$596=L31)),"")</f>
        <v/>
      </c>
    </row>
    <row r="32" spans="1:22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 t="shared" si="0"/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 t="shared" si="1"/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 t="shared" si="2"/>
        <v>2</v>
      </c>
      <c r="U32" s="10" t="s">
        <v>627</v>
      </c>
    </row>
    <row r="33" spans="1:2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 t="shared" si="0"/>
        <v>22325.91</v>
      </c>
      <c r="L33" s="7" t="str">
        <f>IF(VLOOKUP(A33,'[1]LISTA ETIQUETAS'!O:AB,14,0)="","",(VLOOKUP(A33,'[1]LISTA ETIQUETAS'!O:AB,14,0)))</f>
        <v>HU</v>
      </c>
      <c r="M33" s="8"/>
      <c r="N33" s="9">
        <f t="shared" si="1"/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 t="shared" si="2"/>
        <v>3</v>
      </c>
      <c r="U33" s="10" t="s">
        <v>627</v>
      </c>
    </row>
    <row r="34" spans="1:2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 t="shared" si="0"/>
        <v>22325.91</v>
      </c>
      <c r="L34" s="7" t="str">
        <f>IF(VLOOKUP(A34,'[1]LISTA ETIQUETAS'!O:AB,14,0)="","",(VLOOKUP(A34,'[1]LISTA ETIQUETAS'!O:AB,14,0)))</f>
        <v>HT</v>
      </c>
      <c r="M34" s="8" t="s">
        <v>42</v>
      </c>
      <c r="N34" s="9" t="str">
        <f t="shared" si="1"/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 t="shared" si="2"/>
        <v>5</v>
      </c>
      <c r="U34" s="10" t="s">
        <v>627</v>
      </c>
    </row>
    <row r="35" spans="1:2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 t="shared" si="0"/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 t="shared" si="1"/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 t="shared" si="2"/>
        <v>2</v>
      </c>
      <c r="U35" s="10" t="s">
        <v>627</v>
      </c>
    </row>
    <row r="36" spans="1:2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 t="shared" si="0"/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 t="shared" si="1"/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 t="shared" si="2"/>
        <v>1</v>
      </c>
      <c r="U36" s="10" t="s">
        <v>627</v>
      </c>
    </row>
    <row r="37" spans="1:2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 t="shared" si="0"/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 t="shared" si="1"/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 t="shared" si="2"/>
        <v>1</v>
      </c>
      <c r="U37" s="10" t="s">
        <v>627</v>
      </c>
    </row>
    <row r="38" spans="1:2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 t="shared" si="0"/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 t="shared" si="1"/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 t="shared" si="2"/>
        <v>1</v>
      </c>
      <c r="U38" s="10" t="s">
        <v>627</v>
      </c>
    </row>
    <row r="39" spans="1:2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 t="shared" si="0"/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 t="shared" si="1"/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 t="shared" si="2"/>
        <v>1</v>
      </c>
      <c r="U39" s="10" t="s">
        <v>627</v>
      </c>
    </row>
    <row r="40" spans="1:2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 t="shared" si="0"/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 t="shared" si="1"/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 t="shared" si="2"/>
        <v>1</v>
      </c>
      <c r="U40" s="10" t="s">
        <v>627</v>
      </c>
    </row>
    <row r="41" spans="1:2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 t="shared" si="0"/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 t="shared" si="1"/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 t="shared" si="2"/>
        <v>1</v>
      </c>
      <c r="U41" s="10" t="s">
        <v>627</v>
      </c>
    </row>
    <row r="42" spans="1:2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 t="shared" si="0"/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 t="shared" si="1"/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 t="shared" si="2"/>
        <v>1</v>
      </c>
      <c r="U42" s="10" t="s">
        <v>627</v>
      </c>
    </row>
    <row r="43" spans="1:2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 t="shared" si="0"/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 t="shared" si="1"/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 t="shared" si="2"/>
        <v>1</v>
      </c>
      <c r="U43" s="10" t="s">
        <v>627</v>
      </c>
    </row>
    <row r="44" spans="1:2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 t="shared" si="0"/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 t="shared" si="1"/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 t="shared" si="2"/>
        <v>1</v>
      </c>
      <c r="U44" s="10" t="s">
        <v>627</v>
      </c>
    </row>
    <row r="45" spans="1:2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 t="shared" si="0"/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 t="shared" si="1"/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 t="shared" si="2"/>
        <v>1</v>
      </c>
      <c r="U45" s="10" t="s">
        <v>627</v>
      </c>
    </row>
    <row r="46" spans="1:2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 t="shared" si="0"/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 t="shared" si="1"/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 t="shared" si="2"/>
        <v>1</v>
      </c>
      <c r="U46" s="10" t="s">
        <v>627</v>
      </c>
    </row>
    <row r="47" spans="1:2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 t="shared" si="0"/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 t="shared" si="1"/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 t="shared" si="2"/>
        <v>5</v>
      </c>
      <c r="U47" s="10" t="s">
        <v>627</v>
      </c>
    </row>
    <row r="48" spans="1:2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2.56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141393.60999999999</v>
      </c>
      <c r="J48" s="6">
        <v>0</v>
      </c>
      <c r="K48" s="12">
        <f t="shared" si="0"/>
        <v>141393.60999999999</v>
      </c>
      <c r="L48" s="7" t="str">
        <f>IF(VLOOKUP(A48,'[1]LISTA ETIQUETAS'!O:AB,14,0)="","",(VLOOKUP(A48,'[1]LISTA ETIQUETAS'!O:AB,14,0)))</f>
        <v>HN</v>
      </c>
      <c r="M48" s="8" t="s">
        <v>50</v>
      </c>
      <c r="N48" s="9" t="str">
        <f t="shared" si="1"/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 t="shared" si="2"/>
        <v>2</v>
      </c>
      <c r="U48" s="10" t="s">
        <v>627</v>
      </c>
    </row>
    <row r="49" spans="1:2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2.56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141393.60999999999</v>
      </c>
      <c r="J49" s="6">
        <v>0</v>
      </c>
      <c r="K49" s="12">
        <f t="shared" si="0"/>
        <v>141393.60999999999</v>
      </c>
      <c r="L49" s="7" t="str">
        <f>IF(VLOOKUP(A49,'[1]LISTA ETIQUETAS'!O:AB,14,0)="","",(VLOOKUP(A49,'[1]LISTA ETIQUETAS'!O:AB,14,0)))</f>
        <v>HN</v>
      </c>
      <c r="M49" s="8" t="s">
        <v>50</v>
      </c>
      <c r="N49" s="9" t="str">
        <f t="shared" si="1"/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 t="shared" si="2"/>
        <v>2</v>
      </c>
      <c r="U49" s="10" t="s">
        <v>627</v>
      </c>
    </row>
    <row r="50" spans="1:2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 t="shared" si="0"/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 t="shared" si="1"/>
        <v>371721 | 371720</v>
      </c>
      <c r="O50" s="2">
        <f>_xlfn.XLOOKUP($A50,'[1]LISTA ETIQUETAS'!$O:$O,'[1]LISTA ETIQUETAS'!C:C,"",0)</f>
        <v>0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1</v>
      </c>
      <c r="T50" s="9">
        <f t="shared" si="2"/>
        <v>1</v>
      </c>
      <c r="U50" s="10" t="s">
        <v>627</v>
      </c>
    </row>
    <row r="51" spans="1:2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 t="shared" si="0"/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 t="shared" si="1"/>
        <v>371721 | 371720</v>
      </c>
      <c r="O51" s="2">
        <f>_xlfn.XLOOKUP($A51,'[1]LISTA ETIQUETAS'!$O:$O,'[1]LISTA ETIQUETAS'!C:C,"",0)</f>
        <v>0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1</v>
      </c>
      <c r="T51" s="9">
        <f t="shared" si="2"/>
        <v>1</v>
      </c>
      <c r="U51" s="10" t="s">
        <v>627</v>
      </c>
    </row>
    <row r="52" spans="1:2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 t="shared" si="0"/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 t="shared" si="1"/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 t="shared" si="2"/>
        <v>1</v>
      </c>
      <c r="U52" s="10" t="s">
        <v>627</v>
      </c>
    </row>
    <row r="53" spans="1:2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 t="shared" si="0"/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 t="shared" si="1"/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 t="shared" si="2"/>
        <v>2</v>
      </c>
      <c r="U53" s="10" t="s">
        <v>627</v>
      </c>
    </row>
    <row r="54" spans="1:2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 t="shared" si="0"/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 t="shared" si="1"/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 t="shared" si="2"/>
        <v>1</v>
      </c>
      <c r="U54" s="10" t="s">
        <v>627</v>
      </c>
    </row>
    <row r="55" spans="1:2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 t="shared" si="0"/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 t="shared" si="1"/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 t="shared" si="2"/>
        <v>1</v>
      </c>
      <c r="U55" s="10" t="s">
        <v>627</v>
      </c>
    </row>
    <row r="56" spans="1:2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 t="shared" si="0"/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 t="shared" si="1"/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 t="shared" si="2"/>
        <v>1</v>
      </c>
      <c r="U56" s="10" t="s">
        <v>627</v>
      </c>
    </row>
    <row r="57" spans="1:2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 t="shared" si="0"/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 t="shared" si="1"/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 t="shared" si="2"/>
        <v>1</v>
      </c>
      <c r="U57" s="10" t="s">
        <v>627</v>
      </c>
    </row>
    <row r="58" spans="1:2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108840.838</v>
      </c>
      <c r="J58" s="6">
        <v>0</v>
      </c>
      <c r="K58" s="12">
        <f t="shared" si="0"/>
        <v>108840.838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 t="shared" si="1"/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 t="shared" si="2"/>
        <v>1</v>
      </c>
      <c r="U58" s="10" t="s">
        <v>627</v>
      </c>
    </row>
    <row r="59" spans="1:2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108840.838</v>
      </c>
      <c r="J59" s="6">
        <v>0</v>
      </c>
      <c r="K59" s="12">
        <f t="shared" si="0"/>
        <v>108840.838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 t="shared" si="1"/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 t="shared" si="2"/>
        <v>1</v>
      </c>
      <c r="U59" s="10" t="s">
        <v>627</v>
      </c>
    </row>
    <row r="60" spans="1:2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 t="shared" si="0"/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 t="shared" si="1"/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 t="shared" si="2"/>
        <v>1</v>
      </c>
      <c r="U60" s="10" t="s">
        <v>627</v>
      </c>
    </row>
    <row r="61" spans="1:2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 t="shared" si="0"/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 t="shared" si="1"/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 t="shared" si="2"/>
        <v>1</v>
      </c>
      <c r="U61" s="10" t="s">
        <v>627</v>
      </c>
    </row>
    <row r="62" spans="1:2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 t="shared" si="0"/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 t="shared" si="1"/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 t="shared" si="2"/>
        <v>1</v>
      </c>
      <c r="U62" s="10" t="s">
        <v>627</v>
      </c>
    </row>
    <row r="63" spans="1:2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5958.4</v>
      </c>
      <c r="J63" s="6">
        <v>0</v>
      </c>
      <c r="K63" s="12">
        <f t="shared" si="0"/>
        <v>5958.4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 t="shared" si="1"/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 t="shared" si="2"/>
        <v>1</v>
      </c>
      <c r="U63" s="10" t="s">
        <v>627</v>
      </c>
    </row>
    <row r="64" spans="1:2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5958.4</v>
      </c>
      <c r="J64" s="6">
        <v>0</v>
      </c>
      <c r="K64" s="12">
        <f t="shared" si="0"/>
        <v>5958.4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 t="shared" si="1"/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 t="shared" si="2"/>
        <v>1</v>
      </c>
      <c r="U64" s="10" t="s">
        <v>627</v>
      </c>
    </row>
    <row r="65" spans="1:2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 t="shared" si="0"/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 t="shared" si="1"/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 t="shared" si="2"/>
        <v>1</v>
      </c>
      <c r="U65" s="10" t="s">
        <v>627</v>
      </c>
    </row>
    <row r="66" spans="1:2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 t="shared" si="0"/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 t="shared" si="1"/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 t="shared" si="2"/>
        <v>1</v>
      </c>
      <c r="U66" s="10" t="s">
        <v>627</v>
      </c>
    </row>
    <row r="67" spans="1:2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 t="shared" ref="K67:K130" si="3"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 t="shared" si="1"/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 t="shared" si="2"/>
        <v>1</v>
      </c>
      <c r="U67" s="10" t="s">
        <v>627</v>
      </c>
    </row>
    <row r="68" spans="1:2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 t="shared" si="3"/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 t="shared" ref="N68:N131" si="4"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 t="shared" ref="T68:T131" si="5">SUM(O68:S68)</f>
        <v>1</v>
      </c>
      <c r="U68" s="10" t="s">
        <v>627</v>
      </c>
    </row>
    <row r="69" spans="1:2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 t="shared" si="3"/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 t="shared" si="4"/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 t="shared" si="5"/>
        <v>1</v>
      </c>
      <c r="U69" s="10" t="s">
        <v>627</v>
      </c>
    </row>
    <row r="70" spans="1:2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 t="shared" si="3"/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 t="shared" si="4"/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 t="shared" si="5"/>
        <v>1</v>
      </c>
      <c r="U70" s="10" t="s">
        <v>627</v>
      </c>
    </row>
    <row r="71" spans="1:2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 t="shared" si="3"/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 t="shared" si="4"/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 t="shared" si="5"/>
        <v>1</v>
      </c>
      <c r="U71" s="10" t="s">
        <v>627</v>
      </c>
    </row>
    <row r="72" spans="1:2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 t="shared" si="3"/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 t="shared" si="4"/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 t="shared" si="5"/>
        <v>1</v>
      </c>
      <c r="U72" s="10" t="s">
        <v>627</v>
      </c>
    </row>
    <row r="73" spans="1:2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 t="shared" si="3"/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 t="shared" si="4"/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 t="shared" si="5"/>
        <v>3</v>
      </c>
      <c r="U73" s="10" t="s">
        <v>627</v>
      </c>
    </row>
    <row r="74" spans="1:2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33712.22</v>
      </c>
      <c r="J74" s="6">
        <v>0</v>
      </c>
      <c r="K74" s="12">
        <f t="shared" si="3"/>
        <v>33712.22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 t="shared" si="4"/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 t="shared" si="5"/>
        <v>1</v>
      </c>
      <c r="U74" s="10" t="s">
        <v>627</v>
      </c>
    </row>
    <row r="75" spans="1:2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33712.22</v>
      </c>
      <c r="J75" s="6">
        <v>0</v>
      </c>
      <c r="K75" s="12">
        <f t="shared" si="3"/>
        <v>33712.22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 t="shared" si="4"/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 t="shared" si="5"/>
        <v>1</v>
      </c>
      <c r="U75" s="10" t="s">
        <v>627</v>
      </c>
    </row>
    <row r="76" spans="1:2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 t="shared" si="3"/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 t="shared" si="4"/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 t="shared" si="5"/>
        <v>1</v>
      </c>
      <c r="U76" s="10" t="s">
        <v>627</v>
      </c>
    </row>
    <row r="77" spans="1:2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 t="shared" si="3"/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 t="shared" si="4"/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 t="shared" si="5"/>
        <v>1</v>
      </c>
      <c r="U77" s="10" t="s">
        <v>627</v>
      </c>
    </row>
    <row r="78" spans="1:2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58466.239999999998</v>
      </c>
      <c r="J78" s="6">
        <v>0</v>
      </c>
      <c r="K78" s="12">
        <f t="shared" si="3"/>
        <v>58466.239999999998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 t="shared" si="4"/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 t="shared" si="5"/>
        <v>1</v>
      </c>
      <c r="U78" s="10" t="s">
        <v>627</v>
      </c>
    </row>
    <row r="79" spans="1:2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58466.239999999998</v>
      </c>
      <c r="J79" s="6">
        <v>0</v>
      </c>
      <c r="K79" s="12">
        <f t="shared" si="3"/>
        <v>58466.239999999998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 t="shared" si="4"/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 t="shared" si="5"/>
        <v>1</v>
      </c>
      <c r="U79" s="10" t="s">
        <v>627</v>
      </c>
    </row>
    <row r="80" spans="1:2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58466.239999999998</v>
      </c>
      <c r="J80" s="6">
        <v>0</v>
      </c>
      <c r="K80" s="12">
        <f t="shared" si="3"/>
        <v>58466.239999999998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 t="shared" si="4"/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 t="shared" si="5"/>
        <v>1</v>
      </c>
      <c r="U80" s="10" t="s">
        <v>627</v>
      </c>
    </row>
    <row r="81" spans="1:2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47625.759999999995</v>
      </c>
      <c r="J81" s="6">
        <v>0</v>
      </c>
      <c r="K81" s="12">
        <f t="shared" si="3"/>
        <v>47625.759999999995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 t="shared" si="4"/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 t="shared" si="5"/>
        <v>1</v>
      </c>
      <c r="U81" s="10" t="s">
        <v>627</v>
      </c>
    </row>
    <row r="82" spans="1:2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47625.759999999995</v>
      </c>
      <c r="J82" s="6">
        <v>0</v>
      </c>
      <c r="K82" s="12">
        <f t="shared" si="3"/>
        <v>47625.759999999995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 t="shared" si="4"/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 t="shared" si="5"/>
        <v>1</v>
      </c>
      <c r="U82" s="10" t="s">
        <v>627</v>
      </c>
    </row>
    <row r="83" spans="1:2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47625.759999999995</v>
      </c>
      <c r="J83" s="6">
        <v>0</v>
      </c>
      <c r="K83" s="12">
        <f t="shared" si="3"/>
        <v>47625.759999999995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 t="shared" si="4"/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 t="shared" si="5"/>
        <v>1</v>
      </c>
      <c r="U83" s="10" t="s">
        <v>627</v>
      </c>
    </row>
    <row r="84" spans="1:21" x14ac:dyDescent="0.25">
      <c r="A84" s="5">
        <v>354545</v>
      </c>
      <c r="B84" t="str">
        <f>IFERROR((VLOOKUP(A84,'[1]LISTA ETIQUETAS'!O:X,3,0)),"PRODUTO SEM ESTOQUE")</f>
        <v>EST MESA LATERAL PACO (MAD A TAUARI ENV) INOX ENV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1.05</v>
      </c>
      <c r="F84" s="11">
        <f>IF(VLOOKUP(A84,'[1]LISTA ETIQUETAS'!O:W,5,0)="",(VLOOKUP(A84,'[1]LISTA ETIQUETAS'!O:W,7,0)),(VLOOKUP(A84,'[1]LISTA ETIQUETAS'!O:W,5,0)))</f>
        <v>1.04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40968.5</v>
      </c>
      <c r="J84" s="6">
        <v>0</v>
      </c>
      <c r="K84" s="12">
        <f t="shared" si="3"/>
        <v>40968.5</v>
      </c>
      <c r="L84" s="7" t="str">
        <f>IF(VLOOKUP(A84,'[1]LISTA ETIQUETAS'!O:AB,14,0)="","",(VLOOKUP(A84,'[1]LISTA ETIQUETAS'!O:AB,14,0)))</f>
        <v>FC</v>
      </c>
      <c r="M84" s="8">
        <v>354545</v>
      </c>
      <c r="N84" s="9">
        <f t="shared" si="4"/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 t="shared" si="5"/>
        <v>1</v>
      </c>
      <c r="U84" s="10" t="s">
        <v>627</v>
      </c>
    </row>
    <row r="85" spans="1:2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 t="shared" si="3"/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 t="shared" si="4"/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 t="shared" si="5"/>
        <v>1</v>
      </c>
      <c r="U85" s="10" t="s">
        <v>627</v>
      </c>
    </row>
    <row r="86" spans="1:2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 t="shared" si="3"/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 t="shared" si="4"/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 t="shared" si="5"/>
        <v>1</v>
      </c>
      <c r="U86" s="10" t="s">
        <v>627</v>
      </c>
    </row>
    <row r="87" spans="1:2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 t="shared" si="3"/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 t="shared" si="4"/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 t="shared" si="5"/>
        <v>1</v>
      </c>
      <c r="U87" s="10" t="s">
        <v>627</v>
      </c>
    </row>
    <row r="88" spans="1:2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38816.559999999998</v>
      </c>
      <c r="J88" s="6">
        <v>0</v>
      </c>
      <c r="K88" s="12">
        <f t="shared" si="3"/>
        <v>38816.559999999998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 t="shared" si="4"/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 t="shared" si="5"/>
        <v>1</v>
      </c>
      <c r="U88" s="10" t="s">
        <v>627</v>
      </c>
    </row>
    <row r="89" spans="1:2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38816.559999999998</v>
      </c>
      <c r="J89" s="6">
        <v>0</v>
      </c>
      <c r="K89" s="12">
        <f t="shared" si="3"/>
        <v>38816.559999999998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 t="shared" si="4"/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 t="shared" si="5"/>
        <v>1</v>
      </c>
      <c r="U89" s="10" t="s">
        <v>627</v>
      </c>
    </row>
    <row r="90" spans="1:2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 t="shared" si="3"/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 t="shared" si="4"/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 t="shared" si="5"/>
        <v>1</v>
      </c>
      <c r="U90" s="10" t="s">
        <v>627</v>
      </c>
    </row>
    <row r="91" spans="1:2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 t="shared" si="3"/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 t="shared" si="4"/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 t="shared" si="5"/>
        <v>1</v>
      </c>
      <c r="U91" s="10" t="s">
        <v>627</v>
      </c>
    </row>
    <row r="92" spans="1:2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 t="shared" si="3"/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 t="shared" si="4"/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 t="shared" si="5"/>
        <v>1</v>
      </c>
      <c r="U92" s="10" t="s">
        <v>627</v>
      </c>
    </row>
    <row r="93" spans="1:2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45257.460000000006</v>
      </c>
      <c r="J93" s="6">
        <v>0</v>
      </c>
      <c r="K93" s="12">
        <f t="shared" si="3"/>
        <v>45257.460000000006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 t="shared" si="4"/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 t="shared" si="5"/>
        <v>2</v>
      </c>
      <c r="U93" s="10" t="s">
        <v>627</v>
      </c>
    </row>
    <row r="94" spans="1:2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45257.460000000006</v>
      </c>
      <c r="J94" s="6">
        <v>0</v>
      </c>
      <c r="K94" s="12">
        <f t="shared" si="3"/>
        <v>45257.460000000006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 t="shared" si="4"/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 t="shared" si="5"/>
        <v>3</v>
      </c>
      <c r="U94" s="10" t="s">
        <v>627</v>
      </c>
    </row>
    <row r="95" spans="1:2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 t="shared" si="3"/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 t="shared" si="4"/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 t="shared" si="5"/>
        <v>1</v>
      </c>
      <c r="U95" s="10" t="s">
        <v>627</v>
      </c>
    </row>
    <row r="96" spans="1:2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 t="shared" si="3"/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 t="shared" si="4"/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 t="shared" si="5"/>
        <v>1</v>
      </c>
      <c r="U96" s="10" t="s">
        <v>627</v>
      </c>
    </row>
    <row r="97" spans="1:2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 t="shared" si="3"/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 t="shared" si="4"/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 t="shared" si="5"/>
        <v>1</v>
      </c>
      <c r="U97" s="10" t="s">
        <v>627</v>
      </c>
    </row>
    <row r="98" spans="1:2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 t="shared" si="3"/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 t="shared" si="4"/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 t="shared" si="5"/>
        <v>1</v>
      </c>
      <c r="U98" s="10" t="s">
        <v>627</v>
      </c>
    </row>
    <row r="99" spans="1:2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 t="shared" si="3"/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 t="shared" si="4"/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 t="shared" si="5"/>
        <v>1</v>
      </c>
      <c r="U99" s="10" t="s">
        <v>627</v>
      </c>
    </row>
    <row r="100" spans="1:2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 t="shared" si="3"/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 t="shared" si="4"/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 t="shared" si="5"/>
        <v>1</v>
      </c>
      <c r="U100" s="10" t="s">
        <v>627</v>
      </c>
    </row>
    <row r="101" spans="1:2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41302.639999999999</v>
      </c>
      <c r="J101" s="6">
        <v>0</v>
      </c>
      <c r="K101" s="12">
        <f t="shared" si="3"/>
        <v>41302.639999999999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 t="shared" si="4"/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 t="shared" si="5"/>
        <v>1</v>
      </c>
      <c r="U101" s="10" t="s">
        <v>627</v>
      </c>
    </row>
    <row r="102" spans="1:2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41302.639999999999</v>
      </c>
      <c r="J102" s="6">
        <v>0</v>
      </c>
      <c r="K102" s="12">
        <f t="shared" si="3"/>
        <v>41302.639999999999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 t="shared" si="4"/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 t="shared" si="5"/>
        <v>1</v>
      </c>
      <c r="U102" s="10" t="s">
        <v>627</v>
      </c>
    </row>
    <row r="103" spans="1:2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70594.675000000003</v>
      </c>
      <c r="J103" s="6">
        <v>0</v>
      </c>
      <c r="K103" s="12">
        <f t="shared" si="3"/>
        <v>70594.675000000003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 t="shared" si="4"/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 t="shared" si="5"/>
        <v>1</v>
      </c>
      <c r="U103" s="10" t="s">
        <v>627</v>
      </c>
    </row>
    <row r="104" spans="1:2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70594.675000000003</v>
      </c>
      <c r="J104" s="6">
        <v>0</v>
      </c>
      <c r="K104" s="12">
        <f t="shared" si="3"/>
        <v>70594.675000000003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 t="shared" si="4"/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 t="shared" si="5"/>
        <v>1</v>
      </c>
      <c r="U104" s="10" t="s">
        <v>627</v>
      </c>
    </row>
    <row r="105" spans="1:2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 t="shared" si="3"/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 t="shared" si="4"/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 t="shared" si="5"/>
        <v>2</v>
      </c>
      <c r="U105" s="10" t="s">
        <v>627</v>
      </c>
    </row>
    <row r="106" spans="1:2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 t="shared" si="3"/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 t="shared" si="4"/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 t="shared" si="5"/>
        <v>2</v>
      </c>
      <c r="U106" s="10" t="s">
        <v>627</v>
      </c>
    </row>
    <row r="107" spans="1:2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 t="shared" si="3"/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 t="shared" si="4"/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 t="shared" si="5"/>
        <v>2</v>
      </c>
      <c r="U107" s="10" t="s">
        <v>627</v>
      </c>
    </row>
    <row r="108" spans="1:2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 t="shared" si="3"/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 t="shared" si="4"/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 t="shared" si="5"/>
        <v>1</v>
      </c>
      <c r="U108" s="10" t="s">
        <v>627</v>
      </c>
    </row>
    <row r="109" spans="1:2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 t="shared" si="3"/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 t="shared" si="4"/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 t="shared" si="5"/>
        <v>1</v>
      </c>
      <c r="U109" s="10" t="s">
        <v>627</v>
      </c>
    </row>
    <row r="110" spans="1:2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 t="shared" si="3"/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 t="shared" si="4"/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 t="shared" si="5"/>
        <v>1</v>
      </c>
      <c r="U110" s="10" t="s">
        <v>627</v>
      </c>
    </row>
    <row r="111" spans="1:2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 t="shared" si="3"/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 t="shared" si="4"/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 t="shared" si="5"/>
        <v>1</v>
      </c>
      <c r="U111" s="10" t="s">
        <v>627</v>
      </c>
    </row>
    <row r="112" spans="1:2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 t="shared" si="3"/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 t="shared" si="4"/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 t="shared" si="5"/>
        <v>1</v>
      </c>
      <c r="U112" s="10" t="s">
        <v>627</v>
      </c>
    </row>
    <row r="113" spans="1:2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 t="shared" si="3"/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 t="shared" si="4"/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 t="shared" si="5"/>
        <v>1</v>
      </c>
      <c r="U113" s="10" t="s">
        <v>627</v>
      </c>
    </row>
    <row r="114" spans="1:2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 t="shared" si="3"/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 t="shared" si="4"/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 t="shared" si="5"/>
        <v>1</v>
      </c>
      <c r="U114" s="10" t="s">
        <v>627</v>
      </c>
    </row>
    <row r="115" spans="1:2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 t="shared" si="3"/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 t="shared" si="4"/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 t="shared" si="5"/>
        <v>1</v>
      </c>
      <c r="U115" s="10" t="s">
        <v>627</v>
      </c>
    </row>
    <row r="116" spans="1:2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 t="shared" si="3"/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 t="shared" si="4"/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 t="shared" si="5"/>
        <v>1</v>
      </c>
      <c r="U116" s="10" t="s">
        <v>627</v>
      </c>
    </row>
    <row r="117" spans="1:2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 t="shared" si="3"/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 t="shared" si="4"/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 t="shared" si="5"/>
        <v>3</v>
      </c>
      <c r="U117" s="10" t="s">
        <v>627</v>
      </c>
    </row>
    <row r="118" spans="1:2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 t="shared" si="3"/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 t="shared" si="4"/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 t="shared" si="5"/>
        <v>1</v>
      </c>
      <c r="U118" s="10" t="s">
        <v>627</v>
      </c>
    </row>
    <row r="119" spans="1:2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 t="shared" si="3"/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 t="shared" si="4"/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 t="shared" si="5"/>
        <v>1</v>
      </c>
      <c r="U119" s="10" t="s">
        <v>627</v>
      </c>
    </row>
    <row r="120" spans="1:2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 t="shared" si="3"/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 t="shared" si="4"/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 t="shared" si="5"/>
        <v>1</v>
      </c>
      <c r="U120" s="10" t="s">
        <v>627</v>
      </c>
    </row>
    <row r="121" spans="1:2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 t="shared" si="3"/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 t="shared" si="4"/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 t="shared" si="5"/>
        <v>1</v>
      </c>
      <c r="U121" s="10" t="s">
        <v>627</v>
      </c>
    </row>
    <row r="122" spans="1:2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 t="shared" si="3"/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 t="shared" si="4"/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 t="shared" si="5"/>
        <v>1</v>
      </c>
      <c r="U122" s="10" t="s">
        <v>627</v>
      </c>
    </row>
    <row r="123" spans="1:2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 t="shared" si="3"/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 t="shared" si="4"/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 t="shared" si="5"/>
        <v>1</v>
      </c>
      <c r="U123" s="10" t="s">
        <v>627</v>
      </c>
    </row>
    <row r="124" spans="1:2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 t="shared" si="3"/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 t="shared" si="4"/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 t="shared" si="5"/>
        <v>1</v>
      </c>
      <c r="U124" s="10" t="s">
        <v>627</v>
      </c>
    </row>
    <row r="125" spans="1:2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 t="shared" si="3"/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 t="shared" si="4"/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 t="shared" si="5"/>
        <v>1</v>
      </c>
      <c r="U125" s="10" t="s">
        <v>627</v>
      </c>
    </row>
    <row r="126" spans="1:2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21114.501</v>
      </c>
      <c r="J126" s="6">
        <v>0</v>
      </c>
      <c r="K126" s="12">
        <f t="shared" si="3"/>
        <v>21114.501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 t="shared" si="4"/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 t="shared" si="5"/>
        <v>2</v>
      </c>
      <c r="U126" s="10" t="s">
        <v>627</v>
      </c>
    </row>
    <row r="127" spans="1:2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21114.501</v>
      </c>
      <c r="J127" s="6">
        <v>0</v>
      </c>
      <c r="K127" s="12">
        <f t="shared" si="3"/>
        <v>21114.501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 t="shared" si="4"/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 t="shared" si="5"/>
        <v>1</v>
      </c>
      <c r="U127" s="10" t="s">
        <v>627</v>
      </c>
    </row>
    <row r="128" spans="1:2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72252.28</v>
      </c>
      <c r="J128" s="6">
        <v>0</v>
      </c>
      <c r="K128" s="12">
        <f t="shared" si="3"/>
        <v>72252.28</v>
      </c>
      <c r="L128" s="7" t="str">
        <f>IF(VLOOKUP(A128,'[1]LISTA ETIQUETAS'!O:AB,14,0)="","",(VLOOKUP(A128,'[1]LISTA ETIQUETAS'!O:AB,14,0)))</f>
        <v>CG</v>
      </c>
      <c r="M128" s="8" t="s">
        <v>115</v>
      </c>
      <c r="N128" s="9" t="str">
        <f t="shared" si="4"/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 t="shared" si="5"/>
        <v>2</v>
      </c>
      <c r="U128" s="10" t="s">
        <v>627</v>
      </c>
    </row>
    <row r="129" spans="1:2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72252.28</v>
      </c>
      <c r="J129" s="6">
        <v>0</v>
      </c>
      <c r="K129" s="12">
        <f t="shared" si="3"/>
        <v>72252.28</v>
      </c>
      <c r="L129" s="7" t="str">
        <f>IF(VLOOKUP(A129,'[1]LISTA ETIQUETAS'!O:AB,14,0)="","",(VLOOKUP(A129,'[1]LISTA ETIQUETAS'!O:AB,14,0)))</f>
        <v>CG</v>
      </c>
      <c r="M129" s="8" t="s">
        <v>115</v>
      </c>
      <c r="N129" s="9" t="str">
        <f t="shared" si="4"/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 t="shared" si="5"/>
        <v>2</v>
      </c>
      <c r="U129" s="10" t="s">
        <v>627</v>
      </c>
    </row>
    <row r="130" spans="1:2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72252.28</v>
      </c>
      <c r="J130" s="6">
        <v>0</v>
      </c>
      <c r="K130" s="12">
        <f t="shared" si="3"/>
        <v>72252.28</v>
      </c>
      <c r="L130" s="7" t="str">
        <f>IF(VLOOKUP(A130,'[1]LISTA ETIQUETAS'!O:AB,14,0)="","",(VLOOKUP(A130,'[1]LISTA ETIQUETAS'!O:AB,14,0)))</f>
        <v>CG</v>
      </c>
      <c r="M130" s="8" t="s">
        <v>115</v>
      </c>
      <c r="N130" s="9" t="str">
        <f t="shared" si="4"/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 t="shared" si="5"/>
        <v>2</v>
      </c>
      <c r="U130" s="10" t="s">
        <v>627</v>
      </c>
    </row>
    <row r="131" spans="1:2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 t="shared" ref="K131:K194" si="6"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 t="shared" si="4"/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 t="shared" si="5"/>
        <v>5</v>
      </c>
      <c r="U131" s="10" t="s">
        <v>627</v>
      </c>
    </row>
    <row r="132" spans="1:2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 t="shared" si="6"/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 t="shared" ref="N132:N195" si="7"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 t="shared" ref="T132:T195" si="8">SUM(O132:S132)</f>
        <v>1</v>
      </c>
      <c r="U132" s="10" t="s">
        <v>627</v>
      </c>
    </row>
    <row r="133" spans="1:2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 t="shared" si="6"/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 t="shared" si="7"/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 t="shared" si="8"/>
        <v>1</v>
      </c>
      <c r="U133" s="10" t="s">
        <v>627</v>
      </c>
    </row>
    <row r="134" spans="1:2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 t="shared" si="6"/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 t="shared" si="7"/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 t="shared" si="8"/>
        <v>1</v>
      </c>
      <c r="U134" s="10" t="s">
        <v>627</v>
      </c>
    </row>
    <row r="135" spans="1:2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 t="shared" si="6"/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 t="shared" si="7"/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 t="shared" si="8"/>
        <v>1</v>
      </c>
      <c r="U135" s="10" t="s">
        <v>627</v>
      </c>
    </row>
    <row r="136" spans="1:2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 t="shared" si="6"/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 t="shared" si="7"/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 t="shared" si="8"/>
        <v>1</v>
      </c>
      <c r="U136" s="10" t="s">
        <v>627</v>
      </c>
    </row>
    <row r="137" spans="1:2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 t="shared" si="6"/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 t="shared" si="7"/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 t="shared" si="8"/>
        <v>1</v>
      </c>
      <c r="U137" s="10" t="s">
        <v>627</v>
      </c>
    </row>
    <row r="138" spans="1:2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 t="shared" si="6"/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 t="shared" si="7"/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 t="shared" si="8"/>
        <v>1</v>
      </c>
      <c r="U138" s="10" t="s">
        <v>627</v>
      </c>
    </row>
    <row r="139" spans="1:2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 t="shared" si="6"/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 t="shared" si="7"/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 t="shared" si="8"/>
        <v>1</v>
      </c>
      <c r="U139" s="10" t="s">
        <v>627</v>
      </c>
    </row>
    <row r="140" spans="1:2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 t="shared" si="6"/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 t="shared" si="7"/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 t="shared" si="8"/>
        <v>1</v>
      </c>
      <c r="U140" s="10" t="s">
        <v>627</v>
      </c>
    </row>
    <row r="141" spans="1:2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 t="shared" si="6"/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 t="shared" si="7"/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 t="shared" si="8"/>
        <v>1</v>
      </c>
      <c r="U141" s="10" t="s">
        <v>627</v>
      </c>
    </row>
    <row r="142" spans="1:2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 t="shared" si="6"/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 t="shared" si="7"/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 t="shared" si="8"/>
        <v>1</v>
      </c>
      <c r="U142" s="10" t="s">
        <v>627</v>
      </c>
    </row>
    <row r="143" spans="1:2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32166.400000000001</v>
      </c>
      <c r="J143" s="6">
        <v>0</v>
      </c>
      <c r="K143" s="12">
        <f t="shared" si="6"/>
        <v>32166.400000000001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 t="shared" si="7"/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 t="shared" si="8"/>
        <v>1</v>
      </c>
      <c r="U143" s="10" t="s">
        <v>627</v>
      </c>
    </row>
    <row r="144" spans="1:2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32166.400000000001</v>
      </c>
      <c r="J144" s="6">
        <v>0</v>
      </c>
      <c r="K144" s="12">
        <f t="shared" si="6"/>
        <v>32166.400000000001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 t="shared" si="7"/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 t="shared" si="8"/>
        <v>1</v>
      </c>
      <c r="U144" s="10" t="s">
        <v>627</v>
      </c>
    </row>
    <row r="145" spans="1:2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 t="shared" si="6"/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 t="shared" si="7"/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 t="shared" si="8"/>
        <v>1</v>
      </c>
      <c r="U145" s="10" t="s">
        <v>627</v>
      </c>
    </row>
    <row r="146" spans="1:2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 t="shared" si="6"/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 t="shared" si="7"/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 t="shared" si="8"/>
        <v>1</v>
      </c>
      <c r="U146" s="10" t="s">
        <v>627</v>
      </c>
    </row>
    <row r="147" spans="1:2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 t="shared" si="6"/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 t="shared" si="7"/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 t="shared" si="8"/>
        <v>1</v>
      </c>
      <c r="U147" s="10" t="s">
        <v>627</v>
      </c>
    </row>
    <row r="148" spans="1:2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 t="shared" si="6"/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 t="shared" si="7"/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 t="shared" si="8"/>
        <v>1</v>
      </c>
      <c r="U148" s="10" t="s">
        <v>627</v>
      </c>
    </row>
    <row r="149" spans="1:2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 t="shared" si="6"/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 t="shared" si="7"/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 t="shared" si="8"/>
        <v>1</v>
      </c>
      <c r="U149" s="10" t="s">
        <v>627</v>
      </c>
    </row>
    <row r="150" spans="1:2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 t="shared" si="6"/>
        <v>443.52</v>
      </c>
      <c r="L150" s="7" t="str">
        <f>IF(VLOOKUP(A150,'[1]LISTA ETIQUETAS'!O:AB,14,0)="","",(VLOOKUP(A150,'[1]LISTA ETIQUETAS'!O:AB,14,0)))</f>
        <v/>
      </c>
      <c r="M150" s="8"/>
      <c r="N150" s="9">
        <f t="shared" si="7"/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 t="shared" si="8"/>
        <v>6</v>
      </c>
      <c r="U150" s="10" t="s">
        <v>627</v>
      </c>
    </row>
    <row r="151" spans="1:2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 t="shared" si="6"/>
        <v>4954.84</v>
      </c>
      <c r="L151" s="7" t="str">
        <f>IF(VLOOKUP(A151,'[1]LISTA ETIQUETAS'!O:AB,14,0)="","",(VLOOKUP(A151,'[1]LISTA ETIQUETAS'!O:AB,14,0)))</f>
        <v/>
      </c>
      <c r="M151" s="8"/>
      <c r="N151" s="9">
        <f t="shared" si="7"/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 t="shared" si="8"/>
        <v>9</v>
      </c>
      <c r="U151" s="10" t="s">
        <v>627</v>
      </c>
    </row>
    <row r="152" spans="1:2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 t="shared" si="6"/>
        <v>1733.54</v>
      </c>
      <c r="L152" s="7" t="str">
        <f>IF(VLOOKUP(A152,'[1]LISTA ETIQUETAS'!O:AB,14,0)="","",(VLOOKUP(A152,'[1]LISTA ETIQUETAS'!O:AB,14,0)))</f>
        <v/>
      </c>
      <c r="M152" s="8"/>
      <c r="N152" s="9">
        <f t="shared" si="7"/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 t="shared" si="8"/>
        <v>1</v>
      </c>
      <c r="U152" s="10" t="s">
        <v>627</v>
      </c>
    </row>
    <row r="153" spans="1:2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 t="shared" si="6"/>
        <v>3779.87</v>
      </c>
      <c r="L153" s="7" t="str">
        <f>IF(VLOOKUP(A153,'[1]LISTA ETIQUETAS'!O:AB,14,0)="","",(VLOOKUP(A153,'[1]LISTA ETIQUETAS'!O:AB,14,0)))</f>
        <v/>
      </c>
      <c r="M153" s="8"/>
      <c r="N153" s="9">
        <f t="shared" si="7"/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 t="shared" si="8"/>
        <v>1</v>
      </c>
      <c r="U153" s="10" t="s">
        <v>627</v>
      </c>
    </row>
    <row r="154" spans="1:2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 t="shared" si="6"/>
        <v>1733.54</v>
      </c>
      <c r="L154" s="7" t="str">
        <f>IF(VLOOKUP(A154,'[1]LISTA ETIQUETAS'!O:AB,14,0)="","",(VLOOKUP(A154,'[1]LISTA ETIQUETAS'!O:AB,14,0)))</f>
        <v/>
      </c>
      <c r="M154" s="8"/>
      <c r="N154" s="9">
        <f t="shared" si="7"/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 t="shared" si="8"/>
        <v>1</v>
      </c>
      <c r="U154" s="10" t="s">
        <v>627</v>
      </c>
    </row>
    <row r="155" spans="1:2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 t="shared" si="6"/>
        <v>3518.32</v>
      </c>
      <c r="L155" s="7" t="str">
        <f>IF(VLOOKUP(A155,'[1]LISTA ETIQUETAS'!O:AB,14,0)="","",(VLOOKUP(A155,'[1]LISTA ETIQUETAS'!O:AB,14,0)))</f>
        <v/>
      </c>
      <c r="M155" s="8"/>
      <c r="N155" s="9">
        <f t="shared" si="7"/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 t="shared" si="8"/>
        <v>1</v>
      </c>
      <c r="U155" s="10" t="s">
        <v>627</v>
      </c>
    </row>
    <row r="156" spans="1:2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 t="shared" si="6"/>
        <v>2307.96</v>
      </c>
      <c r="L156" s="7" t="str">
        <f>IF(VLOOKUP(A156,'[1]LISTA ETIQUETAS'!O:AB,14,0)="","",(VLOOKUP(A156,'[1]LISTA ETIQUETAS'!O:AB,14,0)))</f>
        <v/>
      </c>
      <c r="M156" s="8"/>
      <c r="N156" s="9">
        <f t="shared" si="7"/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 t="shared" si="8"/>
        <v>1</v>
      </c>
      <c r="U156" s="10" t="s">
        <v>627</v>
      </c>
    </row>
    <row r="157" spans="1:2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 t="shared" si="6"/>
        <v/>
      </c>
      <c r="L157" s="7" t="str">
        <f>IF(VLOOKUP(A157,'[1]LISTA ETIQUETAS'!O:AB,14,0)="","",(VLOOKUP(A157,'[1]LISTA ETIQUETAS'!O:AB,14,0)))</f>
        <v/>
      </c>
      <c r="M157" s="8"/>
      <c r="N157" s="9">
        <f t="shared" si="7"/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 t="shared" si="8"/>
        <v>1</v>
      </c>
      <c r="U157" s="10" t="s">
        <v>627</v>
      </c>
    </row>
    <row r="158" spans="1:2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 t="shared" si="6"/>
        <v>4243.68</v>
      </c>
      <c r="L158" s="7" t="str">
        <f>IF(VLOOKUP(A158,'[1]LISTA ETIQUETAS'!O:AB,14,0)="","",(VLOOKUP(A158,'[1]LISTA ETIQUETAS'!O:AB,14,0)))</f>
        <v/>
      </c>
      <c r="M158" s="8"/>
      <c r="N158" s="9">
        <f t="shared" si="7"/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 t="shared" si="8"/>
        <v>2</v>
      </c>
      <c r="U158" s="10" t="s">
        <v>627</v>
      </c>
    </row>
    <row r="159" spans="1:2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 t="shared" si="6"/>
        <v>3537.18</v>
      </c>
      <c r="L159" s="7" t="str">
        <f>IF(VLOOKUP(A159,'[1]LISTA ETIQUETAS'!O:AB,14,0)="","",(VLOOKUP(A159,'[1]LISTA ETIQUETAS'!O:AB,14,0)))</f>
        <v/>
      </c>
      <c r="M159" s="8"/>
      <c r="N159" s="9">
        <f t="shared" si="7"/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 t="shared" si="8"/>
        <v>3</v>
      </c>
      <c r="U159" s="10" t="s">
        <v>627</v>
      </c>
    </row>
    <row r="160" spans="1:2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 t="shared" si="6"/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 t="shared" si="7"/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 t="shared" si="8"/>
        <v>1</v>
      </c>
      <c r="U160" s="10" t="s">
        <v>627</v>
      </c>
    </row>
    <row r="161" spans="1:2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 t="shared" si="6"/>
        <v>0</v>
      </c>
      <c r="L161" s="7" t="str">
        <f>IF(VLOOKUP(A161,'[1]LISTA ETIQUETAS'!O:AB,14,0)="","",(VLOOKUP(A161,'[1]LISTA ETIQUETAS'!O:AB,14,0)))</f>
        <v/>
      </c>
      <c r="M161" s="8"/>
      <c r="N161" s="9">
        <f t="shared" si="7"/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 t="shared" si="8"/>
        <v>2</v>
      </c>
      <c r="U161" s="10" t="s">
        <v>627</v>
      </c>
    </row>
    <row r="162" spans="1:2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 t="shared" si="6"/>
        <v/>
      </c>
      <c r="L162" s="7" t="str">
        <f>IF(VLOOKUP(A162,'[1]LISTA ETIQUETAS'!O:AB,14,0)="","",(VLOOKUP(A162,'[1]LISTA ETIQUETAS'!O:AB,14,0)))</f>
        <v/>
      </c>
      <c r="M162" s="8"/>
      <c r="N162" s="9">
        <f t="shared" si="7"/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 t="shared" si="8"/>
        <v>2</v>
      </c>
      <c r="U162" s="10" t="s">
        <v>627</v>
      </c>
    </row>
    <row r="163" spans="1:2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 t="shared" si="6"/>
        <v>3865.88</v>
      </c>
      <c r="L163" s="7" t="str">
        <f>IF(VLOOKUP(A163,'[1]LISTA ETIQUETAS'!O:AB,14,0)="","",(VLOOKUP(A163,'[1]LISTA ETIQUETAS'!O:AB,14,0)))</f>
        <v/>
      </c>
      <c r="M163" s="8"/>
      <c r="N163" s="9">
        <f t="shared" si="7"/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 t="shared" si="8"/>
        <v>1</v>
      </c>
      <c r="U163" s="10" t="s">
        <v>627</v>
      </c>
    </row>
    <row r="164" spans="1:2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 t="shared" si="6"/>
        <v>0</v>
      </c>
      <c r="L164" s="7" t="str">
        <f>IF(VLOOKUP(A164,'[1]LISTA ETIQUETAS'!O:AB,14,0)="","",(VLOOKUP(A164,'[1]LISTA ETIQUETAS'!O:AB,14,0)))</f>
        <v/>
      </c>
      <c r="M164" s="8"/>
      <c r="N164" s="9">
        <f t="shared" si="7"/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 t="shared" si="8"/>
        <v>2</v>
      </c>
      <c r="U164" s="10" t="s">
        <v>627</v>
      </c>
    </row>
    <row r="165" spans="1:2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 t="shared" si="6"/>
        <v/>
      </c>
      <c r="L165" s="7" t="str">
        <f>IF(VLOOKUP(A165,'[1]LISTA ETIQUETAS'!O:AB,14,0)="","",(VLOOKUP(A165,'[1]LISTA ETIQUETAS'!O:AB,14,0)))</f>
        <v/>
      </c>
      <c r="M165" s="8"/>
      <c r="N165" s="9">
        <f t="shared" si="7"/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 t="shared" si="8"/>
        <v>3</v>
      </c>
      <c r="U165" s="10" t="s">
        <v>627</v>
      </c>
    </row>
    <row r="166" spans="1:2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 t="shared" si="6"/>
        <v/>
      </c>
      <c r="L166" s="7" t="str">
        <f>IF(VLOOKUP(A166,'[1]LISTA ETIQUETAS'!O:AB,14,0)="","",(VLOOKUP(A166,'[1]LISTA ETIQUETAS'!O:AB,14,0)))</f>
        <v/>
      </c>
      <c r="M166" s="8"/>
      <c r="N166" s="9">
        <f t="shared" si="7"/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 t="shared" si="8"/>
        <v>1</v>
      </c>
      <c r="U166" s="10" t="s">
        <v>627</v>
      </c>
    </row>
    <row r="167" spans="1:2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 t="shared" si="6"/>
        <v/>
      </c>
      <c r="L167" s="7" t="str">
        <f>IF(VLOOKUP(A167,'[1]LISTA ETIQUETAS'!O:AB,14,0)="","",(VLOOKUP(A167,'[1]LISTA ETIQUETAS'!O:AB,14,0)))</f>
        <v/>
      </c>
      <c r="M167" s="8"/>
      <c r="N167" s="9">
        <f t="shared" si="7"/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 t="shared" si="8"/>
        <v>2</v>
      </c>
      <c r="U167" s="10" t="s">
        <v>627</v>
      </c>
    </row>
    <row r="168" spans="1:2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 t="shared" si="6"/>
        <v>0</v>
      </c>
      <c r="L168" s="7" t="str">
        <f>IF(VLOOKUP(A168,'[1]LISTA ETIQUETAS'!O:AB,14,0)="","",(VLOOKUP(A168,'[1]LISTA ETIQUETAS'!O:AB,14,0)))</f>
        <v/>
      </c>
      <c r="M168" s="8"/>
      <c r="N168" s="9">
        <f t="shared" si="7"/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 t="shared" si="8"/>
        <v>8</v>
      </c>
      <c r="U168" s="10" t="s">
        <v>627</v>
      </c>
    </row>
    <row r="169" spans="1:2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 t="shared" si="6"/>
        <v/>
      </c>
      <c r="L169" s="7" t="str">
        <f>IF(VLOOKUP(A169,'[1]LISTA ETIQUETAS'!O:AB,14,0)="","",(VLOOKUP(A169,'[1]LISTA ETIQUETAS'!O:AB,14,0)))</f>
        <v/>
      </c>
      <c r="M169" s="8"/>
      <c r="N169" s="9">
        <f t="shared" si="7"/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 t="shared" si="8"/>
        <v>4</v>
      </c>
      <c r="U169" s="10" t="s">
        <v>627</v>
      </c>
    </row>
    <row r="170" spans="1:2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 t="shared" si="6"/>
        <v/>
      </c>
      <c r="L170" s="7" t="str">
        <f>IF(VLOOKUP(A170,'[1]LISTA ETIQUETAS'!O:AB,14,0)="","",(VLOOKUP(A170,'[1]LISTA ETIQUETAS'!O:AB,14,0)))</f>
        <v/>
      </c>
      <c r="M170" s="8"/>
      <c r="N170" s="9">
        <f t="shared" si="7"/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 t="shared" si="8"/>
        <v>8</v>
      </c>
      <c r="U170" s="10" t="s">
        <v>627</v>
      </c>
    </row>
    <row r="171" spans="1:2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 t="shared" si="6"/>
        <v/>
      </c>
      <c r="L171" s="7" t="str">
        <f>IF(VLOOKUP(A171,'[1]LISTA ETIQUETAS'!O:AB,14,0)="","",(VLOOKUP(A171,'[1]LISTA ETIQUETAS'!O:AB,14,0)))</f>
        <v/>
      </c>
      <c r="M171" s="8"/>
      <c r="N171" s="9">
        <f t="shared" si="7"/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 t="shared" si="8"/>
        <v>2</v>
      </c>
      <c r="U171" s="10" t="s">
        <v>627</v>
      </c>
    </row>
    <row r="172" spans="1:2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 t="shared" si="6"/>
        <v/>
      </c>
      <c r="L172" s="7" t="str">
        <f>IF(VLOOKUP(A172,'[1]LISTA ETIQUETAS'!O:AB,14,0)="","",(VLOOKUP(A172,'[1]LISTA ETIQUETAS'!O:AB,14,0)))</f>
        <v/>
      </c>
      <c r="M172" s="8"/>
      <c r="N172" s="9">
        <f t="shared" si="7"/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 t="shared" si="8"/>
        <v>1</v>
      </c>
      <c r="U172" s="10" t="s">
        <v>627</v>
      </c>
    </row>
    <row r="173" spans="1:2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 t="shared" si="6"/>
        <v>0</v>
      </c>
      <c r="L173" s="7" t="str">
        <f>IF(VLOOKUP(A173,'[1]LISTA ETIQUETAS'!O:AB,14,0)="","",(VLOOKUP(A173,'[1]LISTA ETIQUETAS'!O:AB,14,0)))</f>
        <v/>
      </c>
      <c r="M173" s="8"/>
      <c r="N173" s="9">
        <f t="shared" si="7"/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 t="shared" si="8"/>
        <v>1</v>
      </c>
      <c r="U173" s="10" t="s">
        <v>627</v>
      </c>
    </row>
    <row r="174" spans="1:2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 t="shared" si="6"/>
        <v>8960</v>
      </c>
      <c r="L174" s="7" t="str">
        <f>IF(VLOOKUP(A174,'[1]LISTA ETIQUETAS'!O:AB,14,0)="","",(VLOOKUP(A174,'[1]LISTA ETIQUETAS'!O:AB,14,0)))</f>
        <v/>
      </c>
      <c r="M174" s="8"/>
      <c r="N174" s="9">
        <f t="shared" si="7"/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 t="shared" si="8"/>
        <v>1</v>
      </c>
      <c r="U174" s="10" t="s">
        <v>627</v>
      </c>
    </row>
    <row r="175" spans="1:2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 t="shared" si="6"/>
        <v>1952.16</v>
      </c>
      <c r="L175" s="7" t="str">
        <f>IF(VLOOKUP(A175,'[1]LISTA ETIQUETAS'!O:AB,14,0)="","",(VLOOKUP(A175,'[1]LISTA ETIQUETAS'!O:AB,14,0)))</f>
        <v/>
      </c>
      <c r="M175" s="8"/>
      <c r="N175" s="9">
        <f t="shared" si="7"/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 t="shared" si="8"/>
        <v>1</v>
      </c>
      <c r="U175" s="10" t="s">
        <v>627</v>
      </c>
    </row>
    <row r="176" spans="1:2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 t="shared" si="6"/>
        <v>5597.76</v>
      </c>
      <c r="L176" s="7" t="str">
        <f>IF(VLOOKUP(A176,'[1]LISTA ETIQUETAS'!O:AB,14,0)="","",(VLOOKUP(A176,'[1]LISTA ETIQUETAS'!O:AB,14,0)))</f>
        <v/>
      </c>
      <c r="M176" s="8"/>
      <c r="N176" s="9">
        <f t="shared" si="7"/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 t="shared" si="8"/>
        <v>2</v>
      </c>
      <c r="U176" s="10" t="s">
        <v>627</v>
      </c>
    </row>
    <row r="177" spans="1:2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 t="shared" si="6"/>
        <v>5597.76</v>
      </c>
      <c r="L177" s="7" t="str">
        <f>IF(VLOOKUP(A177,'[1]LISTA ETIQUETAS'!O:AB,14,0)="","",(VLOOKUP(A177,'[1]LISTA ETIQUETAS'!O:AB,14,0)))</f>
        <v/>
      </c>
      <c r="M177" s="8"/>
      <c r="N177" s="9">
        <f t="shared" si="7"/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 t="shared" si="8"/>
        <v>3</v>
      </c>
      <c r="U177" s="10" t="s">
        <v>627</v>
      </c>
    </row>
    <row r="178" spans="1:2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 t="shared" si="6"/>
        <v>3245.76</v>
      </c>
      <c r="L178" s="7" t="str">
        <f>IF(VLOOKUP(A178,'[1]LISTA ETIQUETAS'!O:AB,14,0)="","",(VLOOKUP(A178,'[1]LISTA ETIQUETAS'!O:AB,14,0)))</f>
        <v/>
      </c>
      <c r="M178" s="8"/>
      <c r="N178" s="9">
        <f t="shared" si="7"/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 t="shared" si="8"/>
        <v>2</v>
      </c>
      <c r="U178" s="10" t="s">
        <v>627</v>
      </c>
    </row>
    <row r="179" spans="1:2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 t="shared" si="6"/>
        <v>2676.58</v>
      </c>
      <c r="L179" s="7" t="str">
        <f>IF(VLOOKUP(A179,'[1]LISTA ETIQUETAS'!O:AB,14,0)="","",(VLOOKUP(A179,'[1]LISTA ETIQUETAS'!O:AB,14,0)))</f>
        <v/>
      </c>
      <c r="M179" s="8"/>
      <c r="N179" s="9">
        <f t="shared" si="7"/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 t="shared" si="8"/>
        <v>2</v>
      </c>
      <c r="U179" s="10" t="s">
        <v>627</v>
      </c>
    </row>
    <row r="180" spans="1:2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 t="shared" si="6"/>
        <v/>
      </c>
      <c r="L180" s="7" t="str">
        <f>IF(VLOOKUP(A180,'[1]LISTA ETIQUETAS'!O:AB,14,0)="","",(VLOOKUP(A180,'[1]LISTA ETIQUETAS'!O:AB,14,0)))</f>
        <v/>
      </c>
      <c r="M180" s="8"/>
      <c r="N180" s="9">
        <f t="shared" si="7"/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 t="shared" si="8"/>
        <v>2</v>
      </c>
      <c r="U180" s="10" t="s">
        <v>627</v>
      </c>
    </row>
    <row r="181" spans="1:2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 t="shared" si="6"/>
        <v/>
      </c>
      <c r="L181" s="7" t="str">
        <f>IF(VLOOKUP(A181,'[1]LISTA ETIQUETAS'!O:AB,14,0)="","",(VLOOKUP(A181,'[1]LISTA ETIQUETAS'!O:AB,14,0)))</f>
        <v/>
      </c>
      <c r="M181" s="8"/>
      <c r="N181" s="9">
        <f t="shared" si="7"/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 t="shared" si="8"/>
        <v>2</v>
      </c>
      <c r="U181" s="10" t="s">
        <v>627</v>
      </c>
    </row>
    <row r="182" spans="1:2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 t="shared" si="6"/>
        <v>738.84</v>
      </c>
      <c r="L182" s="7" t="str">
        <f>IF(VLOOKUP(A182,'[1]LISTA ETIQUETAS'!O:AB,14,0)="","",(VLOOKUP(A182,'[1]LISTA ETIQUETAS'!O:AB,14,0)))</f>
        <v/>
      </c>
      <c r="M182" s="8"/>
      <c r="N182" s="9">
        <f t="shared" si="7"/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 t="shared" si="8"/>
        <v>2</v>
      </c>
      <c r="U182" s="10" t="s">
        <v>627</v>
      </c>
    </row>
    <row r="183" spans="1:2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 t="shared" si="6"/>
        <v>669.58</v>
      </c>
      <c r="L183" s="7" t="str">
        <f>IF(VLOOKUP(A183,'[1]LISTA ETIQUETAS'!O:AB,14,0)="","",(VLOOKUP(A183,'[1]LISTA ETIQUETAS'!O:AB,14,0)))</f>
        <v/>
      </c>
      <c r="M183" s="8"/>
      <c r="N183" s="9">
        <f t="shared" si="7"/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 t="shared" si="8"/>
        <v>2</v>
      </c>
      <c r="U183" s="10" t="s">
        <v>627</v>
      </c>
    </row>
    <row r="184" spans="1:2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 t="shared" si="6"/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 t="shared" si="7"/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 t="shared" si="8"/>
        <v>4</v>
      </c>
      <c r="U184" s="10" t="s">
        <v>627</v>
      </c>
    </row>
    <row r="185" spans="1:2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 t="shared" si="6"/>
        <v>1229.98</v>
      </c>
      <c r="L185" s="7" t="str">
        <f>IF(VLOOKUP(A185,'[1]LISTA ETIQUETAS'!O:AB,14,0)="","",(VLOOKUP(A185,'[1]LISTA ETIQUETAS'!O:AB,14,0)))</f>
        <v/>
      </c>
      <c r="M185" s="8"/>
      <c r="N185" s="9">
        <f t="shared" si="7"/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 t="shared" si="8"/>
        <v>8</v>
      </c>
      <c r="U185" s="10" t="s">
        <v>627</v>
      </c>
    </row>
    <row r="186" spans="1:2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 t="shared" si="6"/>
        <v/>
      </c>
      <c r="L186" s="7" t="str">
        <f>IF(VLOOKUP(A186,'[1]LISTA ETIQUETAS'!O:AB,14,0)="","",(VLOOKUP(A186,'[1]LISTA ETIQUETAS'!O:AB,14,0)))</f>
        <v/>
      </c>
      <c r="M186" s="8"/>
      <c r="N186" s="9">
        <f t="shared" si="7"/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 t="shared" si="8"/>
        <v>3</v>
      </c>
      <c r="U186" s="10" t="s">
        <v>627</v>
      </c>
    </row>
    <row r="187" spans="1:2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 t="shared" si="6"/>
        <v>770.52</v>
      </c>
      <c r="L187" s="7" t="str">
        <f>IF(VLOOKUP(A187,'[1]LISTA ETIQUETAS'!O:AB,14,0)="","",(VLOOKUP(A187,'[1]LISTA ETIQUETAS'!O:AB,14,0)))</f>
        <v/>
      </c>
      <c r="M187" s="8"/>
      <c r="N187" s="9">
        <f t="shared" si="7"/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 t="shared" si="8"/>
        <v>1</v>
      </c>
      <c r="U187" s="10" t="s">
        <v>627</v>
      </c>
    </row>
    <row r="188" spans="1:2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 t="shared" si="6"/>
        <v>550.37</v>
      </c>
      <c r="L188" s="7" t="str">
        <f>IF(VLOOKUP(A188,'[1]LISTA ETIQUETAS'!O:AB,14,0)="","",(VLOOKUP(A188,'[1]LISTA ETIQUETAS'!O:AB,14,0)))</f>
        <v/>
      </c>
      <c r="M188" s="8"/>
      <c r="N188" s="9">
        <f t="shared" si="7"/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 t="shared" si="8"/>
        <v>1</v>
      </c>
      <c r="U188" s="10" t="s">
        <v>627</v>
      </c>
    </row>
    <row r="189" spans="1:2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 t="shared" si="6"/>
        <v>770.52</v>
      </c>
      <c r="L189" s="7" t="str">
        <f>IF(VLOOKUP(A189,'[1]LISTA ETIQUETAS'!O:AB,14,0)="","",(VLOOKUP(A189,'[1]LISTA ETIQUETAS'!O:AB,14,0)))</f>
        <v/>
      </c>
      <c r="M189" s="8"/>
      <c r="N189" s="9">
        <f t="shared" si="7"/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 t="shared" si="8"/>
        <v>1</v>
      </c>
      <c r="U189" s="10" t="s">
        <v>627</v>
      </c>
    </row>
    <row r="190" spans="1:2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 t="shared" si="6"/>
        <v>550.37</v>
      </c>
      <c r="L190" s="7" t="str">
        <f>IF(VLOOKUP(A190,'[1]LISTA ETIQUETAS'!O:AB,14,0)="","",(VLOOKUP(A190,'[1]LISTA ETIQUETAS'!O:AB,14,0)))</f>
        <v/>
      </c>
      <c r="M190" s="8"/>
      <c r="N190" s="9">
        <f t="shared" si="7"/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 t="shared" si="8"/>
        <v>1</v>
      </c>
      <c r="U190" s="10" t="s">
        <v>627</v>
      </c>
    </row>
    <row r="191" spans="1:2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 t="shared" si="6"/>
        <v>770.52</v>
      </c>
      <c r="L191" s="7" t="str">
        <f>IF(VLOOKUP(A191,'[1]LISTA ETIQUETAS'!O:AB,14,0)="","",(VLOOKUP(A191,'[1]LISTA ETIQUETAS'!O:AB,14,0)))</f>
        <v/>
      </c>
      <c r="M191" s="8"/>
      <c r="N191" s="9">
        <f t="shared" si="7"/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 t="shared" si="8"/>
        <v>1</v>
      </c>
      <c r="U191" s="10" t="s">
        <v>627</v>
      </c>
    </row>
    <row r="192" spans="1:2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 t="shared" si="6"/>
        <v>550.37</v>
      </c>
      <c r="L192" s="7" t="str">
        <f>IF(VLOOKUP(A192,'[1]LISTA ETIQUETAS'!O:AB,14,0)="","",(VLOOKUP(A192,'[1]LISTA ETIQUETAS'!O:AB,14,0)))</f>
        <v/>
      </c>
      <c r="M192" s="8"/>
      <c r="N192" s="9">
        <f t="shared" si="7"/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 t="shared" si="8"/>
        <v>1</v>
      </c>
      <c r="U192" s="10" t="s">
        <v>627</v>
      </c>
    </row>
    <row r="193" spans="1:2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 t="shared" si="6"/>
        <v>770.52</v>
      </c>
      <c r="L193" s="7" t="str">
        <f>IF(VLOOKUP(A193,'[1]LISTA ETIQUETAS'!O:AB,14,0)="","",(VLOOKUP(A193,'[1]LISTA ETIQUETAS'!O:AB,14,0)))</f>
        <v/>
      </c>
      <c r="M193" s="8"/>
      <c r="N193" s="9">
        <f t="shared" si="7"/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 t="shared" si="8"/>
        <v>1</v>
      </c>
      <c r="U193" s="10" t="s">
        <v>627</v>
      </c>
    </row>
    <row r="194" spans="1:2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 t="shared" si="6"/>
        <v>440.29</v>
      </c>
      <c r="L194" s="7" t="str">
        <f>IF(VLOOKUP(A194,'[1]LISTA ETIQUETAS'!O:AB,14,0)="","",(VLOOKUP(A194,'[1]LISTA ETIQUETAS'!O:AB,14,0)))</f>
        <v/>
      </c>
      <c r="M194" s="8"/>
      <c r="N194" s="9">
        <f t="shared" si="7"/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 t="shared" si="8"/>
        <v>2</v>
      </c>
      <c r="U194" s="10" t="s">
        <v>627</v>
      </c>
    </row>
    <row r="195" spans="1:2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 t="shared" ref="K195:K258" si="9"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 t="shared" si="7"/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 t="shared" si="8"/>
        <v>2</v>
      </c>
      <c r="U195" s="10" t="s">
        <v>627</v>
      </c>
    </row>
    <row r="196" spans="1:2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 t="shared" si="9"/>
        <v>550.37</v>
      </c>
      <c r="L196" s="7" t="str">
        <f>IF(VLOOKUP(A196,'[1]LISTA ETIQUETAS'!O:AB,14,0)="","",(VLOOKUP(A196,'[1]LISTA ETIQUETAS'!O:AB,14,0)))</f>
        <v/>
      </c>
      <c r="M196" s="8"/>
      <c r="N196" s="9">
        <f t="shared" ref="N196:N259" si="10"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 t="shared" ref="T196:T259" si="11">SUM(O196:S196)</f>
        <v>2</v>
      </c>
      <c r="U196" s="10" t="s">
        <v>627</v>
      </c>
    </row>
    <row r="197" spans="1:2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 t="shared" si="9"/>
        <v>440.29</v>
      </c>
      <c r="L197" s="7" t="str">
        <f>IF(VLOOKUP(A197,'[1]LISTA ETIQUETAS'!O:AB,14,0)="","",(VLOOKUP(A197,'[1]LISTA ETIQUETAS'!O:AB,14,0)))</f>
        <v/>
      </c>
      <c r="M197" s="8"/>
      <c r="N197" s="9">
        <f t="shared" si="10"/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 t="shared" si="11"/>
        <v>2</v>
      </c>
      <c r="U197" s="10" t="s">
        <v>627</v>
      </c>
    </row>
    <row r="198" spans="1:2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 t="shared" si="9"/>
        <v>642.12</v>
      </c>
      <c r="L198" s="7" t="str">
        <f>IF(VLOOKUP(A198,'[1]LISTA ETIQUETAS'!O:AB,14,0)="","",(VLOOKUP(A198,'[1]LISTA ETIQUETAS'!O:AB,14,0)))</f>
        <v/>
      </c>
      <c r="M198" s="8"/>
      <c r="N198" s="9">
        <f t="shared" si="10"/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 t="shared" si="11"/>
        <v>2</v>
      </c>
      <c r="U198" s="10" t="s">
        <v>627</v>
      </c>
    </row>
    <row r="199" spans="1:2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 t="shared" si="9"/>
        <v>550.37</v>
      </c>
      <c r="L199" s="7" t="str">
        <f>IF(VLOOKUP(A199,'[1]LISTA ETIQUETAS'!O:AB,14,0)="","",(VLOOKUP(A199,'[1]LISTA ETIQUETAS'!O:AB,14,0)))</f>
        <v/>
      </c>
      <c r="M199" s="8"/>
      <c r="N199" s="9">
        <f t="shared" si="10"/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 t="shared" si="11"/>
        <v>2</v>
      </c>
      <c r="U199" s="10" t="s">
        <v>627</v>
      </c>
    </row>
    <row r="200" spans="1:2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 t="shared" si="9"/>
        <v>440.29</v>
      </c>
      <c r="L200" s="7" t="str">
        <f>IF(VLOOKUP(A200,'[1]LISTA ETIQUETAS'!O:AB,14,0)="","",(VLOOKUP(A200,'[1]LISTA ETIQUETAS'!O:AB,14,0)))</f>
        <v/>
      </c>
      <c r="M200" s="8"/>
      <c r="N200" s="9">
        <f t="shared" si="10"/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 t="shared" si="11"/>
        <v>2</v>
      </c>
      <c r="U200" s="10" t="s">
        <v>627</v>
      </c>
    </row>
    <row r="201" spans="1:2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 t="shared" si="9"/>
        <v>642.12</v>
      </c>
      <c r="L201" s="7" t="str">
        <f>IF(VLOOKUP(A201,'[1]LISTA ETIQUETAS'!O:AB,14,0)="","",(VLOOKUP(A201,'[1]LISTA ETIQUETAS'!O:AB,14,0)))</f>
        <v/>
      </c>
      <c r="M201" s="8"/>
      <c r="N201" s="9">
        <f t="shared" si="10"/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 t="shared" si="11"/>
        <v>2</v>
      </c>
      <c r="U201" s="10" t="s">
        <v>627</v>
      </c>
    </row>
    <row r="202" spans="1:2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 t="shared" si="9"/>
        <v>550.37</v>
      </c>
      <c r="L202" s="7" t="str">
        <f>IF(VLOOKUP(A202,'[1]LISTA ETIQUETAS'!O:AB,14,0)="","",(VLOOKUP(A202,'[1]LISTA ETIQUETAS'!O:AB,14,0)))</f>
        <v/>
      </c>
      <c r="M202" s="8"/>
      <c r="N202" s="9">
        <f t="shared" si="10"/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 t="shared" si="11"/>
        <v>2</v>
      </c>
      <c r="U202" s="10" t="s">
        <v>627</v>
      </c>
    </row>
    <row r="203" spans="1:2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 t="shared" si="9"/>
        <v>770.52</v>
      </c>
      <c r="L203" s="7" t="str">
        <f>IF(VLOOKUP(A203,'[1]LISTA ETIQUETAS'!O:AB,14,0)="","",(VLOOKUP(A203,'[1]LISTA ETIQUETAS'!O:AB,14,0)))</f>
        <v/>
      </c>
      <c r="M203" s="8"/>
      <c r="N203" s="9">
        <f t="shared" si="10"/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 t="shared" si="11"/>
        <v>1</v>
      </c>
      <c r="U203" s="10" t="s">
        <v>627</v>
      </c>
    </row>
    <row r="204" spans="1:2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 t="shared" si="9"/>
        <v>440.29</v>
      </c>
      <c r="L204" s="7" t="str">
        <f>IF(VLOOKUP(A204,'[1]LISTA ETIQUETAS'!O:AB,14,0)="","",(VLOOKUP(A204,'[1]LISTA ETIQUETAS'!O:AB,14,0)))</f>
        <v/>
      </c>
      <c r="M204" s="8"/>
      <c r="N204" s="9">
        <f t="shared" si="10"/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 t="shared" si="11"/>
        <v>2</v>
      </c>
      <c r="U204" s="10" t="s">
        <v>627</v>
      </c>
    </row>
    <row r="205" spans="1:2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 t="shared" si="9"/>
        <v>642.12</v>
      </c>
      <c r="L205" s="7" t="str">
        <f>IF(VLOOKUP(A205,'[1]LISTA ETIQUETAS'!O:AB,14,0)="","",(VLOOKUP(A205,'[1]LISTA ETIQUETAS'!O:AB,14,0)))</f>
        <v/>
      </c>
      <c r="M205" s="8"/>
      <c r="N205" s="9">
        <f t="shared" si="10"/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 t="shared" si="11"/>
        <v>2</v>
      </c>
      <c r="U205" s="10" t="s">
        <v>627</v>
      </c>
    </row>
    <row r="206" spans="1:2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 t="shared" si="9"/>
        <v>550.37</v>
      </c>
      <c r="L206" s="7" t="str">
        <f>IF(VLOOKUP(A206,'[1]LISTA ETIQUETAS'!O:AB,14,0)="","",(VLOOKUP(A206,'[1]LISTA ETIQUETAS'!O:AB,14,0)))</f>
        <v/>
      </c>
      <c r="M206" s="8"/>
      <c r="N206" s="9">
        <f t="shared" si="10"/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 t="shared" si="11"/>
        <v>2</v>
      </c>
      <c r="U206" s="10" t="s">
        <v>627</v>
      </c>
    </row>
    <row r="207" spans="1:2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 t="shared" si="9"/>
        <v>440.29</v>
      </c>
      <c r="L207" s="7" t="str">
        <f>IF(VLOOKUP(A207,'[1]LISTA ETIQUETAS'!O:AB,14,0)="","",(VLOOKUP(A207,'[1]LISTA ETIQUETAS'!O:AB,14,0)))</f>
        <v/>
      </c>
      <c r="M207" s="8"/>
      <c r="N207" s="9">
        <f t="shared" si="10"/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 t="shared" si="11"/>
        <v>1</v>
      </c>
      <c r="U207" s="10" t="s">
        <v>627</v>
      </c>
    </row>
    <row r="208" spans="1:2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 t="shared" si="9"/>
        <v>642.12</v>
      </c>
      <c r="L208" s="7" t="str">
        <f>IF(VLOOKUP(A208,'[1]LISTA ETIQUETAS'!O:AB,14,0)="","",(VLOOKUP(A208,'[1]LISTA ETIQUETAS'!O:AB,14,0)))</f>
        <v/>
      </c>
      <c r="M208" s="8"/>
      <c r="N208" s="9">
        <f t="shared" si="10"/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 t="shared" si="11"/>
        <v>1</v>
      </c>
      <c r="U208" s="10" t="s">
        <v>627</v>
      </c>
    </row>
    <row r="209" spans="1:2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 t="shared" si="9"/>
        <v>550.37</v>
      </c>
      <c r="L209" s="7" t="str">
        <f>IF(VLOOKUP(A209,'[1]LISTA ETIQUETAS'!O:AB,14,0)="","",(VLOOKUP(A209,'[1]LISTA ETIQUETAS'!O:AB,14,0)))</f>
        <v/>
      </c>
      <c r="M209" s="8"/>
      <c r="N209" s="9">
        <f t="shared" si="10"/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 t="shared" si="11"/>
        <v>1</v>
      </c>
      <c r="U209" s="10" t="s">
        <v>627</v>
      </c>
    </row>
    <row r="210" spans="1:2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 t="shared" si="9"/>
        <v>770.52</v>
      </c>
      <c r="L210" s="7" t="str">
        <f>IF(VLOOKUP(A210,'[1]LISTA ETIQUETAS'!O:AB,14,0)="","",(VLOOKUP(A210,'[1]LISTA ETIQUETAS'!O:AB,14,0)))</f>
        <v/>
      </c>
      <c r="M210" s="8"/>
      <c r="N210" s="9">
        <f t="shared" si="10"/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 t="shared" si="11"/>
        <v>1</v>
      </c>
      <c r="U210" s="10" t="s">
        <v>627</v>
      </c>
    </row>
    <row r="211" spans="1:2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 t="shared" si="9"/>
        <v>642.12</v>
      </c>
      <c r="L211" s="7" t="str">
        <f>IF(VLOOKUP(A211,'[1]LISTA ETIQUETAS'!O:AB,14,0)="","",(VLOOKUP(A211,'[1]LISTA ETIQUETAS'!O:AB,14,0)))</f>
        <v/>
      </c>
      <c r="M211" s="8"/>
      <c r="N211" s="9">
        <f t="shared" si="10"/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 t="shared" si="11"/>
        <v>2</v>
      </c>
      <c r="U211" s="10" t="s">
        <v>627</v>
      </c>
    </row>
    <row r="212" spans="1:2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 t="shared" si="9"/>
        <v>550.37</v>
      </c>
      <c r="L212" s="7" t="str">
        <f>IF(VLOOKUP(A212,'[1]LISTA ETIQUETAS'!O:AB,14,0)="","",(VLOOKUP(A212,'[1]LISTA ETIQUETAS'!O:AB,14,0)))</f>
        <v/>
      </c>
      <c r="M212" s="8"/>
      <c r="N212" s="9">
        <f t="shared" si="10"/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 t="shared" si="11"/>
        <v>2</v>
      </c>
      <c r="U212" s="10" t="s">
        <v>627</v>
      </c>
    </row>
    <row r="213" spans="1:2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 t="shared" si="9"/>
        <v>440.29</v>
      </c>
      <c r="L213" s="7" t="str">
        <f>IF(VLOOKUP(A213,'[1]LISTA ETIQUETAS'!O:AB,14,0)="","",(VLOOKUP(A213,'[1]LISTA ETIQUETAS'!O:AB,14,0)))</f>
        <v/>
      </c>
      <c r="M213" s="8"/>
      <c r="N213" s="9">
        <f t="shared" si="10"/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 t="shared" si="11"/>
        <v>2</v>
      </c>
      <c r="U213" s="10" t="s">
        <v>627</v>
      </c>
    </row>
    <row r="214" spans="1:2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 t="shared" si="9"/>
        <v>550.37</v>
      </c>
      <c r="L214" s="7" t="str">
        <f>IF(VLOOKUP(A214,'[1]LISTA ETIQUETAS'!O:AB,14,0)="","",(VLOOKUP(A214,'[1]LISTA ETIQUETAS'!O:AB,14,0)))</f>
        <v/>
      </c>
      <c r="M214" s="8"/>
      <c r="N214" s="9">
        <f t="shared" si="10"/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 t="shared" si="11"/>
        <v>2</v>
      </c>
      <c r="U214" s="10" t="s">
        <v>627</v>
      </c>
    </row>
    <row r="215" spans="1:2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 t="shared" si="9"/>
        <v>550.37</v>
      </c>
      <c r="L215" s="7" t="str">
        <f>IF(VLOOKUP(A215,'[1]LISTA ETIQUETAS'!O:AB,14,0)="","",(VLOOKUP(A215,'[1]LISTA ETIQUETAS'!O:AB,14,0)))</f>
        <v/>
      </c>
      <c r="M215" s="8"/>
      <c r="N215" s="9">
        <f t="shared" si="10"/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 t="shared" si="11"/>
        <v>1</v>
      </c>
      <c r="U215" s="10" t="s">
        <v>627</v>
      </c>
    </row>
    <row r="216" spans="1:2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 t="shared" si="9"/>
        <v>770.52</v>
      </c>
      <c r="L216" s="7" t="str">
        <f>IF(VLOOKUP(A216,'[1]LISTA ETIQUETAS'!O:AB,14,0)="","",(VLOOKUP(A216,'[1]LISTA ETIQUETAS'!O:AB,14,0)))</f>
        <v/>
      </c>
      <c r="M216" s="8"/>
      <c r="N216" s="9">
        <f t="shared" si="10"/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 t="shared" si="11"/>
        <v>1</v>
      </c>
      <c r="U216" s="10" t="s">
        <v>627</v>
      </c>
    </row>
    <row r="217" spans="1:2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 t="shared" si="9"/>
        <v>550.37</v>
      </c>
      <c r="L217" s="7" t="str">
        <f>IF(VLOOKUP(A217,'[1]LISTA ETIQUETAS'!O:AB,14,0)="","",(VLOOKUP(A217,'[1]LISTA ETIQUETAS'!O:AB,14,0)))</f>
        <v/>
      </c>
      <c r="M217" s="8"/>
      <c r="N217" s="9">
        <f t="shared" si="10"/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 t="shared" si="11"/>
        <v>1</v>
      </c>
      <c r="U217" s="10" t="s">
        <v>627</v>
      </c>
    </row>
    <row r="218" spans="1:2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 t="shared" si="9"/>
        <v>443.52</v>
      </c>
      <c r="L218" s="7" t="str">
        <f>IF(VLOOKUP(A218,'[1]LISTA ETIQUETAS'!O:AB,14,0)="","",(VLOOKUP(A218,'[1]LISTA ETIQUETAS'!O:AB,14,0)))</f>
        <v/>
      </c>
      <c r="M218" s="8"/>
      <c r="N218" s="9">
        <f t="shared" si="10"/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 t="shared" si="11"/>
        <v>8</v>
      </c>
      <c r="U218" s="10" t="s">
        <v>627</v>
      </c>
    </row>
    <row r="219" spans="1:2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 t="shared" si="9"/>
        <v/>
      </c>
      <c r="L219" s="7" t="str">
        <f>IF(VLOOKUP(A219,'[1]LISTA ETIQUETAS'!O:AB,14,0)="","",(VLOOKUP(A219,'[1]LISTA ETIQUETAS'!O:AB,14,0)))</f>
        <v/>
      </c>
      <c r="M219" s="8"/>
      <c r="N219" s="9">
        <f t="shared" si="10"/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 t="shared" si="11"/>
        <v>4</v>
      </c>
      <c r="U219" s="10" t="s">
        <v>627</v>
      </c>
    </row>
    <row r="220" spans="1:2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 t="shared" si="9"/>
        <v/>
      </c>
      <c r="L220" s="7" t="str">
        <f>IF(VLOOKUP(A220,'[1]LISTA ETIQUETAS'!O:AB,14,0)="","",(VLOOKUP(A220,'[1]LISTA ETIQUETAS'!O:AB,14,0)))</f>
        <v/>
      </c>
      <c r="M220" s="8"/>
      <c r="N220" s="9">
        <f t="shared" si="10"/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 t="shared" si="11"/>
        <v>5</v>
      </c>
      <c r="U220" s="10" t="s">
        <v>627</v>
      </c>
    </row>
    <row r="221" spans="1:2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 t="shared" si="9"/>
        <v>37230.19</v>
      </c>
      <c r="L221" s="7" t="str">
        <f>IF(VLOOKUP(A221,'[1]LISTA ETIQUETAS'!O:AB,14,0)="","",(VLOOKUP(A221,'[1]LISTA ETIQUETAS'!O:AB,14,0)))</f>
        <v/>
      </c>
      <c r="M221" s="8"/>
      <c r="N221" s="9">
        <f t="shared" si="10"/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 t="shared" si="11"/>
        <v>1</v>
      </c>
      <c r="U221" s="10" t="s">
        <v>627</v>
      </c>
    </row>
    <row r="222" spans="1:2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 t="shared" si="9"/>
        <v>54996.57</v>
      </c>
      <c r="L222" s="7" t="str">
        <f>IF(VLOOKUP(A222,'[1]LISTA ETIQUETAS'!O:AB,14,0)="","",(VLOOKUP(A222,'[1]LISTA ETIQUETAS'!O:AB,14,0)))</f>
        <v/>
      </c>
      <c r="M222" s="8"/>
      <c r="N222" s="9">
        <f t="shared" si="10"/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 t="shared" si="11"/>
        <v>1</v>
      </c>
      <c r="U222" s="10" t="s">
        <v>627</v>
      </c>
    </row>
    <row r="223" spans="1:2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 t="shared" si="9"/>
        <v>26879.42</v>
      </c>
      <c r="L223" s="7" t="str">
        <f>IF(VLOOKUP(A223,'[1]LISTA ETIQUETAS'!O:AB,14,0)="","",(VLOOKUP(A223,'[1]LISTA ETIQUETAS'!O:AB,14,0)))</f>
        <v/>
      </c>
      <c r="M223" s="8"/>
      <c r="N223" s="9">
        <f t="shared" si="10"/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 t="shared" si="11"/>
        <v>1</v>
      </c>
      <c r="U223" s="10" t="s">
        <v>627</v>
      </c>
    </row>
    <row r="224" spans="1:2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 t="shared" si="9"/>
        <v>29795.05</v>
      </c>
      <c r="L224" s="7" t="str">
        <f>IF(VLOOKUP(A224,'[1]LISTA ETIQUETAS'!O:AB,14,0)="","",(VLOOKUP(A224,'[1]LISTA ETIQUETAS'!O:AB,14,0)))</f>
        <v/>
      </c>
      <c r="M224" s="8"/>
      <c r="N224" s="9">
        <f t="shared" si="10"/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 t="shared" si="11"/>
        <v>1</v>
      </c>
      <c r="U224" s="10" t="s">
        <v>627</v>
      </c>
    </row>
    <row r="225" spans="1:2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 t="shared" si="9"/>
        <v>15997.5</v>
      </c>
      <c r="L225" s="7" t="str">
        <f>IF(VLOOKUP(A225,'[1]LISTA ETIQUETAS'!O:AB,14,0)="","",(VLOOKUP(A225,'[1]LISTA ETIQUETAS'!O:AB,14,0)))</f>
        <v/>
      </c>
      <c r="M225" s="8"/>
      <c r="N225" s="9">
        <f t="shared" si="10"/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 t="shared" si="11"/>
        <v>1</v>
      </c>
      <c r="U225" s="10" t="s">
        <v>627</v>
      </c>
    </row>
    <row r="226" spans="1:2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 t="shared" si="9"/>
        <v>15023.81</v>
      </c>
      <c r="L226" s="7" t="str">
        <f>IF(VLOOKUP(A226,'[1]LISTA ETIQUETAS'!O:AB,14,0)="","",(VLOOKUP(A226,'[1]LISTA ETIQUETAS'!O:AB,14,0)))</f>
        <v/>
      </c>
      <c r="M226" s="8"/>
      <c r="N226" s="9">
        <f t="shared" si="10"/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 t="shared" si="11"/>
        <v>1</v>
      </c>
      <c r="U226" s="10" t="s">
        <v>627</v>
      </c>
    </row>
    <row r="227" spans="1:2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 t="shared" si="9"/>
        <v>34630.71</v>
      </c>
      <c r="L227" s="7" t="str">
        <f>IF(VLOOKUP(A227,'[1]LISTA ETIQUETAS'!O:AB,14,0)="","",(VLOOKUP(A227,'[1]LISTA ETIQUETAS'!O:AB,14,0)))</f>
        <v/>
      </c>
      <c r="M227" s="8"/>
      <c r="N227" s="9">
        <f t="shared" si="10"/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 t="shared" si="11"/>
        <v>1</v>
      </c>
      <c r="U227" s="10" t="s">
        <v>627</v>
      </c>
    </row>
    <row r="228" spans="1:2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 t="shared" si="9"/>
        <v>29653.97</v>
      </c>
      <c r="L228" s="7" t="str">
        <f>IF(VLOOKUP(A228,'[1]LISTA ETIQUETAS'!O:AB,14,0)="","",(VLOOKUP(A228,'[1]LISTA ETIQUETAS'!O:AB,14,0)))</f>
        <v/>
      </c>
      <c r="M228" s="8"/>
      <c r="N228" s="9">
        <f t="shared" si="10"/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 t="shared" si="11"/>
        <v>1</v>
      </c>
      <c r="U228" s="10" t="s">
        <v>627</v>
      </c>
    </row>
    <row r="229" spans="1:2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 t="shared" si="9"/>
        <v/>
      </c>
      <c r="L229" s="7" t="str">
        <f>IF(VLOOKUP(A229,'[1]LISTA ETIQUETAS'!O:AB,14,0)="","",(VLOOKUP(A229,'[1]LISTA ETIQUETAS'!O:AB,14,0)))</f>
        <v/>
      </c>
      <c r="M229" s="8"/>
      <c r="N229" s="9">
        <f t="shared" si="10"/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 t="shared" si="11"/>
        <v>1</v>
      </c>
      <c r="U229" s="10" t="s">
        <v>627</v>
      </c>
    </row>
    <row r="230" spans="1:2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 t="shared" si="9"/>
        <v>0</v>
      </c>
      <c r="L230" s="7" t="str">
        <f>IF(VLOOKUP(A230,'[1]LISTA ETIQUETAS'!O:AB,14,0)="","",(VLOOKUP(A230,'[1]LISTA ETIQUETAS'!O:AB,14,0)))</f>
        <v/>
      </c>
      <c r="M230" s="8"/>
      <c r="N230" s="9">
        <f t="shared" si="10"/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 t="shared" si="11"/>
        <v>2</v>
      </c>
      <c r="U230" s="10" t="s">
        <v>627</v>
      </c>
    </row>
    <row r="231" spans="1:2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 t="shared" si="9"/>
        <v>0</v>
      </c>
      <c r="L231" s="7" t="str">
        <f>IF(VLOOKUP(A231,'[1]LISTA ETIQUETAS'!O:AB,14,0)="","",(VLOOKUP(A231,'[1]LISTA ETIQUETAS'!O:AB,14,0)))</f>
        <v/>
      </c>
      <c r="M231" s="8"/>
      <c r="N231" s="9">
        <f t="shared" si="10"/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 t="shared" si="11"/>
        <v>1</v>
      </c>
      <c r="U231" s="10" t="s">
        <v>627</v>
      </c>
    </row>
    <row r="232" spans="1:2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 t="shared" si="9"/>
        <v>0</v>
      </c>
      <c r="L232" s="7" t="str">
        <f>IF(VLOOKUP(A232,'[1]LISTA ETIQUETAS'!O:AB,14,0)="","",(VLOOKUP(A232,'[1]LISTA ETIQUETAS'!O:AB,14,0)))</f>
        <v/>
      </c>
      <c r="M232" s="8"/>
      <c r="N232" s="9">
        <f t="shared" si="10"/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 t="shared" si="11"/>
        <v>1</v>
      </c>
      <c r="U232" s="10" t="s">
        <v>627</v>
      </c>
    </row>
    <row r="233" spans="1:2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 t="shared" si="9"/>
        <v>20721.12</v>
      </c>
      <c r="L233" s="7" t="str">
        <f>IF(VLOOKUP(A233,'[1]LISTA ETIQUETAS'!O:AB,14,0)="","",(VLOOKUP(A233,'[1]LISTA ETIQUETAS'!O:AB,14,0)))</f>
        <v/>
      </c>
      <c r="M233" s="8"/>
      <c r="N233" s="9">
        <f t="shared" si="10"/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 t="shared" si="11"/>
        <v>1</v>
      </c>
      <c r="U233" s="10" t="s">
        <v>627</v>
      </c>
    </row>
    <row r="234" spans="1:2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 t="shared" si="9"/>
        <v>13022.91</v>
      </c>
      <c r="L234" s="7" t="str">
        <f>IF(VLOOKUP(A234,'[1]LISTA ETIQUETAS'!O:AB,14,0)="","",(VLOOKUP(A234,'[1]LISTA ETIQUETAS'!O:AB,14,0)))</f>
        <v/>
      </c>
      <c r="M234" s="8"/>
      <c r="N234" s="9">
        <f t="shared" si="10"/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 t="shared" si="11"/>
        <v>1</v>
      </c>
      <c r="U234" s="10" t="s">
        <v>627</v>
      </c>
    </row>
    <row r="235" spans="1:2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 t="shared" si="9"/>
        <v>0</v>
      </c>
      <c r="L235" s="7" t="str">
        <f>IF(VLOOKUP(A235,'[1]LISTA ETIQUETAS'!O:AB,14,0)="","",(VLOOKUP(A235,'[1]LISTA ETIQUETAS'!O:AB,14,0)))</f>
        <v/>
      </c>
      <c r="M235" s="8"/>
      <c r="N235" s="9">
        <f t="shared" si="10"/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 t="shared" si="11"/>
        <v>1</v>
      </c>
      <c r="U235" s="10" t="s">
        <v>627</v>
      </c>
    </row>
    <row r="236" spans="1:2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 t="shared" si="9"/>
        <v>19173.5</v>
      </c>
      <c r="L236" s="7" t="str">
        <f>IF(VLOOKUP(A236,'[1]LISTA ETIQUETAS'!O:AB,14,0)="","",(VLOOKUP(A236,'[1]LISTA ETIQUETAS'!O:AB,14,0)))</f>
        <v/>
      </c>
      <c r="M236" s="8"/>
      <c r="N236" s="9">
        <f t="shared" si="10"/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 t="shared" si="11"/>
        <v>1</v>
      </c>
      <c r="U236" s="10" t="s">
        <v>627</v>
      </c>
    </row>
    <row r="237" spans="1:2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 t="shared" si="9"/>
        <v>15680</v>
      </c>
      <c r="L237" s="7" t="str">
        <f>IF(VLOOKUP(A237,'[1]LISTA ETIQUETAS'!O:AB,14,0)="","",(VLOOKUP(A237,'[1]LISTA ETIQUETAS'!O:AB,14,0)))</f>
        <v/>
      </c>
      <c r="M237" s="8"/>
      <c r="N237" s="9">
        <f t="shared" si="10"/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 t="shared" si="11"/>
        <v>1</v>
      </c>
      <c r="U237" s="10" t="s">
        <v>627</v>
      </c>
    </row>
    <row r="238" spans="1:2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 t="shared" si="9"/>
        <v>0</v>
      </c>
      <c r="L238" s="7" t="str">
        <f>IF(VLOOKUP(A238,'[1]LISTA ETIQUETAS'!O:AB,14,0)="","",(VLOOKUP(A238,'[1]LISTA ETIQUETAS'!O:AB,14,0)))</f>
        <v/>
      </c>
      <c r="M238" s="8"/>
      <c r="N238" s="9">
        <f t="shared" si="10"/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 t="shared" si="11"/>
        <v>1</v>
      </c>
      <c r="U238" s="10" t="s">
        <v>627</v>
      </c>
    </row>
    <row r="239" spans="1:2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 t="shared" si="9"/>
        <v>21389.45</v>
      </c>
      <c r="L239" s="7" t="str">
        <f>IF(VLOOKUP(A239,'[1]LISTA ETIQUETAS'!O:AB,14,0)="","",(VLOOKUP(A239,'[1]LISTA ETIQUETAS'!O:AB,14,0)))</f>
        <v/>
      </c>
      <c r="M239" s="8"/>
      <c r="N239" s="9">
        <f t="shared" si="10"/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 t="shared" si="11"/>
        <v>2</v>
      </c>
      <c r="U239" s="10" t="s">
        <v>627</v>
      </c>
    </row>
    <row r="240" spans="1:2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 t="shared" si="9"/>
        <v>7526.4</v>
      </c>
      <c r="L240" s="7" t="str">
        <f>IF(VLOOKUP(A240,'[1]LISTA ETIQUETAS'!O:AB,14,0)="","",(VLOOKUP(A240,'[1]LISTA ETIQUETAS'!O:AB,14,0)))</f>
        <v/>
      </c>
      <c r="M240" s="8"/>
      <c r="N240" s="9">
        <f t="shared" si="10"/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 t="shared" si="11"/>
        <v>1</v>
      </c>
      <c r="U240" s="10" t="s">
        <v>627</v>
      </c>
    </row>
    <row r="241" spans="1:2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 t="shared" si="9"/>
        <v>0</v>
      </c>
      <c r="L241" s="7" t="str">
        <f>IF(VLOOKUP(A241,'[1]LISTA ETIQUETAS'!O:AB,14,0)="","",(VLOOKUP(A241,'[1]LISTA ETIQUETAS'!O:AB,14,0)))</f>
        <v/>
      </c>
      <c r="M241" s="8"/>
      <c r="N241" s="9">
        <f t="shared" si="10"/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 t="shared" si="11"/>
        <v>1</v>
      </c>
      <c r="U241" s="10" t="s">
        <v>627</v>
      </c>
    </row>
    <row r="242" spans="1:2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 t="shared" si="9"/>
        <v/>
      </c>
      <c r="L242" s="7" t="str">
        <f>IF(VLOOKUP(A242,'[1]LISTA ETIQUETAS'!O:AB,14,0)="","",(VLOOKUP(A242,'[1]LISTA ETIQUETAS'!O:AB,14,0)))</f>
        <v/>
      </c>
      <c r="M242" s="8"/>
      <c r="N242" s="9">
        <f t="shared" si="10"/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 t="shared" si="11"/>
        <v>1</v>
      </c>
      <c r="U242" s="10" t="s">
        <v>627</v>
      </c>
    </row>
    <row r="243" spans="1:2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 t="shared" si="9"/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 t="shared" si="10"/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 t="shared" si="11"/>
        <v>1</v>
      </c>
      <c r="U243" s="10" t="s">
        <v>627</v>
      </c>
    </row>
    <row r="244" spans="1:2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 t="shared" si="9"/>
        <v>0</v>
      </c>
      <c r="L244" s="7" t="str">
        <f>IF(VLOOKUP(A244,'[1]LISTA ETIQUETAS'!O:AB,14,0)="","",(VLOOKUP(A244,'[1]LISTA ETIQUETAS'!O:AB,14,0)))</f>
        <v/>
      </c>
      <c r="M244" s="8"/>
      <c r="N244" s="9">
        <f t="shared" si="10"/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 t="shared" si="11"/>
        <v>1</v>
      </c>
      <c r="U244" s="10" t="s">
        <v>627</v>
      </c>
    </row>
    <row r="245" spans="1:2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 t="shared" si="9"/>
        <v>16329.51</v>
      </c>
      <c r="L245" s="7" t="str">
        <f>IF(VLOOKUP(A245,'[1]LISTA ETIQUETAS'!O:AB,14,0)="","",(VLOOKUP(A245,'[1]LISTA ETIQUETAS'!O:AB,14,0)))</f>
        <v/>
      </c>
      <c r="M245" s="8"/>
      <c r="N245" s="9">
        <f t="shared" si="10"/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 t="shared" si="11"/>
        <v>1</v>
      </c>
      <c r="U245" s="10" t="s">
        <v>627</v>
      </c>
    </row>
    <row r="246" spans="1:2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 t="shared" si="9"/>
        <v>14950.88</v>
      </c>
      <c r="L246" s="7" t="str">
        <f>IF(VLOOKUP(A246,'[1]LISTA ETIQUETAS'!O:AB,14,0)="","",(VLOOKUP(A246,'[1]LISTA ETIQUETAS'!O:AB,14,0)))</f>
        <v/>
      </c>
      <c r="M246" s="8"/>
      <c r="N246" s="9">
        <f t="shared" si="10"/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 t="shared" si="11"/>
        <v>1</v>
      </c>
      <c r="U246" s="10" t="s">
        <v>627</v>
      </c>
    </row>
    <row r="247" spans="1:2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 t="shared" si="9"/>
        <v>15464.74</v>
      </c>
      <c r="L247" s="7" t="str">
        <f>IF(VLOOKUP(A247,'[1]LISTA ETIQUETAS'!O:AB,14,0)="","",(VLOOKUP(A247,'[1]LISTA ETIQUETAS'!O:AB,14,0)))</f>
        <v/>
      </c>
      <c r="M247" s="8"/>
      <c r="N247" s="9">
        <f t="shared" si="10"/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 t="shared" si="11"/>
        <v>1</v>
      </c>
      <c r="U247" s="10" t="s">
        <v>627</v>
      </c>
    </row>
    <row r="248" spans="1:2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 t="shared" si="9"/>
        <v>13869.32</v>
      </c>
      <c r="L248" s="7" t="str">
        <f>IF(VLOOKUP(A248,'[1]LISTA ETIQUETAS'!O:AB,14,0)="","",(VLOOKUP(A248,'[1]LISTA ETIQUETAS'!O:AB,14,0)))</f>
        <v/>
      </c>
      <c r="M248" s="8"/>
      <c r="N248" s="9">
        <f t="shared" si="10"/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 t="shared" si="11"/>
        <v>1</v>
      </c>
      <c r="U248" s="10" t="s">
        <v>627</v>
      </c>
    </row>
    <row r="249" spans="1:2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 t="shared" si="9"/>
        <v>30533.4</v>
      </c>
      <c r="L249" s="7" t="str">
        <f>IF(VLOOKUP(A249,'[1]LISTA ETIQUETAS'!O:AB,14,0)="","",(VLOOKUP(A249,'[1]LISTA ETIQUETAS'!O:AB,14,0)))</f>
        <v/>
      </c>
      <c r="M249" s="8"/>
      <c r="N249" s="9">
        <f t="shared" si="10"/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 t="shared" si="11"/>
        <v>1</v>
      </c>
      <c r="U249" s="10" t="s">
        <v>627</v>
      </c>
    </row>
    <row r="250" spans="1:2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si="9"/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si="10"/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si="11"/>
        <v>2</v>
      </c>
      <c r="U250" s="10" t="s">
        <v>627</v>
      </c>
    </row>
    <row r="251" spans="1:2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9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10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11"/>
        <v>3</v>
      </c>
      <c r="U251" s="10" t="s">
        <v>627</v>
      </c>
    </row>
    <row r="252" spans="1:2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9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10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11"/>
        <v>4</v>
      </c>
      <c r="U252" s="10" t="s">
        <v>627</v>
      </c>
    </row>
    <row r="253" spans="1:2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9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10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11"/>
        <v>3</v>
      </c>
      <c r="U253" s="10" t="s">
        <v>627</v>
      </c>
    </row>
    <row r="254" spans="1:2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9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10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11"/>
        <v>1</v>
      </c>
      <c r="U254" s="10" t="s">
        <v>627</v>
      </c>
    </row>
    <row r="255" spans="1:2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9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10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11"/>
        <v>2</v>
      </c>
      <c r="U255" s="10" t="s">
        <v>627</v>
      </c>
    </row>
    <row r="256" spans="1:2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9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10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11"/>
        <v>1</v>
      </c>
      <c r="U256" s="10" t="s">
        <v>627</v>
      </c>
    </row>
    <row r="257" spans="1:2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9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10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11"/>
        <v>1</v>
      </c>
      <c r="U257" s="10" t="s">
        <v>627</v>
      </c>
    </row>
    <row r="258" spans="1:2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9"/>
        <v/>
      </c>
      <c r="L258" s="7" t="str">
        <f>IF(VLOOKUP(A258,'[1]LISTA ETIQUETAS'!O:AB,14,0)="","",(VLOOKUP(A258,'[1]LISTA ETIQUETAS'!O:AB,14,0)))</f>
        <v/>
      </c>
      <c r="M258" s="8"/>
      <c r="N258" s="9">
        <f t="shared" si="10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11"/>
        <v>1</v>
      </c>
      <c r="U258" s="10" t="s">
        <v>627</v>
      </c>
    </row>
    <row r="259" spans="1:2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12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10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11"/>
        <v>1</v>
      </c>
      <c r="U259" s="10" t="s">
        <v>627</v>
      </c>
    </row>
    <row r="260" spans="1:21" x14ac:dyDescent="0.25">
      <c r="A260" s="5">
        <v>270795</v>
      </c>
      <c r="B260" t="str">
        <f>IFERROR((VLOOKUP(A260,'[1]LISTA ETIQUETAS'!O:X,3,0)),"PRODUTO SEM ESTOQUE")</f>
        <v>EST BANCO DALI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12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13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14">SUM(O260:S260)</f>
        <v>1</v>
      </c>
      <c r="U260" s="10" t="s">
        <v>627</v>
      </c>
    </row>
    <row r="261" spans="1:21" x14ac:dyDescent="0.25">
      <c r="A261" s="5">
        <v>319905</v>
      </c>
      <c r="B261" t="str">
        <f>IFERROR((VLOOKUP(A261,'[1]LISTA ETIQUETAS'!O:X,3,0)),"PRODUTO SEM ESTOQUE")</f>
        <v>EST BANCO DALI FX D4163 PES ALUMINIO POLIDO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12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13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14"/>
        <v>1</v>
      </c>
      <c r="U261" s="10" t="s">
        <v>627</v>
      </c>
    </row>
    <row r="262" spans="1:2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12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13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14"/>
        <v>1</v>
      </c>
      <c r="U262" s="10" t="s">
        <v>627</v>
      </c>
    </row>
    <row r="263" spans="1:2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12"/>
        <v/>
      </c>
      <c r="L263" s="7" t="str">
        <f>IF(VLOOKUP(A263,'[1]LISTA ETIQUETAS'!O:AB,14,0)="","",(VLOOKUP(A263,'[1]LISTA ETIQUETAS'!O:AB,14,0)))</f>
        <v/>
      </c>
      <c r="M263" s="8"/>
      <c r="N263" s="9">
        <f t="shared" si="13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14"/>
        <v>1</v>
      </c>
      <c r="U263" s="10" t="s">
        <v>627</v>
      </c>
    </row>
    <row r="264" spans="1:2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12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13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14"/>
        <v>1</v>
      </c>
      <c r="U264" s="10" t="s">
        <v>627</v>
      </c>
    </row>
    <row r="265" spans="1:2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12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13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14"/>
        <v>2</v>
      </c>
      <c r="U265" s="10" t="s">
        <v>627</v>
      </c>
    </row>
    <row r="266" spans="1:2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12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13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14"/>
        <v>1</v>
      </c>
      <c r="U266" s="10" t="s">
        <v>627</v>
      </c>
    </row>
    <row r="267" spans="1:2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12"/>
        <v/>
      </c>
      <c r="L267" s="7" t="str">
        <f>IF(VLOOKUP(A267,'[1]LISTA ETIQUETAS'!O:AB,14,0)="","",(VLOOKUP(A267,'[1]LISTA ETIQUETAS'!O:AB,14,0)))</f>
        <v/>
      </c>
      <c r="M267" s="8"/>
      <c r="N267" s="9">
        <f t="shared" si="13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14"/>
        <v>1</v>
      </c>
      <c r="U267" s="10" t="s">
        <v>627</v>
      </c>
    </row>
    <row r="268" spans="1:2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12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13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14"/>
        <v>2</v>
      </c>
      <c r="U268" s="10" t="s">
        <v>627</v>
      </c>
    </row>
    <row r="269" spans="1:2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12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13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14"/>
        <v>2</v>
      </c>
      <c r="U269" s="10" t="s">
        <v>627</v>
      </c>
    </row>
    <row r="270" spans="1:2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12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13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14"/>
        <v>1</v>
      </c>
      <c r="U270" s="10" t="s">
        <v>627</v>
      </c>
    </row>
    <row r="271" spans="1:2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12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13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14"/>
        <v>2</v>
      </c>
      <c r="U271" s="10" t="s">
        <v>627</v>
      </c>
    </row>
    <row r="272" spans="1:2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12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13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14"/>
        <v>1</v>
      </c>
      <c r="U272" s="10" t="s">
        <v>627</v>
      </c>
    </row>
    <row r="273" spans="1:2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12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13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14"/>
        <v>2</v>
      </c>
      <c r="U273" s="10" t="s">
        <v>627</v>
      </c>
    </row>
    <row r="274" spans="1:2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12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13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14"/>
        <v>2</v>
      </c>
      <c r="U274" s="10" t="s">
        <v>627</v>
      </c>
    </row>
    <row r="275" spans="1:2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12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13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14"/>
        <v>1</v>
      </c>
      <c r="U275" s="10" t="s">
        <v>627</v>
      </c>
    </row>
    <row r="276" spans="1:2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12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13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14"/>
        <v>7</v>
      </c>
      <c r="U276" s="10" t="s">
        <v>627</v>
      </c>
    </row>
    <row r="277" spans="1:2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12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13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14"/>
        <v>2</v>
      </c>
      <c r="U277" s="10" t="s">
        <v>627</v>
      </c>
    </row>
    <row r="278" spans="1:2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12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13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14"/>
        <v>1</v>
      </c>
      <c r="U278" s="10" t="s">
        <v>627</v>
      </c>
    </row>
    <row r="279" spans="1:2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12"/>
        <v/>
      </c>
      <c r="L279" s="7" t="str">
        <f>IF(VLOOKUP(A279,'[1]LISTA ETIQUETAS'!O:AB,14,0)="","",(VLOOKUP(A279,'[1]LISTA ETIQUETAS'!O:AB,14,0)))</f>
        <v/>
      </c>
      <c r="M279" s="8"/>
      <c r="N279" s="9">
        <f t="shared" si="13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14"/>
        <v>2</v>
      </c>
      <c r="U279" s="10" t="s">
        <v>627</v>
      </c>
    </row>
    <row r="280" spans="1:2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12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13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14"/>
        <v>1</v>
      </c>
      <c r="U280" s="10" t="s">
        <v>627</v>
      </c>
    </row>
    <row r="281" spans="1:2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12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13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14"/>
        <v>1</v>
      </c>
      <c r="U281" s="10" t="s">
        <v>627</v>
      </c>
    </row>
    <row r="282" spans="1:2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12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13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14"/>
        <v>2</v>
      </c>
      <c r="U282" s="10" t="s">
        <v>627</v>
      </c>
    </row>
    <row r="283" spans="1:2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12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13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14"/>
        <v>2</v>
      </c>
      <c r="U283" s="10" t="s">
        <v>627</v>
      </c>
    </row>
    <row r="284" spans="1:2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12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13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14"/>
        <v>1</v>
      </c>
      <c r="U284" s="10" t="s">
        <v>627</v>
      </c>
    </row>
    <row r="285" spans="1:2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12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13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14"/>
        <v>2</v>
      </c>
      <c r="U285" s="10" t="s">
        <v>627</v>
      </c>
    </row>
    <row r="286" spans="1:2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12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13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14"/>
        <v>2</v>
      </c>
      <c r="U286" s="10" t="s">
        <v>627</v>
      </c>
    </row>
    <row r="287" spans="1:2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12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13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14"/>
        <v>1</v>
      </c>
      <c r="U287" s="10" t="s">
        <v>627</v>
      </c>
    </row>
    <row r="288" spans="1:2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12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13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14"/>
        <v>1</v>
      </c>
      <c r="U288" s="10" t="s">
        <v>627</v>
      </c>
    </row>
    <row r="289" spans="1:2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12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13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14"/>
        <v>1</v>
      </c>
      <c r="U289" s="10" t="s">
        <v>627</v>
      </c>
    </row>
    <row r="290" spans="1:2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12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13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14"/>
        <v>1</v>
      </c>
      <c r="U290" s="10" t="s">
        <v>627</v>
      </c>
    </row>
    <row r="291" spans="1:2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12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13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14"/>
        <v>1</v>
      </c>
      <c r="U291" s="10" t="s">
        <v>627</v>
      </c>
    </row>
    <row r="292" spans="1:2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12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13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14"/>
        <v>1</v>
      </c>
      <c r="U292" s="10" t="s">
        <v>627</v>
      </c>
    </row>
    <row r="293" spans="1:2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12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13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14"/>
        <v>1</v>
      </c>
      <c r="U293" s="10" t="s">
        <v>627</v>
      </c>
    </row>
    <row r="294" spans="1:2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12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13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14"/>
        <v>3</v>
      </c>
      <c r="U294" s="10" t="s">
        <v>627</v>
      </c>
    </row>
    <row r="295" spans="1:2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12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13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14"/>
        <v>2</v>
      </c>
      <c r="U295" s="10" t="s">
        <v>627</v>
      </c>
    </row>
    <row r="296" spans="1:2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12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13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14"/>
        <v>2</v>
      </c>
      <c r="U296" s="10" t="s">
        <v>627</v>
      </c>
    </row>
    <row r="297" spans="1:2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12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13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14"/>
        <v>2</v>
      </c>
      <c r="U297" s="10" t="s">
        <v>627</v>
      </c>
    </row>
    <row r="298" spans="1:2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12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13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14"/>
        <v>1</v>
      </c>
      <c r="U298" s="10" t="s">
        <v>627</v>
      </c>
    </row>
    <row r="299" spans="1:2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12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13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14"/>
        <v>1</v>
      </c>
      <c r="U299" s="10" t="s">
        <v>627</v>
      </c>
    </row>
    <row r="300" spans="1:2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12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13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14"/>
        <v>2</v>
      </c>
      <c r="U300" s="10" t="s">
        <v>627</v>
      </c>
    </row>
    <row r="301" spans="1:2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12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13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14"/>
        <v>1</v>
      </c>
      <c r="U301" s="10" t="s">
        <v>627</v>
      </c>
    </row>
    <row r="302" spans="1:2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12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13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14"/>
        <v>1</v>
      </c>
      <c r="U302" s="10" t="s">
        <v>627</v>
      </c>
    </row>
    <row r="303" spans="1:2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12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13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14"/>
        <v>1</v>
      </c>
      <c r="U303" s="10" t="s">
        <v>627</v>
      </c>
    </row>
    <row r="304" spans="1:2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12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13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14"/>
        <v>3</v>
      </c>
      <c r="U304" s="10" t="s">
        <v>627</v>
      </c>
    </row>
    <row r="305" spans="1:2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12"/>
        <v/>
      </c>
      <c r="L305" s="7" t="str">
        <f>IF(VLOOKUP(A305,'[1]LISTA ETIQUETAS'!O:AB,14,0)="","",(VLOOKUP(A305,'[1]LISTA ETIQUETAS'!O:AB,14,0)))</f>
        <v/>
      </c>
      <c r="M305" s="8"/>
      <c r="N305" s="9">
        <f t="shared" si="13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14"/>
        <v>1</v>
      </c>
      <c r="U305" s="10" t="s">
        <v>627</v>
      </c>
    </row>
    <row r="306" spans="1:2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12"/>
        <v/>
      </c>
      <c r="L306" s="7" t="str">
        <f>IF(VLOOKUP(A306,'[1]LISTA ETIQUETAS'!O:AB,14,0)="","",(VLOOKUP(A306,'[1]LISTA ETIQUETAS'!O:AB,14,0)))</f>
        <v/>
      </c>
      <c r="M306" s="8"/>
      <c r="N306" s="9">
        <f t="shared" si="13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14"/>
        <v>1</v>
      </c>
      <c r="U306" s="10" t="s">
        <v>627</v>
      </c>
    </row>
    <row r="307" spans="1:2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12"/>
        <v/>
      </c>
      <c r="L307" s="7" t="str">
        <f>IF(VLOOKUP(A307,'[1]LISTA ETIQUETAS'!O:AB,14,0)="","",(VLOOKUP(A307,'[1]LISTA ETIQUETAS'!O:AB,14,0)))</f>
        <v/>
      </c>
      <c r="M307" s="8"/>
      <c r="N307" s="9">
        <f t="shared" si="13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14"/>
        <v>1</v>
      </c>
      <c r="U307" s="10" t="s">
        <v>627</v>
      </c>
    </row>
    <row r="308" spans="1:2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12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13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14"/>
        <v>1</v>
      </c>
      <c r="U308" s="10" t="s">
        <v>627</v>
      </c>
    </row>
    <row r="309" spans="1:2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12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13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14"/>
        <v>1</v>
      </c>
      <c r="U309" s="10" t="s">
        <v>627</v>
      </c>
    </row>
    <row r="310" spans="1:2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12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13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14"/>
        <v>2</v>
      </c>
      <c r="U310" s="10" t="s">
        <v>627</v>
      </c>
    </row>
    <row r="311" spans="1:2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12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13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14"/>
        <v>1</v>
      </c>
      <c r="U311" s="10" t="s">
        <v>627</v>
      </c>
    </row>
    <row r="312" spans="1:2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12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13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14"/>
        <v>1</v>
      </c>
      <c r="U312" s="10" t="s">
        <v>627</v>
      </c>
    </row>
    <row r="313" spans="1:2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12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13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14"/>
        <v>1</v>
      </c>
      <c r="U313" s="10" t="s">
        <v>627</v>
      </c>
    </row>
    <row r="314" spans="1:2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12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13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14"/>
        <v>1</v>
      </c>
      <c r="U314" s="10" t="s">
        <v>627</v>
      </c>
    </row>
    <row r="315" spans="1:2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12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13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14"/>
        <v>2</v>
      </c>
      <c r="U315" s="10" t="s">
        <v>627</v>
      </c>
    </row>
    <row r="316" spans="1:2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12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13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14"/>
        <v>4</v>
      </c>
      <c r="U316" s="10" t="s">
        <v>627</v>
      </c>
    </row>
    <row r="317" spans="1:2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12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13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14"/>
        <v>4</v>
      </c>
      <c r="U317" s="10" t="s">
        <v>627</v>
      </c>
    </row>
    <row r="318" spans="1:2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12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13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14"/>
        <v>3</v>
      </c>
      <c r="U318" s="10" t="s">
        <v>627</v>
      </c>
    </row>
    <row r="319" spans="1:2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12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13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14"/>
        <v>1</v>
      </c>
      <c r="U319" s="10" t="s">
        <v>627</v>
      </c>
    </row>
    <row r="320" spans="1:2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12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13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14"/>
        <v>4</v>
      </c>
      <c r="U320" s="10" t="s">
        <v>627</v>
      </c>
    </row>
    <row r="321" spans="1:2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12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13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14"/>
        <v>3</v>
      </c>
      <c r="U321" s="10" t="s">
        <v>627</v>
      </c>
    </row>
    <row r="322" spans="1:2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12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13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14"/>
        <v>1</v>
      </c>
      <c r="U322" s="10" t="s">
        <v>627</v>
      </c>
    </row>
    <row r="323" spans="1:2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15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13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14"/>
        <v>1</v>
      </c>
      <c r="U323" s="10" t="s">
        <v>627</v>
      </c>
    </row>
    <row r="324" spans="1:2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15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6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7">SUM(O324:S324)</f>
        <v>1</v>
      </c>
      <c r="U324" s="10" t="s">
        <v>627</v>
      </c>
    </row>
    <row r="325" spans="1:2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15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6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7"/>
        <v>1</v>
      </c>
      <c r="U325" s="10" t="s">
        <v>627</v>
      </c>
    </row>
    <row r="326" spans="1:2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15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6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7"/>
        <v>1</v>
      </c>
      <c r="U326" s="10" t="s">
        <v>627</v>
      </c>
    </row>
    <row r="327" spans="1:2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15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6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7"/>
        <v>3</v>
      </c>
      <c r="U327" s="10" t="s">
        <v>627</v>
      </c>
    </row>
    <row r="328" spans="1:2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15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6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7"/>
        <v>1</v>
      </c>
      <c r="U328" s="10" t="s">
        <v>627</v>
      </c>
    </row>
    <row r="329" spans="1:2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15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6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7"/>
        <v>1</v>
      </c>
      <c r="U329" s="10" t="s">
        <v>627</v>
      </c>
    </row>
    <row r="330" spans="1:2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15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6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7"/>
        <v>1</v>
      </c>
      <c r="U330" s="10" t="s">
        <v>627</v>
      </c>
    </row>
    <row r="331" spans="1:2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15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6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7"/>
        <v>1</v>
      </c>
      <c r="U331" s="10" t="s">
        <v>627</v>
      </c>
    </row>
    <row r="332" spans="1:2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15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6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7"/>
        <v>1</v>
      </c>
      <c r="U332" s="10" t="s">
        <v>627</v>
      </c>
    </row>
    <row r="333" spans="1:2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15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6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7"/>
        <v>1</v>
      </c>
      <c r="U333" s="10" t="s">
        <v>627</v>
      </c>
    </row>
    <row r="334" spans="1:2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15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6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7"/>
        <v>2</v>
      </c>
      <c r="U334" s="10" t="s">
        <v>627</v>
      </c>
    </row>
    <row r="335" spans="1:2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15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6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7"/>
        <v>1</v>
      </c>
      <c r="U335" s="10" t="s">
        <v>627</v>
      </c>
    </row>
    <row r="336" spans="1:2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15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6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7"/>
        <v>1</v>
      </c>
      <c r="U336" s="10" t="s">
        <v>627</v>
      </c>
    </row>
    <row r="337" spans="1:2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15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6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7"/>
        <v>1</v>
      </c>
      <c r="U337" s="10" t="s">
        <v>627</v>
      </c>
    </row>
    <row r="338" spans="1:2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15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6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7"/>
        <v>1</v>
      </c>
      <c r="U338" s="10" t="s">
        <v>627</v>
      </c>
    </row>
    <row r="339" spans="1:2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15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6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7"/>
        <v>1</v>
      </c>
      <c r="U339" s="10" t="s">
        <v>627</v>
      </c>
    </row>
    <row r="340" spans="1:2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15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6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7"/>
        <v>1</v>
      </c>
      <c r="U340" s="10" t="s">
        <v>627</v>
      </c>
    </row>
    <row r="341" spans="1:2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15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6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7"/>
        <v>1</v>
      </c>
      <c r="U341" s="10" t="s">
        <v>627</v>
      </c>
    </row>
    <row r="342" spans="1:2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15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6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7"/>
        <v>1</v>
      </c>
      <c r="U342" s="10" t="s">
        <v>627</v>
      </c>
    </row>
    <row r="343" spans="1:2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15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6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7"/>
        <v>1</v>
      </c>
      <c r="U343" s="10" t="s">
        <v>627</v>
      </c>
    </row>
    <row r="344" spans="1:2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15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6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7"/>
        <v>1</v>
      </c>
      <c r="U344" s="10" t="s">
        <v>627</v>
      </c>
    </row>
    <row r="345" spans="1:2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15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6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7"/>
        <v>2</v>
      </c>
      <c r="U345" s="10" t="s">
        <v>627</v>
      </c>
    </row>
    <row r="346" spans="1:2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15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6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7"/>
        <v>1</v>
      </c>
      <c r="U346" s="10" t="s">
        <v>627</v>
      </c>
    </row>
    <row r="347" spans="1:2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15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6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7"/>
        <v>1</v>
      </c>
      <c r="U347" s="10" t="s">
        <v>627</v>
      </c>
    </row>
    <row r="348" spans="1:2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15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6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7"/>
        <v>1</v>
      </c>
      <c r="U348" s="10" t="s">
        <v>627</v>
      </c>
    </row>
    <row r="349" spans="1:2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15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6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7"/>
        <v>1</v>
      </c>
      <c r="U349" s="10" t="s">
        <v>627</v>
      </c>
    </row>
    <row r="350" spans="1:2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15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6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7"/>
        <v>3</v>
      </c>
      <c r="U350" s="10" t="s">
        <v>627</v>
      </c>
    </row>
    <row r="351" spans="1:2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15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6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7"/>
        <v>1</v>
      </c>
      <c r="U351" s="10" t="s">
        <v>627</v>
      </c>
    </row>
    <row r="352" spans="1:2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15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6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7"/>
        <v>1</v>
      </c>
      <c r="U352" s="10" t="s">
        <v>627</v>
      </c>
    </row>
    <row r="353" spans="1:2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15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6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7"/>
        <v>1</v>
      </c>
      <c r="U353" s="10" t="s">
        <v>627</v>
      </c>
    </row>
    <row r="354" spans="1:2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15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6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7"/>
        <v>2</v>
      </c>
      <c r="U354" s="10" t="s">
        <v>627</v>
      </c>
    </row>
    <row r="355" spans="1:2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15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6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7"/>
        <v>2</v>
      </c>
      <c r="U355" s="10" t="s">
        <v>627</v>
      </c>
    </row>
    <row r="356" spans="1:2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15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6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7"/>
        <v>1</v>
      </c>
      <c r="U356" s="10" t="s">
        <v>627</v>
      </c>
    </row>
    <row r="357" spans="1:2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15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6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7"/>
        <v>1</v>
      </c>
      <c r="U357" s="10" t="s">
        <v>627</v>
      </c>
    </row>
    <row r="358" spans="1:2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15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6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7"/>
        <v>1</v>
      </c>
      <c r="U358" s="10" t="s">
        <v>627</v>
      </c>
    </row>
    <row r="359" spans="1:2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15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6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7"/>
        <v>1</v>
      </c>
      <c r="U359" s="10" t="s">
        <v>627</v>
      </c>
    </row>
    <row r="360" spans="1:2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15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6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7"/>
        <v>2</v>
      </c>
      <c r="U360" s="10" t="s">
        <v>627</v>
      </c>
    </row>
    <row r="361" spans="1:2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15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6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7"/>
        <v>1</v>
      </c>
      <c r="U361" s="10" t="s">
        <v>627</v>
      </c>
    </row>
    <row r="362" spans="1:2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15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6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7"/>
        <v>1</v>
      </c>
      <c r="U362" s="10" t="s">
        <v>627</v>
      </c>
    </row>
    <row r="363" spans="1:2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15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6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7"/>
        <v>2</v>
      </c>
      <c r="U363" s="10" t="s">
        <v>627</v>
      </c>
    </row>
    <row r="364" spans="1:2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15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6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1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3</v>
      </c>
      <c r="T364" s="9">
        <f t="shared" si="17"/>
        <v>4</v>
      </c>
      <c r="U364" s="10" t="s">
        <v>627</v>
      </c>
    </row>
    <row r="365" spans="1:2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15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6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7"/>
        <v>8</v>
      </c>
      <c r="U365" s="10" t="s">
        <v>627</v>
      </c>
    </row>
    <row r="366" spans="1:2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15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6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7"/>
        <v>2</v>
      </c>
      <c r="U366" s="10" t="s">
        <v>627</v>
      </c>
    </row>
    <row r="367" spans="1:2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15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6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7"/>
        <v>5</v>
      </c>
      <c r="U367" s="10" t="s">
        <v>627</v>
      </c>
    </row>
    <row r="368" spans="1:2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15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6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7"/>
        <v>16</v>
      </c>
      <c r="U368" s="10" t="s">
        <v>627</v>
      </c>
    </row>
    <row r="369" spans="1:2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15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6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7"/>
        <v>2</v>
      </c>
      <c r="U369" s="10" t="s">
        <v>627</v>
      </c>
    </row>
    <row r="370" spans="1:2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15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6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7"/>
        <v>1</v>
      </c>
      <c r="U370" s="10" t="s">
        <v>627</v>
      </c>
    </row>
    <row r="371" spans="1:2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15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6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7"/>
        <v>6</v>
      </c>
      <c r="U371" s="10" t="s">
        <v>627</v>
      </c>
    </row>
    <row r="372" spans="1:2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15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6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7"/>
        <v>6</v>
      </c>
      <c r="U372" s="10" t="s">
        <v>627</v>
      </c>
    </row>
    <row r="373" spans="1:2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15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6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7"/>
        <v>1</v>
      </c>
      <c r="U373" s="10" t="s">
        <v>627</v>
      </c>
    </row>
    <row r="374" spans="1:2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15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6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7"/>
        <v>8</v>
      </c>
      <c r="U374" s="10" t="s">
        <v>627</v>
      </c>
    </row>
    <row r="375" spans="1:2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10102.205</v>
      </c>
      <c r="J375" s="6">
        <v>0</v>
      </c>
      <c r="K375" s="12">
        <f t="shared" si="15"/>
        <v>10102.205</v>
      </c>
      <c r="L375" s="7" t="str">
        <f>IF(VLOOKUP(A375,'[1]LISTA ETIQUETAS'!O:AB,14,0)="","",(VLOOKUP(A375,'[1]LISTA ETIQUETAS'!O:AB,14,0)))</f>
        <v/>
      </c>
      <c r="M375" s="8"/>
      <c r="N375" s="9">
        <f t="shared" si="16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7"/>
        <v>6</v>
      </c>
      <c r="U375" s="10" t="s">
        <v>627</v>
      </c>
    </row>
    <row r="376" spans="1:2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15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6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7"/>
        <v>8</v>
      </c>
      <c r="U376" s="10" t="s">
        <v>627</v>
      </c>
    </row>
    <row r="377" spans="1:2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15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6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5</v>
      </c>
      <c r="T377" s="9">
        <f t="shared" si="17"/>
        <v>5</v>
      </c>
      <c r="U377" s="10" t="s">
        <v>627</v>
      </c>
    </row>
    <row r="378" spans="1:2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15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6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7"/>
        <v>2</v>
      </c>
      <c r="U378" s="10" t="s">
        <v>627</v>
      </c>
    </row>
    <row r="379" spans="1:2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15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6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7"/>
        <v>6</v>
      </c>
      <c r="U379" s="10" t="s">
        <v>627</v>
      </c>
    </row>
    <row r="380" spans="1:2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15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6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7"/>
        <v>2</v>
      </c>
      <c r="U380" s="10" t="s">
        <v>627</v>
      </c>
    </row>
    <row r="381" spans="1:2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15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6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7"/>
        <v>6</v>
      </c>
      <c r="U381" s="10" t="s">
        <v>627</v>
      </c>
    </row>
    <row r="382" spans="1:2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15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6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1</v>
      </c>
      <c r="T382" s="9">
        <f t="shared" si="17"/>
        <v>1</v>
      </c>
      <c r="U382" s="10" t="s">
        <v>627</v>
      </c>
    </row>
    <row r="383" spans="1:2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15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6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7"/>
        <v>2</v>
      </c>
      <c r="U383" s="10" t="s">
        <v>627</v>
      </c>
    </row>
    <row r="384" spans="1:2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15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6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7"/>
        <v>10</v>
      </c>
      <c r="U384" s="10" t="s">
        <v>627</v>
      </c>
    </row>
    <row r="385" spans="1:2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15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6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7"/>
        <v>10</v>
      </c>
      <c r="U385" s="10" t="s">
        <v>627</v>
      </c>
    </row>
    <row r="386" spans="1:2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15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6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1</v>
      </c>
      <c r="T386" s="9">
        <f t="shared" si="17"/>
        <v>1</v>
      </c>
      <c r="U386" s="10" t="s">
        <v>627</v>
      </c>
    </row>
    <row r="387" spans="1:2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8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6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5</v>
      </c>
      <c r="T387" s="9">
        <f t="shared" si="17"/>
        <v>5</v>
      </c>
      <c r="U387" s="10" t="s">
        <v>627</v>
      </c>
    </row>
    <row r="388" spans="1:2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8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9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20">SUM(O388:S388)</f>
        <v>10</v>
      </c>
      <c r="U388" s="10" t="s">
        <v>627</v>
      </c>
    </row>
    <row r="389" spans="1:2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8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9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20"/>
        <v>3</v>
      </c>
      <c r="U389" s="10" t="s">
        <v>627</v>
      </c>
    </row>
    <row r="390" spans="1:2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8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9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20"/>
        <v>10</v>
      </c>
      <c r="U390" s="10" t="s">
        <v>627</v>
      </c>
    </row>
    <row r="391" spans="1:2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8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9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20"/>
        <v>5</v>
      </c>
      <c r="U391" s="10" t="s">
        <v>627</v>
      </c>
    </row>
    <row r="392" spans="1:2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8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9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20"/>
        <v>8</v>
      </c>
      <c r="U392" s="10" t="s">
        <v>627</v>
      </c>
    </row>
    <row r="393" spans="1:2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8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9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20"/>
        <v>10</v>
      </c>
      <c r="U393" s="10" t="s">
        <v>627</v>
      </c>
    </row>
    <row r="394" spans="1:2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8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9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20"/>
        <v>8</v>
      </c>
      <c r="U394" s="10" t="s">
        <v>627</v>
      </c>
    </row>
    <row r="395" spans="1:2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8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9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20"/>
        <v>8</v>
      </c>
      <c r="U395" s="10" t="s">
        <v>627</v>
      </c>
    </row>
    <row r="396" spans="1:2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8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9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20"/>
        <v>6</v>
      </c>
      <c r="U396" s="10" t="s">
        <v>627</v>
      </c>
    </row>
    <row r="397" spans="1:2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8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9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20"/>
        <v>6</v>
      </c>
      <c r="U397" s="10" t="s">
        <v>627</v>
      </c>
    </row>
    <row r="398" spans="1:2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8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9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20"/>
        <v>8</v>
      </c>
      <c r="U398" s="10" t="s">
        <v>627</v>
      </c>
    </row>
    <row r="399" spans="1:2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8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9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20"/>
        <v>2</v>
      </c>
      <c r="U399" s="10" t="s">
        <v>627</v>
      </c>
    </row>
    <row r="400" spans="1:2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8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9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20"/>
        <v>8</v>
      </c>
      <c r="U400" s="10" t="s">
        <v>627</v>
      </c>
    </row>
    <row r="401" spans="1:2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8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9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20"/>
        <v>8</v>
      </c>
      <c r="U401" s="10" t="s">
        <v>627</v>
      </c>
    </row>
    <row r="402" spans="1:2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8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9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20"/>
        <v>8</v>
      </c>
      <c r="U402" s="10" t="s">
        <v>627</v>
      </c>
    </row>
    <row r="403" spans="1:2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8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9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20"/>
        <v>2</v>
      </c>
      <c r="U403" s="10" t="s">
        <v>627</v>
      </c>
    </row>
    <row r="404" spans="1:2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8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9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20"/>
        <v>2</v>
      </c>
      <c r="U404" s="10" t="s">
        <v>627</v>
      </c>
    </row>
    <row r="405" spans="1:2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8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9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20"/>
        <v>8</v>
      </c>
      <c r="U405" s="10" t="s">
        <v>627</v>
      </c>
    </row>
    <row r="406" spans="1:2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8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9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20"/>
        <v>8</v>
      </c>
      <c r="U406" s="10" t="s">
        <v>627</v>
      </c>
    </row>
    <row r="407" spans="1:2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8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9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20"/>
        <v>8</v>
      </c>
      <c r="U407" s="10" t="s">
        <v>627</v>
      </c>
    </row>
    <row r="408" spans="1:2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8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9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20"/>
        <v>8</v>
      </c>
      <c r="U408" s="10" t="s">
        <v>627</v>
      </c>
    </row>
    <row r="409" spans="1:2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8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9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20"/>
        <v>1</v>
      </c>
      <c r="U409" s="10" t="s">
        <v>627</v>
      </c>
    </row>
    <row r="410" spans="1:2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8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9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20"/>
        <v>2</v>
      </c>
      <c r="U410" s="10" t="s">
        <v>627</v>
      </c>
    </row>
    <row r="411" spans="1:2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8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9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20"/>
        <v>2</v>
      </c>
      <c r="U411" s="10" t="s">
        <v>627</v>
      </c>
    </row>
    <row r="412" spans="1:2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8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9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20"/>
        <v>8</v>
      </c>
      <c r="U412" s="10" t="s">
        <v>627</v>
      </c>
    </row>
    <row r="413" spans="1:2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8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9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20"/>
        <v>2</v>
      </c>
      <c r="U413" s="10" t="s">
        <v>627</v>
      </c>
    </row>
    <row r="414" spans="1:2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8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9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20"/>
        <v>8</v>
      </c>
      <c r="U414" s="10" t="s">
        <v>627</v>
      </c>
    </row>
    <row r="415" spans="1:2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8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9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20"/>
        <v>4</v>
      </c>
      <c r="U415" s="10" t="s">
        <v>627</v>
      </c>
    </row>
    <row r="416" spans="1:2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8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9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20"/>
        <v>10</v>
      </c>
      <c r="U416" s="10" t="s">
        <v>627</v>
      </c>
    </row>
    <row r="417" spans="1:2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8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9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20"/>
        <v>2</v>
      </c>
      <c r="U417" s="10" t="s">
        <v>627</v>
      </c>
    </row>
    <row r="418" spans="1:2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8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9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20"/>
        <v>7</v>
      </c>
      <c r="U418" s="10" t="s">
        <v>627</v>
      </c>
    </row>
    <row r="419" spans="1:2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8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9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20"/>
        <v>1</v>
      </c>
      <c r="U419" s="10" t="s">
        <v>627</v>
      </c>
    </row>
    <row r="420" spans="1:2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8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9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20"/>
        <v>1</v>
      </c>
      <c r="U420" s="10" t="s">
        <v>627</v>
      </c>
    </row>
    <row r="421" spans="1:2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8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9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20"/>
        <v>1</v>
      </c>
      <c r="U421" s="10" t="s">
        <v>627</v>
      </c>
    </row>
    <row r="422" spans="1:2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8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9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20"/>
        <v>1</v>
      </c>
      <c r="U422" s="10" t="s">
        <v>627</v>
      </c>
    </row>
    <row r="423" spans="1:2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8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9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20"/>
        <v>1</v>
      </c>
      <c r="U423" s="10" t="s">
        <v>627</v>
      </c>
    </row>
    <row r="424" spans="1:2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8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9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20"/>
        <v>1</v>
      </c>
      <c r="U424" s="10" t="s">
        <v>627</v>
      </c>
    </row>
    <row r="425" spans="1:2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8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9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20"/>
        <v>1</v>
      </c>
      <c r="U425" s="10" t="s">
        <v>627</v>
      </c>
    </row>
    <row r="426" spans="1:2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8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9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20"/>
        <v>1</v>
      </c>
      <c r="U426" s="10" t="s">
        <v>627</v>
      </c>
    </row>
    <row r="427" spans="1:2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8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9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20"/>
        <v>1</v>
      </c>
      <c r="U427" s="10" t="s">
        <v>627</v>
      </c>
    </row>
    <row r="428" spans="1:2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8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9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20"/>
        <v>1</v>
      </c>
      <c r="U428" s="10" t="s">
        <v>627</v>
      </c>
    </row>
    <row r="429" spans="1:2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8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9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20"/>
        <v>2</v>
      </c>
      <c r="U429" s="10" t="s">
        <v>627</v>
      </c>
    </row>
    <row r="430" spans="1:2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8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9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20"/>
        <v>1</v>
      </c>
      <c r="U430" s="10" t="s">
        <v>627</v>
      </c>
    </row>
    <row r="431" spans="1:2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8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9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20"/>
        <v>3</v>
      </c>
      <c r="U431" s="10" t="s">
        <v>627</v>
      </c>
    </row>
    <row r="432" spans="1:2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8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9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20"/>
        <v>3</v>
      </c>
      <c r="U432" s="10" t="s">
        <v>627</v>
      </c>
    </row>
    <row r="433" spans="1:2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8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9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20"/>
        <v>4</v>
      </c>
      <c r="U433" s="10" t="s">
        <v>627</v>
      </c>
    </row>
    <row r="434" spans="1:2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8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9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20"/>
        <v>1</v>
      </c>
      <c r="U434" s="10" t="s">
        <v>627</v>
      </c>
    </row>
    <row r="435" spans="1:2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8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9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20"/>
        <v>1</v>
      </c>
      <c r="U435" s="10" t="s">
        <v>627</v>
      </c>
    </row>
    <row r="436" spans="1:2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8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9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20"/>
        <v>2</v>
      </c>
      <c r="U436" s="10" t="s">
        <v>627</v>
      </c>
    </row>
    <row r="437" spans="1:2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8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9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20"/>
        <v>1</v>
      </c>
      <c r="U437" s="10" t="s">
        <v>627</v>
      </c>
    </row>
    <row r="438" spans="1:2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8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9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20"/>
        <v>3</v>
      </c>
      <c r="U438" s="10" t="s">
        <v>627</v>
      </c>
    </row>
    <row r="439" spans="1:2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8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9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20"/>
        <v>2</v>
      </c>
      <c r="U439" s="10" t="s">
        <v>627</v>
      </c>
    </row>
    <row r="440" spans="1:2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8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9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20"/>
        <v>2</v>
      </c>
      <c r="U440" s="10" t="s">
        <v>627</v>
      </c>
    </row>
    <row r="441" spans="1:2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8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9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20"/>
        <v>4</v>
      </c>
      <c r="U441" s="10" t="s">
        <v>627</v>
      </c>
    </row>
    <row r="442" spans="1:2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8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9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20"/>
        <v>4</v>
      </c>
      <c r="U442" s="10" t="s">
        <v>627</v>
      </c>
    </row>
    <row r="443" spans="1:2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8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9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20"/>
        <v>3</v>
      </c>
      <c r="U443" s="10" t="s">
        <v>627</v>
      </c>
    </row>
    <row r="444" spans="1:2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8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9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20"/>
        <v>2</v>
      </c>
      <c r="U444" s="10" t="s">
        <v>627</v>
      </c>
    </row>
    <row r="445" spans="1:2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8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9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20"/>
        <v>4</v>
      </c>
      <c r="U445" s="10" t="s">
        <v>627</v>
      </c>
    </row>
    <row r="446" spans="1:2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8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9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20"/>
        <v>2</v>
      </c>
      <c r="U446" s="10" t="s">
        <v>627</v>
      </c>
    </row>
    <row r="447" spans="1:2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8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9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20"/>
        <v>1</v>
      </c>
      <c r="U447" s="10" t="s">
        <v>627</v>
      </c>
    </row>
    <row r="448" spans="1:2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8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9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20"/>
        <v>4</v>
      </c>
      <c r="U448" s="10" t="s">
        <v>627</v>
      </c>
    </row>
    <row r="449" spans="1:2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8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9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20"/>
        <v>2</v>
      </c>
      <c r="U449" s="10" t="s">
        <v>627</v>
      </c>
    </row>
    <row r="450" spans="1:2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8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9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20"/>
        <v>2</v>
      </c>
      <c r="U450" s="10" t="s">
        <v>627</v>
      </c>
    </row>
    <row r="451" spans="1:2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21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9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20"/>
        <v>2</v>
      </c>
      <c r="U451" s="10" t="s">
        <v>627</v>
      </c>
    </row>
    <row r="452" spans="1:2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21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22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23">SUM(O452:S452)</f>
        <v>4</v>
      </c>
      <c r="U452" s="10" t="s">
        <v>627</v>
      </c>
    </row>
    <row r="453" spans="1:2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21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22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23"/>
        <v>2</v>
      </c>
      <c r="U453" s="10" t="s">
        <v>627</v>
      </c>
    </row>
    <row r="454" spans="1:2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21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22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23"/>
        <v>1</v>
      </c>
      <c r="U454" s="10" t="s">
        <v>627</v>
      </c>
    </row>
    <row r="455" spans="1:2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21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22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23"/>
        <v>2</v>
      </c>
      <c r="U455" s="10" t="s">
        <v>627</v>
      </c>
    </row>
    <row r="456" spans="1:2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21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22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23"/>
        <v>4</v>
      </c>
      <c r="U456" s="10" t="s">
        <v>627</v>
      </c>
    </row>
    <row r="457" spans="1:2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21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22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23"/>
        <v>1</v>
      </c>
      <c r="U457" s="10" t="s">
        <v>627</v>
      </c>
    </row>
    <row r="458" spans="1:2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21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22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23"/>
        <v>1</v>
      </c>
      <c r="U458" s="10" t="s">
        <v>627</v>
      </c>
    </row>
    <row r="459" spans="1:2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21"/>
        <v/>
      </c>
      <c r="L459" s="7" t="str">
        <f>IF(VLOOKUP(A459,'[1]LISTA ETIQUETAS'!O:AB,14,0)="","",(VLOOKUP(A459,'[1]LISTA ETIQUETAS'!O:AB,14,0)))</f>
        <v/>
      </c>
      <c r="M459" s="8"/>
      <c r="N459" s="9">
        <f t="shared" si="22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23"/>
        <v>1</v>
      </c>
      <c r="U459" s="10" t="s">
        <v>627</v>
      </c>
    </row>
    <row r="460" spans="1:2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21"/>
        <v/>
      </c>
      <c r="L460" s="7" t="str">
        <f>IF(VLOOKUP(A460,'[1]LISTA ETIQUETAS'!O:AB,14,0)="","",(VLOOKUP(A460,'[1]LISTA ETIQUETAS'!O:AB,14,0)))</f>
        <v/>
      </c>
      <c r="M460" s="8"/>
      <c r="N460" s="9">
        <f t="shared" si="22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23"/>
        <v>1</v>
      </c>
      <c r="U460" s="10" t="s">
        <v>627</v>
      </c>
    </row>
    <row r="461" spans="1:2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21"/>
        <v/>
      </c>
      <c r="L461" s="7" t="str">
        <f>IF(VLOOKUP(A461,'[1]LISTA ETIQUETAS'!O:AB,14,0)="","",(VLOOKUP(A461,'[1]LISTA ETIQUETAS'!O:AB,14,0)))</f>
        <v/>
      </c>
      <c r="M461" s="8"/>
      <c r="N461" s="9">
        <f t="shared" si="22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23"/>
        <v>1</v>
      </c>
      <c r="U461" s="10" t="s">
        <v>627</v>
      </c>
    </row>
    <row r="462" spans="1:2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21"/>
        <v/>
      </c>
      <c r="L462" s="7" t="str">
        <f>IF(VLOOKUP(A462,'[1]LISTA ETIQUETAS'!O:AB,14,0)="","",(VLOOKUP(A462,'[1]LISTA ETIQUETAS'!O:AB,14,0)))</f>
        <v/>
      </c>
      <c r="M462" s="8"/>
      <c r="N462" s="9">
        <f t="shared" si="22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23"/>
        <v>1</v>
      </c>
      <c r="U462" s="10" t="s">
        <v>627</v>
      </c>
    </row>
    <row r="463" spans="1:2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21"/>
        <v/>
      </c>
      <c r="L463" s="7" t="str">
        <f>IF(VLOOKUP(A463,'[1]LISTA ETIQUETAS'!O:AB,14,0)="","",(VLOOKUP(A463,'[1]LISTA ETIQUETAS'!O:AB,14,0)))</f>
        <v/>
      </c>
      <c r="M463" s="8"/>
      <c r="N463" s="9">
        <f t="shared" si="22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23"/>
        <v>1</v>
      </c>
      <c r="U463" s="10" t="s">
        <v>627</v>
      </c>
    </row>
    <row r="464" spans="1:2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21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22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23"/>
        <v>2</v>
      </c>
      <c r="U464" s="10" t="s">
        <v>627</v>
      </c>
    </row>
    <row r="465" spans="1:2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21"/>
        <v/>
      </c>
      <c r="L465" s="7" t="str">
        <f>IF(VLOOKUP(A465,'[1]LISTA ETIQUETAS'!O:AB,14,0)="","",(VLOOKUP(A465,'[1]LISTA ETIQUETAS'!O:AB,14,0)))</f>
        <v/>
      </c>
      <c r="M465" s="8"/>
      <c r="N465" s="9">
        <f t="shared" si="22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23"/>
        <v>1</v>
      </c>
      <c r="U465" s="10" t="s">
        <v>627</v>
      </c>
    </row>
    <row r="466" spans="1:2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21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22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23"/>
        <v>3</v>
      </c>
      <c r="U466" s="10" t="s">
        <v>627</v>
      </c>
    </row>
    <row r="467" spans="1:2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21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22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23"/>
        <v>2</v>
      </c>
      <c r="U467" s="10" t="s">
        <v>627</v>
      </c>
    </row>
    <row r="468" spans="1:2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21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22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23"/>
        <v>1</v>
      </c>
      <c r="U468" s="10" t="s">
        <v>627</v>
      </c>
    </row>
    <row r="469" spans="1:2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21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22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23"/>
        <v>2</v>
      </c>
      <c r="U469" s="10" t="s">
        <v>627</v>
      </c>
    </row>
    <row r="470" spans="1:2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21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22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23"/>
        <v>1</v>
      </c>
      <c r="U470" s="10" t="s">
        <v>627</v>
      </c>
    </row>
    <row r="471" spans="1:2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21"/>
        <v/>
      </c>
      <c r="L471" s="7" t="str">
        <f>IF(VLOOKUP(A471,'[1]LISTA ETIQUETAS'!O:AB,14,0)="","",(VLOOKUP(A471,'[1]LISTA ETIQUETAS'!O:AB,14,0)))</f>
        <v/>
      </c>
      <c r="M471" s="8"/>
      <c r="N471" s="9">
        <f t="shared" si="22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23"/>
        <v>2</v>
      </c>
      <c r="U471" s="10" t="s">
        <v>627</v>
      </c>
    </row>
    <row r="472" spans="1:2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21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22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23"/>
        <v>1</v>
      </c>
      <c r="U472" s="10" t="s">
        <v>627</v>
      </c>
    </row>
    <row r="473" spans="1:2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21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22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23"/>
        <v>2</v>
      </c>
      <c r="U473" s="10" t="s">
        <v>627</v>
      </c>
    </row>
    <row r="474" spans="1:2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21"/>
        <v/>
      </c>
      <c r="L474" s="7" t="str">
        <f>IF(VLOOKUP(A474,'[1]LISTA ETIQUETAS'!O:AB,14,0)="","",(VLOOKUP(A474,'[1]LISTA ETIQUETAS'!O:AB,14,0)))</f>
        <v/>
      </c>
      <c r="M474" s="8"/>
      <c r="N474" s="9">
        <f t="shared" si="22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23"/>
        <v>2</v>
      </c>
      <c r="U474" s="10" t="s">
        <v>627</v>
      </c>
    </row>
    <row r="475" spans="1:2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21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22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23"/>
        <v>1</v>
      </c>
      <c r="U475" s="10" t="s">
        <v>627</v>
      </c>
    </row>
    <row r="476" spans="1:2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21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22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23"/>
        <v>2</v>
      </c>
      <c r="U476" s="10" t="s">
        <v>627</v>
      </c>
    </row>
    <row r="477" spans="1:2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21"/>
        <v/>
      </c>
      <c r="L477" s="7" t="str">
        <f>IF(VLOOKUP(A477,'[1]LISTA ETIQUETAS'!O:AB,14,0)="","",(VLOOKUP(A477,'[1]LISTA ETIQUETAS'!O:AB,14,0)))</f>
        <v/>
      </c>
      <c r="M477" s="8"/>
      <c r="N477" s="9">
        <f t="shared" si="22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23"/>
        <v>1</v>
      </c>
      <c r="U477" s="10" t="s">
        <v>627</v>
      </c>
    </row>
    <row r="478" spans="1:2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21"/>
        <v/>
      </c>
      <c r="L478" s="7" t="str">
        <f>IF(VLOOKUP(A478,'[1]LISTA ETIQUETAS'!O:AB,14,0)="","",(VLOOKUP(A478,'[1]LISTA ETIQUETAS'!O:AB,14,0)))</f>
        <v/>
      </c>
      <c r="M478" s="8"/>
      <c r="N478" s="9">
        <f t="shared" si="22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23"/>
        <v>1</v>
      </c>
      <c r="U478" s="10" t="s">
        <v>627</v>
      </c>
    </row>
    <row r="479" spans="1:2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21"/>
        <v/>
      </c>
      <c r="L479" s="7" t="str">
        <f>IF(VLOOKUP(A479,'[1]LISTA ETIQUETAS'!O:AB,14,0)="","",(VLOOKUP(A479,'[1]LISTA ETIQUETAS'!O:AB,14,0)))</f>
        <v/>
      </c>
      <c r="M479" s="8"/>
      <c r="N479" s="9">
        <f t="shared" si="22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23"/>
        <v>1</v>
      </c>
      <c r="U479" s="10" t="s">
        <v>627</v>
      </c>
    </row>
    <row r="480" spans="1:2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21"/>
        <v/>
      </c>
      <c r="L480" s="7" t="str">
        <f>IF(VLOOKUP(A480,'[1]LISTA ETIQUETAS'!O:AB,14,0)="","",(VLOOKUP(A480,'[1]LISTA ETIQUETAS'!O:AB,14,0)))</f>
        <v/>
      </c>
      <c r="M480" s="8"/>
      <c r="N480" s="9">
        <f t="shared" si="22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23"/>
        <v>2</v>
      </c>
      <c r="U480" s="10" t="s">
        <v>627</v>
      </c>
    </row>
    <row r="481" spans="1:2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21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22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23"/>
        <v>1</v>
      </c>
      <c r="U481" s="10" t="s">
        <v>627</v>
      </c>
    </row>
    <row r="482" spans="1:2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21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22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23"/>
        <v>1</v>
      </c>
      <c r="U482" s="10" t="s">
        <v>627</v>
      </c>
    </row>
    <row r="483" spans="1:2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21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22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23"/>
        <v>1</v>
      </c>
      <c r="U483" s="10" t="s">
        <v>627</v>
      </c>
    </row>
    <row r="484" spans="1:2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21"/>
        <v/>
      </c>
      <c r="L484" s="7" t="str">
        <f>IF(VLOOKUP(A484,'[1]LISTA ETIQUETAS'!O:AB,14,0)="","",(VLOOKUP(A484,'[1]LISTA ETIQUETAS'!O:AB,14,0)))</f>
        <v/>
      </c>
      <c r="M484" s="8"/>
      <c r="N484" s="9">
        <f t="shared" si="22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23"/>
        <v>4</v>
      </c>
      <c r="U484" s="10" t="s">
        <v>627</v>
      </c>
    </row>
    <row r="485" spans="1:2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21"/>
        <v/>
      </c>
      <c r="L485" s="7" t="str">
        <f>IF(VLOOKUP(A485,'[1]LISTA ETIQUETAS'!O:AB,14,0)="","",(VLOOKUP(A485,'[1]LISTA ETIQUETAS'!O:AB,14,0)))</f>
        <v/>
      </c>
      <c r="M485" s="8"/>
      <c r="N485" s="9">
        <f t="shared" si="22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23"/>
        <v>1</v>
      </c>
      <c r="U485" s="10" t="s">
        <v>627</v>
      </c>
    </row>
    <row r="486" spans="1:2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21"/>
        <v/>
      </c>
      <c r="L486" s="7" t="str">
        <f>IF(VLOOKUP(A486,'[1]LISTA ETIQUETAS'!O:AB,14,0)="","",(VLOOKUP(A486,'[1]LISTA ETIQUETAS'!O:AB,14,0)))</f>
        <v/>
      </c>
      <c r="M486" s="8"/>
      <c r="N486" s="9">
        <f t="shared" si="22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23"/>
        <v>2</v>
      </c>
      <c r="U486" s="10" t="s">
        <v>627</v>
      </c>
    </row>
    <row r="487" spans="1:2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21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22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23"/>
        <v>1</v>
      </c>
      <c r="U487" s="10" t="s">
        <v>627</v>
      </c>
    </row>
    <row r="488" spans="1:2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21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22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23"/>
        <v>2</v>
      </c>
      <c r="U488" s="10" t="s">
        <v>627</v>
      </c>
    </row>
    <row r="489" spans="1:2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21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22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23"/>
        <v>4</v>
      </c>
      <c r="U489" s="10" t="s">
        <v>627</v>
      </c>
    </row>
    <row r="490" spans="1:2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21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22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23"/>
        <v>2</v>
      </c>
      <c r="U490" s="10" t="s">
        <v>627</v>
      </c>
    </row>
    <row r="491" spans="1:2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21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22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23"/>
        <v>4</v>
      </c>
      <c r="U491" s="10" t="s">
        <v>627</v>
      </c>
    </row>
    <row r="492" spans="1:2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21"/>
        <v/>
      </c>
      <c r="L492" s="7" t="str">
        <f>IF(VLOOKUP(A492,'[1]LISTA ETIQUETAS'!O:AB,14,0)="","",(VLOOKUP(A492,'[1]LISTA ETIQUETAS'!O:AB,14,0)))</f>
        <v/>
      </c>
      <c r="M492" s="8"/>
      <c r="N492" s="9">
        <f t="shared" si="22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23"/>
        <v>2</v>
      </c>
      <c r="U492" s="10" t="s">
        <v>627</v>
      </c>
    </row>
    <row r="493" spans="1:2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21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22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23"/>
        <v>1</v>
      </c>
      <c r="U493" s="10" t="s">
        <v>627</v>
      </c>
    </row>
    <row r="494" spans="1:2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21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22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23"/>
        <v>1</v>
      </c>
      <c r="U494" s="10" t="s">
        <v>627</v>
      </c>
    </row>
    <row r="495" spans="1:2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21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22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23"/>
        <v>2</v>
      </c>
      <c r="U495" s="10" t="s">
        <v>627</v>
      </c>
    </row>
    <row r="496" spans="1:2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21"/>
        <v/>
      </c>
      <c r="L496" s="7" t="str">
        <f>IF(VLOOKUP(A496,'[1]LISTA ETIQUETAS'!O:AB,14,0)="","",(VLOOKUP(A496,'[1]LISTA ETIQUETAS'!O:AB,14,0)))</f>
        <v/>
      </c>
      <c r="M496" s="8"/>
      <c r="N496" s="9">
        <f t="shared" si="22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23"/>
        <v>2</v>
      </c>
      <c r="U496" s="10" t="s">
        <v>627</v>
      </c>
    </row>
    <row r="497" spans="1:2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21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22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23"/>
        <v>3</v>
      </c>
      <c r="U497" s="10" t="s">
        <v>627</v>
      </c>
    </row>
    <row r="498" spans="1:2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21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22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23"/>
        <v>1</v>
      </c>
      <c r="U498" s="10" t="s">
        <v>627</v>
      </c>
    </row>
    <row r="499" spans="1:2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21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22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23"/>
        <v>1</v>
      </c>
      <c r="U499" s="10" t="s">
        <v>627</v>
      </c>
    </row>
    <row r="500" spans="1:2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21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22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23"/>
        <v>2</v>
      </c>
      <c r="U500" s="10" t="s">
        <v>627</v>
      </c>
    </row>
    <row r="501" spans="1:2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21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22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23"/>
        <v>2</v>
      </c>
      <c r="U501" s="10" t="s">
        <v>627</v>
      </c>
    </row>
    <row r="502" spans="1:2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21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22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23"/>
        <v>3</v>
      </c>
      <c r="U502" s="10" t="s">
        <v>627</v>
      </c>
    </row>
    <row r="503" spans="1:2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21"/>
        <v/>
      </c>
      <c r="L503" s="7" t="str">
        <f>IF(VLOOKUP(A503,'[1]LISTA ETIQUETAS'!O:AB,14,0)="","",(VLOOKUP(A503,'[1]LISTA ETIQUETAS'!O:AB,14,0)))</f>
        <v/>
      </c>
      <c r="M503" s="8"/>
      <c r="N503" s="9">
        <f t="shared" si="22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23"/>
        <v>1</v>
      </c>
      <c r="U503" s="10" t="s">
        <v>627</v>
      </c>
    </row>
    <row r="504" spans="1:2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21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22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23"/>
        <v>2</v>
      </c>
      <c r="U504" s="10" t="s">
        <v>627</v>
      </c>
    </row>
    <row r="505" spans="1:2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21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22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23"/>
        <v>2</v>
      </c>
      <c r="U505" s="10" t="s">
        <v>627</v>
      </c>
    </row>
    <row r="506" spans="1:2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21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22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23"/>
        <v>2</v>
      </c>
      <c r="U506" s="10" t="s">
        <v>627</v>
      </c>
    </row>
    <row r="507" spans="1:2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21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22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23"/>
        <v>2</v>
      </c>
      <c r="U507" s="10" t="s">
        <v>627</v>
      </c>
    </row>
    <row r="508" spans="1:2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21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22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23"/>
        <v>2</v>
      </c>
      <c r="U508" s="10" t="s">
        <v>627</v>
      </c>
    </row>
    <row r="509" spans="1:2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21"/>
        <v/>
      </c>
      <c r="L509" s="7" t="str">
        <f>IF(VLOOKUP(A509,'[1]LISTA ETIQUETAS'!O:AB,14,0)="","",(VLOOKUP(A509,'[1]LISTA ETIQUETAS'!O:AB,14,0)))</f>
        <v/>
      </c>
      <c r="M509" s="8"/>
      <c r="N509" s="9">
        <f t="shared" si="22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23"/>
        <v>1</v>
      </c>
      <c r="U509" s="10" t="s">
        <v>627</v>
      </c>
    </row>
    <row r="510" spans="1:2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21"/>
        <v/>
      </c>
      <c r="L510" s="7" t="str">
        <f>IF(VLOOKUP(A510,'[1]LISTA ETIQUETAS'!O:AB,14,0)="","",(VLOOKUP(A510,'[1]LISTA ETIQUETAS'!O:AB,14,0)))</f>
        <v/>
      </c>
      <c r="M510" s="8"/>
      <c r="N510" s="9">
        <f t="shared" si="22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23"/>
        <v>1</v>
      </c>
      <c r="U510" s="10" t="s">
        <v>627</v>
      </c>
    </row>
    <row r="511" spans="1:2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21"/>
        <v/>
      </c>
      <c r="L511" s="7" t="str">
        <f>IF(VLOOKUP(A511,'[1]LISTA ETIQUETAS'!O:AB,14,0)="","",(VLOOKUP(A511,'[1]LISTA ETIQUETAS'!O:AB,14,0)))</f>
        <v/>
      </c>
      <c r="M511" s="8"/>
      <c r="N511" s="9">
        <f t="shared" si="22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23"/>
        <v>1</v>
      </c>
      <c r="U511" s="10" t="s">
        <v>627</v>
      </c>
    </row>
    <row r="512" spans="1:2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21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22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23"/>
        <v>3</v>
      </c>
      <c r="U512" s="10" t="s">
        <v>627</v>
      </c>
    </row>
    <row r="513" spans="1:2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21"/>
        <v/>
      </c>
      <c r="L513" s="7" t="str">
        <f>IF(VLOOKUP(A513,'[1]LISTA ETIQUETAS'!O:AB,14,0)="","",(VLOOKUP(A513,'[1]LISTA ETIQUETAS'!O:AB,14,0)))</f>
        <v/>
      </c>
      <c r="M513" s="8"/>
      <c r="N513" s="9">
        <f t="shared" si="22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23"/>
        <v>1</v>
      </c>
      <c r="U513" s="10" t="s">
        <v>627</v>
      </c>
    </row>
    <row r="514" spans="1:2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21"/>
        <v/>
      </c>
      <c r="L514" s="7" t="str">
        <f>IF(VLOOKUP(A514,'[1]LISTA ETIQUETAS'!O:AB,14,0)="","",(VLOOKUP(A514,'[1]LISTA ETIQUETAS'!O:AB,14,0)))</f>
        <v/>
      </c>
      <c r="M514" s="8"/>
      <c r="N514" s="9">
        <f t="shared" si="22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23"/>
        <v>1</v>
      </c>
      <c r="U514" s="10" t="s">
        <v>627</v>
      </c>
    </row>
    <row r="515" spans="1:2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24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22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23"/>
        <v>1</v>
      </c>
      <c r="U515" s="10" t="s">
        <v>627</v>
      </c>
    </row>
    <row r="516" spans="1:2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24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25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6">SUM(O516:S516)</f>
        <v>1</v>
      </c>
      <c r="U516" s="10" t="s">
        <v>627</v>
      </c>
    </row>
    <row r="517" spans="1:2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24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25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6"/>
        <v>2</v>
      </c>
      <c r="U517" s="10" t="s">
        <v>627</v>
      </c>
    </row>
    <row r="518" spans="1:2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24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25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1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1</v>
      </c>
      <c r="T518" s="9">
        <f t="shared" si="26"/>
        <v>2</v>
      </c>
      <c r="U518" s="10" t="s">
        <v>627</v>
      </c>
    </row>
    <row r="519" spans="1:2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24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25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6"/>
        <v>1</v>
      </c>
      <c r="U519" s="10" t="s">
        <v>627</v>
      </c>
    </row>
    <row r="520" spans="1:2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24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25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6"/>
        <v>2</v>
      </c>
      <c r="U520" s="10" t="s">
        <v>627</v>
      </c>
    </row>
    <row r="521" spans="1:2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24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25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6"/>
        <v>4</v>
      </c>
      <c r="U521" s="10" t="s">
        <v>627</v>
      </c>
    </row>
    <row r="522" spans="1:2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24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25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6"/>
        <v>3</v>
      </c>
      <c r="U522" s="10" t="s">
        <v>627</v>
      </c>
    </row>
    <row r="523" spans="1:2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24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25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6"/>
        <v>3</v>
      </c>
      <c r="U523" s="10" t="s">
        <v>627</v>
      </c>
    </row>
    <row r="524" spans="1:2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24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25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6"/>
        <v>1</v>
      </c>
      <c r="U524" s="10" t="s">
        <v>627</v>
      </c>
    </row>
    <row r="525" spans="1:2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24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25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1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1</v>
      </c>
      <c r="T525" s="9">
        <f t="shared" si="26"/>
        <v>2</v>
      </c>
      <c r="U525" s="10" t="s">
        <v>627</v>
      </c>
    </row>
    <row r="526" spans="1:2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24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25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6"/>
        <v>6</v>
      </c>
      <c r="U526" s="10" t="s">
        <v>627</v>
      </c>
    </row>
    <row r="527" spans="1:2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24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25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6"/>
        <v>6</v>
      </c>
      <c r="U527" s="10" t="s">
        <v>627</v>
      </c>
    </row>
    <row r="528" spans="1:2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24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25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6"/>
        <v>8</v>
      </c>
      <c r="U528" s="10" t="s">
        <v>627</v>
      </c>
    </row>
    <row r="529" spans="1:2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24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25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1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5</v>
      </c>
      <c r="T529" s="9">
        <f t="shared" si="26"/>
        <v>6</v>
      </c>
      <c r="U529" s="10" t="s">
        <v>627</v>
      </c>
    </row>
    <row r="530" spans="1:2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24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25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1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3</v>
      </c>
      <c r="T530" s="9">
        <f t="shared" si="26"/>
        <v>4</v>
      </c>
      <c r="U530" s="10" t="s">
        <v>627</v>
      </c>
    </row>
    <row r="531" spans="1:2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24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25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6</v>
      </c>
      <c r="T531" s="9">
        <f t="shared" si="26"/>
        <v>7</v>
      </c>
      <c r="U531" s="10" t="s">
        <v>627</v>
      </c>
    </row>
    <row r="532" spans="1:2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24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25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6"/>
        <v>2</v>
      </c>
      <c r="U532" s="10" t="s">
        <v>627</v>
      </c>
    </row>
    <row r="533" spans="1:2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24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25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6"/>
        <v>1</v>
      </c>
      <c r="U533" s="10" t="s">
        <v>627</v>
      </c>
    </row>
    <row r="534" spans="1:2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24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25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6"/>
        <v>2</v>
      </c>
      <c r="U534" s="10" t="s">
        <v>627</v>
      </c>
    </row>
    <row r="535" spans="1:2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24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25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6"/>
        <v>1</v>
      </c>
      <c r="U535" s="10" t="s">
        <v>627</v>
      </c>
    </row>
    <row r="536" spans="1:2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24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25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6"/>
        <v>1</v>
      </c>
      <c r="U536" s="10" t="s">
        <v>627</v>
      </c>
    </row>
    <row r="537" spans="1:2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24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25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6"/>
        <v>1</v>
      </c>
      <c r="U537" s="10" t="s">
        <v>627</v>
      </c>
    </row>
    <row r="538" spans="1:2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24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25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6"/>
        <v>1</v>
      </c>
      <c r="U538" s="10" t="s">
        <v>627</v>
      </c>
    </row>
    <row r="539" spans="1:2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24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25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6"/>
        <v>1</v>
      </c>
      <c r="U539" s="10" t="s">
        <v>627</v>
      </c>
    </row>
    <row r="540" spans="1:2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24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25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6"/>
        <v>1</v>
      </c>
      <c r="U540" s="10" t="s">
        <v>627</v>
      </c>
    </row>
    <row r="541" spans="1:2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24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25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6"/>
        <v>1</v>
      </c>
      <c r="U541" s="10" t="s">
        <v>627</v>
      </c>
    </row>
    <row r="542" spans="1:2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24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25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6"/>
        <v>1</v>
      </c>
      <c r="U542" s="10" t="s">
        <v>627</v>
      </c>
    </row>
    <row r="543" spans="1:2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24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25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6"/>
        <v>1</v>
      </c>
      <c r="U543" s="10" t="s">
        <v>627</v>
      </c>
    </row>
    <row r="544" spans="1:2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24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25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6"/>
        <v>1</v>
      </c>
      <c r="U544" s="10" t="s">
        <v>627</v>
      </c>
    </row>
    <row r="545" spans="1:2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24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25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6"/>
        <v>1</v>
      </c>
      <c r="U545" s="10" t="s">
        <v>627</v>
      </c>
    </row>
    <row r="546" spans="1:2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24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25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6"/>
        <v>1</v>
      </c>
      <c r="U546" s="10" t="s">
        <v>627</v>
      </c>
    </row>
    <row r="547" spans="1:2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24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25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6"/>
        <v>1</v>
      </c>
      <c r="U547" s="10" t="s">
        <v>627</v>
      </c>
    </row>
    <row r="548" spans="1:2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24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25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6"/>
        <v>1</v>
      </c>
      <c r="U548" s="10" t="s">
        <v>627</v>
      </c>
    </row>
    <row r="549" spans="1:2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24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25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6"/>
        <v>1</v>
      </c>
      <c r="U549" s="10" t="s">
        <v>627</v>
      </c>
    </row>
    <row r="550" spans="1:2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24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25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6"/>
        <v>1</v>
      </c>
      <c r="U550" s="10" t="s">
        <v>627</v>
      </c>
    </row>
    <row r="551" spans="1:2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24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25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6"/>
        <v>1</v>
      </c>
      <c r="U551" s="10" t="s">
        <v>627</v>
      </c>
    </row>
    <row r="552" spans="1:2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24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25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6"/>
        <v>3</v>
      </c>
      <c r="U552" s="10" t="s">
        <v>627</v>
      </c>
    </row>
    <row r="553" spans="1:2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24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25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6"/>
        <v>4</v>
      </c>
      <c r="U553" s="10" t="s">
        <v>627</v>
      </c>
    </row>
    <row r="554" spans="1:2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24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25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6"/>
        <v>4</v>
      </c>
      <c r="U554" s="10" t="s">
        <v>627</v>
      </c>
    </row>
    <row r="555" spans="1:2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24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25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6"/>
        <v>3</v>
      </c>
      <c r="U555" s="10" t="s">
        <v>627</v>
      </c>
    </row>
    <row r="556" spans="1:2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24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25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6"/>
        <v>5</v>
      </c>
      <c r="U556" s="10" t="s">
        <v>627</v>
      </c>
    </row>
    <row r="557" spans="1:2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24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25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6"/>
        <v>6</v>
      </c>
      <c r="U557" s="10" t="s">
        <v>627</v>
      </c>
    </row>
    <row r="558" spans="1:2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24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25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6"/>
        <v>3</v>
      </c>
      <c r="U558" s="10" t="s">
        <v>627</v>
      </c>
    </row>
    <row r="559" spans="1:2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24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25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6"/>
        <v>2</v>
      </c>
      <c r="U559" s="10" t="s">
        <v>627</v>
      </c>
    </row>
    <row r="560" spans="1:2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24"/>
        <v/>
      </c>
      <c r="L560" s="7" t="str">
        <f>IF(VLOOKUP(A560,'[1]LISTA ETIQUETAS'!O:AB,14,0)="","",(VLOOKUP(A560,'[1]LISTA ETIQUETAS'!O:AB,14,0)))</f>
        <v/>
      </c>
      <c r="M560" s="8"/>
      <c r="N560" s="9">
        <f t="shared" si="25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6"/>
        <v>1</v>
      </c>
      <c r="U560" s="10" t="s">
        <v>627</v>
      </c>
    </row>
    <row r="561" spans="1:2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24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25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6"/>
        <v>3</v>
      </c>
      <c r="U561" s="10" t="s">
        <v>627</v>
      </c>
    </row>
    <row r="562" spans="1:2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24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25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6"/>
        <v>12</v>
      </c>
      <c r="U562" s="10" t="s">
        <v>627</v>
      </c>
    </row>
    <row r="563" spans="1:2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24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25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6"/>
        <v>1</v>
      </c>
      <c r="U563" s="10" t="s">
        <v>627</v>
      </c>
    </row>
    <row r="564" spans="1:2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24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25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6"/>
        <v>1</v>
      </c>
      <c r="U564" s="10" t="s">
        <v>627</v>
      </c>
    </row>
    <row r="565" spans="1:2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24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25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6"/>
        <v>1</v>
      </c>
      <c r="U565" s="10" t="s">
        <v>627</v>
      </c>
    </row>
    <row r="566" spans="1:2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24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25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6"/>
        <v>2</v>
      </c>
      <c r="U566" s="10" t="s">
        <v>627</v>
      </c>
    </row>
    <row r="567" spans="1:2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24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25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6"/>
        <v>1</v>
      </c>
      <c r="U567" s="10" t="s">
        <v>627</v>
      </c>
    </row>
    <row r="568" spans="1:2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24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25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6"/>
        <v>1</v>
      </c>
      <c r="U568" s="10" t="s">
        <v>627</v>
      </c>
    </row>
    <row r="569" spans="1:2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24"/>
        <v/>
      </c>
      <c r="L569" s="7" t="str">
        <f>IF(VLOOKUP(A569,'[1]LISTA ETIQUETAS'!O:AB,14,0)="","",(VLOOKUP(A569,'[1]LISTA ETIQUETAS'!O:AB,14,0)))</f>
        <v/>
      </c>
      <c r="M569" s="8"/>
      <c r="N569" s="9">
        <f t="shared" si="25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6"/>
        <v>1</v>
      </c>
      <c r="U569" s="10" t="s">
        <v>627</v>
      </c>
    </row>
    <row r="570" spans="1:2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24"/>
        <v/>
      </c>
      <c r="L570" s="7" t="str">
        <f>IF(VLOOKUP(A570,'[1]LISTA ETIQUETAS'!O:AB,14,0)="","",(VLOOKUP(A570,'[1]LISTA ETIQUETAS'!O:AB,14,0)))</f>
        <v/>
      </c>
      <c r="M570" s="8"/>
      <c r="N570" s="9">
        <f t="shared" si="25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6"/>
        <v>1</v>
      </c>
      <c r="U570" s="10" t="s">
        <v>627</v>
      </c>
    </row>
    <row r="571" spans="1:2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24"/>
        <v/>
      </c>
      <c r="L571" s="7" t="str">
        <f>IF(VLOOKUP(A571,'[1]LISTA ETIQUETAS'!O:AB,14,0)="","",(VLOOKUP(A571,'[1]LISTA ETIQUETAS'!O:AB,14,0)))</f>
        <v/>
      </c>
      <c r="M571" s="8"/>
      <c r="N571" s="9">
        <f t="shared" si="25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6"/>
        <v>1</v>
      </c>
      <c r="U571" s="10" t="s">
        <v>627</v>
      </c>
    </row>
    <row r="572" spans="1:2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24"/>
        <v/>
      </c>
      <c r="L572" s="7" t="str">
        <f>IF(VLOOKUP(A572,'[1]LISTA ETIQUETAS'!O:AB,14,0)="","",(VLOOKUP(A572,'[1]LISTA ETIQUETAS'!O:AB,14,0)))</f>
        <v/>
      </c>
      <c r="M572" s="8"/>
      <c r="N572" s="9">
        <f t="shared" si="25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6"/>
        <v>3</v>
      </c>
      <c r="U572" s="10" t="s">
        <v>627</v>
      </c>
    </row>
    <row r="573" spans="1:2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24"/>
        <v/>
      </c>
      <c r="L573" s="7" t="str">
        <f>IF(VLOOKUP(A573,'[1]LISTA ETIQUETAS'!O:AB,14,0)="","",(VLOOKUP(A573,'[1]LISTA ETIQUETAS'!O:AB,14,0)))</f>
        <v/>
      </c>
      <c r="M573" s="8"/>
      <c r="N573" s="9">
        <f t="shared" si="25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6"/>
        <v>10</v>
      </c>
      <c r="U573" s="10" t="s">
        <v>627</v>
      </c>
    </row>
    <row r="574" spans="1:2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24"/>
        <v/>
      </c>
      <c r="L574" s="7" t="str">
        <f>IF(VLOOKUP(A574,'[1]LISTA ETIQUETAS'!O:AB,14,0)="","",(VLOOKUP(A574,'[1]LISTA ETIQUETAS'!O:AB,14,0)))</f>
        <v/>
      </c>
      <c r="M574" s="8"/>
      <c r="N574" s="9">
        <f t="shared" si="25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6"/>
        <v>6</v>
      </c>
      <c r="U574" s="10" t="s">
        <v>627</v>
      </c>
    </row>
    <row r="575" spans="1:2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24"/>
        <v/>
      </c>
      <c r="L575" s="7" t="str">
        <f>IF(VLOOKUP(A575,'[1]LISTA ETIQUETAS'!O:AB,14,0)="","",(VLOOKUP(A575,'[1]LISTA ETIQUETAS'!O:AB,14,0)))</f>
        <v/>
      </c>
      <c r="M575" s="8"/>
      <c r="N575" s="9">
        <f t="shared" si="25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6"/>
        <v>8</v>
      </c>
      <c r="U575" s="10" t="s">
        <v>627</v>
      </c>
    </row>
    <row r="576" spans="1:2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24"/>
        <v/>
      </c>
      <c r="L576" s="7" t="str">
        <f>IF(VLOOKUP(A576,'[1]LISTA ETIQUETAS'!O:AB,14,0)="","",(VLOOKUP(A576,'[1]LISTA ETIQUETAS'!O:AB,14,0)))</f>
        <v/>
      </c>
      <c r="M576" s="8"/>
      <c r="N576" s="9">
        <f t="shared" si="25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6"/>
        <v>5</v>
      </c>
      <c r="U576" s="10" t="s">
        <v>627</v>
      </c>
    </row>
    <row r="577" spans="1:2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24"/>
        <v/>
      </c>
      <c r="L577" s="7" t="str">
        <f>IF(VLOOKUP(A577,'[1]LISTA ETIQUETAS'!O:AB,14,0)="","",(VLOOKUP(A577,'[1]LISTA ETIQUETAS'!O:AB,14,0)))</f>
        <v/>
      </c>
      <c r="M577" s="8"/>
      <c r="N577" s="9">
        <f t="shared" si="25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6"/>
        <v>2</v>
      </c>
      <c r="U577" s="10" t="s">
        <v>627</v>
      </c>
    </row>
    <row r="578" spans="1:2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24"/>
        <v/>
      </c>
      <c r="L578" s="7" t="str">
        <f>IF(VLOOKUP(A578,'[1]LISTA ETIQUETAS'!O:AB,14,0)="","",(VLOOKUP(A578,'[1]LISTA ETIQUETAS'!O:AB,14,0)))</f>
        <v/>
      </c>
      <c r="M578" s="8"/>
      <c r="N578" s="9">
        <f t="shared" si="25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6"/>
        <v>23</v>
      </c>
      <c r="U578" s="10" t="s">
        <v>627</v>
      </c>
    </row>
    <row r="579" spans="1:2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7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25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6"/>
        <v>4</v>
      </c>
      <c r="U579" s="10" t="s">
        <v>627</v>
      </c>
    </row>
    <row r="580" spans="1:2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7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8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9">SUM(O580:S580)</f>
        <v>4</v>
      </c>
      <c r="U580" s="10" t="s">
        <v>627</v>
      </c>
    </row>
    <row r="581" spans="1:2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7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8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9"/>
        <v>2</v>
      </c>
      <c r="U581" s="10" t="s">
        <v>627</v>
      </c>
    </row>
    <row r="582" spans="1:2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7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8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9"/>
        <v>3</v>
      </c>
      <c r="U582" s="10" t="s">
        <v>627</v>
      </c>
    </row>
    <row r="583" spans="1:2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7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8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9"/>
        <v>1</v>
      </c>
      <c r="U583" s="10" t="s">
        <v>627</v>
      </c>
    </row>
    <row r="584" spans="1:2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7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8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9"/>
        <v>1</v>
      </c>
      <c r="U584" s="10" t="s">
        <v>627</v>
      </c>
    </row>
    <row r="585" spans="1:2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7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8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9"/>
        <v>1</v>
      </c>
      <c r="U585" s="10" t="s">
        <v>627</v>
      </c>
    </row>
    <row r="586" spans="1:2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7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8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9"/>
        <v>1</v>
      </c>
      <c r="U586" s="10" t="s">
        <v>627</v>
      </c>
    </row>
    <row r="587" spans="1:2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7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8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9"/>
        <v>4</v>
      </c>
      <c r="U587" s="10" t="s">
        <v>627</v>
      </c>
    </row>
    <row r="588" spans="1:2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7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8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9"/>
        <v>4</v>
      </c>
      <c r="U588" s="10" t="s">
        <v>627</v>
      </c>
    </row>
    <row r="589" spans="1:2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7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8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9"/>
        <v>4</v>
      </c>
      <c r="U589" s="10" t="s">
        <v>627</v>
      </c>
    </row>
    <row r="590" spans="1:2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7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8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9"/>
        <v>1</v>
      </c>
      <c r="U590" s="10" t="s">
        <v>627</v>
      </c>
    </row>
    <row r="591" spans="1:2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7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8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9"/>
        <v>1</v>
      </c>
      <c r="U591" s="10" t="s">
        <v>627</v>
      </c>
    </row>
    <row r="592" spans="1:2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7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8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9"/>
        <v>1</v>
      </c>
      <c r="U592" s="10" t="s">
        <v>627</v>
      </c>
    </row>
    <row r="593" spans="1:2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7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8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9"/>
        <v>4</v>
      </c>
      <c r="U593" s="10" t="s">
        <v>627</v>
      </c>
    </row>
    <row r="594" spans="1:2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7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8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9"/>
        <v>4</v>
      </c>
      <c r="U594" s="10" t="s">
        <v>627</v>
      </c>
    </row>
    <row r="595" spans="1:2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7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8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9"/>
        <v>3</v>
      </c>
      <c r="U595" s="10" t="s">
        <v>627</v>
      </c>
    </row>
    <row r="596" spans="1:2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7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8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9"/>
        <v>2</v>
      </c>
      <c r="U596" s="10" t="s">
        <v>627</v>
      </c>
    </row>
    <row r="597" spans="1:2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7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8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9"/>
        <v>1</v>
      </c>
      <c r="U597" s="10" t="s">
        <v>627</v>
      </c>
    </row>
    <row r="598" spans="1:2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7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8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9"/>
        <v>1</v>
      </c>
      <c r="U598" s="10" t="s">
        <v>627</v>
      </c>
    </row>
    <row r="599" spans="1:2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7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8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9"/>
        <v>1</v>
      </c>
      <c r="U599" s="10" t="s">
        <v>627</v>
      </c>
    </row>
    <row r="600" spans="1:2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7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8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9"/>
        <v>1</v>
      </c>
      <c r="U600" s="10" t="s">
        <v>627</v>
      </c>
    </row>
    <row r="601" spans="1:2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7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8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9"/>
        <v>1</v>
      </c>
      <c r="U601" s="10" t="s">
        <v>627</v>
      </c>
    </row>
    <row r="602" spans="1:2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7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8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9"/>
        <v>1</v>
      </c>
      <c r="U602" s="10" t="s">
        <v>627</v>
      </c>
    </row>
    <row r="603" spans="1:2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7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8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9"/>
        <v>1</v>
      </c>
      <c r="U603" s="10" t="s">
        <v>627</v>
      </c>
    </row>
    <row r="604" spans="1:2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7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8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9"/>
        <v>1</v>
      </c>
      <c r="U604" s="10" t="s">
        <v>627</v>
      </c>
    </row>
    <row r="605" spans="1:2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7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8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9"/>
        <v>1</v>
      </c>
      <c r="U605" s="10" t="s">
        <v>627</v>
      </c>
    </row>
    <row r="606" spans="1:2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7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8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9"/>
        <v>1</v>
      </c>
      <c r="U606" s="10" t="s">
        <v>627</v>
      </c>
    </row>
    <row r="607" spans="1:2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7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8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9"/>
        <v>1</v>
      </c>
      <c r="U607" s="10" t="s">
        <v>627</v>
      </c>
    </row>
    <row r="608" spans="1:2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7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8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9"/>
        <v>2</v>
      </c>
      <c r="U608" s="10" t="s">
        <v>627</v>
      </c>
    </row>
    <row r="609" spans="1:2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7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8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9"/>
        <v>1</v>
      </c>
      <c r="U609" s="10" t="s">
        <v>627</v>
      </c>
    </row>
    <row r="610" spans="1:2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7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8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9"/>
        <v>1</v>
      </c>
      <c r="U610" s="10" t="s">
        <v>627</v>
      </c>
    </row>
    <row r="611" spans="1:2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7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8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9"/>
        <v>1</v>
      </c>
      <c r="U611" s="10" t="s">
        <v>627</v>
      </c>
    </row>
    <row r="612" spans="1:2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7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8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9"/>
        <v>1</v>
      </c>
      <c r="U612" s="10" t="s">
        <v>627</v>
      </c>
    </row>
    <row r="613" spans="1:2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7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8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9"/>
        <v>1</v>
      </c>
      <c r="U613" s="10" t="s">
        <v>627</v>
      </c>
    </row>
    <row r="614" spans="1:2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7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8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9"/>
        <v>1</v>
      </c>
      <c r="U614" s="10" t="s">
        <v>627</v>
      </c>
    </row>
    <row r="615" spans="1:2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7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8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9"/>
        <v>1</v>
      </c>
      <c r="U615" s="10" t="s">
        <v>627</v>
      </c>
    </row>
    <row r="616" spans="1:2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7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8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9"/>
        <v>1</v>
      </c>
      <c r="U616" s="10" t="s">
        <v>627</v>
      </c>
    </row>
    <row r="617" spans="1:2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7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8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9"/>
        <v>1</v>
      </c>
      <c r="U617" s="10" t="s">
        <v>627</v>
      </c>
    </row>
    <row r="618" spans="1:2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7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8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9"/>
        <v>1</v>
      </c>
      <c r="U618" s="10" t="s">
        <v>627</v>
      </c>
    </row>
    <row r="619" spans="1:2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7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8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9"/>
        <v>1</v>
      </c>
      <c r="U619" s="10" t="s">
        <v>627</v>
      </c>
    </row>
    <row r="620" spans="1:2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7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8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9"/>
        <v>1</v>
      </c>
      <c r="U620" s="10" t="s">
        <v>627</v>
      </c>
    </row>
    <row r="621" spans="1:2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7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8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9"/>
        <v>1</v>
      </c>
      <c r="U621" s="10" t="s">
        <v>627</v>
      </c>
    </row>
    <row r="622" spans="1:2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7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8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9"/>
        <v>1</v>
      </c>
      <c r="U622" s="10" t="s">
        <v>627</v>
      </c>
    </row>
    <row r="623" spans="1:2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7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8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9"/>
        <v>1</v>
      </c>
      <c r="U623" s="10" t="s">
        <v>627</v>
      </c>
    </row>
    <row r="624" spans="1:2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7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8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9"/>
        <v>1</v>
      </c>
      <c r="U624" s="10" t="s">
        <v>627</v>
      </c>
    </row>
    <row r="625" spans="1:2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7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8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9"/>
        <v>1</v>
      </c>
      <c r="U625" s="10" t="s">
        <v>627</v>
      </c>
    </row>
    <row r="626" spans="1:2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7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8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9"/>
        <v>1</v>
      </c>
      <c r="U626" s="10" t="s">
        <v>627</v>
      </c>
    </row>
    <row r="627" spans="1:2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7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8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9"/>
        <v>1</v>
      </c>
      <c r="U627" s="10" t="s">
        <v>627</v>
      </c>
    </row>
    <row r="628" spans="1:2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7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8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9"/>
        <v>1</v>
      </c>
      <c r="U628" s="10" t="s">
        <v>627</v>
      </c>
    </row>
    <row r="629" spans="1:2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7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8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9"/>
        <v>1</v>
      </c>
      <c r="U629" s="10" t="s">
        <v>627</v>
      </c>
    </row>
    <row r="630" spans="1:2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7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8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9"/>
        <v>1</v>
      </c>
      <c r="U630" s="10" t="s">
        <v>627</v>
      </c>
    </row>
    <row r="631" spans="1:2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7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8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9"/>
        <v>1</v>
      </c>
      <c r="U631" s="10" t="s">
        <v>627</v>
      </c>
    </row>
    <row r="632" spans="1:2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7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8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9"/>
        <v>1</v>
      </c>
      <c r="U632" s="10" t="s">
        <v>627</v>
      </c>
    </row>
    <row r="633" spans="1:2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7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8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9"/>
        <v>1</v>
      </c>
      <c r="U633" s="10" t="s">
        <v>627</v>
      </c>
    </row>
    <row r="634" spans="1:2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7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8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9"/>
        <v>1</v>
      </c>
      <c r="U634" s="10" t="s">
        <v>627</v>
      </c>
    </row>
    <row r="635" spans="1:2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7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8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9"/>
        <v>1</v>
      </c>
      <c r="U635" s="10" t="s">
        <v>627</v>
      </c>
    </row>
    <row r="636" spans="1:2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7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8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9"/>
        <v>1</v>
      </c>
      <c r="U636" s="10" t="s">
        <v>627</v>
      </c>
    </row>
    <row r="637" spans="1:2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7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8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9"/>
        <v>1</v>
      </c>
      <c r="U637" s="10" t="s">
        <v>627</v>
      </c>
    </row>
    <row r="638" spans="1:2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7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8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9"/>
        <v>1</v>
      </c>
      <c r="U638" s="10" t="s">
        <v>627</v>
      </c>
    </row>
    <row r="639" spans="1:2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7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8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9"/>
        <v>1</v>
      </c>
      <c r="U639" s="10" t="s">
        <v>627</v>
      </c>
    </row>
    <row r="640" spans="1:2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7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8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9"/>
        <v>1</v>
      </c>
      <c r="U640" s="10" t="s">
        <v>627</v>
      </c>
    </row>
    <row r="641" spans="1:2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7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8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9"/>
        <v>1</v>
      </c>
      <c r="U641" s="10" t="s">
        <v>627</v>
      </c>
    </row>
    <row r="642" spans="1:2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7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8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9"/>
        <v>4</v>
      </c>
      <c r="U642" s="10" t="s">
        <v>627</v>
      </c>
    </row>
    <row r="643" spans="1:2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30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8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9"/>
        <v>1</v>
      </c>
      <c r="U643" s="10" t="s">
        <v>627</v>
      </c>
    </row>
    <row r="644" spans="1:2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30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31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32">SUM(O644:S644)</f>
        <v>1</v>
      </c>
      <c r="U644" s="10" t="s">
        <v>627</v>
      </c>
    </row>
    <row r="645" spans="1:2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30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31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32"/>
        <v>1</v>
      </c>
      <c r="U645" s="10" t="s">
        <v>627</v>
      </c>
    </row>
    <row r="646" spans="1:2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30"/>
        <v/>
      </c>
      <c r="L646" s="7" t="str">
        <f>IF(VLOOKUP(A646,'[1]LISTA ETIQUETAS'!O:AB,14,0)="","",(VLOOKUP(A646,'[1]LISTA ETIQUETAS'!O:AB,14,0)))</f>
        <v/>
      </c>
      <c r="M646" s="8"/>
      <c r="N646" s="9">
        <f t="shared" si="31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32"/>
        <v>1</v>
      </c>
      <c r="U646" s="10" t="s">
        <v>627</v>
      </c>
    </row>
    <row r="647" spans="1:2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30"/>
        <v/>
      </c>
      <c r="L647" s="7" t="str">
        <f>IF(VLOOKUP(A647,'[1]LISTA ETIQUETAS'!O:AB,14,0)="","",(VLOOKUP(A647,'[1]LISTA ETIQUETAS'!O:AB,14,0)))</f>
        <v/>
      </c>
      <c r="M647" s="8"/>
      <c r="N647" s="9">
        <f t="shared" si="31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32"/>
        <v>1</v>
      </c>
      <c r="U647" s="10" t="s">
        <v>627</v>
      </c>
    </row>
    <row r="648" spans="1:2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30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31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32"/>
        <v>1</v>
      </c>
      <c r="U648" s="10" t="s">
        <v>627</v>
      </c>
    </row>
    <row r="649" spans="1:2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30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31"/>
        <v>179052</v>
      </c>
      <c r="O649" s="2">
        <f>_xlfn.XLOOKUP($A649,'[1]LISTA ETIQUETAS'!$O:$O,'[1]LISTA ETIQUETAS'!C:C,"",0)</f>
        <v>0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1</v>
      </c>
      <c r="T649" s="9">
        <f t="shared" si="32"/>
        <v>1</v>
      </c>
      <c r="U649" s="10" t="s">
        <v>627</v>
      </c>
    </row>
    <row r="650" spans="1:2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30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31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32"/>
        <v>1</v>
      </c>
      <c r="U650" s="10" t="s">
        <v>627</v>
      </c>
    </row>
    <row r="651" spans="1:2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30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31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32"/>
        <v>1</v>
      </c>
      <c r="U651" s="10" t="s">
        <v>627</v>
      </c>
    </row>
    <row r="652" spans="1:2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30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31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32"/>
        <v>1</v>
      </c>
      <c r="U652" s="10" t="s">
        <v>627</v>
      </c>
    </row>
    <row r="653" spans="1:2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30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31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32"/>
        <v>1</v>
      </c>
      <c r="U653" s="10" t="s">
        <v>627</v>
      </c>
    </row>
    <row r="654" spans="1:2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30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31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32"/>
        <v>1</v>
      </c>
      <c r="U654" s="10" t="s">
        <v>627</v>
      </c>
    </row>
    <row r="655" spans="1:2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30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31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32"/>
        <v>1</v>
      </c>
      <c r="U655" s="10" t="s">
        <v>627</v>
      </c>
    </row>
    <row r="656" spans="1:2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30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31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32"/>
        <v>2</v>
      </c>
      <c r="U656" s="10" t="s">
        <v>627</v>
      </c>
    </row>
    <row r="657" spans="1:2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30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31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32"/>
        <v>1</v>
      </c>
      <c r="U657" s="10" t="s">
        <v>627</v>
      </c>
    </row>
    <row r="658" spans="1:2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30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31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32"/>
        <v>1</v>
      </c>
      <c r="U658" s="10" t="s">
        <v>627</v>
      </c>
    </row>
    <row r="659" spans="1:2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30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31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32"/>
        <v>1</v>
      </c>
      <c r="U659" s="10" t="s">
        <v>627</v>
      </c>
    </row>
    <row r="660" spans="1:2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30"/>
        <v/>
      </c>
      <c r="L660" s="7" t="str">
        <f>IF(VLOOKUP(A660,'[1]LISTA ETIQUETAS'!O:AB,14,0)="","",(VLOOKUP(A660,'[1]LISTA ETIQUETAS'!O:AB,14,0)))</f>
        <v/>
      </c>
      <c r="M660" s="8"/>
      <c r="N660" s="9">
        <f t="shared" si="31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32"/>
        <v>1</v>
      </c>
      <c r="U660" s="10" t="s">
        <v>627</v>
      </c>
    </row>
    <row r="661" spans="1:2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30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31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32"/>
        <v>1</v>
      </c>
      <c r="U661" s="10" t="s">
        <v>627</v>
      </c>
    </row>
    <row r="662" spans="1:2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30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31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32"/>
        <v>1</v>
      </c>
      <c r="U662" s="10" t="s">
        <v>627</v>
      </c>
    </row>
    <row r="663" spans="1:2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30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31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1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1</v>
      </c>
      <c r="T663" s="9">
        <f t="shared" si="32"/>
        <v>2</v>
      </c>
      <c r="U663" s="10" t="s">
        <v>627</v>
      </c>
    </row>
    <row r="664" spans="1:2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30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31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1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1</v>
      </c>
      <c r="T664" s="9">
        <f t="shared" si="32"/>
        <v>2</v>
      </c>
      <c r="U664" s="10" t="s">
        <v>627</v>
      </c>
    </row>
    <row r="665" spans="1:2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30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31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32"/>
        <v>1</v>
      </c>
      <c r="U665" s="10" t="s">
        <v>627</v>
      </c>
    </row>
    <row r="666" spans="1:2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30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31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32"/>
        <v>1</v>
      </c>
      <c r="U666" s="10" t="s">
        <v>627</v>
      </c>
    </row>
    <row r="667" spans="1:2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30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31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32"/>
        <v>1</v>
      </c>
      <c r="U667" s="10" t="s">
        <v>627</v>
      </c>
    </row>
    <row r="668" spans="1:2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30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31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32"/>
        <v>1</v>
      </c>
      <c r="U668" s="10" t="s">
        <v>627</v>
      </c>
    </row>
    <row r="669" spans="1:2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30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31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32"/>
        <v>2</v>
      </c>
      <c r="U669" s="10" t="s">
        <v>627</v>
      </c>
    </row>
    <row r="670" spans="1:2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30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31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32"/>
        <v>1</v>
      </c>
      <c r="U670" s="10" t="s">
        <v>627</v>
      </c>
    </row>
    <row r="671" spans="1:2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30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31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32"/>
        <v>1</v>
      </c>
      <c r="U671" s="10" t="s">
        <v>627</v>
      </c>
    </row>
    <row r="672" spans="1:2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30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31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32"/>
        <v>2</v>
      </c>
      <c r="U672" s="10" t="s">
        <v>627</v>
      </c>
    </row>
    <row r="673" spans="1:2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30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31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32"/>
        <v>1</v>
      </c>
      <c r="U673" s="10" t="s">
        <v>627</v>
      </c>
    </row>
    <row r="674" spans="1:2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30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31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32"/>
        <v>2</v>
      </c>
      <c r="U674" s="10" t="s">
        <v>627</v>
      </c>
    </row>
    <row r="675" spans="1:2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30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31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32"/>
        <v>1</v>
      </c>
      <c r="U675" s="10" t="s">
        <v>627</v>
      </c>
    </row>
    <row r="676" spans="1:2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30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31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32"/>
        <v>1</v>
      </c>
      <c r="U676" s="10" t="s">
        <v>627</v>
      </c>
    </row>
    <row r="677" spans="1:2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30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31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32"/>
        <v>1</v>
      </c>
      <c r="U677" s="10" t="s">
        <v>627</v>
      </c>
    </row>
    <row r="678" spans="1:2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30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31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32"/>
        <v>1</v>
      </c>
      <c r="U678" s="10" t="s">
        <v>627</v>
      </c>
    </row>
    <row r="679" spans="1:2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30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31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32"/>
        <v>1</v>
      </c>
      <c r="U679" s="10" t="s">
        <v>627</v>
      </c>
    </row>
    <row r="680" spans="1:2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30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31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32"/>
        <v>1</v>
      </c>
      <c r="U680" s="10" t="s">
        <v>627</v>
      </c>
    </row>
    <row r="681" spans="1:2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30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31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32"/>
        <v>1</v>
      </c>
      <c r="U681" s="10" t="s">
        <v>627</v>
      </c>
    </row>
    <row r="682" spans="1:2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30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31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32"/>
        <v>1</v>
      </c>
      <c r="U682" s="10" t="s">
        <v>627</v>
      </c>
    </row>
    <row r="683" spans="1:2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30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31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32"/>
        <v>1</v>
      </c>
      <c r="U683" s="10" t="s">
        <v>627</v>
      </c>
    </row>
    <row r="684" spans="1:2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30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31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32"/>
        <v>1</v>
      </c>
      <c r="U684" s="10" t="s">
        <v>627</v>
      </c>
    </row>
    <row r="685" spans="1:2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30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31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32"/>
        <v>1</v>
      </c>
      <c r="U685" s="10" t="s">
        <v>627</v>
      </c>
    </row>
    <row r="686" spans="1:2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30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31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32"/>
        <v>1</v>
      </c>
      <c r="U686" s="10" t="s">
        <v>627</v>
      </c>
    </row>
    <row r="687" spans="1:21" x14ac:dyDescent="0.25">
      <c r="A687" s="5">
        <v>387722</v>
      </c>
      <c r="B687" t="str">
        <f>IFERROR((VLOOKUP(A687,'[1]LISTA ETIQUETAS'!O:X,3,0)),"PRODUTO SEM ESTOQUE")</f>
        <v>EST MESA JANTAR ORIENTE (TP/BS LAM CAST) SEMI CAFE</v>
      </c>
      <c r="C687" s="10" t="s">
        <v>51</v>
      </c>
      <c r="D687" s="10" t="s">
        <v>430</v>
      </c>
      <c r="E687" s="11">
        <f>IF(VLOOKUP(A687,'[1]LISTA ETIQUETAS'!O:W,4,0)="",(VLOOKUP(A687,'[1]LISTA ETIQUETAS'!O:W,6,0)),(VLOOKUP(A687,'[1]LISTA ETIQUETAS'!O:W,4,0)))</f>
        <v>2.78</v>
      </c>
      <c r="F687" s="11">
        <f>IF(VLOOKUP(A687,'[1]LISTA ETIQUETAS'!O:W,5,0)="",(VLOOKUP(A687,'[1]LISTA ETIQUETAS'!O:W,7,0)),(VLOOKUP(A687,'[1]LISTA ETIQUETAS'!O:W,5,0)))</f>
        <v>1.2</v>
      </c>
      <c r="G687" s="11">
        <f>IFERROR((VLOOKUP(A687,'[1]LISTA ETIQUETAS'!O:X,8,0)),"")</f>
        <v>0.76</v>
      </c>
      <c r="H687" s="11">
        <f>IFERROR((VLOOKUP(A687,'[1]LISTA ETIQUETAS'!O:X,9,0)),"")</f>
        <v>0</v>
      </c>
      <c r="I687" s="12">
        <f>IFERROR((VLOOKUP(A687,'[1]LISTA ETIQUETAS'!O:Y,11,0)),"")</f>
        <v>24289.4</v>
      </c>
      <c r="J687" s="6">
        <v>0</v>
      </c>
      <c r="K687" s="12">
        <f t="shared" si="30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31"/>
        <v>387722</v>
      </c>
      <c r="O687" s="2">
        <f>_xlfn.XLOOKUP($A687,'[1]LISTA ETIQUETAS'!$O:$O,'[1]LISTA ETIQUETAS'!C:C,"",0)</f>
        <v>0</v>
      </c>
      <c r="P687" s="2">
        <f>_xlfn.XLOOKUP($A687,'[1]LISTA ETIQUETAS'!$O:$O,'[1]LISTA ETIQUETAS'!D:D,"",0)</f>
        <v>0</v>
      </c>
      <c r="Q687" s="2">
        <f>_xlfn.XLOOKUP($A687,'[1]LISTA ETIQUETAS'!$O:$O,'[1]LISTA ETIQUETAS'!E:E,"",0)</f>
        <v>0</v>
      </c>
      <c r="R687" s="2">
        <f>_xlfn.XLOOKUP($A687,'[1]LISTA ETIQUETAS'!$O:$O,'[1]LISTA ETIQUETAS'!F:F,"",0)</f>
        <v>0</v>
      </c>
      <c r="S687" s="2">
        <f>_xlfn.XLOOKUP($A687,'[1]LISTA ETIQUETAS'!$O:$O,'[1]LISTA ETIQUETAS'!H:H,"",0)</f>
        <v>1</v>
      </c>
      <c r="T687" s="9">
        <f t="shared" si="32"/>
        <v>1</v>
      </c>
      <c r="U687" s="10" t="s">
        <v>627</v>
      </c>
    </row>
    <row r="688" spans="1:2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30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31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32"/>
        <v>1</v>
      </c>
      <c r="U688" s="10" t="s">
        <v>627</v>
      </c>
    </row>
    <row r="689" spans="1:2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30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31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32"/>
        <v>2</v>
      </c>
      <c r="U689" s="10" t="s">
        <v>627</v>
      </c>
    </row>
    <row r="690" spans="1:2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30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31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32"/>
        <v>1</v>
      </c>
      <c r="U690" s="10" t="s">
        <v>627</v>
      </c>
    </row>
    <row r="691" spans="1:21" x14ac:dyDescent="0.25">
      <c r="A691" s="5">
        <v>370965</v>
      </c>
      <c r="B691" t="str">
        <f>IFERROR((VLOOKUP(A691,'[1]LISTA ETIQUETAS'!O:X,3,0)),"PRODUTO SEM ESTOQUE")</f>
        <v>EST MESA JANTAR BELIZE (MADEIRA) TP/BS LAMINA AMENDOA</v>
      </c>
      <c r="C691" s="10" t="s">
        <v>51</v>
      </c>
      <c r="D691" s="10" t="s">
        <v>434</v>
      </c>
      <c r="E691" s="11">
        <f>IF(VLOOKUP(A691,'[1]LISTA ETIQUETAS'!O:W,4,0)="",(VLOOKUP(A691,'[1]LISTA ETIQUETAS'!O:W,6,0)),(VLOOKUP(A691,'[1]LISTA ETIQUETAS'!O:W,4,0)))</f>
        <v>2.8</v>
      </c>
      <c r="F691" s="11">
        <f>IF(VLOOKUP(A691,'[1]LISTA ETIQUETAS'!O:W,5,0)="",(VLOOKUP(A691,'[1]LISTA ETIQUETAS'!O:W,7,0)),(VLOOKUP(A691,'[1]LISTA ETIQUETAS'!O:W,5,0)))</f>
        <v>1.4</v>
      </c>
      <c r="G691" s="11">
        <f>IFERROR((VLOOKUP(A691,'[1]LISTA ETIQUETAS'!O:X,8,0)),"")</f>
        <v>0.76</v>
      </c>
      <c r="H691" s="11">
        <f>IFERROR((VLOOKUP(A691,'[1]LISTA ETIQUETAS'!O:X,9,0)),"")</f>
        <v>0</v>
      </c>
      <c r="I691" s="12">
        <f>IFERROR((VLOOKUP(A691,'[1]LISTA ETIQUETAS'!O:Y,11,0)),"")</f>
        <v>26065</v>
      </c>
      <c r="J691" s="6">
        <v>0</v>
      </c>
      <c r="K691" s="12">
        <f t="shared" si="30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31"/>
        <v>370965</v>
      </c>
      <c r="O691" s="2">
        <f>_xlfn.XLOOKUP($A691,'[1]LISTA ETIQUETAS'!$O:$O,'[1]LISTA ETIQUETAS'!C:C,"",0)</f>
        <v>0</v>
      </c>
      <c r="P691" s="2">
        <f>_xlfn.XLOOKUP($A691,'[1]LISTA ETIQUETAS'!$O:$O,'[1]LISTA ETIQUETAS'!D:D,"",0)</f>
        <v>0</v>
      </c>
      <c r="Q691" s="2">
        <f>_xlfn.XLOOKUP($A691,'[1]LISTA ETIQUETAS'!$O:$O,'[1]LISTA ETIQUETAS'!E:E,"",0)</f>
        <v>0</v>
      </c>
      <c r="R691" s="2">
        <f>_xlfn.XLOOKUP($A691,'[1]LISTA ETIQUETAS'!$O:$O,'[1]LISTA ETIQUETAS'!F:F,"",0)</f>
        <v>0</v>
      </c>
      <c r="S691" s="2">
        <f>_xlfn.XLOOKUP($A691,'[1]LISTA ETIQUETAS'!$O:$O,'[1]LISTA ETIQUETAS'!H:H,"",0)</f>
        <v>1</v>
      </c>
      <c r="T691" s="9">
        <f t="shared" si="32"/>
        <v>1</v>
      </c>
      <c r="U691" s="10" t="s">
        <v>627</v>
      </c>
    </row>
    <row r="692" spans="1:21" x14ac:dyDescent="0.25">
      <c r="A692" s="5">
        <v>371590</v>
      </c>
      <c r="B692" t="str">
        <f>IFERROR((VLOOKUP(A692,'[1]LISTA ETIQUETAS'!O:X,3,0)),"PRODUTO SEM ESTOQUE")</f>
        <v>EST MESA JANTAR PETRA (TP MARM 1 TRAVERTINO) (MTX FENDI)</v>
      </c>
      <c r="C692" s="10" t="s">
        <v>51</v>
      </c>
      <c r="D692" s="10" t="s">
        <v>435</v>
      </c>
      <c r="E692" s="11">
        <f>IF(VLOOKUP(A692,'[1]LISTA ETIQUETAS'!O:W,4,0)="",(VLOOKUP(A692,'[1]LISTA ETIQUETAS'!O:W,6,0)),(VLOOKUP(A692,'[1]LISTA ETIQUETAS'!O:W,4,0)))</f>
        <v>1.8</v>
      </c>
      <c r="F692" s="11">
        <f>IF(VLOOKUP(A692,'[1]LISTA ETIQUETAS'!O:W,5,0)="",(VLOOKUP(A692,'[1]LISTA ETIQUETAS'!O:W,7,0)),(VLOOKUP(A692,'[1]LISTA ETIQUETAS'!O:W,5,0)))</f>
        <v>0</v>
      </c>
      <c r="G692" s="11">
        <f>IFERROR((VLOOKUP(A692,'[1]LISTA ETIQUETAS'!O:X,8,0)),"")</f>
        <v>0.76</v>
      </c>
      <c r="H692" s="11">
        <f>IFERROR((VLOOKUP(A692,'[1]LISTA ETIQUETAS'!O:X,9,0)),"")</f>
        <v>1.8</v>
      </c>
      <c r="I692" s="12">
        <f>IFERROR((VLOOKUP(A692,'[1]LISTA ETIQUETAS'!O:Y,11,0)),"")</f>
        <v>100479.19</v>
      </c>
      <c r="J692" s="6">
        <v>0</v>
      </c>
      <c r="K692" s="12">
        <f t="shared" si="30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31"/>
        <v>371590</v>
      </c>
      <c r="O692" s="2">
        <f>_xlfn.XLOOKUP($A692,'[1]LISTA ETIQUETAS'!$O:$O,'[1]LISTA ETIQUETAS'!C:C,"",0)</f>
        <v>0</v>
      </c>
      <c r="P692" s="2">
        <f>_xlfn.XLOOKUP($A692,'[1]LISTA ETIQUETAS'!$O:$O,'[1]LISTA ETIQUETAS'!D:D,"",0)</f>
        <v>0</v>
      </c>
      <c r="Q692" s="2">
        <f>_xlfn.XLOOKUP($A692,'[1]LISTA ETIQUETAS'!$O:$O,'[1]LISTA ETIQUETAS'!E:E,"",0)</f>
        <v>0</v>
      </c>
      <c r="R692" s="2">
        <f>_xlfn.XLOOKUP($A692,'[1]LISTA ETIQUETAS'!$O:$O,'[1]LISTA ETIQUETAS'!F:F,"",0)</f>
        <v>0</v>
      </c>
      <c r="S692" s="2">
        <f>_xlfn.XLOOKUP($A692,'[1]LISTA ETIQUETAS'!$O:$O,'[1]LISTA ETIQUETAS'!H:H,"",0)</f>
        <v>1</v>
      </c>
      <c r="T692" s="9">
        <f t="shared" si="32"/>
        <v>1</v>
      </c>
      <c r="U692" s="10" t="s">
        <v>627</v>
      </c>
    </row>
    <row r="693" spans="1:2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30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31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32"/>
        <v>1</v>
      </c>
      <c r="U693" s="10" t="s">
        <v>627</v>
      </c>
    </row>
    <row r="694" spans="1:2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30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31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32"/>
        <v>1</v>
      </c>
      <c r="U694" s="10" t="s">
        <v>627</v>
      </c>
    </row>
    <row r="695" spans="1:2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30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31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32"/>
        <v>1</v>
      </c>
      <c r="U695" s="10" t="s">
        <v>627</v>
      </c>
    </row>
    <row r="696" spans="1:2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30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31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32"/>
        <v>2</v>
      </c>
      <c r="U696" s="10" t="s">
        <v>627</v>
      </c>
    </row>
    <row r="697" spans="1:2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30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31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32"/>
        <v>1</v>
      </c>
      <c r="U697" s="10" t="s">
        <v>627</v>
      </c>
    </row>
    <row r="698" spans="1:2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30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31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32"/>
        <v>1</v>
      </c>
      <c r="U698" s="10" t="s">
        <v>627</v>
      </c>
    </row>
    <row r="699" spans="1:2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30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31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32"/>
        <v>1</v>
      </c>
      <c r="U699" s="10" t="s">
        <v>627</v>
      </c>
    </row>
    <row r="700" spans="1:2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30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31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32"/>
        <v>1</v>
      </c>
      <c r="U700" s="10" t="s">
        <v>627</v>
      </c>
    </row>
    <row r="701" spans="1:2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30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31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32"/>
        <v>1</v>
      </c>
      <c r="U701" s="10" t="s">
        <v>627</v>
      </c>
    </row>
    <row r="702" spans="1:2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30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31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32"/>
        <v>1</v>
      </c>
      <c r="U702" s="10" t="s">
        <v>627</v>
      </c>
    </row>
    <row r="703" spans="1:2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30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31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32"/>
        <v>1</v>
      </c>
      <c r="U703" s="10" t="s">
        <v>627</v>
      </c>
    </row>
    <row r="704" spans="1:2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30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31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32"/>
        <v>1</v>
      </c>
      <c r="U704" s="10" t="s">
        <v>627</v>
      </c>
    </row>
    <row r="705" spans="1:2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30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31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32"/>
        <v>1</v>
      </c>
      <c r="U705" s="10" t="s">
        <v>627</v>
      </c>
    </row>
    <row r="706" spans="1:2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30"/>
        <v/>
      </c>
      <c r="L706" s="7" t="str">
        <f>IF(VLOOKUP(A706,'[1]LISTA ETIQUETAS'!O:AB,14,0)="","",(VLOOKUP(A706,'[1]LISTA ETIQUETAS'!O:AB,14,0)))</f>
        <v/>
      </c>
      <c r="M706" s="8"/>
      <c r="N706" s="9">
        <f t="shared" si="31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32"/>
        <v>1</v>
      </c>
      <c r="U706" s="10" t="s">
        <v>627</v>
      </c>
    </row>
    <row r="707" spans="1:2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33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31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32"/>
        <v>1</v>
      </c>
      <c r="U707" s="10" t="s">
        <v>627</v>
      </c>
    </row>
    <row r="708" spans="1:2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33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34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35">SUM(O708:S708)</f>
        <v>2</v>
      </c>
      <c r="U708" s="10" t="s">
        <v>627</v>
      </c>
    </row>
    <row r="709" spans="1:2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33"/>
        <v/>
      </c>
      <c r="L709" s="7" t="str">
        <f>IF(VLOOKUP(A709,'[1]LISTA ETIQUETAS'!O:AB,14,0)="","",(VLOOKUP(A709,'[1]LISTA ETIQUETAS'!O:AB,14,0)))</f>
        <v/>
      </c>
      <c r="M709" s="8"/>
      <c r="N709" s="9">
        <f t="shared" si="34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35"/>
        <v>2</v>
      </c>
      <c r="U709" s="10" t="s">
        <v>627</v>
      </c>
    </row>
    <row r="710" spans="1:2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33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34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35"/>
        <v>1</v>
      </c>
      <c r="U710" s="10" t="s">
        <v>627</v>
      </c>
    </row>
    <row r="711" spans="1:2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33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34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35"/>
        <v>1</v>
      </c>
      <c r="U711" s="10" t="s">
        <v>627</v>
      </c>
    </row>
    <row r="712" spans="1:2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33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34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35"/>
        <v>1</v>
      </c>
      <c r="U712" s="10" t="s">
        <v>627</v>
      </c>
    </row>
    <row r="713" spans="1:2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33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34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35"/>
        <v>1</v>
      </c>
      <c r="U713" s="10" t="s">
        <v>627</v>
      </c>
    </row>
    <row r="714" spans="1:2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33"/>
        <v/>
      </c>
      <c r="L714" s="7" t="str">
        <f>IF(VLOOKUP(A714,'[1]LISTA ETIQUETAS'!O:AB,14,0)="","",(VLOOKUP(A714,'[1]LISTA ETIQUETAS'!O:AB,14,0)))</f>
        <v/>
      </c>
      <c r="M714" s="8"/>
      <c r="N714" s="9">
        <f t="shared" si="34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35"/>
        <v>1</v>
      </c>
      <c r="U714" s="10" t="s">
        <v>627</v>
      </c>
    </row>
    <row r="715" spans="1:2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33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34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35"/>
        <v>2</v>
      </c>
      <c r="U715" s="10" t="s">
        <v>627</v>
      </c>
    </row>
    <row r="716" spans="1:2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33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34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35"/>
        <v>1</v>
      </c>
      <c r="U716" s="10" t="s">
        <v>627</v>
      </c>
    </row>
    <row r="717" spans="1:2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33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34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35"/>
        <v>1</v>
      </c>
      <c r="U717" s="10" t="s">
        <v>627</v>
      </c>
    </row>
    <row r="718" spans="1:2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33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34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35"/>
        <v>1</v>
      </c>
      <c r="U718" s="10" t="s">
        <v>627</v>
      </c>
    </row>
    <row r="719" spans="1:2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33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34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35"/>
        <v>1</v>
      </c>
      <c r="U719" s="10" t="s">
        <v>627</v>
      </c>
    </row>
    <row r="720" spans="1:2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33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34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35"/>
        <v>2</v>
      </c>
      <c r="U720" s="10" t="s">
        <v>627</v>
      </c>
    </row>
    <row r="721" spans="1:2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33"/>
        <v/>
      </c>
      <c r="L721" s="7" t="str">
        <f>IF(VLOOKUP(A721,'[1]LISTA ETIQUETAS'!O:AB,14,0)="","",(VLOOKUP(A721,'[1]LISTA ETIQUETAS'!O:AB,14,0)))</f>
        <v/>
      </c>
      <c r="M721" s="8"/>
      <c r="N721" s="9">
        <f t="shared" si="34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35"/>
        <v>1</v>
      </c>
      <c r="U721" s="10" t="s">
        <v>627</v>
      </c>
    </row>
    <row r="722" spans="1:2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33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34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35"/>
        <v>1</v>
      </c>
      <c r="U722" s="10" t="s">
        <v>627</v>
      </c>
    </row>
    <row r="723" spans="1:2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33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34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35"/>
        <v>1</v>
      </c>
      <c r="U723" s="10" t="s">
        <v>627</v>
      </c>
    </row>
    <row r="724" spans="1:2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33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34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35"/>
        <v>1</v>
      </c>
      <c r="U724" s="10" t="s">
        <v>627</v>
      </c>
    </row>
    <row r="725" spans="1:2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33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34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35"/>
        <v>1</v>
      </c>
      <c r="U725" s="10" t="s">
        <v>627</v>
      </c>
    </row>
    <row r="726" spans="1:2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33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34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35"/>
        <v>1</v>
      </c>
      <c r="U726" s="10" t="s">
        <v>627</v>
      </c>
    </row>
    <row r="727" spans="1:2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33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34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35"/>
        <v>1</v>
      </c>
      <c r="U727" s="10" t="s">
        <v>627</v>
      </c>
    </row>
    <row r="728" spans="1:2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33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34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35"/>
        <v>1</v>
      </c>
      <c r="U728" s="10" t="s">
        <v>627</v>
      </c>
    </row>
    <row r="729" spans="1:2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33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34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35"/>
        <v>1</v>
      </c>
      <c r="U729" s="10" t="s">
        <v>627</v>
      </c>
    </row>
    <row r="730" spans="1:2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33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34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35"/>
        <v>1</v>
      </c>
      <c r="U730" s="10" t="s">
        <v>627</v>
      </c>
    </row>
    <row r="731" spans="1:2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33"/>
        <v/>
      </c>
      <c r="L731" s="7" t="str">
        <f>IF(VLOOKUP(A731,'[1]LISTA ETIQUETAS'!O:AB,14,0)="","",(VLOOKUP(A731,'[1]LISTA ETIQUETAS'!O:AB,14,0)))</f>
        <v/>
      </c>
      <c r="M731" s="8"/>
      <c r="N731" s="9">
        <f t="shared" si="34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35"/>
        <v>1</v>
      </c>
      <c r="U731" s="10" t="s">
        <v>627</v>
      </c>
    </row>
    <row r="732" spans="1:2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33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34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35"/>
        <v>1</v>
      </c>
      <c r="U732" s="10" t="s">
        <v>627</v>
      </c>
    </row>
    <row r="733" spans="1:2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33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34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35"/>
        <v>1</v>
      </c>
      <c r="U733" s="10" t="s">
        <v>627</v>
      </c>
    </row>
    <row r="734" spans="1:2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33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34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35"/>
        <v>1</v>
      </c>
      <c r="U734" s="10" t="s">
        <v>627</v>
      </c>
    </row>
    <row r="735" spans="1:2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33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34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35"/>
        <v>1</v>
      </c>
      <c r="U735" s="10" t="s">
        <v>627</v>
      </c>
    </row>
    <row r="736" spans="1:2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33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34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35"/>
        <v>1</v>
      </c>
      <c r="U736" s="10" t="s">
        <v>627</v>
      </c>
    </row>
    <row r="737" spans="1:2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33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34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35"/>
        <v>1</v>
      </c>
      <c r="U737" s="10" t="s">
        <v>627</v>
      </c>
    </row>
    <row r="738" spans="1:2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33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34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35"/>
        <v>1</v>
      </c>
      <c r="U738" s="10" t="s">
        <v>627</v>
      </c>
    </row>
    <row r="739" spans="1:2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33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34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35"/>
        <v>1</v>
      </c>
      <c r="U739" s="10" t="s">
        <v>627</v>
      </c>
    </row>
    <row r="740" spans="1:2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33"/>
        <v/>
      </c>
      <c r="L740" s="7" t="str">
        <f>IF(VLOOKUP(A740,'[1]LISTA ETIQUETAS'!O:AB,14,0)="","",(VLOOKUP(A740,'[1]LISTA ETIQUETAS'!O:AB,14,0)))</f>
        <v/>
      </c>
      <c r="M740" s="8"/>
      <c r="N740" s="9">
        <f t="shared" si="34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35"/>
        <v>1</v>
      </c>
      <c r="U740" s="10" t="s">
        <v>627</v>
      </c>
    </row>
    <row r="741" spans="1:2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33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34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35"/>
        <v>1</v>
      </c>
      <c r="U741" s="10" t="s">
        <v>627</v>
      </c>
    </row>
    <row r="742" spans="1:2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33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34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35"/>
        <v>2</v>
      </c>
      <c r="U742" s="10" t="s">
        <v>627</v>
      </c>
    </row>
    <row r="743" spans="1:2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33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34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35"/>
        <v>1</v>
      </c>
      <c r="U743" s="10" t="s">
        <v>627</v>
      </c>
    </row>
    <row r="744" spans="1:2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33"/>
        <v/>
      </c>
      <c r="L744" s="7" t="str">
        <f>IF(VLOOKUP(A744,'[1]LISTA ETIQUETAS'!O:AB,14,0)="","",(VLOOKUP(A744,'[1]LISTA ETIQUETAS'!O:AB,14,0)))</f>
        <v/>
      </c>
      <c r="M744" s="8"/>
      <c r="N744" s="9">
        <f t="shared" si="34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35"/>
        <v>1</v>
      </c>
      <c r="U744" s="10" t="s">
        <v>627</v>
      </c>
    </row>
    <row r="745" spans="1:2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33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34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35"/>
        <v>1</v>
      </c>
      <c r="U745" s="10" t="s">
        <v>627</v>
      </c>
    </row>
    <row r="746" spans="1:2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33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34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35"/>
        <v>1</v>
      </c>
      <c r="U746" s="10" t="s">
        <v>627</v>
      </c>
    </row>
    <row r="747" spans="1:2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33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34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35"/>
        <v>3</v>
      </c>
      <c r="U747" s="10" t="s">
        <v>627</v>
      </c>
    </row>
    <row r="748" spans="1:2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33"/>
        <v/>
      </c>
      <c r="L748" s="7" t="str">
        <f>IF(VLOOKUP(A748,'[1]LISTA ETIQUETAS'!O:AB,14,0)="","",(VLOOKUP(A748,'[1]LISTA ETIQUETAS'!O:AB,14,0)))</f>
        <v/>
      </c>
      <c r="M748" s="8"/>
      <c r="N748" s="9">
        <f t="shared" si="34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35"/>
        <v>1</v>
      </c>
      <c r="U748" s="10" t="s">
        <v>627</v>
      </c>
    </row>
    <row r="749" spans="1:2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33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34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35"/>
        <v>2</v>
      </c>
      <c r="U749" s="10" t="s">
        <v>627</v>
      </c>
    </row>
    <row r="750" spans="1:2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33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34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35"/>
        <v>1</v>
      </c>
      <c r="U750" s="10" t="s">
        <v>627</v>
      </c>
    </row>
    <row r="751" spans="1:2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33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34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35"/>
        <v>1</v>
      </c>
      <c r="U751" s="10" t="s">
        <v>627</v>
      </c>
    </row>
    <row r="752" spans="1:2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33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34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35"/>
        <v>1</v>
      </c>
      <c r="U752" s="10" t="s">
        <v>627</v>
      </c>
    </row>
    <row r="753" spans="1:2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33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34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35"/>
        <v>1</v>
      </c>
      <c r="U753" s="10" t="s">
        <v>627</v>
      </c>
    </row>
    <row r="754" spans="1:2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33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34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35"/>
        <v>1</v>
      </c>
      <c r="U754" s="10" t="s">
        <v>627</v>
      </c>
    </row>
    <row r="755" spans="1:2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33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34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35"/>
        <v>1</v>
      </c>
      <c r="U755" s="10" t="s">
        <v>627</v>
      </c>
    </row>
    <row r="756" spans="1:2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33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34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35"/>
        <v>1</v>
      </c>
      <c r="U756" s="10" t="s">
        <v>627</v>
      </c>
    </row>
    <row r="757" spans="1:2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33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34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35"/>
        <v>1</v>
      </c>
      <c r="U757" s="10" t="s">
        <v>627</v>
      </c>
    </row>
    <row r="758" spans="1:2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33"/>
        <v/>
      </c>
      <c r="L758" s="7" t="str">
        <f>IF(VLOOKUP(A758,'[1]LISTA ETIQUETAS'!O:AB,14,0)="","",(VLOOKUP(A758,'[1]LISTA ETIQUETAS'!O:AB,14,0)))</f>
        <v/>
      </c>
      <c r="M758" s="8"/>
      <c r="N758" s="9">
        <f t="shared" si="34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35"/>
        <v>1</v>
      </c>
      <c r="U758" s="10" t="s">
        <v>627</v>
      </c>
    </row>
    <row r="759" spans="1:2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33"/>
        <v/>
      </c>
      <c r="L759" s="7" t="str">
        <f>IF(VLOOKUP(A759,'[1]LISTA ETIQUETAS'!O:AB,14,0)="","",(VLOOKUP(A759,'[1]LISTA ETIQUETAS'!O:AB,14,0)))</f>
        <v/>
      </c>
      <c r="M759" s="8"/>
      <c r="N759" s="9">
        <f t="shared" si="34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35"/>
        <v>1</v>
      </c>
      <c r="U759" s="10" t="s">
        <v>627</v>
      </c>
    </row>
    <row r="760" spans="1:2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33"/>
        <v/>
      </c>
      <c r="L760" s="7" t="str">
        <f>IF(VLOOKUP(A760,'[1]LISTA ETIQUETAS'!O:AB,14,0)="","",(VLOOKUP(A760,'[1]LISTA ETIQUETAS'!O:AB,14,0)))</f>
        <v/>
      </c>
      <c r="M760" s="8"/>
      <c r="N760" s="9">
        <f t="shared" si="34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35"/>
        <v>1</v>
      </c>
      <c r="U760" s="10" t="s">
        <v>627</v>
      </c>
    </row>
    <row r="761" spans="1:2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33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34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35"/>
        <v>2</v>
      </c>
      <c r="U761" s="10" t="s">
        <v>627</v>
      </c>
    </row>
    <row r="762" spans="1:2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33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34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35"/>
        <v>2</v>
      </c>
      <c r="U762" s="10" t="s">
        <v>627</v>
      </c>
    </row>
    <row r="763" spans="1:2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33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34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35"/>
        <v>1</v>
      </c>
      <c r="U763" s="10" t="s">
        <v>627</v>
      </c>
    </row>
    <row r="764" spans="1:2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33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34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35"/>
        <v>2</v>
      </c>
      <c r="U764" s="10" t="s">
        <v>627</v>
      </c>
    </row>
    <row r="765" spans="1:2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33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34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35"/>
        <v>1</v>
      </c>
      <c r="U765" s="10" t="s">
        <v>627</v>
      </c>
    </row>
    <row r="766" spans="1:2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33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34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35"/>
        <v>1</v>
      </c>
      <c r="U766" s="10" t="s">
        <v>627</v>
      </c>
    </row>
    <row r="767" spans="1:2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33"/>
        <v/>
      </c>
      <c r="L767" s="7" t="str">
        <f>IF(VLOOKUP(A767,'[1]LISTA ETIQUETAS'!O:AB,14,0)="","",(VLOOKUP(A767,'[1]LISTA ETIQUETAS'!O:AB,14,0)))</f>
        <v/>
      </c>
      <c r="M767" s="8"/>
      <c r="N767" s="9">
        <f t="shared" si="34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35"/>
        <v>1</v>
      </c>
      <c r="U767" s="10" t="s">
        <v>627</v>
      </c>
    </row>
    <row r="768" spans="1:2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33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34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35"/>
        <v>1</v>
      </c>
      <c r="U768" s="10" t="s">
        <v>627</v>
      </c>
    </row>
    <row r="769" spans="1:2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33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34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35"/>
        <v>1</v>
      </c>
      <c r="U769" s="10" t="s">
        <v>627</v>
      </c>
    </row>
    <row r="770" spans="1:2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33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34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35"/>
        <v>2</v>
      </c>
      <c r="U770" s="10" t="s">
        <v>627</v>
      </c>
    </row>
    <row r="771" spans="1:2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6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34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35"/>
        <v>1</v>
      </c>
      <c r="U771" s="10" t="s">
        <v>627</v>
      </c>
    </row>
    <row r="772" spans="1:2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6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7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8">SUM(O772:S772)</f>
        <v>1</v>
      </c>
      <c r="U772" s="10" t="s">
        <v>627</v>
      </c>
    </row>
    <row r="773" spans="1:2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6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7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8"/>
        <v>1</v>
      </c>
      <c r="U773" s="10" t="s">
        <v>627</v>
      </c>
    </row>
    <row r="774" spans="1:2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6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7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8"/>
        <v>3</v>
      </c>
      <c r="U774" s="10" t="s">
        <v>627</v>
      </c>
    </row>
    <row r="775" spans="1:2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6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7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8"/>
        <v>1</v>
      </c>
      <c r="U775" s="10" t="s">
        <v>627</v>
      </c>
    </row>
    <row r="776" spans="1:2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6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7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8"/>
        <v>1</v>
      </c>
      <c r="U776" s="10" t="s">
        <v>627</v>
      </c>
    </row>
    <row r="777" spans="1:2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6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7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8"/>
        <v>2</v>
      </c>
      <c r="U777" s="10" t="s">
        <v>627</v>
      </c>
    </row>
    <row r="778" spans="1:2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6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7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8"/>
        <v>2</v>
      </c>
      <c r="U778" s="10" t="s">
        <v>627</v>
      </c>
    </row>
    <row r="779" spans="1:2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6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7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8"/>
        <v>1</v>
      </c>
      <c r="U779" s="10" t="s">
        <v>627</v>
      </c>
    </row>
    <row r="780" spans="1:2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6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7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8"/>
        <v>2</v>
      </c>
      <c r="U780" s="10" t="s">
        <v>627</v>
      </c>
    </row>
    <row r="781" spans="1:2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6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7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8"/>
        <v>2</v>
      </c>
      <c r="U781" s="10" t="s">
        <v>627</v>
      </c>
    </row>
    <row r="782" spans="1:2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6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7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8"/>
        <v>1</v>
      </c>
      <c r="U782" s="10" t="s">
        <v>627</v>
      </c>
    </row>
    <row r="783" spans="1:2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6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7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8"/>
        <v>2</v>
      </c>
      <c r="U783" s="10" t="s">
        <v>627</v>
      </c>
    </row>
    <row r="784" spans="1:2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6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7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8"/>
        <v>1</v>
      </c>
      <c r="U784" s="10" t="s">
        <v>627</v>
      </c>
    </row>
    <row r="785" spans="1:2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6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7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8"/>
        <v>1</v>
      </c>
      <c r="U785" s="10" t="s">
        <v>627</v>
      </c>
    </row>
    <row r="786" spans="1:2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6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7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8"/>
        <v>1</v>
      </c>
      <c r="U786" s="10" t="s">
        <v>627</v>
      </c>
    </row>
    <row r="787" spans="1:2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6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7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8"/>
        <v>2</v>
      </c>
      <c r="U787" s="10" t="s">
        <v>627</v>
      </c>
    </row>
    <row r="788" spans="1:2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6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7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8"/>
        <v>1</v>
      </c>
      <c r="U788" s="10" t="s">
        <v>627</v>
      </c>
    </row>
    <row r="789" spans="1:2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6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7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8"/>
        <v>1</v>
      </c>
      <c r="U789" s="10" t="s">
        <v>627</v>
      </c>
    </row>
    <row r="790" spans="1:2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6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7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8"/>
        <v>1</v>
      </c>
      <c r="U790" s="10" t="s">
        <v>627</v>
      </c>
    </row>
    <row r="791" spans="1:2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6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7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8"/>
        <v>2</v>
      </c>
      <c r="U791" s="10" t="s">
        <v>627</v>
      </c>
    </row>
    <row r="792" spans="1:2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6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7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8"/>
        <v>2</v>
      </c>
      <c r="U792" s="10" t="s">
        <v>627</v>
      </c>
    </row>
    <row r="793" spans="1:2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6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7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8"/>
        <v>1</v>
      </c>
      <c r="U793" s="10" t="s">
        <v>627</v>
      </c>
    </row>
    <row r="794" spans="1:2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6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7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8"/>
        <v>1</v>
      </c>
      <c r="U794" s="10" t="s">
        <v>627</v>
      </c>
    </row>
    <row r="795" spans="1:2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6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7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8"/>
        <v>3</v>
      </c>
      <c r="U795" s="10" t="s">
        <v>627</v>
      </c>
    </row>
    <row r="796" spans="1:2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6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7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8"/>
        <v>2</v>
      </c>
      <c r="U796" s="10" t="s">
        <v>627</v>
      </c>
    </row>
    <row r="797" spans="1:2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6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7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8"/>
        <v>2</v>
      </c>
      <c r="U797" s="10" t="s">
        <v>627</v>
      </c>
    </row>
    <row r="798" spans="1:2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6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7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8"/>
        <v>2</v>
      </c>
      <c r="U798" s="10" t="s">
        <v>627</v>
      </c>
    </row>
    <row r="799" spans="1:2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6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7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8"/>
        <v>1</v>
      </c>
      <c r="U799" s="10" t="s">
        <v>627</v>
      </c>
    </row>
    <row r="800" spans="1:2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6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7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8"/>
        <v>1</v>
      </c>
      <c r="U800" s="10" t="s">
        <v>627</v>
      </c>
    </row>
    <row r="801" spans="1:2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6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7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8"/>
        <v>2</v>
      </c>
      <c r="U801" s="10" t="s">
        <v>627</v>
      </c>
    </row>
    <row r="802" spans="1:2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6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7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8"/>
        <v>2</v>
      </c>
      <c r="U802" s="10" t="s">
        <v>627</v>
      </c>
    </row>
    <row r="803" spans="1:2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6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7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8"/>
        <v>1</v>
      </c>
      <c r="U803" s="10" t="s">
        <v>627</v>
      </c>
    </row>
    <row r="804" spans="1:2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6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7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8"/>
        <v>1</v>
      </c>
      <c r="U804" s="10" t="s">
        <v>627</v>
      </c>
    </row>
    <row r="805" spans="1:2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6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7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8"/>
        <v>1</v>
      </c>
      <c r="U805" s="10" t="s">
        <v>627</v>
      </c>
    </row>
    <row r="806" spans="1:2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6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7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8"/>
        <v>1</v>
      </c>
      <c r="U806" s="10" t="s">
        <v>627</v>
      </c>
    </row>
    <row r="807" spans="1:2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6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7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8"/>
        <v>2</v>
      </c>
      <c r="U807" s="10" t="s">
        <v>627</v>
      </c>
    </row>
    <row r="808" spans="1:2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6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7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8"/>
        <v>1</v>
      </c>
      <c r="U808" s="10" t="s">
        <v>627</v>
      </c>
    </row>
    <row r="809" spans="1:2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6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7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8"/>
        <v>1</v>
      </c>
      <c r="U809" s="10" t="s">
        <v>627</v>
      </c>
    </row>
    <row r="810" spans="1:2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6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7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8"/>
        <v>1</v>
      </c>
      <c r="U810" s="10" t="s">
        <v>627</v>
      </c>
    </row>
    <row r="811" spans="1:2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6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7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8"/>
        <v>1</v>
      </c>
      <c r="U811" s="10" t="s">
        <v>627</v>
      </c>
    </row>
    <row r="812" spans="1:2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6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7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8"/>
        <v>1</v>
      </c>
      <c r="U812" s="10" t="s">
        <v>627</v>
      </c>
    </row>
    <row r="813" spans="1:2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6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7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8"/>
        <v>1</v>
      </c>
      <c r="U813" s="10" t="s">
        <v>627</v>
      </c>
    </row>
    <row r="814" spans="1:2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6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7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8"/>
        <v>1</v>
      </c>
      <c r="U814" s="10" t="s">
        <v>627</v>
      </c>
    </row>
    <row r="815" spans="1:2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6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7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8"/>
        <v>1</v>
      </c>
      <c r="U815" s="10" t="s">
        <v>627</v>
      </c>
    </row>
    <row r="816" spans="1:2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6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7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8"/>
        <v>1</v>
      </c>
      <c r="U816" s="10" t="s">
        <v>627</v>
      </c>
    </row>
    <row r="817" spans="1:2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6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7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8"/>
        <v>1</v>
      </c>
      <c r="U817" s="10" t="s">
        <v>627</v>
      </c>
    </row>
    <row r="818" spans="1:2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6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7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8"/>
        <v>1</v>
      </c>
      <c r="U818" s="10" t="s">
        <v>627</v>
      </c>
    </row>
    <row r="819" spans="1:2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6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7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8"/>
        <v>2</v>
      </c>
      <c r="U819" s="10" t="s">
        <v>627</v>
      </c>
    </row>
    <row r="820" spans="1:2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6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7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8"/>
        <v>1</v>
      </c>
      <c r="U820" s="10" t="s">
        <v>627</v>
      </c>
    </row>
    <row r="821" spans="1:2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6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7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8"/>
        <v>1</v>
      </c>
      <c r="U821" s="10" t="s">
        <v>627</v>
      </c>
    </row>
    <row r="822" spans="1:2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6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7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8"/>
        <v>1</v>
      </c>
      <c r="U822" s="10" t="s">
        <v>627</v>
      </c>
    </row>
    <row r="823" spans="1:2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6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7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8"/>
        <v>2</v>
      </c>
      <c r="U823" s="10" t="s">
        <v>627</v>
      </c>
    </row>
    <row r="824" spans="1:2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6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7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8"/>
        <v>1</v>
      </c>
      <c r="U824" s="10" t="s">
        <v>627</v>
      </c>
    </row>
    <row r="825" spans="1:2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6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7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8"/>
        <v>1</v>
      </c>
      <c r="U825" s="10" t="s">
        <v>627</v>
      </c>
    </row>
    <row r="826" spans="1:2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6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7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8"/>
        <v>4</v>
      </c>
      <c r="U826" s="10" t="s">
        <v>627</v>
      </c>
    </row>
    <row r="827" spans="1:2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6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7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8"/>
        <v>1</v>
      </c>
      <c r="U827" s="10" t="s">
        <v>627</v>
      </c>
    </row>
    <row r="828" spans="1:2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6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7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8"/>
        <v>10</v>
      </c>
      <c r="U828" s="10" t="s">
        <v>627</v>
      </c>
    </row>
    <row r="829" spans="1:2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6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7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8"/>
        <v>1</v>
      </c>
      <c r="U829" s="10" t="s">
        <v>627</v>
      </c>
    </row>
    <row r="830" spans="1:2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6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7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8"/>
        <v>1</v>
      </c>
      <c r="U830" s="10" t="s">
        <v>627</v>
      </c>
    </row>
    <row r="831" spans="1:2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6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7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8"/>
        <v>2</v>
      </c>
      <c r="U831" s="10" t="s">
        <v>627</v>
      </c>
    </row>
    <row r="832" spans="1:2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6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7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8"/>
        <v>1</v>
      </c>
      <c r="U832" s="10" t="s">
        <v>627</v>
      </c>
    </row>
    <row r="833" spans="1:2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6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7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8"/>
        <v>4</v>
      </c>
      <c r="U833" s="10" t="s">
        <v>627</v>
      </c>
    </row>
    <row r="834" spans="1:2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6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7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8"/>
        <v>1</v>
      </c>
      <c r="U834" s="10" t="s">
        <v>627</v>
      </c>
    </row>
    <row r="835" spans="1:2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9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7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8"/>
        <v>3</v>
      </c>
      <c r="U835" s="10" t="s">
        <v>627</v>
      </c>
    </row>
    <row r="836" spans="1:2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9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40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41">SUM(O836:S836)</f>
        <v>1</v>
      </c>
      <c r="U836" s="10" t="s">
        <v>627</v>
      </c>
    </row>
    <row r="837" spans="1:2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9"/>
        <v/>
      </c>
      <c r="L837" s="7" t="str">
        <f>IF(VLOOKUP(A837,'[1]LISTA ETIQUETAS'!O:AB,14,0)="","",(VLOOKUP(A837,'[1]LISTA ETIQUETAS'!O:AB,14,0)))</f>
        <v/>
      </c>
      <c r="M837" s="8"/>
      <c r="N837" s="9">
        <f t="shared" si="40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41"/>
        <v>1</v>
      </c>
      <c r="U837" s="10" t="s">
        <v>627</v>
      </c>
    </row>
    <row r="838" spans="1:2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9"/>
        <v/>
      </c>
      <c r="L838" s="7" t="str">
        <f>IF(VLOOKUP(A838,'[1]LISTA ETIQUETAS'!O:AB,14,0)="","",(VLOOKUP(A838,'[1]LISTA ETIQUETAS'!O:AB,14,0)))</f>
        <v/>
      </c>
      <c r="M838" s="8"/>
      <c r="N838" s="9">
        <f t="shared" si="40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41"/>
        <v>1</v>
      </c>
      <c r="U838" s="10" t="s">
        <v>627</v>
      </c>
    </row>
    <row r="839" spans="1:2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9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40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41"/>
        <v>2</v>
      </c>
      <c r="U839" s="10" t="s">
        <v>627</v>
      </c>
    </row>
    <row r="840" spans="1:2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9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40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41"/>
        <v>1</v>
      </c>
      <c r="U840" s="10" t="s">
        <v>627</v>
      </c>
    </row>
    <row r="841" spans="1:2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9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40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41"/>
        <v>2</v>
      </c>
      <c r="U841" s="10" t="s">
        <v>627</v>
      </c>
    </row>
    <row r="842" spans="1:2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9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40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41"/>
        <v>2</v>
      </c>
      <c r="U842" s="10" t="s">
        <v>627</v>
      </c>
    </row>
    <row r="843" spans="1:2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9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40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41"/>
        <v>2</v>
      </c>
      <c r="U843" s="10" t="s">
        <v>627</v>
      </c>
    </row>
    <row r="844" spans="1:2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9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40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41"/>
        <v>1</v>
      </c>
      <c r="U844" s="10" t="s">
        <v>627</v>
      </c>
    </row>
    <row r="845" spans="1:2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9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40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41"/>
        <v>1</v>
      </c>
      <c r="U845" s="10" t="s">
        <v>627</v>
      </c>
    </row>
    <row r="846" spans="1:2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9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40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41"/>
        <v>1</v>
      </c>
      <c r="U846" s="10" t="s">
        <v>627</v>
      </c>
    </row>
    <row r="847" spans="1:2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9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40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41"/>
        <v>1</v>
      </c>
      <c r="U847" s="10" t="s">
        <v>627</v>
      </c>
    </row>
    <row r="848" spans="1:2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9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40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41"/>
        <v>1</v>
      </c>
      <c r="U848" s="10" t="s">
        <v>627</v>
      </c>
    </row>
    <row r="849" spans="1:2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9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40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41"/>
        <v>1</v>
      </c>
      <c r="U849" s="10" t="s">
        <v>627</v>
      </c>
    </row>
    <row r="850" spans="1:2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9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40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41"/>
        <v>2</v>
      </c>
      <c r="U850" s="10" t="s">
        <v>627</v>
      </c>
    </row>
    <row r="851" spans="1:2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9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40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41"/>
        <v>1</v>
      </c>
      <c r="U851" s="10" t="s">
        <v>627</v>
      </c>
    </row>
    <row r="852" spans="1:2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9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40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41"/>
        <v>1</v>
      </c>
      <c r="U852" s="10" t="s">
        <v>627</v>
      </c>
    </row>
    <row r="853" spans="1:2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9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40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41"/>
        <v>1</v>
      </c>
      <c r="U853" s="10" t="s">
        <v>627</v>
      </c>
    </row>
    <row r="854" spans="1:2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9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40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41"/>
        <v>1</v>
      </c>
      <c r="U854" s="10" t="s">
        <v>627</v>
      </c>
    </row>
    <row r="855" spans="1:2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9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40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41"/>
        <v>1</v>
      </c>
      <c r="U855" s="10" t="s">
        <v>627</v>
      </c>
    </row>
    <row r="856" spans="1:2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9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40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41"/>
        <v>1</v>
      </c>
      <c r="U856" s="10" t="s">
        <v>627</v>
      </c>
    </row>
    <row r="857" spans="1:2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9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40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41"/>
        <v>2</v>
      </c>
      <c r="U857" s="10" t="s">
        <v>627</v>
      </c>
    </row>
    <row r="858" spans="1:2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9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40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41"/>
        <v>2</v>
      </c>
      <c r="U858" s="10" t="s">
        <v>627</v>
      </c>
    </row>
    <row r="859" spans="1:2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9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40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41"/>
        <v>1</v>
      </c>
      <c r="U859" s="10" t="s">
        <v>627</v>
      </c>
    </row>
    <row r="860" spans="1:2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9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40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41"/>
        <v>2</v>
      </c>
      <c r="U860" s="10" t="s">
        <v>627</v>
      </c>
    </row>
    <row r="861" spans="1:2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9"/>
        <v/>
      </c>
      <c r="L861" s="7" t="str">
        <f>IF(VLOOKUP(A861,'[1]LISTA ETIQUETAS'!O:AB,14,0)="","",(VLOOKUP(A861,'[1]LISTA ETIQUETAS'!O:AB,14,0)))</f>
        <v/>
      </c>
      <c r="M861" s="8"/>
      <c r="N861" s="9">
        <f t="shared" si="40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41"/>
        <v>1</v>
      </c>
      <c r="U861" s="10" t="s">
        <v>627</v>
      </c>
    </row>
    <row r="862" spans="1:2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9"/>
        <v/>
      </c>
      <c r="L862" s="7" t="str">
        <f>IF(VLOOKUP(A862,'[1]LISTA ETIQUETAS'!O:AB,14,0)="","",(VLOOKUP(A862,'[1]LISTA ETIQUETAS'!O:AB,14,0)))</f>
        <v/>
      </c>
      <c r="M862" s="8"/>
      <c r="N862" s="9">
        <f t="shared" si="40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41"/>
        <v>1</v>
      </c>
      <c r="U862" s="10" t="s">
        <v>627</v>
      </c>
    </row>
    <row r="863" spans="1:2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9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40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41"/>
        <v>2</v>
      </c>
      <c r="U863" s="10" t="s">
        <v>627</v>
      </c>
    </row>
    <row r="864" spans="1:2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9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40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41"/>
        <v>4</v>
      </c>
      <c r="U864" s="10" t="s">
        <v>627</v>
      </c>
    </row>
    <row r="865" spans="1:2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9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40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41"/>
        <v>2</v>
      </c>
      <c r="U865" s="10" t="s">
        <v>627</v>
      </c>
    </row>
    <row r="866" spans="1:2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9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40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41"/>
        <v>1</v>
      </c>
      <c r="U866" s="10" t="s">
        <v>627</v>
      </c>
    </row>
    <row r="867" spans="1:2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9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40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41"/>
        <v>2</v>
      </c>
      <c r="U867" s="10" t="s">
        <v>627</v>
      </c>
    </row>
    <row r="868" spans="1:2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9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40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41"/>
        <v>2</v>
      </c>
      <c r="U868" s="10" t="s">
        <v>627</v>
      </c>
    </row>
    <row r="869" spans="1:2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9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40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41"/>
        <v>1</v>
      </c>
      <c r="U869" s="10" t="s">
        <v>627</v>
      </c>
    </row>
    <row r="870" spans="1:2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9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40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41"/>
        <v>1</v>
      </c>
      <c r="U870" s="10" t="s">
        <v>627</v>
      </c>
    </row>
    <row r="871" spans="1:2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9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40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41"/>
        <v>1</v>
      </c>
      <c r="U871" s="10" t="s">
        <v>627</v>
      </c>
    </row>
    <row r="872" spans="1:2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9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40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41"/>
        <v>4</v>
      </c>
      <c r="U872" s="10" t="s">
        <v>627</v>
      </c>
    </row>
    <row r="873" spans="1:2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9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40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41"/>
        <v>1</v>
      </c>
      <c r="U873" s="10" t="s">
        <v>627</v>
      </c>
    </row>
    <row r="874" spans="1:2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9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40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1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1</v>
      </c>
      <c r="T874" s="9">
        <f t="shared" si="41"/>
        <v>2</v>
      </c>
      <c r="U874" s="10" t="s">
        <v>627</v>
      </c>
    </row>
    <row r="875" spans="1:2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9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40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41"/>
        <v>1</v>
      </c>
      <c r="U875" s="10" t="s">
        <v>627</v>
      </c>
    </row>
    <row r="876" spans="1:2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9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40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41"/>
        <v>1</v>
      </c>
      <c r="U876" s="10" t="s">
        <v>627</v>
      </c>
    </row>
    <row r="877" spans="1:2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9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40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1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1</v>
      </c>
      <c r="T877" s="9">
        <f t="shared" si="41"/>
        <v>4</v>
      </c>
      <c r="U877" s="10" t="s">
        <v>627</v>
      </c>
    </row>
    <row r="878" spans="1:2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9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40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41"/>
        <v>1</v>
      </c>
      <c r="U878" s="10" t="s">
        <v>627</v>
      </c>
    </row>
    <row r="879" spans="1:2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9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40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41"/>
        <v>1</v>
      </c>
      <c r="U879" s="10" t="s">
        <v>627</v>
      </c>
    </row>
    <row r="880" spans="1:2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9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40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41"/>
        <v>1</v>
      </c>
      <c r="U880" s="10" t="s">
        <v>627</v>
      </c>
    </row>
    <row r="881" spans="1:2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9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40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41"/>
        <v>1</v>
      </c>
      <c r="U881" s="10" t="s">
        <v>627</v>
      </c>
    </row>
    <row r="882" spans="1:2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9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40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41"/>
        <v>1</v>
      </c>
      <c r="U882" s="10" t="s">
        <v>627</v>
      </c>
    </row>
    <row r="883" spans="1:2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9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40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41"/>
        <v>2</v>
      </c>
      <c r="U883" s="10" t="s">
        <v>627</v>
      </c>
    </row>
    <row r="884" spans="1:2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9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40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41"/>
        <v>2</v>
      </c>
      <c r="U884" s="10" t="s">
        <v>627</v>
      </c>
    </row>
    <row r="885" spans="1:2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9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40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41"/>
        <v>1</v>
      </c>
      <c r="U885" s="10" t="s">
        <v>627</v>
      </c>
    </row>
    <row r="886" spans="1:2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9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40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41"/>
        <v>3</v>
      </c>
      <c r="U886" s="10" t="s">
        <v>627</v>
      </c>
    </row>
    <row r="887" spans="1:2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9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40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41"/>
        <v>1</v>
      </c>
      <c r="U887" s="10" t="s">
        <v>627</v>
      </c>
    </row>
    <row r="888" spans="1:2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9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40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41"/>
        <v>1</v>
      </c>
      <c r="U888" s="10" t="s">
        <v>627</v>
      </c>
    </row>
    <row r="889" spans="1:2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9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40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41"/>
        <v>2</v>
      </c>
      <c r="U889" s="10" t="s">
        <v>627</v>
      </c>
    </row>
    <row r="890" spans="1:2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9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40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41"/>
        <v>1</v>
      </c>
      <c r="U890" s="10" t="s">
        <v>627</v>
      </c>
    </row>
    <row r="891" spans="1:2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9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40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41"/>
        <v>3</v>
      </c>
      <c r="U891" s="10" t="s">
        <v>627</v>
      </c>
    </row>
    <row r="892" spans="1:2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9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40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41"/>
        <v>1</v>
      </c>
      <c r="U892" s="10" t="s">
        <v>627</v>
      </c>
    </row>
    <row r="893" spans="1:2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9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40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41"/>
        <v>1</v>
      </c>
      <c r="U893" s="10" t="s">
        <v>627</v>
      </c>
    </row>
    <row r="894" spans="1:2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9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40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41"/>
        <v>2</v>
      </c>
      <c r="U894" s="10" t="s">
        <v>627</v>
      </c>
    </row>
    <row r="895" spans="1:2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9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40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41"/>
        <v>1</v>
      </c>
      <c r="U895" s="10" t="s">
        <v>627</v>
      </c>
    </row>
    <row r="896" spans="1:2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9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40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41"/>
        <v>1</v>
      </c>
      <c r="U896" s="10" t="s">
        <v>627</v>
      </c>
    </row>
    <row r="897" spans="1:2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9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40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41"/>
        <v>2</v>
      </c>
      <c r="U897" s="10" t="s">
        <v>627</v>
      </c>
    </row>
    <row r="898" spans="1:2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9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40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41"/>
        <v>1</v>
      </c>
      <c r="U898" s="10" t="s">
        <v>627</v>
      </c>
    </row>
    <row r="899" spans="1:2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42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40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41"/>
        <v>1</v>
      </c>
      <c r="U899" s="10" t="s">
        <v>627</v>
      </c>
    </row>
    <row r="900" spans="1:2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42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43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44">SUM(O900:S900)</f>
        <v>2</v>
      </c>
      <c r="U900" s="10" t="s">
        <v>627</v>
      </c>
    </row>
    <row r="901" spans="1:2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42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43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44"/>
        <v>1</v>
      </c>
      <c r="U901" s="10" t="s">
        <v>627</v>
      </c>
    </row>
    <row r="902" spans="1:2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42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43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44"/>
        <v>2</v>
      </c>
      <c r="U902" s="10" t="s">
        <v>627</v>
      </c>
    </row>
    <row r="903" spans="1:2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42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43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44"/>
        <v>2</v>
      </c>
      <c r="U903" s="10" t="s">
        <v>627</v>
      </c>
    </row>
    <row r="904" spans="1:2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42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43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44"/>
        <v>1</v>
      </c>
      <c r="U904" s="10" t="s">
        <v>627</v>
      </c>
    </row>
    <row r="905" spans="1:2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42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43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44"/>
        <v>1</v>
      </c>
      <c r="U905" s="10" t="s">
        <v>627</v>
      </c>
    </row>
    <row r="906" spans="1:2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42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43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44"/>
        <v>3</v>
      </c>
      <c r="U906" s="10" t="s">
        <v>627</v>
      </c>
    </row>
    <row r="907" spans="1:2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42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43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44"/>
        <v>1</v>
      </c>
      <c r="U907" s="10" t="s">
        <v>627</v>
      </c>
    </row>
    <row r="908" spans="1:2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42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43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44"/>
        <v>1</v>
      </c>
      <c r="U908" s="10" t="s">
        <v>627</v>
      </c>
    </row>
    <row r="909" spans="1:2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42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43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44"/>
        <v>2</v>
      </c>
      <c r="U909" s="10" t="s">
        <v>627</v>
      </c>
    </row>
    <row r="910" spans="1:2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42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43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44"/>
        <v>4</v>
      </c>
      <c r="U910" s="10" t="s">
        <v>627</v>
      </c>
    </row>
    <row r="911" spans="1:2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42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43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44"/>
        <v>2</v>
      </c>
      <c r="U911" s="10" t="s">
        <v>627</v>
      </c>
    </row>
    <row r="912" spans="1:2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42"/>
        <v/>
      </c>
      <c r="L912" s="7" t="str">
        <f>IF(VLOOKUP(A912,'[1]LISTA ETIQUETAS'!O:AB,14,0)="","",(VLOOKUP(A912,'[1]LISTA ETIQUETAS'!O:AB,14,0)))</f>
        <v/>
      </c>
      <c r="M912" s="8"/>
      <c r="N912" s="9">
        <f t="shared" si="43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44"/>
        <v>1</v>
      </c>
      <c r="U912" s="10" t="s">
        <v>627</v>
      </c>
    </row>
    <row r="913" spans="1:2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42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43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44"/>
        <v>2</v>
      </c>
      <c r="U913" s="10" t="s">
        <v>627</v>
      </c>
    </row>
    <row r="914" spans="1:2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42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43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44"/>
        <v>2</v>
      </c>
      <c r="U914" s="10" t="s">
        <v>627</v>
      </c>
    </row>
    <row r="915" spans="1:2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42"/>
        <v/>
      </c>
      <c r="L915" s="7" t="str">
        <f>IF(VLOOKUP(A915,'[1]LISTA ETIQUETAS'!O:AB,14,0)="","",(VLOOKUP(A915,'[1]LISTA ETIQUETAS'!O:AB,14,0)))</f>
        <v/>
      </c>
      <c r="M915" s="8"/>
      <c r="N915" s="9">
        <f t="shared" si="43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44"/>
        <v>1</v>
      </c>
      <c r="U915" s="10" t="s">
        <v>627</v>
      </c>
    </row>
    <row r="916" spans="1:2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42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43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44"/>
        <v>2</v>
      </c>
      <c r="U916" s="10" t="s">
        <v>627</v>
      </c>
    </row>
    <row r="917" spans="1:2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42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43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44"/>
        <v>1</v>
      </c>
      <c r="U917" s="10" t="s">
        <v>627</v>
      </c>
    </row>
    <row r="918" spans="1:2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42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43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44"/>
        <v>2</v>
      </c>
      <c r="U918" s="10" t="s">
        <v>627</v>
      </c>
    </row>
    <row r="919" spans="1:2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42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43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44"/>
        <v>1</v>
      </c>
      <c r="U919" s="10" t="s">
        <v>627</v>
      </c>
    </row>
    <row r="920" spans="1:2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42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43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44"/>
        <v>1</v>
      </c>
      <c r="U920" s="10" t="s">
        <v>627</v>
      </c>
    </row>
    <row r="921" spans="1:2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42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43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44"/>
        <v>2</v>
      </c>
      <c r="U921" s="10" t="s">
        <v>627</v>
      </c>
    </row>
    <row r="922" spans="1:2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42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43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44"/>
        <v>1</v>
      </c>
      <c r="U922" s="10" t="s">
        <v>627</v>
      </c>
    </row>
    <row r="923" spans="1:2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42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43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44"/>
        <v>1</v>
      </c>
      <c r="U923" s="10" t="s">
        <v>627</v>
      </c>
    </row>
    <row r="924" spans="1:2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42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43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44"/>
        <v>1</v>
      </c>
      <c r="U924" s="10" t="s">
        <v>627</v>
      </c>
    </row>
    <row r="925" spans="1:2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42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43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44"/>
        <v>1</v>
      </c>
      <c r="U925" s="10" t="s">
        <v>627</v>
      </c>
    </row>
    <row r="926" spans="1:2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42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43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44"/>
        <v>1</v>
      </c>
      <c r="U926" s="10" t="s">
        <v>627</v>
      </c>
    </row>
    <row r="927" spans="1:2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42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43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44"/>
        <v>1</v>
      </c>
      <c r="U927" s="10" t="s">
        <v>627</v>
      </c>
    </row>
    <row r="928" spans="1:2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42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43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44"/>
        <v>1</v>
      </c>
      <c r="U928" s="10" t="s">
        <v>627</v>
      </c>
    </row>
    <row r="929" spans="1:2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42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43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44"/>
        <v>1</v>
      </c>
      <c r="U929" s="10" t="s">
        <v>627</v>
      </c>
    </row>
    <row r="930" spans="1:2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42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43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44"/>
        <v>2</v>
      </c>
      <c r="U930" s="10" t="s">
        <v>627</v>
      </c>
    </row>
    <row r="931" spans="1:2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42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43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44"/>
        <v>1</v>
      </c>
      <c r="U931" s="10" t="s">
        <v>627</v>
      </c>
    </row>
    <row r="932" spans="1:2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42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43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44"/>
        <v>2</v>
      </c>
      <c r="U932" s="10" t="s">
        <v>627</v>
      </c>
    </row>
    <row r="933" spans="1:2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42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43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44"/>
        <v>5</v>
      </c>
      <c r="U933" s="10" t="s">
        <v>627</v>
      </c>
    </row>
    <row r="934" spans="1:2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42"/>
        <v/>
      </c>
      <c r="L934" s="7" t="str">
        <f>IF(VLOOKUP(A934,'[1]LISTA ETIQUETAS'!O:AB,14,0)="","",(VLOOKUP(A934,'[1]LISTA ETIQUETAS'!O:AB,14,0)))</f>
        <v/>
      </c>
      <c r="M934" s="8"/>
      <c r="N934" s="9">
        <f t="shared" si="43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44"/>
        <v>1</v>
      </c>
      <c r="U934" s="10" t="s">
        <v>627</v>
      </c>
    </row>
    <row r="935" spans="1:2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42"/>
        <v/>
      </c>
      <c r="L935" s="7" t="str">
        <f>IF(VLOOKUP(A935,'[1]LISTA ETIQUETAS'!O:AB,14,0)="","",(VLOOKUP(A935,'[1]LISTA ETIQUETAS'!O:AB,14,0)))</f>
        <v/>
      </c>
      <c r="M935" s="8"/>
      <c r="N935" s="9">
        <f t="shared" si="43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44"/>
        <v>1</v>
      </c>
      <c r="U935" s="10" t="s">
        <v>627</v>
      </c>
    </row>
    <row r="936" spans="1:2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42"/>
        <v/>
      </c>
      <c r="L936" s="7" t="str">
        <f>IF(VLOOKUP(A936,'[1]LISTA ETIQUETAS'!O:AB,14,0)="","",(VLOOKUP(A936,'[1]LISTA ETIQUETAS'!O:AB,14,0)))</f>
        <v/>
      </c>
      <c r="M936" s="8"/>
      <c r="N936" s="9">
        <f t="shared" si="43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44"/>
        <v>1</v>
      </c>
      <c r="U936" s="10" t="s">
        <v>627</v>
      </c>
    </row>
    <row r="937" spans="1:2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42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43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44"/>
        <v>1</v>
      </c>
      <c r="U937" s="10" t="s">
        <v>627</v>
      </c>
    </row>
    <row r="938" spans="1:2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42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43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44"/>
        <v>1</v>
      </c>
      <c r="U938" s="10" t="s">
        <v>627</v>
      </c>
    </row>
    <row r="939" spans="1:2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42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43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44"/>
        <v>1</v>
      </c>
      <c r="U939" s="10" t="s">
        <v>627</v>
      </c>
    </row>
    <row r="940" spans="1:2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42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43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44"/>
        <v>1</v>
      </c>
      <c r="U940" s="10" t="s">
        <v>627</v>
      </c>
    </row>
    <row r="941" spans="1:2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42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43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44"/>
        <v>1</v>
      </c>
      <c r="U941" s="10" t="s">
        <v>627</v>
      </c>
    </row>
    <row r="942" spans="1:2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42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43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44"/>
        <v>1</v>
      </c>
      <c r="U942" s="10" t="s">
        <v>627</v>
      </c>
    </row>
    <row r="943" spans="1:2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42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43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44"/>
        <v>1</v>
      </c>
      <c r="U943" s="10" t="s">
        <v>627</v>
      </c>
    </row>
    <row r="944" spans="1:2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42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43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44"/>
        <v>1</v>
      </c>
      <c r="U944" s="10" t="s">
        <v>627</v>
      </c>
    </row>
    <row r="945" spans="1:2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42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43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44"/>
        <v>1</v>
      </c>
      <c r="U945" s="10" t="s">
        <v>627</v>
      </c>
    </row>
    <row r="946" spans="1:2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42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43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44"/>
        <v>2</v>
      </c>
      <c r="U946" s="10" t="s">
        <v>627</v>
      </c>
    </row>
    <row r="947" spans="1:2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42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43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44"/>
        <v>2</v>
      </c>
      <c r="U947" s="10" t="s">
        <v>627</v>
      </c>
    </row>
    <row r="948" spans="1:2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42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43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44"/>
        <v>1</v>
      </c>
      <c r="U948" s="10" t="s">
        <v>627</v>
      </c>
    </row>
    <row r="949" spans="1:2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42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43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44"/>
        <v>1</v>
      </c>
      <c r="U949" s="10" t="s">
        <v>627</v>
      </c>
    </row>
    <row r="950" spans="1:2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42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43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44"/>
        <v>3</v>
      </c>
      <c r="U950" s="10" t="s">
        <v>627</v>
      </c>
    </row>
    <row r="951" spans="1:2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42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43"/>
        <v>334162</v>
      </c>
      <c r="O951" s="2">
        <f>_xlfn.XLOOKUP($A951,'[1]LISTA ETIQUETAS'!$O:$O,'[1]LISTA ETIQUETAS'!C:C,"",0)</f>
        <v>0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1</v>
      </c>
      <c r="T951" s="9">
        <f t="shared" si="44"/>
        <v>1</v>
      </c>
      <c r="U951" s="10" t="s">
        <v>627</v>
      </c>
    </row>
    <row r="952" spans="1:2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42"/>
        <v/>
      </c>
      <c r="L952" s="7" t="str">
        <f>IF(VLOOKUP(A952,'[1]LISTA ETIQUETAS'!O:AB,14,0)="","",(VLOOKUP(A952,'[1]LISTA ETIQUETAS'!O:AB,14,0)))</f>
        <v/>
      </c>
      <c r="M952" s="8"/>
      <c r="N952" s="9">
        <f t="shared" si="43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44"/>
        <v>1</v>
      </c>
      <c r="U952" s="10" t="s">
        <v>627</v>
      </c>
    </row>
    <row r="953" spans="1:2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42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43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44"/>
        <v>1</v>
      </c>
      <c r="U953" s="10" t="s">
        <v>627</v>
      </c>
    </row>
    <row r="954" spans="1:2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42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43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44"/>
        <v>1</v>
      </c>
      <c r="U954" s="10" t="s">
        <v>627</v>
      </c>
    </row>
    <row r="955" spans="1:2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42"/>
        <v/>
      </c>
      <c r="L955" s="7" t="str">
        <f>IF(VLOOKUP(A955,'[1]LISTA ETIQUETAS'!O:AB,14,0)="","",(VLOOKUP(A955,'[1]LISTA ETIQUETAS'!O:AB,14,0)))</f>
        <v/>
      </c>
      <c r="M955" s="8"/>
      <c r="N955" s="9">
        <f t="shared" si="43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44"/>
        <v>1</v>
      </c>
      <c r="U955" s="10" t="s">
        <v>627</v>
      </c>
    </row>
    <row r="956" spans="1:2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42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43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44"/>
        <v>1</v>
      </c>
      <c r="U956" s="10" t="s">
        <v>627</v>
      </c>
    </row>
    <row r="957" spans="1:2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42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43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44"/>
        <v>1</v>
      </c>
      <c r="U957" s="10" t="s">
        <v>627</v>
      </c>
    </row>
    <row r="958" spans="1:2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42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43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44"/>
        <v>1</v>
      </c>
      <c r="U958" s="10" t="s">
        <v>627</v>
      </c>
    </row>
    <row r="959" spans="1:2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42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43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44"/>
        <v>1</v>
      </c>
      <c r="U959" s="10" t="s">
        <v>627</v>
      </c>
    </row>
    <row r="960" spans="1:2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42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43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44"/>
        <v>1</v>
      </c>
      <c r="U960" s="10" t="s">
        <v>627</v>
      </c>
    </row>
    <row r="961" spans="1:2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42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43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44"/>
        <v>1</v>
      </c>
      <c r="U961" s="10" t="s">
        <v>627</v>
      </c>
    </row>
    <row r="962" spans="1:2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42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43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44"/>
        <v>1</v>
      </c>
      <c r="U962" s="10" t="s">
        <v>627</v>
      </c>
    </row>
    <row r="963" spans="1:2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45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43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44"/>
        <v>1</v>
      </c>
      <c r="U963" s="10" t="s">
        <v>627</v>
      </c>
    </row>
    <row r="964" spans="1:2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45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6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7">SUM(O964:S964)</f>
        <v>1</v>
      </c>
      <c r="U964" s="10" t="s">
        <v>627</v>
      </c>
    </row>
    <row r="965" spans="1:2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45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6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7"/>
        <v>1</v>
      </c>
      <c r="U965" s="10" t="s">
        <v>627</v>
      </c>
    </row>
    <row r="966" spans="1:2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45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6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7"/>
        <v>1</v>
      </c>
      <c r="U966" s="10" t="s">
        <v>627</v>
      </c>
    </row>
    <row r="967" spans="1:2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45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6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7"/>
        <v>1</v>
      </c>
      <c r="U967" s="10" t="s">
        <v>627</v>
      </c>
    </row>
    <row r="968" spans="1:2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45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6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7"/>
        <v>1</v>
      </c>
      <c r="U968" s="10" t="s">
        <v>627</v>
      </c>
    </row>
    <row r="969" spans="1:2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45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6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7"/>
        <v>3</v>
      </c>
      <c r="U969" s="10" t="s">
        <v>627</v>
      </c>
    </row>
    <row r="970" spans="1:2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45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6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7"/>
        <v>3</v>
      </c>
      <c r="U970" s="10" t="s">
        <v>627</v>
      </c>
    </row>
    <row r="971" spans="1:2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45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6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7"/>
        <v>2</v>
      </c>
      <c r="U971" s="10" t="s">
        <v>627</v>
      </c>
    </row>
    <row r="972" spans="1:2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45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6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7"/>
        <v>1</v>
      </c>
      <c r="U972" s="10" t="s">
        <v>627</v>
      </c>
    </row>
    <row r="973" spans="1:2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45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6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7"/>
        <v>1</v>
      </c>
      <c r="U973" s="10" t="s">
        <v>627</v>
      </c>
    </row>
    <row r="974" spans="1:2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45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6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7"/>
        <v>2</v>
      </c>
      <c r="U974" s="10" t="s">
        <v>627</v>
      </c>
    </row>
    <row r="975" spans="1:2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45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6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7"/>
        <v>1</v>
      </c>
      <c r="U975" s="10" t="s">
        <v>627</v>
      </c>
    </row>
    <row r="976" spans="1:2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45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6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7"/>
        <v>2</v>
      </c>
      <c r="U976" s="10" t="s">
        <v>627</v>
      </c>
    </row>
    <row r="977" spans="1:2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45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6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7"/>
        <v>1</v>
      </c>
      <c r="U977" s="10" t="s">
        <v>627</v>
      </c>
    </row>
    <row r="978" spans="1:2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45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6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7"/>
        <v>3</v>
      </c>
      <c r="U978" s="10" t="s">
        <v>627</v>
      </c>
    </row>
    <row r="979" spans="1:2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45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6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7"/>
        <v>1</v>
      </c>
      <c r="U979" s="10" t="s">
        <v>627</v>
      </c>
    </row>
    <row r="980" spans="1:2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45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6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7"/>
        <v>2</v>
      </c>
      <c r="U980" s="10" t="s">
        <v>627</v>
      </c>
    </row>
    <row r="981" spans="1:2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45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6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7"/>
        <v>2</v>
      </c>
      <c r="U981" s="10" t="s">
        <v>627</v>
      </c>
    </row>
    <row r="982" spans="1:2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45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6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7"/>
        <v>1</v>
      </c>
      <c r="U982" s="10" t="s">
        <v>627</v>
      </c>
    </row>
    <row r="983" spans="1:2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45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6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7"/>
        <v>2</v>
      </c>
      <c r="U983" s="10" t="s">
        <v>627</v>
      </c>
    </row>
    <row r="984" spans="1:2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45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6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7"/>
        <v>1</v>
      </c>
      <c r="U984" s="10" t="s">
        <v>627</v>
      </c>
    </row>
    <row r="985" spans="1:2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45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6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7"/>
        <v>2</v>
      </c>
      <c r="U985" s="10" t="s">
        <v>627</v>
      </c>
    </row>
    <row r="986" spans="1:2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45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6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7"/>
        <v>2</v>
      </c>
      <c r="U986" s="10" t="s">
        <v>627</v>
      </c>
    </row>
    <row r="987" spans="1:2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45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6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7"/>
        <v>2</v>
      </c>
      <c r="U987" s="10" t="s">
        <v>627</v>
      </c>
    </row>
    <row r="988" spans="1:2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45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6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7"/>
        <v>1</v>
      </c>
      <c r="U988" s="10" t="s">
        <v>627</v>
      </c>
    </row>
    <row r="989" spans="1:2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45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6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7"/>
        <v>1</v>
      </c>
      <c r="U989" s="10" t="s">
        <v>627</v>
      </c>
    </row>
    <row r="990" spans="1:2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45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6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7"/>
        <v>1</v>
      </c>
      <c r="U990" s="10" t="s">
        <v>627</v>
      </c>
    </row>
    <row r="991" spans="1:2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45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6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7"/>
        <v>1</v>
      </c>
      <c r="U991" s="10" t="s">
        <v>627</v>
      </c>
    </row>
    <row r="992" spans="1:2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45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6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7"/>
        <v>1</v>
      </c>
      <c r="U992" s="10" t="s">
        <v>627</v>
      </c>
    </row>
    <row r="993" spans="1:2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45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6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7"/>
        <v>1</v>
      </c>
      <c r="U993" s="10" t="s">
        <v>627</v>
      </c>
    </row>
    <row r="994" spans="1:2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45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6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7"/>
        <v>1</v>
      </c>
      <c r="U994" s="10" t="s">
        <v>627</v>
      </c>
    </row>
    <row r="995" spans="1:2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45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6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7"/>
        <v>1</v>
      </c>
      <c r="U995" s="10" t="s">
        <v>627</v>
      </c>
    </row>
    <row r="996" spans="1:2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45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6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7"/>
        <v>1</v>
      </c>
      <c r="U996" s="10" t="s">
        <v>627</v>
      </c>
    </row>
    <row r="997" spans="1:2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45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6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7"/>
        <v>1</v>
      </c>
      <c r="U997" s="10" t="s">
        <v>627</v>
      </c>
    </row>
    <row r="998" spans="1:21" x14ac:dyDescent="0.25">
      <c r="A998" s="5">
        <v>380312</v>
      </c>
      <c r="B998" t="str">
        <f>IFERROR((VLOOKUP(A998,'[1]LISTA ETIQUETAS'!O:X,3,0)),"PRODUTO SEM ESTOQUE")</f>
        <v>EST TAMPO CRISTAL LAPIDADO (15MM) INCOLOR CANTO TICK</v>
      </c>
      <c r="C998" s="10" t="s">
        <v>113</v>
      </c>
      <c r="D998" s="10" t="s">
        <v>114</v>
      </c>
      <c r="E998" s="11">
        <f>IF(VLOOKUP(A998,'[1]LISTA ETIQUETAS'!O:W,4,0)="",(VLOOKUP(A998,'[1]LISTA ETIQUETAS'!O:W,6,0)),(VLOOKUP(A998,'[1]LISTA ETIQUETAS'!O:W,4,0)))</f>
        <v>2</v>
      </c>
      <c r="F998" s="11">
        <f>IF(VLOOKUP(A998,'[1]LISTA ETIQUETAS'!O:W,5,0)="",(VLOOKUP(A998,'[1]LISTA ETIQUETAS'!O:W,7,0)),(VLOOKUP(A998,'[1]LISTA ETIQUETAS'!O:W,5,0)))</f>
        <v>0.9</v>
      </c>
      <c r="G998" s="11">
        <f>IFERROR((VLOOKUP(A998,'[1]LISTA ETIQUETAS'!O:X,8,0)),"")</f>
        <v>0.01</v>
      </c>
      <c r="H998" s="11">
        <f>IFERROR((VLOOKUP(A998,'[1]LISTA ETIQUETAS'!O:X,9,0)),"")</f>
        <v>0</v>
      </c>
      <c r="I998" s="12" t="str">
        <f>IFERROR((VLOOKUP(A998,'[1]LISTA ETIQUETAS'!O:Y,11,0)),"")</f>
        <v/>
      </c>
      <c r="J998" s="6">
        <v>0</v>
      </c>
      <c r="K998" s="12" t="str">
        <f t="shared" si="45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6"/>
        <v>380312</v>
      </c>
      <c r="O998" s="2">
        <f>_xlfn.XLOOKUP($A998,'[1]LISTA ETIQUETAS'!$O:$O,'[1]LISTA ETIQUETAS'!C:C,"",0)</f>
        <v>0</v>
      </c>
      <c r="P998" s="2">
        <f>_xlfn.XLOOKUP($A998,'[1]LISTA ETIQUETAS'!$O:$O,'[1]LISTA ETIQUETAS'!D:D,"",0)</f>
        <v>0</v>
      </c>
      <c r="Q998" s="2">
        <f>_xlfn.XLOOKUP($A998,'[1]LISTA ETIQUETAS'!$O:$O,'[1]LISTA ETIQUETAS'!E:E,"",0)</f>
        <v>0</v>
      </c>
      <c r="R998" s="2">
        <f>_xlfn.XLOOKUP($A998,'[1]LISTA ETIQUETAS'!$O:$O,'[1]LISTA ETIQUETAS'!F:F,"",0)</f>
        <v>0</v>
      </c>
      <c r="S998" s="2">
        <f>_xlfn.XLOOKUP($A998,'[1]LISTA ETIQUETAS'!$O:$O,'[1]LISTA ETIQUETAS'!H:H,"",0)</f>
        <v>1</v>
      </c>
      <c r="T998" s="9">
        <f t="shared" si="47"/>
        <v>1</v>
      </c>
      <c r="U998" s="10" t="s">
        <v>627</v>
      </c>
    </row>
    <row r="999" spans="1:2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45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6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7"/>
        <v>1</v>
      </c>
      <c r="U999" s="10" t="s">
        <v>627</v>
      </c>
    </row>
    <row r="1000" spans="1:2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45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6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7"/>
        <v>3</v>
      </c>
      <c r="U1000" s="10" t="s">
        <v>627</v>
      </c>
    </row>
    <row r="1001" spans="1:2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45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6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7"/>
        <v>1</v>
      </c>
      <c r="U1001" s="10" t="s">
        <v>627</v>
      </c>
    </row>
    <row r="1002" spans="1:2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45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6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7"/>
        <v>1</v>
      </c>
      <c r="U1002" s="10" t="s">
        <v>627</v>
      </c>
    </row>
    <row r="1003" spans="1:2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45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6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7"/>
        <v>1</v>
      </c>
      <c r="U1003" s="10" t="s">
        <v>627</v>
      </c>
    </row>
    <row r="1004" spans="1:2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45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6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7"/>
        <v>2</v>
      </c>
      <c r="U1004" s="10" t="s">
        <v>627</v>
      </c>
    </row>
    <row r="1005" spans="1:2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45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6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7"/>
        <v>1</v>
      </c>
      <c r="U1005" s="10" t="s">
        <v>627</v>
      </c>
    </row>
    <row r="1006" spans="1:2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45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6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7"/>
        <v>2</v>
      </c>
      <c r="U1006" s="10" t="s">
        <v>627</v>
      </c>
    </row>
    <row r="1007" spans="1:2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45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6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7"/>
        <v>1</v>
      </c>
      <c r="U1007" s="10" t="s">
        <v>627</v>
      </c>
    </row>
    <row r="1008" spans="1:2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45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6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7"/>
        <v>1</v>
      </c>
      <c r="U1008" s="10" t="s">
        <v>627</v>
      </c>
    </row>
    <row r="1009" spans="1:2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45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6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7"/>
        <v>1</v>
      </c>
      <c r="U1009" s="10" t="s">
        <v>627</v>
      </c>
    </row>
    <row r="1010" spans="1:2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45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6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7"/>
        <v>1</v>
      </c>
      <c r="U1010" s="10" t="s">
        <v>627</v>
      </c>
    </row>
    <row r="1011" spans="1:2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45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6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7"/>
        <v>1</v>
      </c>
      <c r="U1011" s="10" t="s">
        <v>627</v>
      </c>
    </row>
  </sheetData>
  <autoFilter ref="A2:AB1011" xr:uid="{A797188C-EE6D-4103-9686-A7EF3C02BDEA}"/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2025-11-12T20:02:35Z</dcterms:modified>
</cp:coreProperties>
</file>