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F5F07FE8-E51B-4970-83D7-EAC545253CAE}" xr6:coauthVersionLast="47" xr6:coauthVersionMax="47" xr10:uidLastSave="{00000000-0000-0000-0000-000000000000}"/>
  <bookViews>
    <workbookView xWindow="-21720" yWindow="-120" windowWidth="21840" windowHeight="1314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I270" i="1"/>
  <c r="K270" i="1" s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I220" i="1"/>
  <c r="K220" i="1" s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<sst xmlns="http://schemas.openxmlformats.org/spreadsheetml/2006/main" count="3195" uniqueCount="741">
  <si>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</si>
  <si>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</si>
  <si>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</si>
  <si>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</si>
  <si>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</si>
  <si>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</si>
  <si>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</si>
  <si>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</si>
  <si>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</si>
  <si>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</si>
  <si>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</si>
  <si>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</si>
  <si>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</si>
  <si>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</si>
  <si>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</si>
  <si>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</si>
  <si>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</si>
  <si>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</si>
  <si>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</si>
  <si>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</si>
  <si>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</si>
  <si>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</si>
  <si>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</si>
  <si>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</si>
  <si>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</si>
  <si>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</si>
  <si>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</si>
  <si>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</si>
  <si>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</si>
  <si>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</si>
  <si>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</si>
  <si>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</si>
  <si>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</si>
  <si>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</si>
  <si>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</si>
  <si>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</si>
  <si>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</si>
  <si>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</si>
  <si>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</si>
  <si>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</si>
  <si>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</si>
  <si>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</si>
  <si>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</si>
  <si>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</si>
  <si>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</si>
  <si>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</si>
  <si>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</si>
  <si>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</si>
  <si>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</si>
  <si>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</si>
  <si>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</si>
  <si>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</si>
  <si>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</si>
  <si>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</si>
  <si>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</si>
  <si>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</si>
  <si>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</si>
  <si>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</si>
  <si>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</si>
  <si>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</si>
  <si>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</si>
  <si>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</si>
  <si>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</si>
  <si>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</si>
  <si>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</si>
  <si>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</si>
  <si>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</si>
  <si>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</si>
  <si>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</si>
  <si>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</si>
  <si>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</si>
  <si>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</si>
  <si>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</si>
  <si>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</si>
  <si>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</si>
  <si>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</si>
  <si>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</si>
  <si>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</si>
  <si>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</si>
  <si>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</si>
  <si>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</si>
  <si>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</si>
  <si>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</si>
  <si>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</si>
  <si>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</si>
  <si>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</si>
  <si>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</si>
  <si>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</si>
  <si>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</si>
  <si>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</si>
  <si>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</si>
  <si>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</si>
  <si>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</si>
  <si>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</si>
  <si>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</si>
  <si>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</si>
  <si>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</si>
  <si>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</si>
  <si>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</si>
  <si>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</si>
  <si>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</si>
  <si>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</si>
  <si>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</si>
  <si>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</si>
  <si>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</si>
  <si>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</si>
  <si>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</si>
  <si>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</si>
  <si>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</si>
  <si>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</si>
  <si>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</si>
  <si>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</si>
  <si>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</si>
  <si>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</si>
  <si>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</si>
  <si>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</si>
  <si>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</si>
  <si>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</si>
  <si>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</si>
  <si>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</si>
  <si>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</si>
  <si>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</si>
  <si>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</si>
  <si>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</si>
  <si>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</si>
  <si>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</si>
  <si>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</si>
  <si>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</si>
  <si>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</si>
  <si>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</si>
  <si>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</si>
  <si>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</si>
  <si>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</si>
  <si>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</si>
  <si>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</si>
  <si>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</si>
  <si>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</si>
  <si>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</si>
  <si>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</si>
  <si>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</si>
  <si>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</si>
  <si>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</si>
  <si>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</si>
  <si>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</si>
  <si>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</si>
  <si>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</si>
  <si>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</si>
  <si>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</si>
  <si>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</si>
  <si>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</si>
  <si>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</si>
  <si>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</si>
  <si>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</si>
  <si>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</si>
  <si>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</si>
  <si>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</si>
  <si>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</si>
  <si>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</si>
  <si>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</si>
  <si>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</si>
  <si>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</si>
  <si>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</si>
  <si>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</si>
  <si>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</si>
  <si>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</si>
  <si>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</si>
  <si>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</si>
  <si>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</si>
  <si>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</si>
  <si>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</si>
  <si>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</si>
  <si>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</si>
  <si>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</si>
  <si>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</si>
  <si>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</si>
  <si>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</si>
  <si>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</si>
  <si>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</si>
  <si>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</si>
  <si>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</si>
  <si>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</si>
  <si>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</si>
  <si>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</si>
  <si>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</si>
  <si>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</si>
  <si>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</si>
  <si>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</si>
  <si>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</si>
  <si>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</si>
  <si>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</si>
  <si>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</si>
  <si>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</si>
  <si>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</si>
  <si>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</si>
  <si>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</si>
  <si>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</si>
  <si>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</si>
  <si>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</si>
  <si>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</si>
  <si>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</si>
  <si>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</si>
  <si>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</si>
  <si>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</si>
  <si>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</si>
  <si>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</si>
  <si>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</si>
  <si>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</si>
  <si>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</si>
  <si>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</si>
  <si>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</si>
  <si>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</si>
  <si>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</si>
  <si>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</si>
  <si>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</si>
  <si>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</si>
  <si>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</si>
  <si>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</si>
  <si>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</si>
  <si>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</si>
  <si>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</si>
  <si>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</si>
  <si>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</si>
  <si>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</si>
  <si>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</si>
  <si>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</si>
  <si>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</si>
  <si>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</si>
  <si>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</si>
  <si>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</si>
  <si>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</si>
  <si>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</si>
  <si>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</si>
  <si>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</si>
  <si>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</si>
  <si>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</si>
  <si>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</si>
  <si>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</si>
  <si>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</si>
  <si>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</si>
  <si>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</si>
  <si>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</si>
  <si>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</si>
  <si>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</si>
  <si>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</si>
  <si>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</si>
  <si>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</si>
  <si>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</si>
  <si>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</si>
  <si>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</si>
  <si>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</si>
  <si>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</si>
  <si>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</si>
  <si>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</si>
  <si>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</si>
  <si>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</si>
  <si>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</si>
  <si>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</si>
  <si>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</si>
  <si>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</si>
  <si>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</si>
  <si>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</si>
  <si>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</si>
  <si>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</si>
  <si>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</si>
  <si>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</si>
  <si>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</si>
  <si>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</si>
  <si>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</si>
  <si>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</si>
  <si>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</si>
  <si>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</si>
  <si>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</si>
  <si>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</si>
  <si>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</si>
  <si>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</si>
  <si>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</si>
  <si>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</si>
  <si>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</si>
  <si>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</si>
  <si>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</si>
  <si>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</si>
  <si>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</si>
  <si>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</si>
  <si>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</si>
  <si>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</si>
  <si>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</si>
  <si>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</si>
  <si>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</si>
  <si>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</si>
  <si>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</si>
  <si>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</si>
  <si>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</si>
  <si>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</si>
  <si>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</si>
  <si>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</si>
  <si>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</si>
  <si>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</si>
  <si>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</si>
  <si>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</si>
  <si>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</si>
  <si>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</si>
  <si>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</si>
  <si>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</si>
  <si>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</si>
  <si>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</si>
  <si>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</si>
  <si>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</si>
  <si>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</si>
  <si>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</si>
  <si>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</si>
  <si>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</si>
  <si>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</si>
  <si>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</si>
  <si>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</si>
  <si>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</si>
  <si>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</si>
  <si>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</si>
  <si>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</si>
  <si>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</si>
  <si>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</si>
  <si>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</si>
  <si>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</si>
  <si>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</si>
  <si>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</si>
  <si>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</si>
  <si>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</si>
  <si>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</si>
  <si>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</si>
  <si>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</si>
  <si>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</si>
  <si>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</si>
  <si>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</si>
  <si>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</si>
  <si>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</si>
  <si>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</si>
  <si>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</si>
  <si>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</si>
  <si>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</si>
  <si>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</si>
  <si>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</si>
  <si>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</si>
  <si>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</si>
  <si>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</si>
  <si>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</si>
  <si>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</si>
  <si>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</si>
  <si>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</si>
  <si>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</si>
  <si>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</si>
  <si>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</si>
  <si>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</si>
  <si>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</si>
  <si>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</si>
  <si>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</si>
  <si>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</si>
  <si>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</si>
  <si>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</si>
  <si>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</si>
  <si>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</si>
  <si>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</si>
  <si>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</si>
  <si>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</si>
  <si>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</si>
  <si>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</si>
  <si>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</si>
  <si>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</si>
  <si>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</si>
  <si>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</si>
  <si>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</si>
  <si>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</si>
  <si>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</si>
  <si>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</si>
  <si>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</si>
  <si>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</si>
  <si>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</si>
  <si>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</si>
  <si>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</si>
  <si>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</si>
  <si>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</si>
  <si>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</si>
  <si>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</si>
  <si>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</si>
  <si>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</si>
  <si>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</si>
  <si>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</si>
  <si>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</si>
  <si>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</si>
  <si>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</si>
  <si>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</si>
  <si>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</si>
  <si>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</si>
  <si>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</si>
  <si>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</si>
  <si>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</si>
  <si>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</si>
  <si>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</si>
  <si>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</si>
  <si>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</si>
  <si>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</si>
  <si>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</si>
  <si>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</si>
  <si>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</si>
  <si>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</si>
  <si>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</si>
  <si>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</si>
  <si>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</si>
  <si>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</si>
  <si>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</si>
  <si>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</si>
  <si>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</si>
  <si>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</si>
  <si>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</si>
  <si>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</si>
  <si>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</si>
  <si>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</si>
  <si>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</si>
  <si>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</si>
  <si>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</si>
  <si>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</si>
  <si>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</si>
  <si>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</si>
  <si>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</si>
  <si>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</si>
  <si>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</si>
  <si>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</si>
  <si>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</si>
  <si>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</si>
  <si>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</si>
  <si>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</si>
  <si>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</si>
  <si>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</si>
  <si>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</si>
  <si>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</si>
  <si>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</si>
  <si>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</si>
  <si>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</si>
  <si>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</si>
  <si>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</si>
  <si>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</si>
  <si>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</si>
  <si>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</si>
  <si>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</si>
  <si>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</si>
  <si>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</si>
  <si>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</si>
  <si>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</si>
  <si>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</si>
  <si>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</si>
  <si>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</si>
  <si>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</si>
  <si>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</si>
  <si>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</si>
  <si>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</si>
  <si>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</si>
  <si>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</si>
  <si>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</si>
  <si>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</si>
  <si>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</si>
  <si>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</si>
  <si>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</si>
  <si>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</si>
  <si>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</si>
  <si>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</si>
  <si>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</si>
  <si>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</si>
  <si>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</si>
  <si>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</si>
  <si>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</si>
  <si>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</si>
  <si>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</si>
  <si>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</si>
  <si>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</si>
  <si>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</si>
  <si>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</si>
  <si>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</si>
  <si>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</si>
  <si>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</si>
  <si>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</si>
  <si>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</si>
  <si>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</si>
  <si>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</si>
  <si>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</si>
  <si>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</si>
  <si>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</si>
  <si>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</si>
  <si>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</si>
  <si>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</si>
  <si>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</si>
  <si>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</si>
  <si>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</si>
  <si>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</si>
  <si>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</si>
  <si>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</si>
  <si>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</si>
  <si>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</si>
  <si>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</si>
  <si>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</si>
  <si>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</si>
  <si>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</si>
  <si>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</si>
  <si>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</si>
  <si>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</si>
  <si>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</si>
  <si>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</si>
  <si>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</si>
  <si>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</si>
  <si>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</si>
  <si>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</si>
  <si>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</si>
  <si>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</si>
  <si>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</si>
  <si>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</si>
  <si>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</si>
  <si>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</si>
  <si>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</si>
  <si>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</si>
  <si>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</si>
  <si>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</si>
  <si>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</si>
  <si>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</si>
  <si>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</si>
  <si>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</si>
  <si>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</si>
  <si>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</si>
  <si>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</si>
  <si>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</si>
  <si>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</si>
  <si>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</si>
  <si>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</si>
  <si>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</si>
  <si>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</si>
  <si>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</si>
  <si>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</si>
  <si>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</si>
  <si>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</si>
  <si>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</si>
  <si>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</si>
  <si>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</si>
  <si>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</si>
  <si>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</si>
  <si>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</si>
  <si>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</si>
  <si>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</si>
  <si>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</si>
  <si>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</si>
  <si>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</si>
  <si>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</si>
  <si>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</si>
  <si>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</si>
  <si>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</si>
  <si>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</si>
  <si>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</si>
  <si>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</si>
  <si>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</si>
  <si>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</si>
  <si>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</si>
  <si>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</si>
  <si>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</si>
  <si>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</si>
  <si>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</si>
  <si>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</si>
  <si>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</si>
  <si>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</si>
  <si>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</si>
  <si>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</si>
  <si>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</si>
  <si>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</si>
  <si>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</si>
  <si>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</si>
  <si>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</si>
  <si>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</si>
  <si>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</si>
  <si>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</si>
  <si>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</si>
  <si>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</si>
  <si>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</si>
  <si>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</si>
  <si>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</si>
  <si>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</si>
  <si>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</si>
  <si>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</si>
  <si>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</si>
  <si>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</si>
  <si>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</si>
  <si>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</si>
  <si>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</si>
  <si>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</si>
  <si>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</si>
  <si>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</si>
  <si>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</si>
  <si>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</si>
  <si>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</si>
  <si>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</si>
  <si>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</si>
  <si>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</si>
  <si>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</si>
  <si>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</si>
  <si>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</si>
  <si>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</si>
  <si>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</si>
  <si>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</si>
  <si>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</si>
  <si>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</si>
  <si>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</si>
  <si>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</si>
  <si>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</si>
  <si>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</si>
  <si>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</si>
  <si>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</si>
  <si>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</si>
  <si>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</si>
  <si>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</si>
  <si>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</si>
  <si>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</si>
  <si>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</si>
  <si>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</si>
  <si>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</si>
  <si>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</si>
  <si>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</si>
  <si>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</si>
  <si>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</si>
  <si>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</si>
  <si>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</si>
  <si>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</si>
  <si>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</si>
  <si>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</si>
  <si>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</si>
  <si>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</si>
  <si>
    <t>c</t>
  </si>
  <si>
    <t>P:\PRODUTO_PRONTA_ENTREGA\static\IMAGENS_PRODUTOS\SEM IMAGEM.jpg</t>
  </si>
  <si>
    <t>P:\PRODUTO_PRONTA_ENTREGA\static\IMAGENS_PRODUTOS\CHAISE TARANTO_335216_335217.jpg</t>
  </si>
  <si>
    <t>P:\PRODUTO_PRONTA_ENTREGA\static\IMAGENS_PRODUTOS\APARADOR AMALFI_182711.jpg</t>
  </si>
  <si>
    <t>P:\PRODUTO_PRONTA_ENTREGA\static\IMAGENS_PRODUTOS\APARADOR BALI_151597.jpg</t>
  </si>
  <si>
    <t>P:\PRODUTO_PRONTA_ENTREGA\static\IMAGENS_PRODUTOS\APARADOR BARBENA_210381.jpg</t>
  </si>
  <si>
    <t>P:\PRODUTO_PRONTA_ENTREGA\static\IMAGENS_PRODUTOS\APARADOR CARAJAS_151450.jpg</t>
  </si>
  <si>
    <t>P:\PRODUTO_PRONTA_ENTREGA\static\IMAGENS_PRODUTOS\APARADOR ELLE_127041.jpg</t>
  </si>
  <si>
    <t>P:\PRODUTO_PRONTA_ENTREGA\static\IMAGENS_PRODUTOS\APARADOR JOVE_63439.jpg</t>
  </si>
  <si>
    <t>P:\PRODUTO_PRONTA_ENTREGA\static\IMAGENS_PRODUTOS\APARADOR LISA_210409.jpg</t>
  </si>
  <si>
    <t>P:\PRODUTO_PRONTA_ENTREGA\static\IMAGENS_PRODUTOS\APARADOR MAR ADENTRO_336616.jpg</t>
  </si>
  <si>
    <t>P:\PRODUTO_PRONTA_ENTREGA\static\IMAGENS_PRODUTOS\APARADOR NEST_151366.jpg</t>
  </si>
  <si>
    <t>P:\PRODUTO_PRONTA_ENTREGA\static\IMAGENS_PRODUTOS\APARADOR NEST_203827.jpg</t>
  </si>
  <si>
    <t>P:\PRODUTO_PRONTA_ENTREGA\static\IMAGENS_PRODUTOS\APARADOR PHOENIX_152614.jpg</t>
  </si>
  <si>
    <t>P:\PRODUTO_PRONTA_ENTREGA\static\IMAGENS_PRODUTOS\APARADOR REDENTOR_180739.jpg</t>
  </si>
  <si>
    <t>P:\PRODUTO_PRONTA_ENTREGA\static\IMAGENS_PRODUTOS\APARADOR REGIA_299531.jpg</t>
  </si>
  <si>
    <t>P:\PRODUTO_PRONTA_ENTREGA\static\IMAGENS_PRODUTOS\APARADOR RENE_231134.jpg</t>
  </si>
  <si>
    <t>P:\PRODUTO_PRONTA_ENTREGA\static\IMAGENS_PRODUTOS\APARADOR RENE_334167.jpg</t>
  </si>
  <si>
    <t>P:\PRODUTO_PRONTA_ENTREGA\static\IMAGENS_PRODUTOS\APARADOR TAY II_223338.jpg</t>
  </si>
  <si>
    <t>P:\PRODUTO_PRONTA_ENTREGA\static\IMAGENS_PRODUTOS\APARADOR TRINTA_224044.jpg</t>
  </si>
  <si>
    <t>P:\PRODUTO_PRONTA_ENTREGA\static\IMAGENS_PRODUTOS\APARADOR UNI_253860.jpg</t>
  </si>
  <si>
    <t>P:\PRODUTO_PRONTA_ENTREGA\static\IMAGENS_PRODUTOS\APARADOR VELL _336715.jpg</t>
  </si>
  <si>
    <t>P:\PRODUTO_PRONTA_ENTREGA\static\IMAGENS_PRODUTOS\APARADOR VELL 1_336641.jpg</t>
  </si>
  <si>
    <t>P:\PRODUTO_PRONTA_ENTREGA\static\IMAGENS_PRODUTOS\APARADOR VIVALBA_151719.jpg</t>
  </si>
  <si>
    <t>P:\PRODUTO_PRONTA_ENTREGA\static\IMAGENS_PRODUTOS\APARADOR X (FREIJO EBANIZADO)_334176.jpg</t>
  </si>
  <si>
    <t>P:\PRODUTO_PRONTA_ENTREGA\static\IMAGENS_PRODUTOS\APARADOR ZINA_329025.jpg</t>
  </si>
  <si>
    <t>P:\PRODUTO_PRONTA_ENTREGA\static\IMAGENS_PRODUTOS\BANCO DALI_319905.jpg</t>
  </si>
  <si>
    <t>P:\PRODUTO_PRONTA_ENTREGA\static\IMAGENS_PRODUTOS\BANCO CROCCO_80189.jpg</t>
  </si>
  <si>
    <t>P:\PRODUTO_PRONTA_ENTREGA\static\IMAGENS_PRODUTOS\BANCO PINO_77883.jpg</t>
  </si>
  <si>
    <t>P:\PRODUTO_PRONTA_ENTREGA\static\IMAGENS_PRODUTOS\BANCO WOOD_102495.jpg</t>
  </si>
  <si>
    <t>P:\PRODUTO_PRONTA_ENTREGA\static\IMAGENS_PRODUTOS\BANCO LILLY II_86812.jpg</t>
  </si>
  <si>
    <t>P:\PRODUTO_PRONTA_ENTREGA\static\IMAGENS_PRODUTOS\BANCO PI_63998.jpg</t>
  </si>
  <si>
    <t>P:\PRODUTO_PRONTA_ENTREGA\static\IMAGENS_PRODUTOS\BANCO JULIA_129391.jpg</t>
  </si>
  <si>
    <t>P:\PRODUTO_PRONTA_ENTREGA\static\IMAGENS_PRODUTOS\BANCO KEI_142198.jpg</t>
  </si>
  <si>
    <t>P:\PRODUTO_PRONTA_ENTREGA\static\IMAGENS_PRODUTOS\BANCO BETA_142210.jpg</t>
  </si>
  <si>
    <t>P:\PRODUTO_PRONTA_ENTREGA\static\IMAGENS_PRODUTOS\BANCO BETA _142219.jpg</t>
  </si>
  <si>
    <t>P:\PRODUTO_PRONTA_ENTREGA\static\IMAGENS_PRODUTOS\BANCO BRASILIS_151452.jpg</t>
  </si>
  <si>
    <t>P:\PRODUTO_PRONTA_ENTREGA\static\IMAGENS_PRODUTOS\BANCO GOMILADA DOURADA_147571.jpg</t>
  </si>
  <si>
    <t>P:\PRODUTO_PRONTA_ENTREGA\static\IMAGENS_PRODUTOS\BANCO GARDEN_151376.jpg</t>
  </si>
  <si>
    <t>P:\PRODUTO_PRONTA_ENTREGA\static\IMAGENS_PRODUTOS\BANCO VITE_163874.jpg</t>
  </si>
  <si>
    <t>P:\PRODUTO_PRONTA_ENTREGA\static\IMAGENS_PRODUTOS\BANCO CLARICE_183815_183816.jpg</t>
  </si>
  <si>
    <t>P:\PRODUTO_PRONTA_ENTREGA\static\IMAGENS_PRODUTOS\BANCO BETA_179057.jpg</t>
  </si>
  <si>
    <t>P:\PRODUTO_PRONTA_ENTREGA\static\IMAGENS_PRODUTOS\BANCO SALOMI_178054.jpg</t>
  </si>
  <si>
    <t>P:\PRODUTO_PRONTA_ENTREGA\static\IMAGENS_PRODUTOS\BANCO CHINO_178893.jpg</t>
  </si>
  <si>
    <t>P:\PRODUTO_PRONTA_ENTREGA\static\IMAGENS_PRODUTOS\BANCO JULIA_191298.jpg</t>
  </si>
  <si>
    <t>P:\PRODUTO_PRONTA_ENTREGA\static\IMAGENS_PRODUTOS\BANCO EOS_336654.jpg</t>
  </si>
  <si>
    <t>P:\PRODUTO_PRONTA_ENTREGA\static\IMAGENS_PRODUTOS\BANCO ROCCO_216681.jpg</t>
  </si>
  <si>
    <t>P:\PRODUTO_PRONTA_ENTREGA\static\IMAGENS_PRODUTOS\BANCO FLOR _82236.jpg</t>
  </si>
  <si>
    <t>P:\PRODUTO_PRONTA_ENTREGA\static\IMAGENS_PRODUTOS\BANCO GARDEN_147559.jpg</t>
  </si>
  <si>
    <t>P:\PRODUTO_PRONTA_ENTREGA\static\IMAGENS_PRODUTOS\BANCO EVO_254163.jpg</t>
  </si>
  <si>
    <t>P:\PRODUTO_PRONTA_ENTREGA\static\IMAGENS_PRODUTOS\BANCO PHILIPS_230075.jpg</t>
  </si>
  <si>
    <t>P:\PRODUTO_PRONTA_ENTREGA\static\IMAGENS_PRODUTOS\BANCO GAL_210359.jpg</t>
  </si>
  <si>
    <t>P:\PRODUTO_PRONTA_ENTREGA\static\IMAGENS_PRODUTOS\BANCO STRONGER_210423.jpg</t>
  </si>
  <si>
    <t>P:\PRODUTO_PRONTA_ENTREGA\static\IMAGENS_PRODUTOS\POLTRONA_BANQUETA CACAU_308175_308176.jpg</t>
  </si>
  <si>
    <t>P:\PRODUTO_PRONTA_ENTREGA\static\IMAGENS_PRODUTOS\POLTRONA_BANQUETA CACAU_308171_308172.jpg</t>
  </si>
  <si>
    <t>P:\PRODUTO_PRONTA_ENTREGA\static\IMAGENS_PRODUTOS\BANQUETA KAZZ_250460.jpg</t>
  </si>
  <si>
    <t>P:\PRODUTO_PRONTA_ENTREGA\static\IMAGENS_PRODUTOS\POLTRONA_BANQUETA POMME_363865_363875.jpg</t>
  </si>
  <si>
    <t>P:\PRODUTO_PRONTA_ENTREGA\static\IMAGENS_PRODUTOS\POLTRONA_BANQUETA CACAU_330635_330637.jpg</t>
  </si>
  <si>
    <t>P:\PRODUTO_PRONTA_ENTREGA\static\IMAGENS_PRODUTOS\POLTRONA_BANQUETA PATER_320759_337717.jpg</t>
  </si>
  <si>
    <t>P:\PRODUTO_PRONTA_ENTREGA\static\IMAGENS_PRODUTOS\POLTRONA_BANQUETA PATER_334175_334465.jpg</t>
  </si>
  <si>
    <t>P:\PRODUTO_PRONTA_ENTREGA\static\IMAGENS_PRODUTOS\POLTRONA_BANQUETA CACAU_334189_334190.jpg</t>
  </si>
  <si>
    <t>P:\PRODUTO_PRONTA_ENTREGA\static\IMAGENS_PRODUTOS\POLTRONA JOBS_117364_117365.jpg</t>
  </si>
  <si>
    <t>P:\PRODUTO_PRONTA_ENTREGA\static\IMAGENS_PRODUTOS\PUFF DORA_176801.jpg</t>
  </si>
  <si>
    <t>P:\PRODUTO_PRONTA_ENTREGA\static\IMAGENS_PRODUTOS\PUFF 150_191237.jpg</t>
  </si>
  <si>
    <t>P:\PRODUTO_PRONTA_ENTREGA\static\IMAGENS_PRODUTOS\POLTRONA_BANQUETA MARE_277923_277920.jpg</t>
  </si>
  <si>
    <t>P:\PRODUTO_PRONTA_ENTREGA\static\IMAGENS_PRODUTOS\POLTRONA_BANQUETA MARE_277919_277922.jpg</t>
  </si>
  <si>
    <t>P:\PRODUTO_PRONTA_ENTREGA\static\IMAGENS_PRODUTOS\BANQUETA MAKALU_292636.jpg</t>
  </si>
  <si>
    <t>P:\PRODUTO_PRONTA_ENTREGA\static\IMAGENS_PRODUTOS\POLTRONA_BANQUETA ONDA_344048_344045.jpg</t>
  </si>
  <si>
    <t>P:\PRODUTO_PRONTA_ENTREGA\static\IMAGENS_PRODUTOS\POLTRONA_BANQUETA MARE_334447_334446.jpg</t>
  </si>
  <si>
    <t>P:\PRODUTO_PRONTA_ENTREGA\static\IMAGENS_PRODUTOS\CHAISE SFTONE_187342.jpg</t>
  </si>
  <si>
    <t>P:\PRODUTO_PRONTA_ENTREGA\static\IMAGENS_PRODUTOS\SOFA ZEUS_186064.jpg</t>
  </si>
  <si>
    <t>P:\PRODUTO_PRONTA_ENTREGA\static\IMAGENS_PRODUTOS\SOFA ARMANI_176810.jpg</t>
  </si>
  <si>
    <t>P:\PRODUTO_PRONTA_ENTREGA\static\IMAGENS_PRODUTOS\SOFA REVERE_150912.jpg</t>
  </si>
  <si>
    <t>P:\PRODUTO_PRONTA_ENTREGA\static\IMAGENS_PRODUTOS\SOFA BRISTOL_151382.jpg</t>
  </si>
  <si>
    <t>P:\PRODUTO_PRONTA_ENTREGA\static\IMAGENS_PRODUTOS\POLTRONA NAMORADEIRA STUART_151549.jpg</t>
  </si>
  <si>
    <t>P:\PRODUTO_PRONTA_ENTREGA\static\IMAGENS_PRODUTOS\SOFA GENEVA_151391.jpg</t>
  </si>
  <si>
    <t>P:\PRODUTO_PRONTA_ENTREGA\static\IMAGENS_PRODUTOS\SOFA CLOUD_139906.jpg</t>
  </si>
  <si>
    <t>P:\PRODUTO_PRONTA_ENTREGA\static\IMAGENS_PRODUTOS\SOFA LINA_63753.jpg</t>
  </si>
  <si>
    <t>P:\PRODUTO_PRONTA_ENTREGA\static\IMAGENS_PRODUTOS\SOFA ILHA BELA_80909.jpg</t>
  </si>
  <si>
    <t>P:\PRODUTO_PRONTA_ENTREGA\static\IMAGENS_PRODUTOS\SOFA CHATEAU_213130.jpg</t>
  </si>
  <si>
    <t>P:\PRODUTO_PRONTA_ENTREGA\static\IMAGENS_PRODUTOS\PUFF LENCOIS M_274900PUFF LENCOIS M_274900.jpg</t>
  </si>
  <si>
    <t>P:\PRODUTO_PRONTA_ENTREGA\static\IMAGENS_PRODUTOS\SOFA DALOA_327346_327347_300252.jpg</t>
  </si>
  <si>
    <t>P:\PRODUTO_PRONTA_ENTREGA\static\IMAGENS_PRODUTOS\SOFA OCA_334454.jpg</t>
  </si>
  <si>
    <t>P:\PRODUTO_PRONTA_ENTREGA\static\IMAGENS_PRODUTOS\SOFA TARANTO_353140_353141_353142.jpg</t>
  </si>
  <si>
    <t>P:\PRODUTO_PRONTA_ENTREGA\static\IMAGENS_PRODUTOS\SOFA LENCOIS M MODULO PUFF ENCOSTO_354853_35485.jpg</t>
  </si>
  <si>
    <t>P:\PRODUTO_PRONTA_ENTREGA\static\IMAGENS_PRODUTOS\SOFA OCA_365800.jpg</t>
  </si>
  <si>
    <t>P:\PRODUTO_PRONTA_ENTREGA\static\IMAGENS_PRODUTOS\PUFF DIXON_255776.jpg</t>
  </si>
  <si>
    <t>P:\PRODUTO_PRONTA_ENTREGA\static\IMAGENS_PRODUTOS\SOFA ANDROS_271264.jpg</t>
  </si>
  <si>
    <t>P:\PRODUTO_PRONTA_ENTREGA\static\IMAGENS_PRODUTOS\CHAISE TARANTO_270755.jpg</t>
  </si>
  <si>
    <t>P:\PRODUTO_PRONTA_ENTREGA\static\IMAGENS_PRODUTOS\PUFF IZADORA_271762.jpg</t>
  </si>
  <si>
    <t>P:\PRODUTO_PRONTA_ENTREGA\static\IMAGENS_PRODUTOS\SOFA HIMALAYA PUFF_381908_381907_381905.jpg</t>
  </si>
  <si>
    <t>P:\PRODUTO_PRONTA_ENTREGA\static\IMAGENS_PRODUTOS\SOFA CLICK_178912_178910.jpg</t>
  </si>
  <si>
    <t>P:\PRODUTO_PRONTA_ENTREGA\static\IMAGENS_PRODUTOS\SOFA PADOVA_233163_233162.jpg</t>
  </si>
  <si>
    <t>P:\PRODUTO_PRONTA_ENTREGA\static\IMAGENS_PRODUTOS\SOFA ILHA BELO HORIZONTE_270718_270719_270720.jpg</t>
  </si>
  <si>
    <t>P:\PRODUTO_PRONTA_ENTREGA\static\IMAGENS_PRODUTOS\PUFF LENCOIS M_244137.jpg</t>
  </si>
  <si>
    <t>P:\PRODUTO_PRONTA_ENTREGA\static\IMAGENS_PRODUTOS\SOFA ARAGON_274727_274732_274729.jpg</t>
  </si>
  <si>
    <t>P:\PRODUTO_PRONTA_ENTREGA\static\IMAGENS_PRODUTOS\SOFA DIXON_206600_206602_206601_206603.jpg</t>
  </si>
  <si>
    <t>P:\PRODUTO_PRONTA_ENTREGA\static\IMAGENS_PRODUTOS\SOFA NEW CHATEAU_270794_270800.jpg</t>
  </si>
  <si>
    <t>P:\PRODUTO_PRONTA_ENTREGA\static\IMAGENS_PRODUTOS\SOFA ARAGON_334182_334183_334184.jpg</t>
  </si>
  <si>
    <t>P:\PRODUTO_PRONTA_ENTREGA\static\IMAGENS_PRODUTOS\SOFA PARATY_334247_334248_334249.jpg</t>
  </si>
  <si>
    <t>P:\PRODUTO_PRONTA_ENTREGA\static\IMAGENS_PRODUTOS\SOFA AURORA_334205_334206.jpg</t>
  </si>
  <si>
    <t>P:\PRODUTO_PRONTA_ENTREGA\static\IMAGENS_PRODUTOS\SOFA ATLAS_334345_334346.jpg</t>
  </si>
  <si>
    <t>P:\PRODUTO_PRONTA_ENTREGA\static\IMAGENS_PRODUTOS\SOFA ICARUS_339717_339718.jpg</t>
  </si>
  <si>
    <t>P:\PRODUTO_PRONTA_ENTREGA\static\IMAGENS_PRODUTOS\SOFA DIXON_328716_328725_328726_328727.jpg</t>
  </si>
  <si>
    <t>P:\PRODUTO_PRONTA_ENTREGA\static\IMAGENS_PRODUTOS\SOFA AURORA_335215_335214_335213.jpg</t>
  </si>
  <si>
    <t>P:\PRODUTO_PRONTA_ENTREGA\static\IMAGENS_PRODUTOS\SOFA FLY MESA LATERAL_270495_270576.jpg</t>
  </si>
  <si>
    <t>P:\PRODUTO_PRONTA_ENTREGA\static\IMAGENS_PRODUTOS\SOFA FLY_275789.jpg</t>
  </si>
  <si>
    <t>P:\PRODUTO_PRONTA_ENTREGA\static\IMAGENS_PRODUTOS\SOFA HARRY_223414_223413.jpg</t>
  </si>
  <si>
    <t>P:\PRODUTO_PRONTA_ENTREGA\static\IMAGENS_PRODUTOS\SOFA CHATEAU_224382_224381.jpg</t>
  </si>
  <si>
    <t>P:\PRODUTO_PRONTA_ENTREGA\static\IMAGENS_PRODUTOS\SOFA ORSAGO_361213_361215_361214.jpg</t>
  </si>
  <si>
    <t>P:\PRODUTO_PRONTA_ENTREGA\static\IMAGENS_PRODUTOS\SOFA MONDRIAN_379520_379519.jpg</t>
  </si>
  <si>
    <t>P:\PRODUTO_PRONTA_ENTREGA\static\IMAGENS_PRODUTOS\SOFA PARATY_300476.jpg</t>
  </si>
  <si>
    <t>P:\PRODUTO_PRONTA_ENTREGA\static\IMAGENS_PRODUTOS\SOFA SONETO_379922_379923.jpg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</si>
</sst>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 filterMode="1"/>
  <dimension ref="A1:AB1011"/>
  <sheetViews>
    <sheetView tabSelected="1" topLeftCell="L1" zoomScale="85" zoomScaleNormal="85" workbookViewId="0">
      <pane ySplit="2" topLeftCell="A3" activePane="bottomLeft" state="frozen"/>
      <selection pane="bottomLeft" activeCell="U7" sqref="U7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49" style="9" bestFit="1" customWidth="1"/>
    <col min="15" max="15" width="19" style="2" hidden="1" customWidth="1"/>
    <col min="16" max="16" width="15" style="2" hidden="1" customWidth="1"/>
    <col min="17" max="17" width="13.7109375" style="2" hidden="1" customWidth="1"/>
    <col min="18" max="18" width="14.42578125" style="2" hidden="1" customWidth="1"/>
    <col min="19" max="19" width="10" style="2" hidden="1" customWidth="1"/>
    <col min="20" max="20" width="14.85546875" style="9" customWidth="1"/>
    <col min="21" max="21" width="112.85546875" style="10" bestFit="1" customWidth="1"/>
    <col min="26" max="26" width="16.140625" bestFit="1" customWidth="1"/>
  </cols>
  <sheetData>
    <row r="1" spans="1:28" ht="48.6" customHeight="1" x14ac:dyDescent="0.25">
      <c r="B1" s="14" t="s">
        <v>628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0</v>
      </c>
      <c r="AA1" s="15">
        <v>45962</v>
      </c>
      <c r="AB1" s="15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42437.61</v>
      </c>
      <c r="J3" s="6">
        <v>0</v>
      </c>
      <c r="K3" s="12">
        <f t="shared" ref="K3:K66" si="0">IFERROR(I3-I3*J3,"")</f>
        <v>42437.61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629</v>
      </c>
      <c r="V3" t="str" cm="1">
        <f t="array" aca="1" ref="V3" ca="1">IFERROR(_xludf.TEXTJOIN(" | ",TRUE,FILTRAR($A$2:$A$596, $L$2:$L$596 = L3)),"")</f>
        <v/>
      </c>
    </row>
    <row r="4" spans="1:28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42437.61</v>
      </c>
      <c r="J4" s="6">
        <v>0</v>
      </c>
      <c r="K4" s="12">
        <f t="shared" si="0"/>
        <v>42437.61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629</v>
      </c>
      <c r="V4" t="str" cm="1">
        <f t="array" aca="1" ref="V4" ca="1">IFERROR(_xludf.TEXTJOIN(" | ",TRUE,FILTRAR($A$2:$A$596,$L$2:$L$596=L4)),"")</f>
        <v/>
      </c>
    </row>
    <row r="5" spans="1:28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42437.61</v>
      </c>
      <c r="J5" s="6">
        <v>0</v>
      </c>
      <c r="K5" s="12">
        <f t="shared" si="0"/>
        <v>42437.61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629</v>
      </c>
      <c r="V5" t="str" cm="1">
        <f t="array" aca="1" ref="V5" ca="1">IFERROR(_xludf.TEXTJOIN(" | ",TRUE,FILTRAR($A$2:$A$596,$L$2:$L$596=L5)),"")</f>
        <v/>
      </c>
      <c r="Z5" s="10" t="s">
        <v>629</v>
      </c>
    </row>
    <row r="6" spans="1:28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76594.740000000005</v>
      </c>
      <c r="J6" s="6">
        <v>0</v>
      </c>
      <c r="K6" s="12">
        <f t="shared" si="0"/>
        <v>76594.740000000005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740</v>
      </c>
      <c r="V6" t="str" cm="1">
        <f t="array" aca="1" ref="V6" ca="1">IFERROR(_xludf.TEXTJOIN(" | ",TRUE,FILTRAR($A$2:$A$596,$L$2:$L$596=L6)),"")</f>
        <v/>
      </c>
    </row>
    <row r="7" spans="1:28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76594.740000000005</v>
      </c>
      <c r="J7" s="6">
        <v>0</v>
      </c>
      <c r="K7" s="12">
        <f t="shared" si="0"/>
        <v>76594.740000000005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740</v>
      </c>
      <c r="V7" t="str" cm="1">
        <f t="array" aca="1" ref="V7" ca="1">IFERROR(_xludf.TEXTJOIN(" | ",TRUE,FILTRAR($A$2:$A$596,$L$2:$L$596=L7)),"")</f>
        <v/>
      </c>
    </row>
    <row r="8" spans="1:28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69272.45</v>
      </c>
      <c r="J8" s="6">
        <v>0</v>
      </c>
      <c r="K8" s="12">
        <f t="shared" si="0"/>
        <v>69272.45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629</v>
      </c>
      <c r="V8" t="str" cm="1">
        <f t="array" aca="1" ref="V8" ca="1">IFERROR(_xludf.TEXTJOIN(" | ",TRUE,FILTRAR($A$2:$A$596,$L$2:$L$596=L8)),"")</f>
        <v/>
      </c>
    </row>
    <row r="9" spans="1:28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69272.45</v>
      </c>
      <c r="J9" s="6">
        <v>0</v>
      </c>
      <c r="K9" s="12">
        <f t="shared" si="0"/>
        <v>69272.45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629</v>
      </c>
      <c r="V9" t="str" cm="1">
        <f t="array" aca="1" ref="V9" ca="1">IFERROR(_xludf.TEXTJOIN(" | ",TRUE,FILTRAR($A$2:$A$596,$L$2:$L$596=L9)),"")</f>
        <v/>
      </c>
    </row>
    <row r="10" spans="1:28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69272.45</v>
      </c>
      <c r="J10" s="6">
        <v>0</v>
      </c>
      <c r="K10" s="12">
        <f t="shared" si="0"/>
        <v>69272.45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629</v>
      </c>
      <c r="V10" t="str" cm="1">
        <f t="array" aca="1" ref="V10" ca="1">IFERROR(_xludf.TEXTJOIN(" | ",TRUE,FILTRAR($A$2:$A$596,$L$2:$L$596=L10)),"")</f>
        <v/>
      </c>
    </row>
    <row r="11" spans="1:28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63416.46</v>
      </c>
      <c r="J11" s="6">
        <v>0</v>
      </c>
      <c r="K11" s="12">
        <f t="shared" si="0"/>
        <v>63416.46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629</v>
      </c>
      <c r="V11" t="str" cm="1">
        <f t="array" aca="1" ref="V11" ca="1">IFERROR(_xludf.TEXTJOIN(" | ",TRUE,FILTRAR($A$2:$A$596,$L$2:$L$596=L11)),"")</f>
        <v/>
      </c>
    </row>
    <row r="12" spans="1:28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63416.46</v>
      </c>
      <c r="J12" s="6">
        <v>0</v>
      </c>
      <c r="K12" s="12">
        <f t="shared" si="0"/>
        <v>63416.46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629</v>
      </c>
      <c r="V12" t="str" cm="1">
        <f t="array" aca="1" ref="V12" ca="1">IFERROR(_xludf.TEXTJOIN(" | ",TRUE,FILTRAR($A$2:$A$596,$L$2:$L$596=L12)),"")</f>
        <v/>
      </c>
    </row>
    <row r="13" spans="1:28" hidden="1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629</v>
      </c>
      <c r="V13" t="str" cm="1">
        <f t="array" aca="1" ref="V13" ca="1">IFERROR(_xludf.TEXTJOIN(" | ",TRUE,FILTRAR($A$2:$A$596,$L$2:$L$596=L13)),"")</f>
        <v/>
      </c>
    </row>
    <row r="14" spans="1:28" hidden="1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629</v>
      </c>
      <c r="V14" t="str" cm="1">
        <f t="array" aca="1" ref="V14" ca="1">IFERROR(_xludf.TEXTJOIN(" | ",TRUE,FILTRAR($A$2:$A$596,$L$2:$L$596=L14)),"")</f>
        <v/>
      </c>
    </row>
    <row r="15" spans="1:28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629</v>
      </c>
      <c r="V15" t="str" cm="1">
        <f t="array" aca="1" ref="V15" ca="1">IFERROR(_xludf.TEXTJOIN(" | ",TRUE,FILTRAR($A$2:$A$596,$L$2:$L$596=L15)),"")</f>
        <v/>
      </c>
    </row>
    <row r="16" spans="1:28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629</v>
      </c>
      <c r="V16" t="str" cm="1">
        <f t="array" aca="1" ref="V16" ca="1">IFERROR(_xludf.TEXTJOIN(" | ",TRUE,FILTRAR($A$2:$A$596,$L$2:$L$596=L16)),"")</f>
        <v/>
      </c>
    </row>
    <row r="17" spans="1:22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629</v>
      </c>
      <c r="V17" t="str" cm="1">
        <f t="array" aca="1" ref="V17" ca="1">IFERROR(_xludf.TEXTJOIN(" | ",TRUE,FILTRAR($A$2:$A$596,$L$2:$L$596=L17)),"")</f>
        <v/>
      </c>
    </row>
    <row r="18" spans="1:22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629</v>
      </c>
      <c r="V18" t="str" cm="1">
        <f t="array" aca="1" ref="V18" ca="1">IFERROR(_xludf.TEXTJOIN(" | ",TRUE,FILTRAR($A$2:$A$596,$L$2:$L$596=L18)),"")</f>
        <v/>
      </c>
    </row>
    <row r="19" spans="1:22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629</v>
      </c>
      <c r="V19" t="str" cm="1">
        <f t="array" aca="1" ref="V19" ca="1">IFERROR(_xludf.TEXTJOIN(" | ",TRUE,FILTRAR($A$2:$A$596,$L$2:$L$596=L19)),"")</f>
        <v/>
      </c>
    </row>
    <row r="20" spans="1:22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629</v>
      </c>
    </row>
    <row r="21" spans="1:22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37919.699999999997</v>
      </c>
      <c r="J21" s="6">
        <v>0</v>
      </c>
      <c r="K21" s="12">
        <f t="shared" si="0"/>
        <v>37919.699999999997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630</v>
      </c>
    </row>
    <row r="22" spans="1:22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37919.699999999997</v>
      </c>
      <c r="J22" s="6">
        <v>0</v>
      </c>
      <c r="K22" s="12">
        <f t="shared" si="0"/>
        <v>37919.699999999997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630</v>
      </c>
    </row>
    <row r="23" spans="1:22" hidden="1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>IFERROR(I23-I23*J23,"")</f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>IF(M23="",A23,M23)</f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>SUM(O23:S23)</f>
        <v>1</v>
      </c>
      <c r="U23" s="10" t="s">
        <v>629</v>
      </c>
    </row>
    <row r="24" spans="1:22" hidden="1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>IFERROR(I24-I24*J24,"")</f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>IF(M24="",A24,M24)</f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>SUM(O24:S24)</f>
        <v>1</v>
      </c>
      <c r="U24" s="10" t="s">
        <v>629</v>
      </c>
    </row>
    <row r="25" spans="1:22" hidden="1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>IFERROR(I25-I25*J25,"")</f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>IF(M25="",A25,M25)</f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>SUM(O25:S25)</f>
        <v>3</v>
      </c>
      <c r="U25" s="10" t="s">
        <v>629</v>
      </c>
    </row>
    <row r="26" spans="1:22" hidden="1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>IFERROR(I26-I26*J26,"")</f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>IF(M26="",A26,M26)</f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>SUM(O26:S26)</f>
        <v>6</v>
      </c>
      <c r="U26" s="10" t="s">
        <v>629</v>
      </c>
    </row>
    <row r="27" spans="1:22" hidden="1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>IFERROR(I27-I27*J27,"")</f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>IF(M27="",A27,M27)</f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>SUM(O27:S27)</f>
        <v>1</v>
      </c>
      <c r="U27" s="10" t="s">
        <v>629</v>
      </c>
    </row>
    <row r="28" spans="1:22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>IFERROR(I28-I28*J28,"")</f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>IF(M28="",A28,M28)</f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>SUM(O28:S28)</f>
        <v>1</v>
      </c>
      <c r="U28" s="10" t="s">
        <v>739</v>
      </c>
    </row>
    <row r="29" spans="1:22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>IFERROR(I29-I29*J29,"")</f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>IF(M29="",A29,M29)</f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>SUM(O29:S29)</f>
        <v>3</v>
      </c>
      <c r="U29" s="10" t="s">
        <v>739</v>
      </c>
    </row>
    <row r="30" spans="1:22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>IFERROR(I30-I30*J30,"")</f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>IF(M30="",A30,M30)</f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>SUM(O30:S30)</f>
        <v>1</v>
      </c>
      <c r="U30" s="10" t="s">
        <v>739</v>
      </c>
    </row>
    <row r="31" spans="1:22" hidden="1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>IFERROR(I31-I31*J31,"")</f>
        <v>23418.53</v>
      </c>
      <c r="L31" s="7" t="str">
        <f>IF(VLOOKUP(A31,'[1]LISTA ETIQUETAS'!O:AB,14,0)="","",(VLOOKUP(A31,'[1]LISTA ETIQUETAS'!O:AB,14,0)))</f>
        <v>IS</v>
      </c>
      <c r="M31" s="8" t="s">
        <v>41</v>
      </c>
      <c r="N31" s="9" t="str">
        <f>IF(M31="",A31,M31)</f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>SUM(O31:S31)</f>
        <v>4</v>
      </c>
      <c r="U31" s="10" t="s">
        <v>629</v>
      </c>
      <c r="V31" t="str" cm="1">
        <f t="array" aca="1" ref="V31" ca="1">IFERROR(_xludf.TEXTJOIN(" | ",TRUE,FILTRAR($A$2:$A$596,$L$2:$L$596=L31)),"")</f>
        <v/>
      </c>
    </row>
    <row r="32" spans="1:22" hidden="1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>IFERROR(I32-I32*J32,"")</f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>IF(M32="",A32,M32)</f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>SUM(O32:S32)</f>
        <v>2</v>
      </c>
      <c r="U32" s="10" t="s">
        <v>629</v>
      </c>
    </row>
    <row r="33" spans="1:21" hidden="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>IFERROR(I33-I33*J33,"")</f>
        <v>22325.91</v>
      </c>
      <c r="L33" s="7" t="str">
        <f>IF(VLOOKUP(A33,'[1]LISTA ETIQUETAS'!O:AB,14,0)="","",(VLOOKUP(A33,'[1]LISTA ETIQUETAS'!O:AB,14,0)))</f>
        <v>HU</v>
      </c>
      <c r="M33" s="8"/>
      <c r="N33" s="9">
        <f>IF(M33="",A33,M33)</f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>SUM(O33:S33)</f>
        <v>3</v>
      </c>
      <c r="U33" s="10" t="s">
        <v>629</v>
      </c>
    </row>
    <row r="34" spans="1:21" hidden="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>IFERROR(I34-I34*J34,"")</f>
        <v>22325.91</v>
      </c>
      <c r="L34" s="7" t="str">
        <f>IF(VLOOKUP(A34,'[1]LISTA ETIQUETAS'!O:AB,14,0)="","",(VLOOKUP(A34,'[1]LISTA ETIQUETAS'!O:AB,14,0)))</f>
        <v>HU</v>
      </c>
      <c r="M34" s="8" t="s">
        <v>42</v>
      </c>
      <c r="N34" s="9" t="str">
        <f>IF(M34="",A34,M34)</f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>SUM(O34:S34)</f>
        <v>5</v>
      </c>
      <c r="U34" s="10" t="s">
        <v>629</v>
      </c>
    </row>
    <row r="35" spans="1:21" hidden="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>IFERROR(I35-I35*J35,"")</f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>IF(M35="",A35,M35)</f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>SUM(O35:S35)</f>
        <v>2</v>
      </c>
      <c r="U35" s="10" t="s">
        <v>629</v>
      </c>
    </row>
    <row r="36" spans="1:2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>IFERROR(I36-I36*J36,"")</f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>IF(M36="",A36,M36)</f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>SUM(O36:S36)</f>
        <v>1</v>
      </c>
      <c r="U36" s="10" t="s">
        <v>738</v>
      </c>
    </row>
    <row r="37" spans="1:2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>IFERROR(I37-I37*J37,"")</f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>IF(M37="",A37,M37)</f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>SUM(O37:S37)</f>
        <v>1</v>
      </c>
      <c r="U37" s="10" t="s">
        <v>738</v>
      </c>
    </row>
    <row r="38" spans="1:2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>IFERROR(I38-I38*J38,"")</f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>IF(M38="",A38,M38)</f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>SUM(O38:S38)</f>
        <v>1</v>
      </c>
      <c r="U38" s="10" t="s">
        <v>629</v>
      </c>
    </row>
    <row r="39" spans="1:2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>IFERROR(I39-I39*J39,"")</f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>IF(M39="",A39,M39)</f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>SUM(O39:S39)</f>
        <v>1</v>
      </c>
      <c r="U39" s="10" t="s">
        <v>629</v>
      </c>
    </row>
    <row r="40" spans="1:2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>IFERROR(I40-I40*J40,"")</f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>IF(M40="",A40,M40)</f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>SUM(O40:S40)</f>
        <v>1</v>
      </c>
      <c r="U40" s="10" t="s">
        <v>629</v>
      </c>
    </row>
    <row r="41" spans="1:2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>IFERROR(I41-I41*J41,"")</f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>IF(M41="",A41,M41)</f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>SUM(O41:S41)</f>
        <v>1</v>
      </c>
      <c r="U41" s="10" t="s">
        <v>629</v>
      </c>
    </row>
    <row r="42" spans="1:2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>IFERROR(I42-I42*J42,"")</f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>IF(M42="",A42,M42)</f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>SUM(O42:S42)</f>
        <v>1</v>
      </c>
      <c r="U42" s="10" t="s">
        <v>629</v>
      </c>
    </row>
    <row r="43" spans="1:2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>IFERROR(I43-I43*J43,"")</f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>IF(M43="",A43,M43)</f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>SUM(O43:S43)</f>
        <v>1</v>
      </c>
      <c r="U43" s="10" t="s">
        <v>629</v>
      </c>
    </row>
    <row r="44" spans="1:2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>IFERROR(I44-I44*J44,"")</f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>IF(M44="",A44,M44)</f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>SUM(O44:S44)</f>
        <v>1</v>
      </c>
      <c r="U44" s="10" t="s">
        <v>629</v>
      </c>
    </row>
    <row r="45" spans="1:2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>IFERROR(I45-I45*J45,"")</f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>IF(M45="",A45,M45)</f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>SUM(O45:S45)</f>
        <v>1</v>
      </c>
      <c r="U45" s="10" t="s">
        <v>629</v>
      </c>
    </row>
    <row r="46" spans="1:2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>IFERROR(I46-I46*J46,"")</f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>IF(M46="",A46,M46)</f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>SUM(O46:S46)</f>
        <v>1</v>
      </c>
      <c r="U46" s="10" t="s">
        <v>629</v>
      </c>
    </row>
    <row r="47" spans="1:21" hidden="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>IFERROR(I47-I47*J47,"")</f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>IF(M47="",A47,M47)</f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>SUM(O47:S47)</f>
        <v>5</v>
      </c>
      <c r="U47" s="10" t="s">
        <v>629</v>
      </c>
    </row>
    <row r="48" spans="1:21" hidden="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61959.61</v>
      </c>
      <c r="J48" s="6">
        <v>0</v>
      </c>
      <c r="K48" s="12">
        <f>IFERROR(I48-I48*J48,"")</f>
        <v>61959.61</v>
      </c>
      <c r="L48" s="7" t="str">
        <f>IF(VLOOKUP(A48,'[1]LISTA ETIQUETAS'!O:AB,14,0)="","",(VLOOKUP(A48,'[1]LISTA ETIQUETAS'!O:AB,14,0)))</f>
        <v/>
      </c>
      <c r="M48" s="8" t="s">
        <v>50</v>
      </c>
      <c r="N48" s="9" t="str">
        <f>IF(M48="",A48,M48)</f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>SUM(O48:S48)</f>
        <v>2</v>
      </c>
      <c r="U48" s="10" t="s">
        <v>629</v>
      </c>
    </row>
    <row r="49" spans="1:21" hidden="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63815.4</v>
      </c>
      <c r="J49" s="6">
        <v>0</v>
      </c>
      <c r="K49" s="12">
        <f>IFERROR(I49-I49*J49,"")</f>
        <v>63815.4</v>
      </c>
      <c r="L49" s="7" t="str">
        <f>IF(VLOOKUP(A49,'[1]LISTA ETIQUETAS'!O:AB,14,0)="","",(VLOOKUP(A49,'[1]LISTA ETIQUETAS'!O:AB,14,0)))</f>
        <v/>
      </c>
      <c r="M49" s="8" t="s">
        <v>50</v>
      </c>
      <c r="N49" s="9" t="str">
        <f>IF(M49="",A49,M49)</f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>SUM(O49:S49)</f>
        <v>2</v>
      </c>
      <c r="U49" s="10" t="s">
        <v>629</v>
      </c>
    </row>
    <row r="50" spans="1:21" hidden="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>IFERROR(I50-I50*J50,"")</f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>IF(M50="",A50,M50)</f>
        <v>371721 | 371720</v>
      </c>
      <c r="O50" s="2">
        <f>_xlfn.XLOOKUP($A50,'[1]LISTA ETIQUETAS'!$O:$O,'[1]LISTA ETIQUETAS'!C:C,"",0)</f>
        <v>1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0</v>
      </c>
      <c r="T50" s="9">
        <f>SUM(O50:S50)</f>
        <v>1</v>
      </c>
      <c r="U50" s="10" t="s">
        <v>629</v>
      </c>
    </row>
    <row r="51" spans="1:21" hidden="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>IFERROR(I51-I51*J51,"")</f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>IF(M51="",A51,M51)</f>
        <v>371721 | 371720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0</v>
      </c>
      <c r="T51" s="9">
        <f>SUM(O51:S51)</f>
        <v>1</v>
      </c>
      <c r="U51" s="10" t="s">
        <v>629</v>
      </c>
    </row>
    <row r="52" spans="1:21" hidden="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>IFERROR(I52-I52*J52,"")</f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>IF(M52="",A52,M52)</f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>SUM(O52:S52)</f>
        <v>1</v>
      </c>
      <c r="U52" s="10" t="s">
        <v>629</v>
      </c>
    </row>
    <row r="53" spans="1:21" hidden="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>IFERROR(I53-I53*J53,"")</f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>IF(M53="",A53,M53)</f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>SUM(O53:S53)</f>
        <v>2</v>
      </c>
      <c r="U53" s="10" t="s">
        <v>629</v>
      </c>
    </row>
    <row r="54" spans="1:2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>IFERROR(I54-I54*J54,"")</f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>IF(M54="",A54,M54)</f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>SUM(O54:S54)</f>
        <v>1</v>
      </c>
      <c r="U54" s="10" t="s">
        <v>629</v>
      </c>
    </row>
    <row r="55" spans="1:2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>IFERROR(I55-I55*J55,"")</f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>IF(M55="",A55,M55)</f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>SUM(O55:S55)</f>
        <v>1</v>
      </c>
      <c r="U55" s="10" t="s">
        <v>629</v>
      </c>
    </row>
    <row r="56" spans="1:2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>IFERROR(I56-I56*J56,"")</f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>IF(M56="",A56,M56)</f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>SUM(O56:S56)</f>
        <v>1</v>
      </c>
      <c r="U56" s="10" t="s">
        <v>736</v>
      </c>
    </row>
    <row r="57" spans="1:2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>IFERROR(I57-I57*J57,"")</f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>IF(M57="",A57,M57)</f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>SUM(O57:S57)</f>
        <v>1</v>
      </c>
      <c r="U57" s="10" t="s">
        <v>736</v>
      </c>
    </row>
    <row r="58" spans="1:21" hidden="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110895.16800000001</v>
      </c>
      <c r="J58" s="6">
        <v>0</v>
      </c>
      <c r="K58" s="12">
        <f>IFERROR(I58-I58*J58,"")</f>
        <v>110895.16800000001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>IF(M58="",A58,M58)</f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>SUM(O58:S58)</f>
        <v>1</v>
      </c>
      <c r="U58" s="10" t="s">
        <v>629</v>
      </c>
    </row>
    <row r="59" spans="1:21" hidden="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110895.16800000001</v>
      </c>
      <c r="J59" s="6">
        <v>0</v>
      </c>
      <c r="K59" s="12">
        <f>IFERROR(I59-I59*J59,"")</f>
        <v>110895.16800000001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>IF(M59="",A59,M59)</f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>SUM(O59:S59)</f>
        <v>1</v>
      </c>
      <c r="U59" s="10" t="s">
        <v>629</v>
      </c>
    </row>
    <row r="60" spans="1:2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>IFERROR(I60-I60*J60,"")</f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>IF(M60="",A60,M60)</f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>SUM(O60:S60)</f>
        <v>1</v>
      </c>
      <c r="U60" s="10" t="s">
        <v>737</v>
      </c>
    </row>
    <row r="61" spans="1:2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>IFERROR(I61-I61*J61,"")</f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>IF(M61="",A61,M61)</f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>SUM(O61:S61)</f>
        <v>1</v>
      </c>
      <c r="U61" s="10" t="s">
        <v>737</v>
      </c>
    </row>
    <row r="62" spans="1:2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>IFERROR(I62-I62*J62,"")</f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>IF(M62="",A62,M62)</f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>SUM(O62:S62)</f>
        <v>1</v>
      </c>
      <c r="U62" s="10" t="s">
        <v>737</v>
      </c>
    </row>
    <row r="63" spans="1:21" hidden="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6072.72</v>
      </c>
      <c r="J63" s="6">
        <v>0</v>
      </c>
      <c r="K63" s="12">
        <f>IFERROR(I63-I63*J63,"")</f>
        <v>6072.72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>IF(M63="",A63,M63)</f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>SUM(O63:S63)</f>
        <v>1</v>
      </c>
      <c r="U63" s="10" t="s">
        <v>629</v>
      </c>
    </row>
    <row r="64" spans="1:21" hidden="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6072.72</v>
      </c>
      <c r="J64" s="6">
        <v>0</v>
      </c>
      <c r="K64" s="12">
        <f>IFERROR(I64-I64*J64,"")</f>
        <v>6072.72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>IF(M64="",A64,M64)</f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>SUM(O64:S64)</f>
        <v>1</v>
      </c>
      <c r="U64" s="10" t="s">
        <v>629</v>
      </c>
    </row>
    <row r="65" spans="1:2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>IFERROR(I65-I65*J65,"")</f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>IF(M65="",A65,M65)</f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>SUM(O65:S65)</f>
        <v>1</v>
      </c>
      <c r="U65" s="10" t="s">
        <v>629</v>
      </c>
    </row>
    <row r="66" spans="1:2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>IFERROR(I66-I66*J66,"")</f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>IF(M66="",A66,M66)</f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>SUM(O66:S66)</f>
        <v>1</v>
      </c>
      <c r="U66" s="10" t="s">
        <v>629</v>
      </c>
    </row>
    <row r="67" spans="1:2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>IF(M67="",A67,M67)</f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>SUM(O67:S67)</f>
        <v>1</v>
      </c>
      <c r="U67" s="10" t="s">
        <v>709</v>
      </c>
    </row>
    <row r="68" spans="1:2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>IFERROR(I68-I68*J68,"")</f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>SUM(O68:S68)</f>
        <v>1</v>
      </c>
      <c r="U68" s="10" t="s">
        <v>709</v>
      </c>
    </row>
    <row r="69" spans="1:2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>IFERROR(I69-I69*J69,"")</f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>IF(M69="",A69,M69)</f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>SUM(O69:S69)</f>
        <v>1</v>
      </c>
      <c r="U69" s="10" t="s">
        <v>629</v>
      </c>
    </row>
    <row r="70" spans="1:2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>IFERROR(I70-I70*J70,"")</f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>IF(M70="",A70,M70)</f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>SUM(O70:S70)</f>
        <v>1</v>
      </c>
      <c r="U70" s="10" t="s">
        <v>629</v>
      </c>
    </row>
    <row r="71" spans="1:2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>IFERROR(I71-I71*J71,"")</f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>IF(M71="",A71,M71)</f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>SUM(O71:S71)</f>
        <v>1</v>
      </c>
      <c r="U71" s="10" t="s">
        <v>629</v>
      </c>
    </row>
    <row r="72" spans="1:2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>IFERROR(I72-I72*J72,"")</f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>IF(M72="",A72,M72)</f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>SUM(O72:S72)</f>
        <v>1</v>
      </c>
      <c r="U72" s="10" t="s">
        <v>629</v>
      </c>
    </row>
    <row r="73" spans="1:2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>IFERROR(I73-I73*J73,"")</f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>IF(M73="",A73,M73)</f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>SUM(O73:S73)</f>
        <v>3</v>
      </c>
      <c r="U73" s="10" t="s">
        <v>629</v>
      </c>
    </row>
    <row r="74" spans="1:2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36885.869999999995</v>
      </c>
      <c r="J74" s="6">
        <v>0</v>
      </c>
      <c r="K74" s="12">
        <f>IFERROR(I74-I74*J74,"")</f>
        <v>36885.869999999995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>IF(M74="",A74,M74)</f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>SUM(O74:S74)</f>
        <v>1</v>
      </c>
      <c r="U74" s="10" t="s">
        <v>735</v>
      </c>
    </row>
    <row r="75" spans="1:2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36885.869999999995</v>
      </c>
      <c r="J75" s="6">
        <v>0</v>
      </c>
      <c r="K75" s="12">
        <f>IFERROR(I75-I75*J75,"")</f>
        <v>36885.869999999995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>IF(M75="",A75,M75)</f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>SUM(O75:S75)</f>
        <v>1</v>
      </c>
      <c r="U75" s="10" t="s">
        <v>735</v>
      </c>
    </row>
    <row r="76" spans="1:2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>IFERROR(I76-I76*J76,"")</f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>IF(M76="",A76,M76)</f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>SUM(O76:S76)</f>
        <v>1</v>
      </c>
      <c r="U76" s="10" t="s">
        <v>629</v>
      </c>
    </row>
    <row r="77" spans="1:2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>IFERROR(I77-I77*J77,"")</f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>IF(M77="",A77,M77)</f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>SUM(O77:S77)</f>
        <v>1</v>
      </c>
      <c r="U77" s="10" t="s">
        <v>629</v>
      </c>
    </row>
    <row r="78" spans="1:21" hidden="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58811.78</v>
      </c>
      <c r="J78" s="6">
        <v>0</v>
      </c>
      <c r="K78" s="12">
        <f>IFERROR(I78-I78*J78,"")</f>
        <v>58811.78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>IF(M78="",A78,M78)</f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>SUM(O78:S78)</f>
        <v>1</v>
      </c>
      <c r="U78" s="10" t="s">
        <v>629</v>
      </c>
    </row>
    <row r="79" spans="1:21" hidden="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58811.78</v>
      </c>
      <c r="J79" s="6">
        <v>0</v>
      </c>
      <c r="K79" s="12">
        <f>IFERROR(I79-I79*J79,"")</f>
        <v>58811.78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>IF(M79="",A79,M79)</f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>SUM(O79:S79)</f>
        <v>1</v>
      </c>
      <c r="U79" s="10" t="s">
        <v>629</v>
      </c>
    </row>
    <row r="80" spans="1:2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58811.78</v>
      </c>
      <c r="J80" s="6">
        <v>0</v>
      </c>
      <c r="K80" s="12">
        <f>IFERROR(I80-I80*J80,"")</f>
        <v>58811.78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>IF(M80="",A80,M80)</f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>SUM(O80:S80)</f>
        <v>1</v>
      </c>
      <c r="U80" s="10" t="s">
        <v>734</v>
      </c>
    </row>
    <row r="81" spans="1:21" hidden="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54490.429999999993</v>
      </c>
      <c r="J81" s="6">
        <v>0</v>
      </c>
      <c r="K81" s="12">
        <f>IFERROR(I81-I81*J81,"")</f>
        <v>54490.429999999993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>IF(M81="",A81,M81)</f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>SUM(O81:S81)</f>
        <v>1</v>
      </c>
      <c r="U81" s="10" t="s">
        <v>629</v>
      </c>
    </row>
    <row r="82" spans="1:21" hidden="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54490.429999999993</v>
      </c>
      <c r="J82" s="6">
        <v>0</v>
      </c>
      <c r="K82" s="12">
        <f>IFERROR(I82-I82*J82,"")</f>
        <v>54490.429999999993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>IF(M82="",A82,M82)</f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>SUM(O82:S82)</f>
        <v>1</v>
      </c>
      <c r="U82" s="10" t="s">
        <v>629</v>
      </c>
    </row>
    <row r="83" spans="1:2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54490.429999999993</v>
      </c>
      <c r="J83" s="6">
        <v>0</v>
      </c>
      <c r="K83" s="12">
        <f>IFERROR(I83-I83*J83,"")</f>
        <v>54490.429999999993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>IF(M83="",A83,M83)</f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>SUM(O83:S83)</f>
        <v>1</v>
      </c>
      <c r="U83" s="10" t="s">
        <v>733</v>
      </c>
    </row>
    <row r="84" spans="1:21" hidden="1" x14ac:dyDescent="0.25">
      <c r="A84" s="5">
        <v>354545</v>
      </c>
      <c r="B84" t="str">
        <f>IFERROR((VLOOKUP(A84,'[1]LISTA ETIQUETAS'!O:X,3,0)),"PRODUTO SEM ESTOQUE")</f>
        <v>sem saldo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3129.88</v>
      </c>
      <c r="J84" s="6">
        <v>0</v>
      </c>
      <c r="K84" s="12">
        <f>IFERROR(I84-I84*J84,"")</f>
        <v>3129.88</v>
      </c>
      <c r="L84" s="7" t="str">
        <f>IF(VLOOKUP(A84,'[1]LISTA ETIQUETAS'!O:AB,14,0)="","",(VLOOKUP(A84,'[1]LISTA ETIQUETAS'!O:AB,14,0)))</f>
        <v>FD</v>
      </c>
      <c r="M84" s="8">
        <v>354545</v>
      </c>
      <c r="N84" s="9">
        <f>IF(M84="",A84,M84)</f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>SUM(O84:S84)</f>
        <v>1</v>
      </c>
      <c r="U84" s="10" t="s">
        <v>629</v>
      </c>
    </row>
    <row r="85" spans="1:2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>IFERROR(I85-I85*J85,"")</f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>IF(M85="",A85,M85)</f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>SUM(O85:S85)</f>
        <v>1</v>
      </c>
      <c r="U85" s="10" t="s">
        <v>629</v>
      </c>
    </row>
    <row r="86" spans="1:2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>IFERROR(I86-I86*J86,"")</f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>IF(M86="",A86,M86)</f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>SUM(O86:S86)</f>
        <v>1</v>
      </c>
      <c r="U86" s="10" t="s">
        <v>629</v>
      </c>
    </row>
    <row r="87" spans="1:2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>IFERROR(I87-I87*J87,"")</f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>IF(M87="",A87,M87)</f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>SUM(O87:S87)</f>
        <v>1</v>
      </c>
      <c r="U87" s="10" t="s">
        <v>629</v>
      </c>
    </row>
    <row r="88" spans="1:21" hidden="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38837.549999999996</v>
      </c>
      <c r="J88" s="6">
        <v>0</v>
      </c>
      <c r="K88" s="12">
        <f>IFERROR(I88-I88*J88,"")</f>
        <v>38837.549999999996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>IF(M88="",A88,M88)</f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>SUM(O88:S88)</f>
        <v>1</v>
      </c>
      <c r="U88" s="10" t="s">
        <v>629</v>
      </c>
    </row>
    <row r="89" spans="1:21" hidden="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38837.549999999996</v>
      </c>
      <c r="J89" s="6">
        <v>0</v>
      </c>
      <c r="K89" s="12">
        <f>IFERROR(I89-I89*J89,"")</f>
        <v>38837.549999999996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>IF(M89="",A89,M89)</f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>SUM(O89:S89)</f>
        <v>1</v>
      </c>
      <c r="U89" s="10" t="s">
        <v>629</v>
      </c>
    </row>
    <row r="90" spans="1:2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>IFERROR(I90-I90*J90,"")</f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>IF(M90="",A90,M90)</f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>SUM(O90:S90)</f>
        <v>1</v>
      </c>
      <c r="U90" s="10" t="s">
        <v>732</v>
      </c>
    </row>
    <row r="91" spans="1:2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>IFERROR(I91-I91*J91,"")</f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>IF(M91="",A91,M91)</f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>SUM(O91:S91)</f>
        <v>1</v>
      </c>
      <c r="U91" s="10" t="s">
        <v>732</v>
      </c>
    </row>
    <row r="92" spans="1:2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>IFERROR(I92-I92*J92,"")</f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>IF(M92="",A92,M92)</f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>SUM(O92:S92)</f>
        <v>1</v>
      </c>
      <c r="U92" s="10" t="s">
        <v>732</v>
      </c>
    </row>
    <row r="93" spans="1:21" hidden="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51254.2</v>
      </c>
      <c r="J93" s="6">
        <v>0</v>
      </c>
      <c r="K93" s="12">
        <f>IFERROR(I93-I93*J93,"")</f>
        <v>51254.2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>IF(M93="",A93,M93)</f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>SUM(O93:S93)</f>
        <v>2</v>
      </c>
      <c r="U93" s="10" t="s">
        <v>629</v>
      </c>
    </row>
    <row r="94" spans="1:21" hidden="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51254.2</v>
      </c>
      <c r="J94" s="6">
        <v>0</v>
      </c>
      <c r="K94" s="12">
        <f>IFERROR(I94-I94*J94,"")</f>
        <v>51254.2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>IF(M94="",A94,M94)</f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>SUM(O94:S94)</f>
        <v>3</v>
      </c>
      <c r="U94" s="10" t="s">
        <v>629</v>
      </c>
    </row>
    <row r="95" spans="1:2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>IFERROR(I95-I95*J95,"")</f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>IF(M95="",A95,M95)</f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>SUM(O95:S95)</f>
        <v>1</v>
      </c>
      <c r="U95" s="10" t="s">
        <v>731</v>
      </c>
    </row>
    <row r="96" spans="1:2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>IFERROR(I96-I96*J96,"")</f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>IF(M96="",A96,M96)</f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>SUM(O96:S96)</f>
        <v>1</v>
      </c>
      <c r="U96" s="10" t="s">
        <v>731</v>
      </c>
    </row>
    <row r="97" spans="1:2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>IFERROR(I97-I97*J97,"")</f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>IF(M97="",A97,M97)</f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>SUM(O97:S97)</f>
        <v>1</v>
      </c>
      <c r="U97" s="10" t="s">
        <v>731</v>
      </c>
    </row>
    <row r="98" spans="1:2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>IFERROR(I98-I98*J98,"")</f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>IF(M98="",A98,M98)</f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>SUM(O98:S98)</f>
        <v>1</v>
      </c>
      <c r="U98" s="10" t="s">
        <v>731</v>
      </c>
    </row>
    <row r="99" spans="1:2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>IFERROR(I99-I99*J99,"")</f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>IF(M99="",A99,M99)</f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>SUM(O99:S99)</f>
        <v>1</v>
      </c>
      <c r="U99" s="10" t="s">
        <v>730</v>
      </c>
    </row>
    <row r="100" spans="1:2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>IFERROR(I100-I100*J100,"")</f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>IF(M100="",A100,M100)</f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>SUM(O100:S100)</f>
        <v>1</v>
      </c>
      <c r="U100" s="10" t="s">
        <v>730</v>
      </c>
    </row>
    <row r="101" spans="1:2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52550.240000000005</v>
      </c>
      <c r="J101" s="6">
        <v>0</v>
      </c>
      <c r="K101" s="12">
        <f>IFERROR(I101-I101*J101,"")</f>
        <v>52550.240000000005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>IF(M101="",A101,M101)</f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>SUM(O101:S101)</f>
        <v>1</v>
      </c>
      <c r="U101" s="10" t="s">
        <v>629</v>
      </c>
    </row>
    <row r="102" spans="1:2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52550.240000000005</v>
      </c>
      <c r="J102" s="6">
        <v>0</v>
      </c>
      <c r="K102" s="12">
        <f>IFERROR(I102-I102*J102,"")</f>
        <v>52550.240000000005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>IF(M102="",A102,M102)</f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>SUM(O102:S102)</f>
        <v>1</v>
      </c>
      <c r="U102" s="10" t="s">
        <v>629</v>
      </c>
    </row>
    <row r="103" spans="1:21" hidden="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72182.334999999992</v>
      </c>
      <c r="J103" s="6">
        <v>0</v>
      </c>
      <c r="K103" s="12">
        <f>IFERROR(I103-I103*J103,"")</f>
        <v>72182.334999999992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>IF(M103="",A103,M103)</f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>SUM(O103:S103)</f>
        <v>1</v>
      </c>
      <c r="U103" s="10" t="s">
        <v>629</v>
      </c>
    </row>
    <row r="104" spans="1:21" hidden="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72182.334999999992</v>
      </c>
      <c r="J104" s="6">
        <v>0</v>
      </c>
      <c r="K104" s="12">
        <f>IFERROR(I104-I104*J104,"")</f>
        <v>72182.334999999992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>IF(M104="",A104,M104)</f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>SUM(O104:S104)</f>
        <v>1</v>
      </c>
      <c r="U104" s="10" t="s">
        <v>629</v>
      </c>
    </row>
    <row r="105" spans="1:2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>IFERROR(I105-I105*J105,"")</f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>IF(M105="",A105,M105)</f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>SUM(O105:S105)</f>
        <v>2</v>
      </c>
      <c r="U105" s="10" t="s">
        <v>727</v>
      </c>
    </row>
    <row r="106" spans="1:2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>IFERROR(I106-I106*J106,"")</f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>IF(M106="",A106,M106)</f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>SUM(O106:S106)</f>
        <v>2</v>
      </c>
      <c r="U106" s="10" t="s">
        <v>727</v>
      </c>
    </row>
    <row r="107" spans="1:2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>IFERROR(I107-I107*J107,"")</f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>IF(M107="",A107,M107)</f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>SUM(O107:S107)</f>
        <v>2</v>
      </c>
      <c r="U107" s="10" t="s">
        <v>727</v>
      </c>
    </row>
    <row r="108" spans="1:2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>IFERROR(I108-I108*J108,"")</f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>IF(M108="",A108,M108)</f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>SUM(O108:S108)</f>
        <v>1</v>
      </c>
      <c r="U108" s="10" t="s">
        <v>728</v>
      </c>
    </row>
    <row r="109" spans="1:2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>IFERROR(I109-I109*J109,"")</f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>IF(M109="",A109,M109)</f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>SUM(O109:S109)</f>
        <v>1</v>
      </c>
      <c r="U109" s="10" t="s">
        <v>728</v>
      </c>
    </row>
    <row r="110" spans="1:2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>IFERROR(I110-I110*J110,"")</f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>IF(M110="",A110,M110)</f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>SUM(O110:S110)</f>
        <v>1</v>
      </c>
      <c r="U110" s="10" t="s">
        <v>729</v>
      </c>
    </row>
    <row r="111" spans="1:2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>IFERROR(I111-I111*J111,"")</f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>IF(M111="",A111,M111)</f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>SUM(O111:S111)</f>
        <v>1</v>
      </c>
      <c r="U111" s="10" t="s">
        <v>729</v>
      </c>
    </row>
    <row r="112" spans="1:2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>IFERROR(I112-I112*J112,"")</f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>IF(M112="",A112,M112)</f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>SUM(O112:S112)</f>
        <v>1</v>
      </c>
      <c r="U112" s="10" t="s">
        <v>726</v>
      </c>
    </row>
    <row r="113" spans="1:2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>IFERROR(I113-I113*J113,"")</f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>IF(M113="",A113,M113)</f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>SUM(O113:S113)</f>
        <v>1</v>
      </c>
      <c r="U113" s="10" t="s">
        <v>726</v>
      </c>
    </row>
    <row r="114" spans="1:2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>IFERROR(I114-I114*J114,"")</f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>IF(M114="",A114,M114)</f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>SUM(O114:S114)</f>
        <v>1</v>
      </c>
      <c r="U114" s="10" t="s">
        <v>726</v>
      </c>
    </row>
    <row r="115" spans="1:2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>IFERROR(I115-I115*J115,"")</f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>IF(M115="",A115,M115)</f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>SUM(O115:S115)</f>
        <v>1</v>
      </c>
      <c r="U115" s="10" t="s">
        <v>725</v>
      </c>
    </row>
    <row r="116" spans="1:2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>IFERROR(I116-I116*J116,"")</f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>IF(M116="",A116,M116)</f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>SUM(O116:S116)</f>
        <v>1</v>
      </c>
      <c r="U116" s="10" t="s">
        <v>725</v>
      </c>
    </row>
    <row r="117" spans="1:21" hidden="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>IFERROR(I117-I117*J117,"")</f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>IF(M117="",A117,M117)</f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>SUM(O117:S117)</f>
        <v>3</v>
      </c>
      <c r="U117" s="10" t="s">
        <v>629</v>
      </c>
    </row>
    <row r="118" spans="1:2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>IFERROR(I118-I118*J118,"")</f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>IF(M118="",A118,M118)</f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>SUM(O118:S118)</f>
        <v>1</v>
      </c>
      <c r="U118" s="10" t="s">
        <v>724</v>
      </c>
    </row>
    <row r="119" spans="1:2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>IFERROR(I119-I119*J119,"")</f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>IF(M119="",A119,M119)</f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>SUM(O119:S119)</f>
        <v>1</v>
      </c>
      <c r="U119" s="10" t="s">
        <v>724</v>
      </c>
    </row>
    <row r="120" spans="1:2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>IFERROR(I120-I120*J120,"")</f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>IF(M120="",A120,M120)</f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>SUM(O120:S120)</f>
        <v>1</v>
      </c>
      <c r="U120" s="10" t="s">
        <v>724</v>
      </c>
    </row>
    <row r="121" spans="1:2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>IFERROR(I121-I121*J121,"")</f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>IF(M121="",A121,M121)</f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>SUM(O121:S121)</f>
        <v>1</v>
      </c>
      <c r="U121" s="10" t="s">
        <v>724</v>
      </c>
    </row>
    <row r="122" spans="1:2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>IFERROR(I122-I122*J122,"")</f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>IF(M122="",A122,M122)</f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>SUM(O122:S122)</f>
        <v>1</v>
      </c>
      <c r="U122" s="10" t="s">
        <v>724</v>
      </c>
    </row>
    <row r="123" spans="1:2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>IFERROR(I123-I123*J123,"")</f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>IF(M123="",A123,M123)</f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>SUM(O123:S123)</f>
        <v>1</v>
      </c>
      <c r="U123" s="10" t="s">
        <v>724</v>
      </c>
    </row>
    <row r="124" spans="1:2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>IFERROR(I124-I124*J124,"")</f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>IF(M124="",A124,M124)</f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>SUM(O124:S124)</f>
        <v>1</v>
      </c>
      <c r="U124" s="10" t="s">
        <v>724</v>
      </c>
    </row>
    <row r="125" spans="1:2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>IFERROR(I125-I125*J125,"")</f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>IF(M125="",A125,M125)</f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>SUM(O125:S125)</f>
        <v>1</v>
      </c>
      <c r="U125" s="10" t="s">
        <v>724</v>
      </c>
    </row>
    <row r="126" spans="1:21" hidden="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27730.951000000001</v>
      </c>
      <c r="J126" s="6">
        <v>0</v>
      </c>
      <c r="K126" s="12">
        <f>IFERROR(I126-I126*J126,"")</f>
        <v>27730.951000000001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>IF(M126="",A126,M126)</f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>SUM(O126:S126)</f>
        <v>2</v>
      </c>
      <c r="U126" s="10" t="s">
        <v>629</v>
      </c>
    </row>
    <row r="127" spans="1:21" hidden="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27730.951000000001</v>
      </c>
      <c r="J127" s="6">
        <v>0</v>
      </c>
      <c r="K127" s="12">
        <f>IFERROR(I127-I127*J127,"")</f>
        <v>27730.951000000001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>IF(M127="",A127,M127)</f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>SUM(O127:S127)</f>
        <v>1</v>
      </c>
      <c r="U127" s="10" t="s">
        <v>629</v>
      </c>
    </row>
    <row r="128" spans="1:2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72759.19</v>
      </c>
      <c r="J128" s="6">
        <v>0</v>
      </c>
      <c r="K128" s="12">
        <f>IFERROR(I128-I128*J128,"")</f>
        <v>72759.19</v>
      </c>
      <c r="L128" s="7" t="str">
        <f>IF(VLOOKUP(A128,'[1]LISTA ETIQUETAS'!O:AB,14,0)="","",(VLOOKUP(A128,'[1]LISTA ETIQUETAS'!O:AB,14,0)))</f>
        <v>CQ</v>
      </c>
      <c r="M128" s="8" t="s">
        <v>115</v>
      </c>
      <c r="N128" s="9" t="str">
        <f>IF(M128="",A128,M128)</f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>SUM(O128:S128)</f>
        <v>2</v>
      </c>
      <c r="U128" s="10" t="s">
        <v>723</v>
      </c>
    </row>
    <row r="129" spans="1:2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72759.19</v>
      </c>
      <c r="J129" s="6">
        <v>0</v>
      </c>
      <c r="K129" s="12">
        <f>IFERROR(I129-I129*J129,"")</f>
        <v>72759.19</v>
      </c>
      <c r="L129" s="7" t="str">
        <f>IF(VLOOKUP(A129,'[1]LISTA ETIQUETAS'!O:AB,14,0)="","",(VLOOKUP(A129,'[1]LISTA ETIQUETAS'!O:AB,14,0)))</f>
        <v>CQ</v>
      </c>
      <c r="M129" s="8" t="s">
        <v>115</v>
      </c>
      <c r="N129" s="9" t="str">
        <f>IF(M129="",A129,M129)</f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>SUM(O129:S129)</f>
        <v>2</v>
      </c>
      <c r="U129" s="10" t="s">
        <v>723</v>
      </c>
    </row>
    <row r="130" spans="1:2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72759.19</v>
      </c>
      <c r="J130" s="6">
        <v>0</v>
      </c>
      <c r="K130" s="12">
        <f>IFERROR(I130-I130*J130,"")</f>
        <v>72759.19</v>
      </c>
      <c r="L130" s="7" t="str">
        <f>IF(VLOOKUP(A130,'[1]LISTA ETIQUETAS'!O:AB,14,0)="","",(VLOOKUP(A130,'[1]LISTA ETIQUETAS'!O:AB,14,0)))</f>
        <v>CQ</v>
      </c>
      <c r="M130" s="8" t="s">
        <v>115</v>
      </c>
      <c r="N130" s="9" t="str">
        <f>IF(M130="",A130,M130)</f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>SUM(O130:S130)</f>
        <v>2</v>
      </c>
      <c r="U130" s="10" t="s">
        <v>723</v>
      </c>
    </row>
    <row r="131" spans="1:2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>IF(M131="",A131,M131)</f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>SUM(O131:S131)</f>
        <v>5</v>
      </c>
      <c r="U131" s="10" t="s">
        <v>722</v>
      </c>
    </row>
    <row r="132" spans="1:2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>IFERROR(I132-I132*J132,"")</f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>SUM(O132:S132)</f>
        <v>1</v>
      </c>
      <c r="U132" s="10" t="s">
        <v>722</v>
      </c>
    </row>
    <row r="133" spans="1:2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>IFERROR(I133-I133*J133,"")</f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>IF(M133="",A133,M133)</f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>SUM(O133:S133)</f>
        <v>1</v>
      </c>
      <c r="U133" s="10" t="s">
        <v>722</v>
      </c>
    </row>
    <row r="134" spans="1:21" hidden="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>IFERROR(I134-I134*J134,"")</f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>IF(M134="",A134,M134)</f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>SUM(O134:S134)</f>
        <v>1</v>
      </c>
      <c r="U134" s="10" t="s">
        <v>629</v>
      </c>
    </row>
    <row r="135" spans="1:21" hidden="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>IFERROR(I135-I135*J135,"")</f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>IF(M135="",A135,M135)</f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>SUM(O135:S135)</f>
        <v>1</v>
      </c>
      <c r="U135" s="10" t="s">
        <v>629</v>
      </c>
    </row>
    <row r="136" spans="1:2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>IFERROR(I136-I136*J136,"")</f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>IF(M136="",A136,M136)</f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>SUM(O136:S136)</f>
        <v>1</v>
      </c>
      <c r="U136" s="10" t="s">
        <v>629</v>
      </c>
    </row>
    <row r="137" spans="1:2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>IFERROR(I137-I137*J137,"")</f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>IF(M137="",A137,M137)</f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>SUM(O137:S137)</f>
        <v>1</v>
      </c>
      <c r="U137" s="10" t="s">
        <v>629</v>
      </c>
    </row>
    <row r="138" spans="1:2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>IFERROR(I138-I138*J138,"")</f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>IF(M138="",A138,M138)</f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>SUM(O138:S138)</f>
        <v>1</v>
      </c>
      <c r="U138" s="10" t="s">
        <v>721</v>
      </c>
    </row>
    <row r="139" spans="1:2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>IFERROR(I139-I139*J139,"")</f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>IF(M139="",A139,M139)</f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>SUM(O139:S139)</f>
        <v>1</v>
      </c>
      <c r="U139" s="10" t="s">
        <v>721</v>
      </c>
    </row>
    <row r="140" spans="1:2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>IFERROR(I140-I140*J140,"")</f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>IF(M140="",A140,M140)</f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>SUM(O140:S140)</f>
        <v>1</v>
      </c>
      <c r="U140" s="10" t="s">
        <v>721</v>
      </c>
    </row>
    <row r="141" spans="1:2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>IFERROR(I141-I141*J141,"")</f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>IF(M141="",A141,M141)</f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>SUM(O141:S141)</f>
        <v>1</v>
      </c>
      <c r="U141" s="10" t="s">
        <v>720</v>
      </c>
    </row>
    <row r="142" spans="1:2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>IFERROR(I142-I142*J142,"")</f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>IF(M142="",A142,M142)</f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>SUM(O142:S142)</f>
        <v>1</v>
      </c>
      <c r="U142" s="10" t="s">
        <v>720</v>
      </c>
    </row>
    <row r="143" spans="1:2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31889.22</v>
      </c>
      <c r="J143" s="6">
        <v>0</v>
      </c>
      <c r="K143" s="12">
        <f>IFERROR(I143-I143*J143,"")</f>
        <v>31889.22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>IF(M143="",A143,M143)</f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>SUM(O143:S143)</f>
        <v>1</v>
      </c>
      <c r="U143" s="10" t="s">
        <v>719</v>
      </c>
    </row>
    <row r="144" spans="1:2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31889.22</v>
      </c>
      <c r="J144" s="6">
        <v>0</v>
      </c>
      <c r="K144" s="12">
        <f>IFERROR(I144-I144*J144,"")</f>
        <v>31889.22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>IF(M144="",A144,M144)</f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>SUM(O144:S144)</f>
        <v>1</v>
      </c>
      <c r="U144" s="10" t="s">
        <v>719</v>
      </c>
    </row>
    <row r="145" spans="1:2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>IFERROR(I145-I145*J145,"")</f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>IF(M145="",A145,M145)</f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>SUM(O145:S145)</f>
        <v>1</v>
      </c>
      <c r="U145" s="10" t="s">
        <v>629</v>
      </c>
    </row>
    <row r="146" spans="1:2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>IFERROR(I146-I146*J146,"")</f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>IF(M146="",A146,M146)</f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>SUM(O146:S146)</f>
        <v>1</v>
      </c>
      <c r="U146" s="10" t="s">
        <v>629</v>
      </c>
    </row>
    <row r="147" spans="1:2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>IFERROR(I147-I147*J147,"")</f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>IF(M147="",A147,M147)</f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>SUM(O147:S147)</f>
        <v>1</v>
      </c>
      <c r="U147" s="10" t="s">
        <v>718</v>
      </c>
    </row>
    <row r="148" spans="1:2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>IFERROR(I148-I148*J148,"")</f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>IF(M148="",A148,M148)</f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>SUM(O148:S148)</f>
        <v>1</v>
      </c>
      <c r="U148" s="10" t="s">
        <v>718</v>
      </c>
    </row>
    <row r="149" spans="1:2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>IFERROR(I149-I149*J149,"")</f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>IF(M149="",A149,M149)</f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>SUM(O149:S149)</f>
        <v>1</v>
      </c>
      <c r="U149" s="10" t="s">
        <v>718</v>
      </c>
    </row>
    <row r="150" spans="1:21" hidden="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>IFERROR(I150-I150*J150,"")</f>
        <v>443.52</v>
      </c>
      <c r="L150" s="7" t="str">
        <f>IF(VLOOKUP(A150,'[1]LISTA ETIQUETAS'!O:AB,14,0)="","",(VLOOKUP(A150,'[1]LISTA ETIQUETAS'!O:AB,14,0)))</f>
        <v/>
      </c>
      <c r="M150" s="8"/>
      <c r="N150" s="9">
        <f>IF(M150="",A150,M150)</f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>SUM(O150:S150)</f>
        <v>6</v>
      </c>
      <c r="U150" s="10" t="s">
        <v>629</v>
      </c>
    </row>
    <row r="151" spans="1:21" hidden="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>IFERROR(I151-I151*J151,"")</f>
        <v>4954.84</v>
      </c>
      <c r="L151" s="7" t="str">
        <f>IF(VLOOKUP(A151,'[1]LISTA ETIQUETAS'!O:AB,14,0)="","",(VLOOKUP(A151,'[1]LISTA ETIQUETAS'!O:AB,14,0)))</f>
        <v/>
      </c>
      <c r="M151" s="8"/>
      <c r="N151" s="9">
        <f>IF(M151="",A151,M151)</f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>SUM(O151:S151)</f>
        <v>9</v>
      </c>
      <c r="U151" s="10" t="s">
        <v>629</v>
      </c>
    </row>
    <row r="152" spans="1:21" hidden="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>IFERROR(I152-I152*J152,"")</f>
        <v>1733.54</v>
      </c>
      <c r="L152" s="7" t="str">
        <f>IF(VLOOKUP(A152,'[1]LISTA ETIQUETAS'!O:AB,14,0)="","",(VLOOKUP(A152,'[1]LISTA ETIQUETAS'!O:AB,14,0)))</f>
        <v/>
      </c>
      <c r="M152" s="8"/>
      <c r="N152" s="9">
        <f>IF(M152="",A152,M152)</f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>SUM(O152:S152)</f>
        <v>1</v>
      </c>
      <c r="U152" s="10" t="s">
        <v>629</v>
      </c>
    </row>
    <row r="153" spans="1:21" hidden="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>IFERROR(I153-I153*J153,"")</f>
        <v>3779.87</v>
      </c>
      <c r="L153" s="7" t="str">
        <f>IF(VLOOKUP(A153,'[1]LISTA ETIQUETAS'!O:AB,14,0)="","",(VLOOKUP(A153,'[1]LISTA ETIQUETAS'!O:AB,14,0)))</f>
        <v/>
      </c>
      <c r="M153" s="8"/>
      <c r="N153" s="9">
        <f>IF(M153="",A153,M153)</f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>SUM(O153:S153)</f>
        <v>1</v>
      </c>
      <c r="U153" s="10" t="s">
        <v>629</v>
      </c>
    </row>
    <row r="154" spans="1:21" hidden="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>IFERROR(I154-I154*J154,"")</f>
        <v>1733.54</v>
      </c>
      <c r="L154" s="7" t="str">
        <f>IF(VLOOKUP(A154,'[1]LISTA ETIQUETAS'!O:AB,14,0)="","",(VLOOKUP(A154,'[1]LISTA ETIQUETAS'!O:AB,14,0)))</f>
        <v/>
      </c>
      <c r="M154" s="8"/>
      <c r="N154" s="9">
        <f>IF(M154="",A154,M154)</f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>SUM(O154:S154)</f>
        <v>1</v>
      </c>
      <c r="U154" s="10" t="s">
        <v>629</v>
      </c>
    </row>
    <row r="155" spans="1:21" hidden="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>IFERROR(I155-I155*J155,"")</f>
        <v>3518.32</v>
      </c>
      <c r="L155" s="7" t="str">
        <f>IF(VLOOKUP(A155,'[1]LISTA ETIQUETAS'!O:AB,14,0)="","",(VLOOKUP(A155,'[1]LISTA ETIQUETAS'!O:AB,14,0)))</f>
        <v/>
      </c>
      <c r="M155" s="8"/>
      <c r="N155" s="9">
        <f>IF(M155="",A155,M155)</f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>SUM(O155:S155)</f>
        <v>1</v>
      </c>
      <c r="U155" s="10" t="s">
        <v>629</v>
      </c>
    </row>
    <row r="156" spans="1:21" hidden="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>IFERROR(I156-I156*J156,"")</f>
        <v>2307.96</v>
      </c>
      <c r="L156" s="7" t="str">
        <f>IF(VLOOKUP(A156,'[1]LISTA ETIQUETAS'!O:AB,14,0)="","",(VLOOKUP(A156,'[1]LISTA ETIQUETAS'!O:AB,14,0)))</f>
        <v/>
      </c>
      <c r="M156" s="8"/>
      <c r="N156" s="9">
        <f>IF(M156="",A156,M156)</f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>SUM(O156:S156)</f>
        <v>1</v>
      </c>
      <c r="U156" s="10" t="s">
        <v>629</v>
      </c>
    </row>
    <row r="157" spans="1:21" hidden="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>IFERROR(I157-I157*J157,"")</f>
        <v/>
      </c>
      <c r="L157" s="7" t="str">
        <f>IF(VLOOKUP(A157,'[1]LISTA ETIQUETAS'!O:AB,14,0)="","",(VLOOKUP(A157,'[1]LISTA ETIQUETAS'!O:AB,14,0)))</f>
        <v/>
      </c>
      <c r="M157" s="8"/>
      <c r="N157" s="9">
        <f>IF(M157="",A157,M157)</f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>SUM(O157:S157)</f>
        <v>1</v>
      </c>
      <c r="U157" s="10" t="s">
        <v>629</v>
      </c>
    </row>
    <row r="158" spans="1:21" hidden="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>IFERROR(I158-I158*J158,"")</f>
        <v>4243.68</v>
      </c>
      <c r="L158" s="7" t="str">
        <f>IF(VLOOKUP(A158,'[1]LISTA ETIQUETAS'!O:AB,14,0)="","",(VLOOKUP(A158,'[1]LISTA ETIQUETAS'!O:AB,14,0)))</f>
        <v/>
      </c>
      <c r="M158" s="8"/>
      <c r="N158" s="9">
        <f>IF(M158="",A158,M158)</f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>SUM(O158:S158)</f>
        <v>2</v>
      </c>
      <c r="U158" s="10" t="s">
        <v>629</v>
      </c>
    </row>
    <row r="159" spans="1:21" hidden="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>IFERROR(I159-I159*J159,"")</f>
        <v>3537.18</v>
      </c>
      <c r="L159" s="7" t="str">
        <f>IF(VLOOKUP(A159,'[1]LISTA ETIQUETAS'!O:AB,14,0)="","",(VLOOKUP(A159,'[1]LISTA ETIQUETAS'!O:AB,14,0)))</f>
        <v/>
      </c>
      <c r="M159" s="8"/>
      <c r="N159" s="9">
        <f>IF(M159="",A159,M159)</f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>SUM(O159:S159)</f>
        <v>3</v>
      </c>
      <c r="U159" s="10" t="s">
        <v>629</v>
      </c>
    </row>
    <row r="160" spans="1:21" hidden="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>IFERROR(I160-I160*J160,"")</f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>IF(M160="",A160,M160)</f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>SUM(O160:S160)</f>
        <v>1</v>
      </c>
      <c r="U160" s="10" t="s">
        <v>629</v>
      </c>
    </row>
    <row r="161" spans="1:21" hidden="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>IFERROR(I161-I161*J161,"")</f>
        <v>0</v>
      </c>
      <c r="L161" s="7" t="str">
        <f>IF(VLOOKUP(A161,'[1]LISTA ETIQUETAS'!O:AB,14,0)="","",(VLOOKUP(A161,'[1]LISTA ETIQUETAS'!O:AB,14,0)))</f>
        <v/>
      </c>
      <c r="M161" s="8"/>
      <c r="N161" s="9">
        <f>IF(M161="",A161,M161)</f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>SUM(O161:S161)</f>
        <v>2</v>
      </c>
      <c r="U161" s="10" t="s">
        <v>629</v>
      </c>
    </row>
    <row r="162" spans="1:21" hidden="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>IFERROR(I162-I162*J162,"")</f>
        <v/>
      </c>
      <c r="L162" s="7" t="str">
        <f>IF(VLOOKUP(A162,'[1]LISTA ETIQUETAS'!O:AB,14,0)="","",(VLOOKUP(A162,'[1]LISTA ETIQUETAS'!O:AB,14,0)))</f>
        <v/>
      </c>
      <c r="M162" s="8"/>
      <c r="N162" s="9">
        <f>IF(M162="",A162,M162)</f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>SUM(O162:S162)</f>
        <v>2</v>
      </c>
      <c r="U162" s="10" t="s">
        <v>629</v>
      </c>
    </row>
    <row r="163" spans="1:21" hidden="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>IFERROR(I163-I163*J163,"")</f>
        <v>3865.88</v>
      </c>
      <c r="L163" s="7" t="str">
        <f>IF(VLOOKUP(A163,'[1]LISTA ETIQUETAS'!O:AB,14,0)="","",(VLOOKUP(A163,'[1]LISTA ETIQUETAS'!O:AB,14,0)))</f>
        <v/>
      </c>
      <c r="M163" s="8"/>
      <c r="N163" s="9">
        <f>IF(M163="",A163,M163)</f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>SUM(O163:S163)</f>
        <v>1</v>
      </c>
      <c r="U163" s="10" t="s">
        <v>629</v>
      </c>
    </row>
    <row r="164" spans="1:21" hidden="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>IFERROR(I164-I164*J164,"")</f>
        <v>0</v>
      </c>
      <c r="L164" s="7" t="str">
        <f>IF(VLOOKUP(A164,'[1]LISTA ETIQUETAS'!O:AB,14,0)="","",(VLOOKUP(A164,'[1]LISTA ETIQUETAS'!O:AB,14,0)))</f>
        <v/>
      </c>
      <c r="M164" s="8"/>
      <c r="N164" s="9">
        <f>IF(M164="",A164,M164)</f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>SUM(O164:S164)</f>
        <v>2</v>
      </c>
      <c r="U164" s="10" t="s">
        <v>629</v>
      </c>
    </row>
    <row r="165" spans="1:21" hidden="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>IFERROR(I165-I165*J165,"")</f>
        <v/>
      </c>
      <c r="L165" s="7" t="str">
        <f>IF(VLOOKUP(A165,'[1]LISTA ETIQUETAS'!O:AB,14,0)="","",(VLOOKUP(A165,'[1]LISTA ETIQUETAS'!O:AB,14,0)))</f>
        <v/>
      </c>
      <c r="M165" s="8"/>
      <c r="N165" s="9">
        <f>IF(M165="",A165,M165)</f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>SUM(O165:S165)</f>
        <v>3</v>
      </c>
      <c r="U165" s="10" t="s">
        <v>629</v>
      </c>
    </row>
    <row r="166" spans="1:21" hidden="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>IFERROR(I166-I166*J166,"")</f>
        <v/>
      </c>
      <c r="L166" s="7" t="str">
        <f>IF(VLOOKUP(A166,'[1]LISTA ETIQUETAS'!O:AB,14,0)="","",(VLOOKUP(A166,'[1]LISTA ETIQUETAS'!O:AB,14,0)))</f>
        <v/>
      </c>
      <c r="M166" s="8"/>
      <c r="N166" s="9">
        <f>IF(M166="",A166,M166)</f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>SUM(O166:S166)</f>
        <v>1</v>
      </c>
      <c r="U166" s="10" t="s">
        <v>629</v>
      </c>
    </row>
    <row r="167" spans="1:21" hidden="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>IFERROR(I167-I167*J167,"")</f>
        <v/>
      </c>
      <c r="L167" s="7" t="str">
        <f>IF(VLOOKUP(A167,'[1]LISTA ETIQUETAS'!O:AB,14,0)="","",(VLOOKUP(A167,'[1]LISTA ETIQUETAS'!O:AB,14,0)))</f>
        <v/>
      </c>
      <c r="M167" s="8"/>
      <c r="N167" s="9">
        <f>IF(M167="",A167,M167)</f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>SUM(O167:S167)</f>
        <v>2</v>
      </c>
      <c r="U167" s="10" t="s">
        <v>629</v>
      </c>
    </row>
    <row r="168" spans="1:21" hidden="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>IFERROR(I168-I168*J168,"")</f>
        <v>0</v>
      </c>
      <c r="L168" s="7" t="str">
        <f>IF(VLOOKUP(A168,'[1]LISTA ETIQUETAS'!O:AB,14,0)="","",(VLOOKUP(A168,'[1]LISTA ETIQUETAS'!O:AB,14,0)))</f>
        <v/>
      </c>
      <c r="M168" s="8"/>
      <c r="N168" s="9">
        <f>IF(M168="",A168,M168)</f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>SUM(O168:S168)</f>
        <v>8</v>
      </c>
      <c r="U168" s="10" t="s">
        <v>629</v>
      </c>
    </row>
    <row r="169" spans="1:21" hidden="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>IFERROR(I169-I169*J169,"")</f>
        <v/>
      </c>
      <c r="L169" s="7" t="str">
        <f>IF(VLOOKUP(A169,'[1]LISTA ETIQUETAS'!O:AB,14,0)="","",(VLOOKUP(A169,'[1]LISTA ETIQUETAS'!O:AB,14,0)))</f>
        <v/>
      </c>
      <c r="M169" s="8"/>
      <c r="N169" s="9">
        <f>IF(M169="",A169,M169)</f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>SUM(O169:S169)</f>
        <v>4</v>
      </c>
      <c r="U169" s="10" t="s">
        <v>629</v>
      </c>
    </row>
    <row r="170" spans="1:21" hidden="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>IFERROR(I170-I170*J170,"")</f>
        <v/>
      </c>
      <c r="L170" s="7" t="str">
        <f>IF(VLOOKUP(A170,'[1]LISTA ETIQUETAS'!O:AB,14,0)="","",(VLOOKUP(A170,'[1]LISTA ETIQUETAS'!O:AB,14,0)))</f>
        <v/>
      </c>
      <c r="M170" s="8"/>
      <c r="N170" s="9">
        <f>IF(M170="",A170,M170)</f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>SUM(O170:S170)</f>
        <v>8</v>
      </c>
      <c r="U170" s="10" t="s">
        <v>629</v>
      </c>
    </row>
    <row r="171" spans="1:21" hidden="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>IFERROR(I171-I171*J171,"")</f>
        <v/>
      </c>
      <c r="L171" s="7" t="str">
        <f>IF(VLOOKUP(A171,'[1]LISTA ETIQUETAS'!O:AB,14,0)="","",(VLOOKUP(A171,'[1]LISTA ETIQUETAS'!O:AB,14,0)))</f>
        <v/>
      </c>
      <c r="M171" s="8"/>
      <c r="N171" s="9">
        <f>IF(M171="",A171,M171)</f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>SUM(O171:S171)</f>
        <v>2</v>
      </c>
      <c r="U171" s="10" t="s">
        <v>629</v>
      </c>
    </row>
    <row r="172" spans="1:21" hidden="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>IFERROR(I172-I172*J172,"")</f>
        <v/>
      </c>
      <c r="L172" s="7" t="str">
        <f>IF(VLOOKUP(A172,'[1]LISTA ETIQUETAS'!O:AB,14,0)="","",(VLOOKUP(A172,'[1]LISTA ETIQUETAS'!O:AB,14,0)))</f>
        <v/>
      </c>
      <c r="M172" s="8"/>
      <c r="N172" s="9">
        <f>IF(M172="",A172,M172)</f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>SUM(O172:S172)</f>
        <v>1</v>
      </c>
      <c r="U172" s="10" t="s">
        <v>629</v>
      </c>
    </row>
    <row r="173" spans="1:21" hidden="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>IFERROR(I173-I173*J173,"")</f>
        <v>0</v>
      </c>
      <c r="L173" s="7" t="str">
        <f>IF(VLOOKUP(A173,'[1]LISTA ETIQUETAS'!O:AB,14,0)="","",(VLOOKUP(A173,'[1]LISTA ETIQUETAS'!O:AB,14,0)))</f>
        <v/>
      </c>
      <c r="M173" s="8"/>
      <c r="N173" s="9">
        <f>IF(M173="",A173,M173)</f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>SUM(O173:S173)</f>
        <v>1</v>
      </c>
      <c r="U173" s="10" t="s">
        <v>629</v>
      </c>
    </row>
    <row r="174" spans="1:21" hidden="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>IFERROR(I174-I174*J174,"")</f>
        <v>8960</v>
      </c>
      <c r="L174" s="7" t="str">
        <f>IF(VLOOKUP(A174,'[1]LISTA ETIQUETAS'!O:AB,14,0)="","",(VLOOKUP(A174,'[1]LISTA ETIQUETAS'!O:AB,14,0)))</f>
        <v/>
      </c>
      <c r="M174" s="8"/>
      <c r="N174" s="9">
        <f>IF(M174="",A174,M174)</f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>SUM(O174:S174)</f>
        <v>1</v>
      </c>
      <c r="U174" s="10" t="s">
        <v>629</v>
      </c>
    </row>
    <row r="175" spans="1:21" hidden="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>IFERROR(I175-I175*J175,"")</f>
        <v>1952.16</v>
      </c>
      <c r="L175" s="7" t="str">
        <f>IF(VLOOKUP(A175,'[1]LISTA ETIQUETAS'!O:AB,14,0)="","",(VLOOKUP(A175,'[1]LISTA ETIQUETAS'!O:AB,14,0)))</f>
        <v/>
      </c>
      <c r="M175" s="8"/>
      <c r="N175" s="9">
        <f>IF(M175="",A175,M175)</f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>SUM(O175:S175)</f>
        <v>1</v>
      </c>
      <c r="U175" s="10" t="s">
        <v>629</v>
      </c>
    </row>
    <row r="176" spans="1:21" hidden="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>IFERROR(I176-I176*J176,"")</f>
        <v>5597.76</v>
      </c>
      <c r="L176" s="7" t="str">
        <f>IF(VLOOKUP(A176,'[1]LISTA ETIQUETAS'!O:AB,14,0)="","",(VLOOKUP(A176,'[1]LISTA ETIQUETAS'!O:AB,14,0)))</f>
        <v/>
      </c>
      <c r="M176" s="8"/>
      <c r="N176" s="9">
        <f>IF(M176="",A176,M176)</f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>SUM(O176:S176)</f>
        <v>2</v>
      </c>
      <c r="U176" s="10" t="s">
        <v>629</v>
      </c>
    </row>
    <row r="177" spans="1:21" hidden="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>IFERROR(I177-I177*J177,"")</f>
        <v>5597.76</v>
      </c>
      <c r="L177" s="7" t="str">
        <f>IF(VLOOKUP(A177,'[1]LISTA ETIQUETAS'!O:AB,14,0)="","",(VLOOKUP(A177,'[1]LISTA ETIQUETAS'!O:AB,14,0)))</f>
        <v/>
      </c>
      <c r="M177" s="8"/>
      <c r="N177" s="9">
        <f>IF(M177="",A177,M177)</f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>SUM(O177:S177)</f>
        <v>3</v>
      </c>
      <c r="U177" s="10" t="s">
        <v>629</v>
      </c>
    </row>
    <row r="178" spans="1:21" hidden="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>IFERROR(I178-I178*J178,"")</f>
        <v>3245.76</v>
      </c>
      <c r="L178" s="7" t="str">
        <f>IF(VLOOKUP(A178,'[1]LISTA ETIQUETAS'!O:AB,14,0)="","",(VLOOKUP(A178,'[1]LISTA ETIQUETAS'!O:AB,14,0)))</f>
        <v/>
      </c>
      <c r="M178" s="8"/>
      <c r="N178" s="9">
        <f>IF(M178="",A178,M178)</f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>SUM(O178:S178)</f>
        <v>2</v>
      </c>
      <c r="U178" s="10" t="s">
        <v>629</v>
      </c>
    </row>
    <row r="179" spans="1:21" hidden="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>IFERROR(I179-I179*J179,"")</f>
        <v>2676.58</v>
      </c>
      <c r="L179" s="7" t="str">
        <f>IF(VLOOKUP(A179,'[1]LISTA ETIQUETAS'!O:AB,14,0)="","",(VLOOKUP(A179,'[1]LISTA ETIQUETAS'!O:AB,14,0)))</f>
        <v/>
      </c>
      <c r="M179" s="8"/>
      <c r="N179" s="9">
        <f>IF(M179="",A179,M179)</f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>SUM(O179:S179)</f>
        <v>2</v>
      </c>
      <c r="U179" s="10" t="s">
        <v>629</v>
      </c>
    </row>
    <row r="180" spans="1:21" hidden="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>IFERROR(I180-I180*J180,"")</f>
        <v/>
      </c>
      <c r="L180" s="7" t="str">
        <f>IF(VLOOKUP(A180,'[1]LISTA ETIQUETAS'!O:AB,14,0)="","",(VLOOKUP(A180,'[1]LISTA ETIQUETAS'!O:AB,14,0)))</f>
        <v/>
      </c>
      <c r="M180" s="8"/>
      <c r="N180" s="9">
        <f>IF(M180="",A180,M180)</f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>SUM(O180:S180)</f>
        <v>2</v>
      </c>
      <c r="U180" s="10" t="s">
        <v>629</v>
      </c>
    </row>
    <row r="181" spans="1:21" hidden="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>IFERROR(I181-I181*J181,"")</f>
        <v/>
      </c>
      <c r="L181" s="7" t="str">
        <f>IF(VLOOKUP(A181,'[1]LISTA ETIQUETAS'!O:AB,14,0)="","",(VLOOKUP(A181,'[1]LISTA ETIQUETAS'!O:AB,14,0)))</f>
        <v/>
      </c>
      <c r="M181" s="8"/>
      <c r="N181" s="9">
        <f>IF(M181="",A181,M181)</f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>SUM(O181:S181)</f>
        <v>2</v>
      </c>
      <c r="U181" s="10" t="s">
        <v>629</v>
      </c>
    </row>
    <row r="182" spans="1:21" hidden="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>IFERROR(I182-I182*J182,"")</f>
        <v>738.84</v>
      </c>
      <c r="L182" s="7" t="str">
        <f>IF(VLOOKUP(A182,'[1]LISTA ETIQUETAS'!O:AB,14,0)="","",(VLOOKUP(A182,'[1]LISTA ETIQUETAS'!O:AB,14,0)))</f>
        <v/>
      </c>
      <c r="M182" s="8"/>
      <c r="N182" s="9">
        <f>IF(M182="",A182,M182)</f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>SUM(O182:S182)</f>
        <v>2</v>
      </c>
      <c r="U182" s="10" t="s">
        <v>629</v>
      </c>
    </row>
    <row r="183" spans="1:21" hidden="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>IFERROR(I183-I183*J183,"")</f>
        <v>669.58</v>
      </c>
      <c r="L183" s="7" t="str">
        <f>IF(VLOOKUP(A183,'[1]LISTA ETIQUETAS'!O:AB,14,0)="","",(VLOOKUP(A183,'[1]LISTA ETIQUETAS'!O:AB,14,0)))</f>
        <v/>
      </c>
      <c r="M183" s="8"/>
      <c r="N183" s="9">
        <f>IF(M183="",A183,M183)</f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>SUM(O183:S183)</f>
        <v>2</v>
      </c>
      <c r="U183" s="10" t="s">
        <v>629</v>
      </c>
    </row>
    <row r="184" spans="1:21" hidden="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>IFERROR(I184-I184*J184,"")</f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>IF(M184="",A184,M184)</f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>SUM(O184:S184)</f>
        <v>4</v>
      </c>
      <c r="U184" s="10" t="s">
        <v>629</v>
      </c>
    </row>
    <row r="185" spans="1:21" hidden="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>IFERROR(I185-I185*J185,"")</f>
        <v>1229.98</v>
      </c>
      <c r="L185" s="7" t="str">
        <f>IF(VLOOKUP(A185,'[1]LISTA ETIQUETAS'!O:AB,14,0)="","",(VLOOKUP(A185,'[1]LISTA ETIQUETAS'!O:AB,14,0)))</f>
        <v/>
      </c>
      <c r="M185" s="8"/>
      <c r="N185" s="9">
        <f>IF(M185="",A185,M185)</f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>SUM(O185:S185)</f>
        <v>8</v>
      </c>
      <c r="U185" s="10" t="s">
        <v>629</v>
      </c>
    </row>
    <row r="186" spans="1:21" hidden="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>IFERROR(I186-I186*J186,"")</f>
        <v/>
      </c>
      <c r="L186" s="7" t="str">
        <f>IF(VLOOKUP(A186,'[1]LISTA ETIQUETAS'!O:AB,14,0)="","",(VLOOKUP(A186,'[1]LISTA ETIQUETAS'!O:AB,14,0)))</f>
        <v/>
      </c>
      <c r="M186" s="8"/>
      <c r="N186" s="9">
        <f>IF(M186="",A186,M186)</f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>SUM(O186:S186)</f>
        <v>3</v>
      </c>
      <c r="U186" s="10" t="s">
        <v>629</v>
      </c>
    </row>
    <row r="187" spans="1:21" hidden="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>IFERROR(I187-I187*J187,"")</f>
        <v>770.52</v>
      </c>
      <c r="L187" s="7" t="str">
        <f>IF(VLOOKUP(A187,'[1]LISTA ETIQUETAS'!O:AB,14,0)="","",(VLOOKUP(A187,'[1]LISTA ETIQUETAS'!O:AB,14,0)))</f>
        <v/>
      </c>
      <c r="M187" s="8"/>
      <c r="N187" s="9">
        <f>IF(M187="",A187,M187)</f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>SUM(O187:S187)</f>
        <v>1</v>
      </c>
      <c r="U187" s="10" t="s">
        <v>629</v>
      </c>
    </row>
    <row r="188" spans="1:21" hidden="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>IFERROR(I188-I188*J188,"")</f>
        <v>550.37</v>
      </c>
      <c r="L188" s="7" t="str">
        <f>IF(VLOOKUP(A188,'[1]LISTA ETIQUETAS'!O:AB,14,0)="","",(VLOOKUP(A188,'[1]LISTA ETIQUETAS'!O:AB,14,0)))</f>
        <v/>
      </c>
      <c r="M188" s="8"/>
      <c r="N188" s="9">
        <f>IF(M188="",A188,M188)</f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>SUM(O188:S188)</f>
        <v>1</v>
      </c>
      <c r="U188" s="10" t="s">
        <v>629</v>
      </c>
    </row>
    <row r="189" spans="1:21" hidden="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>IFERROR(I189-I189*J189,"")</f>
        <v>770.52</v>
      </c>
      <c r="L189" s="7" t="str">
        <f>IF(VLOOKUP(A189,'[1]LISTA ETIQUETAS'!O:AB,14,0)="","",(VLOOKUP(A189,'[1]LISTA ETIQUETAS'!O:AB,14,0)))</f>
        <v/>
      </c>
      <c r="M189" s="8"/>
      <c r="N189" s="9">
        <f>IF(M189="",A189,M189)</f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>SUM(O189:S189)</f>
        <v>1</v>
      </c>
      <c r="U189" s="10" t="s">
        <v>629</v>
      </c>
    </row>
    <row r="190" spans="1:21" hidden="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>IFERROR(I190-I190*J190,"")</f>
        <v>550.37</v>
      </c>
      <c r="L190" s="7" t="str">
        <f>IF(VLOOKUP(A190,'[1]LISTA ETIQUETAS'!O:AB,14,0)="","",(VLOOKUP(A190,'[1]LISTA ETIQUETAS'!O:AB,14,0)))</f>
        <v/>
      </c>
      <c r="M190" s="8"/>
      <c r="N190" s="9">
        <f>IF(M190="",A190,M190)</f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>SUM(O190:S190)</f>
        <v>1</v>
      </c>
      <c r="U190" s="10" t="s">
        <v>629</v>
      </c>
    </row>
    <row r="191" spans="1:21" hidden="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>IFERROR(I191-I191*J191,"")</f>
        <v>770.52</v>
      </c>
      <c r="L191" s="7" t="str">
        <f>IF(VLOOKUP(A191,'[1]LISTA ETIQUETAS'!O:AB,14,0)="","",(VLOOKUP(A191,'[1]LISTA ETIQUETAS'!O:AB,14,0)))</f>
        <v/>
      </c>
      <c r="M191" s="8"/>
      <c r="N191" s="9">
        <f>IF(M191="",A191,M191)</f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>SUM(O191:S191)</f>
        <v>1</v>
      </c>
      <c r="U191" s="10" t="s">
        <v>629</v>
      </c>
    </row>
    <row r="192" spans="1:21" hidden="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>IFERROR(I192-I192*J192,"")</f>
        <v>550.37</v>
      </c>
      <c r="L192" s="7" t="str">
        <f>IF(VLOOKUP(A192,'[1]LISTA ETIQUETAS'!O:AB,14,0)="","",(VLOOKUP(A192,'[1]LISTA ETIQUETAS'!O:AB,14,0)))</f>
        <v/>
      </c>
      <c r="M192" s="8"/>
      <c r="N192" s="9">
        <f>IF(M192="",A192,M192)</f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>SUM(O192:S192)</f>
        <v>1</v>
      </c>
      <c r="U192" s="10" t="s">
        <v>629</v>
      </c>
    </row>
    <row r="193" spans="1:21" hidden="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>IFERROR(I193-I193*J193,"")</f>
        <v>770.52</v>
      </c>
      <c r="L193" s="7" t="str">
        <f>IF(VLOOKUP(A193,'[1]LISTA ETIQUETAS'!O:AB,14,0)="","",(VLOOKUP(A193,'[1]LISTA ETIQUETAS'!O:AB,14,0)))</f>
        <v/>
      </c>
      <c r="M193" s="8"/>
      <c r="N193" s="9">
        <f>IF(M193="",A193,M193)</f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>SUM(O193:S193)</f>
        <v>1</v>
      </c>
      <c r="U193" s="10" t="s">
        <v>629</v>
      </c>
    </row>
    <row r="194" spans="1:21" hidden="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>IFERROR(I194-I194*J194,"")</f>
        <v>440.29</v>
      </c>
      <c r="L194" s="7" t="str">
        <f>IF(VLOOKUP(A194,'[1]LISTA ETIQUETAS'!O:AB,14,0)="","",(VLOOKUP(A194,'[1]LISTA ETIQUETAS'!O:AB,14,0)))</f>
        <v/>
      </c>
      <c r="M194" s="8"/>
      <c r="N194" s="9">
        <f>IF(M194="",A194,M194)</f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>SUM(O194:S194)</f>
        <v>2</v>
      </c>
      <c r="U194" s="10" t="s">
        <v>629</v>
      </c>
    </row>
    <row r="195" spans="1:21" hidden="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>IF(M195="",A195,M195)</f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>SUM(O195:S195)</f>
        <v>2</v>
      </c>
      <c r="U195" s="10" t="s">
        <v>629</v>
      </c>
    </row>
    <row r="196" spans="1:21" hidden="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>IFERROR(I196-I196*J196,"")</f>
        <v>550.37</v>
      </c>
      <c r="L196" s="7" t="str">
        <f>IF(VLOOKUP(A196,'[1]LISTA ETIQUETAS'!O:AB,14,0)="","",(VLOOKUP(A196,'[1]LISTA ETIQUETAS'!O:AB,14,0)))</f>
        <v/>
      </c>
      <c r="M196" s="8"/>
      <c r="N196" s="9">
        <f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>SUM(O196:S196)</f>
        <v>2</v>
      </c>
      <c r="U196" s="10" t="s">
        <v>629</v>
      </c>
    </row>
    <row r="197" spans="1:21" hidden="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>IFERROR(I197-I197*J197,"")</f>
        <v>440.29</v>
      </c>
      <c r="L197" s="7" t="str">
        <f>IF(VLOOKUP(A197,'[1]LISTA ETIQUETAS'!O:AB,14,0)="","",(VLOOKUP(A197,'[1]LISTA ETIQUETAS'!O:AB,14,0)))</f>
        <v/>
      </c>
      <c r="M197" s="8"/>
      <c r="N197" s="9">
        <f>IF(M197="",A197,M197)</f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>SUM(O197:S197)</f>
        <v>2</v>
      </c>
      <c r="U197" s="10" t="s">
        <v>629</v>
      </c>
    </row>
    <row r="198" spans="1:21" hidden="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>IFERROR(I198-I198*J198,"")</f>
        <v>642.12</v>
      </c>
      <c r="L198" s="7" t="str">
        <f>IF(VLOOKUP(A198,'[1]LISTA ETIQUETAS'!O:AB,14,0)="","",(VLOOKUP(A198,'[1]LISTA ETIQUETAS'!O:AB,14,0)))</f>
        <v/>
      </c>
      <c r="M198" s="8"/>
      <c r="N198" s="9">
        <f>IF(M198="",A198,M198)</f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>SUM(O198:S198)</f>
        <v>2</v>
      </c>
      <c r="U198" s="10" t="s">
        <v>629</v>
      </c>
    </row>
    <row r="199" spans="1:21" hidden="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>IFERROR(I199-I199*J199,"")</f>
        <v>550.37</v>
      </c>
      <c r="L199" s="7" t="str">
        <f>IF(VLOOKUP(A199,'[1]LISTA ETIQUETAS'!O:AB,14,0)="","",(VLOOKUP(A199,'[1]LISTA ETIQUETAS'!O:AB,14,0)))</f>
        <v/>
      </c>
      <c r="M199" s="8"/>
      <c r="N199" s="9">
        <f>IF(M199="",A199,M199)</f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>SUM(O199:S199)</f>
        <v>2</v>
      </c>
      <c r="U199" s="10" t="s">
        <v>629</v>
      </c>
    </row>
    <row r="200" spans="1:21" hidden="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>IFERROR(I200-I200*J200,"")</f>
        <v>440.29</v>
      </c>
      <c r="L200" s="7" t="str">
        <f>IF(VLOOKUP(A200,'[1]LISTA ETIQUETAS'!O:AB,14,0)="","",(VLOOKUP(A200,'[1]LISTA ETIQUETAS'!O:AB,14,0)))</f>
        <v/>
      </c>
      <c r="M200" s="8"/>
      <c r="N200" s="9">
        <f>IF(M200="",A200,M200)</f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>SUM(O200:S200)</f>
        <v>2</v>
      </c>
      <c r="U200" s="10" t="s">
        <v>629</v>
      </c>
    </row>
    <row r="201" spans="1:21" hidden="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>IFERROR(I201-I201*J201,"")</f>
        <v>642.12</v>
      </c>
      <c r="L201" s="7" t="str">
        <f>IF(VLOOKUP(A201,'[1]LISTA ETIQUETAS'!O:AB,14,0)="","",(VLOOKUP(A201,'[1]LISTA ETIQUETAS'!O:AB,14,0)))</f>
        <v/>
      </c>
      <c r="M201" s="8"/>
      <c r="N201" s="9">
        <f>IF(M201="",A201,M201)</f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>SUM(O201:S201)</f>
        <v>2</v>
      </c>
      <c r="U201" s="10" t="s">
        <v>629</v>
      </c>
    </row>
    <row r="202" spans="1:21" hidden="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>IFERROR(I202-I202*J202,"")</f>
        <v>550.37</v>
      </c>
      <c r="L202" s="7" t="str">
        <f>IF(VLOOKUP(A202,'[1]LISTA ETIQUETAS'!O:AB,14,0)="","",(VLOOKUP(A202,'[1]LISTA ETIQUETAS'!O:AB,14,0)))</f>
        <v/>
      </c>
      <c r="M202" s="8"/>
      <c r="N202" s="9">
        <f>IF(M202="",A202,M202)</f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>SUM(O202:S202)</f>
        <v>2</v>
      </c>
      <c r="U202" s="10" t="s">
        <v>629</v>
      </c>
    </row>
    <row r="203" spans="1:21" hidden="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>IFERROR(I203-I203*J203,"")</f>
        <v>770.52</v>
      </c>
      <c r="L203" s="7" t="str">
        <f>IF(VLOOKUP(A203,'[1]LISTA ETIQUETAS'!O:AB,14,0)="","",(VLOOKUP(A203,'[1]LISTA ETIQUETAS'!O:AB,14,0)))</f>
        <v/>
      </c>
      <c r="M203" s="8"/>
      <c r="N203" s="9">
        <f>IF(M203="",A203,M203)</f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>SUM(O203:S203)</f>
        <v>1</v>
      </c>
      <c r="U203" s="10" t="s">
        <v>629</v>
      </c>
    </row>
    <row r="204" spans="1:21" hidden="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>IFERROR(I204-I204*J204,"")</f>
        <v>440.29</v>
      </c>
      <c r="L204" s="7" t="str">
        <f>IF(VLOOKUP(A204,'[1]LISTA ETIQUETAS'!O:AB,14,0)="","",(VLOOKUP(A204,'[1]LISTA ETIQUETAS'!O:AB,14,0)))</f>
        <v/>
      </c>
      <c r="M204" s="8"/>
      <c r="N204" s="9">
        <f>IF(M204="",A204,M204)</f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>SUM(O204:S204)</f>
        <v>2</v>
      </c>
      <c r="U204" s="10" t="s">
        <v>629</v>
      </c>
    </row>
    <row r="205" spans="1:21" hidden="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>IFERROR(I205-I205*J205,"")</f>
        <v>642.12</v>
      </c>
      <c r="L205" s="7" t="str">
        <f>IF(VLOOKUP(A205,'[1]LISTA ETIQUETAS'!O:AB,14,0)="","",(VLOOKUP(A205,'[1]LISTA ETIQUETAS'!O:AB,14,0)))</f>
        <v/>
      </c>
      <c r="M205" s="8"/>
      <c r="N205" s="9">
        <f>IF(M205="",A205,M205)</f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>SUM(O205:S205)</f>
        <v>2</v>
      </c>
      <c r="U205" s="10" t="s">
        <v>629</v>
      </c>
    </row>
    <row r="206" spans="1:21" hidden="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>IFERROR(I206-I206*J206,"")</f>
        <v>550.37</v>
      </c>
      <c r="L206" s="7" t="str">
        <f>IF(VLOOKUP(A206,'[1]LISTA ETIQUETAS'!O:AB,14,0)="","",(VLOOKUP(A206,'[1]LISTA ETIQUETAS'!O:AB,14,0)))</f>
        <v/>
      </c>
      <c r="M206" s="8"/>
      <c r="N206" s="9">
        <f>IF(M206="",A206,M206)</f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>SUM(O206:S206)</f>
        <v>2</v>
      </c>
      <c r="U206" s="10" t="s">
        <v>629</v>
      </c>
    </row>
    <row r="207" spans="1:21" hidden="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>IFERROR(I207-I207*J207,"")</f>
        <v>440.29</v>
      </c>
      <c r="L207" s="7" t="str">
        <f>IF(VLOOKUP(A207,'[1]LISTA ETIQUETAS'!O:AB,14,0)="","",(VLOOKUP(A207,'[1]LISTA ETIQUETAS'!O:AB,14,0)))</f>
        <v/>
      </c>
      <c r="M207" s="8"/>
      <c r="N207" s="9">
        <f>IF(M207="",A207,M207)</f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>SUM(O207:S207)</f>
        <v>1</v>
      </c>
      <c r="U207" s="10" t="s">
        <v>629</v>
      </c>
    </row>
    <row r="208" spans="1:21" hidden="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>IFERROR(I208-I208*J208,"")</f>
        <v>642.12</v>
      </c>
      <c r="L208" s="7" t="str">
        <f>IF(VLOOKUP(A208,'[1]LISTA ETIQUETAS'!O:AB,14,0)="","",(VLOOKUP(A208,'[1]LISTA ETIQUETAS'!O:AB,14,0)))</f>
        <v/>
      </c>
      <c r="M208" s="8"/>
      <c r="N208" s="9">
        <f>IF(M208="",A208,M208)</f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>SUM(O208:S208)</f>
        <v>1</v>
      </c>
      <c r="U208" s="10" t="s">
        <v>629</v>
      </c>
    </row>
    <row r="209" spans="1:21" hidden="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>IFERROR(I209-I209*J209,"")</f>
        <v>550.37</v>
      </c>
      <c r="L209" s="7" t="str">
        <f>IF(VLOOKUP(A209,'[1]LISTA ETIQUETAS'!O:AB,14,0)="","",(VLOOKUP(A209,'[1]LISTA ETIQUETAS'!O:AB,14,0)))</f>
        <v/>
      </c>
      <c r="M209" s="8"/>
      <c r="N209" s="9">
        <f>IF(M209="",A209,M209)</f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>SUM(O209:S209)</f>
        <v>1</v>
      </c>
      <c r="U209" s="10" t="s">
        <v>629</v>
      </c>
    </row>
    <row r="210" spans="1:21" hidden="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>IFERROR(I210-I210*J210,"")</f>
        <v>770.52</v>
      </c>
      <c r="L210" s="7" t="str">
        <f>IF(VLOOKUP(A210,'[1]LISTA ETIQUETAS'!O:AB,14,0)="","",(VLOOKUP(A210,'[1]LISTA ETIQUETAS'!O:AB,14,0)))</f>
        <v/>
      </c>
      <c r="M210" s="8"/>
      <c r="N210" s="9">
        <f>IF(M210="",A210,M210)</f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>SUM(O210:S210)</f>
        <v>1</v>
      </c>
      <c r="U210" s="10" t="s">
        <v>629</v>
      </c>
    </row>
    <row r="211" spans="1:21" hidden="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>IFERROR(I211-I211*J211,"")</f>
        <v>642.12</v>
      </c>
      <c r="L211" s="7" t="str">
        <f>IF(VLOOKUP(A211,'[1]LISTA ETIQUETAS'!O:AB,14,0)="","",(VLOOKUP(A211,'[1]LISTA ETIQUETAS'!O:AB,14,0)))</f>
        <v/>
      </c>
      <c r="M211" s="8"/>
      <c r="N211" s="9">
        <f>IF(M211="",A211,M211)</f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>SUM(O211:S211)</f>
        <v>2</v>
      </c>
      <c r="U211" s="10" t="s">
        <v>629</v>
      </c>
    </row>
    <row r="212" spans="1:21" hidden="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>IFERROR(I212-I212*J212,"")</f>
        <v>550.37</v>
      </c>
      <c r="L212" s="7" t="str">
        <f>IF(VLOOKUP(A212,'[1]LISTA ETIQUETAS'!O:AB,14,0)="","",(VLOOKUP(A212,'[1]LISTA ETIQUETAS'!O:AB,14,0)))</f>
        <v/>
      </c>
      <c r="M212" s="8"/>
      <c r="N212" s="9">
        <f>IF(M212="",A212,M212)</f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>SUM(O212:S212)</f>
        <v>2</v>
      </c>
      <c r="U212" s="10" t="s">
        <v>629</v>
      </c>
    </row>
    <row r="213" spans="1:21" hidden="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>IFERROR(I213-I213*J213,"")</f>
        <v>440.29</v>
      </c>
      <c r="L213" s="7" t="str">
        <f>IF(VLOOKUP(A213,'[1]LISTA ETIQUETAS'!O:AB,14,0)="","",(VLOOKUP(A213,'[1]LISTA ETIQUETAS'!O:AB,14,0)))</f>
        <v/>
      </c>
      <c r="M213" s="8"/>
      <c r="N213" s="9">
        <f>IF(M213="",A213,M213)</f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>SUM(O213:S213)</f>
        <v>2</v>
      </c>
      <c r="U213" s="10" t="s">
        <v>629</v>
      </c>
    </row>
    <row r="214" spans="1:21" hidden="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>IFERROR(I214-I214*J214,"")</f>
        <v>550.37</v>
      </c>
      <c r="L214" s="7" t="str">
        <f>IF(VLOOKUP(A214,'[1]LISTA ETIQUETAS'!O:AB,14,0)="","",(VLOOKUP(A214,'[1]LISTA ETIQUETAS'!O:AB,14,0)))</f>
        <v/>
      </c>
      <c r="M214" s="8"/>
      <c r="N214" s="9">
        <f>IF(M214="",A214,M214)</f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>SUM(O214:S214)</f>
        <v>2</v>
      </c>
      <c r="U214" s="10" t="s">
        <v>629</v>
      </c>
    </row>
    <row r="215" spans="1:21" hidden="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>IFERROR(I215-I215*J215,"")</f>
        <v>550.37</v>
      </c>
      <c r="L215" s="7" t="str">
        <f>IF(VLOOKUP(A215,'[1]LISTA ETIQUETAS'!O:AB,14,0)="","",(VLOOKUP(A215,'[1]LISTA ETIQUETAS'!O:AB,14,0)))</f>
        <v/>
      </c>
      <c r="M215" s="8"/>
      <c r="N215" s="9">
        <f>IF(M215="",A215,M215)</f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>SUM(O215:S215)</f>
        <v>1</v>
      </c>
      <c r="U215" s="10" t="s">
        <v>629</v>
      </c>
    </row>
    <row r="216" spans="1:21" hidden="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>IFERROR(I216-I216*J216,"")</f>
        <v>770.52</v>
      </c>
      <c r="L216" s="7" t="str">
        <f>IF(VLOOKUP(A216,'[1]LISTA ETIQUETAS'!O:AB,14,0)="","",(VLOOKUP(A216,'[1]LISTA ETIQUETAS'!O:AB,14,0)))</f>
        <v/>
      </c>
      <c r="M216" s="8"/>
      <c r="N216" s="9">
        <f>IF(M216="",A216,M216)</f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>SUM(O216:S216)</f>
        <v>1</v>
      </c>
      <c r="U216" s="10" t="s">
        <v>629</v>
      </c>
    </row>
    <row r="217" spans="1:21" hidden="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>IFERROR(I217-I217*J217,"")</f>
        <v>550.37</v>
      </c>
      <c r="L217" s="7" t="str">
        <f>IF(VLOOKUP(A217,'[1]LISTA ETIQUETAS'!O:AB,14,0)="","",(VLOOKUP(A217,'[1]LISTA ETIQUETAS'!O:AB,14,0)))</f>
        <v/>
      </c>
      <c r="M217" s="8"/>
      <c r="N217" s="9">
        <f>IF(M217="",A217,M217)</f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>SUM(O217:S217)</f>
        <v>1</v>
      </c>
      <c r="U217" s="10" t="s">
        <v>629</v>
      </c>
    </row>
    <row r="218" spans="1:21" hidden="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>IFERROR(I218-I218*J218,"")</f>
        <v>443.52</v>
      </c>
      <c r="L218" s="7" t="str">
        <f>IF(VLOOKUP(A218,'[1]LISTA ETIQUETAS'!O:AB,14,0)="","",(VLOOKUP(A218,'[1]LISTA ETIQUETAS'!O:AB,14,0)))</f>
        <v/>
      </c>
      <c r="M218" s="8"/>
      <c r="N218" s="9">
        <f>IF(M218="",A218,M218)</f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>SUM(O218:S218)</f>
        <v>8</v>
      </c>
      <c r="U218" s="10" t="s">
        <v>629</v>
      </c>
    </row>
    <row r="219" spans="1:21" hidden="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>IFERROR(I219-I219*J219,"")</f>
        <v/>
      </c>
      <c r="L219" s="7" t="str">
        <f>IF(VLOOKUP(A219,'[1]LISTA ETIQUETAS'!O:AB,14,0)="","",(VLOOKUP(A219,'[1]LISTA ETIQUETAS'!O:AB,14,0)))</f>
        <v/>
      </c>
      <c r="M219" s="8"/>
      <c r="N219" s="9">
        <f>IF(M219="",A219,M219)</f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>SUM(O219:S219)</f>
        <v>4</v>
      </c>
      <c r="U219" s="10" t="s">
        <v>629</v>
      </c>
    </row>
    <row r="220" spans="1:21" hidden="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>IFERROR(I220-I220*J220,"")</f>
        <v/>
      </c>
      <c r="L220" s="7" t="str">
        <f>IF(VLOOKUP(A220,'[1]LISTA ETIQUETAS'!O:AB,14,0)="","",(VLOOKUP(A220,'[1]LISTA ETIQUETAS'!O:AB,14,0)))</f>
        <v/>
      </c>
      <c r="M220" s="8"/>
      <c r="N220" s="9">
        <f>IF(M220="",A220,M220)</f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>SUM(O220:S220)</f>
        <v>5</v>
      </c>
      <c r="U220" s="10" t="s">
        <v>629</v>
      </c>
    </row>
    <row r="221" spans="1:21" hidden="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>IFERROR(I221-I221*J221,"")</f>
        <v>37230.19</v>
      </c>
      <c r="L221" s="7" t="str">
        <f>IF(VLOOKUP(A221,'[1]LISTA ETIQUETAS'!O:AB,14,0)="","",(VLOOKUP(A221,'[1]LISTA ETIQUETAS'!O:AB,14,0)))</f>
        <v/>
      </c>
      <c r="M221" s="8"/>
      <c r="N221" s="9">
        <f>IF(M221="",A221,M221)</f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>SUM(O221:S221)</f>
        <v>1</v>
      </c>
      <c r="U221" s="10" t="s">
        <v>643</v>
      </c>
    </row>
    <row r="222" spans="1:21" hidden="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>IFERROR(I222-I222*J222,"")</f>
        <v>54996.57</v>
      </c>
      <c r="L222" s="7" t="str">
        <f>IF(VLOOKUP(A222,'[1]LISTA ETIQUETAS'!O:AB,14,0)="","",(VLOOKUP(A222,'[1]LISTA ETIQUETAS'!O:AB,14,0)))</f>
        <v/>
      </c>
      <c r="M222" s="8"/>
      <c r="N222" s="9">
        <f>IF(M222="",A222,M222)</f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>SUM(O222:S222)</f>
        <v>1</v>
      </c>
      <c r="U222" s="10" t="s">
        <v>648</v>
      </c>
    </row>
    <row r="223" spans="1:21" hidden="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>IFERROR(I223-I223*J223,"")</f>
        <v>26879.42</v>
      </c>
      <c r="L223" s="7" t="str">
        <f>IF(VLOOKUP(A223,'[1]LISTA ETIQUETAS'!O:AB,14,0)="","",(VLOOKUP(A223,'[1]LISTA ETIQUETAS'!O:AB,14,0)))</f>
        <v/>
      </c>
      <c r="M223" s="8"/>
      <c r="N223" s="9">
        <f>IF(M223="",A223,M223)</f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>SUM(O223:S223)</f>
        <v>1</v>
      </c>
      <c r="U223" s="10" t="s">
        <v>653</v>
      </c>
    </row>
    <row r="224" spans="1:21" hidden="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>IFERROR(I224-I224*J224,"")</f>
        <v>29795.05</v>
      </c>
      <c r="L224" s="7" t="str">
        <f>IF(VLOOKUP(A224,'[1]LISTA ETIQUETAS'!O:AB,14,0)="","",(VLOOKUP(A224,'[1]LISTA ETIQUETAS'!O:AB,14,0)))</f>
        <v/>
      </c>
      <c r="M224" s="8"/>
      <c r="N224" s="9">
        <f>IF(M224="",A224,M224)</f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>SUM(O224:S224)</f>
        <v>1</v>
      </c>
      <c r="U224" s="10" t="s">
        <v>638</v>
      </c>
    </row>
    <row r="225" spans="1:21" hidden="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>IFERROR(I225-I225*J225,"")</f>
        <v>15997.5</v>
      </c>
      <c r="L225" s="7" t="str">
        <f>IF(VLOOKUP(A225,'[1]LISTA ETIQUETAS'!O:AB,14,0)="","",(VLOOKUP(A225,'[1]LISTA ETIQUETAS'!O:AB,14,0)))</f>
        <v/>
      </c>
      <c r="M225" s="8"/>
      <c r="N225" s="9">
        <f>IF(M225="",A225,M225)</f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>SUM(O225:S225)</f>
        <v>1</v>
      </c>
      <c r="U225" s="10" t="s">
        <v>627</v>
      </c>
    </row>
    <row r="226" spans="1:21" hidden="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>IFERROR(I226-I226*J226,"")</f>
        <v>15023.81</v>
      </c>
      <c r="L226" s="7" t="str">
        <f>IF(VLOOKUP(A226,'[1]LISTA ETIQUETAS'!O:AB,14,0)="","",(VLOOKUP(A226,'[1]LISTA ETIQUETAS'!O:AB,14,0)))</f>
        <v/>
      </c>
      <c r="M226" s="8"/>
      <c r="N226" s="9">
        <f>IF(M226="",A226,M226)</f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>SUM(O226:S226)</f>
        <v>1</v>
      </c>
      <c r="U226" s="10" t="s">
        <v>641</v>
      </c>
    </row>
    <row r="227" spans="1:21" hidden="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>IFERROR(I227-I227*J227,"")</f>
        <v>34630.71</v>
      </c>
      <c r="L227" s="7" t="str">
        <f>IF(VLOOKUP(A227,'[1]LISTA ETIQUETAS'!O:AB,14,0)="","",(VLOOKUP(A227,'[1]LISTA ETIQUETAS'!O:AB,14,0)))</f>
        <v/>
      </c>
      <c r="M227" s="8"/>
      <c r="N227" s="9">
        <f>IF(M227="",A227,M227)</f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>SUM(O227:S227)</f>
        <v>1</v>
      </c>
      <c r="U227" s="10" t="s">
        <v>650</v>
      </c>
    </row>
    <row r="228" spans="1:21" hidden="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>IFERROR(I228-I228*J228,"")</f>
        <v>29653.97</v>
      </c>
      <c r="L228" s="7" t="str">
        <f>IF(VLOOKUP(A228,'[1]LISTA ETIQUETAS'!O:AB,14,0)="","",(VLOOKUP(A228,'[1]LISTA ETIQUETAS'!O:AB,14,0)))</f>
        <v/>
      </c>
      <c r="M228" s="8"/>
      <c r="N228" s="9">
        <f>IF(M228="",A228,M228)</f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>SUM(O228:S228)</f>
        <v>1</v>
      </c>
      <c r="U228" s="10" t="s">
        <v>649</v>
      </c>
    </row>
    <row r="229" spans="1:21" hidden="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>IFERROR(I229-I229*J229,"")</f>
        <v/>
      </c>
      <c r="L229" s="7" t="str">
        <f>IF(VLOOKUP(A229,'[1]LISTA ETIQUETAS'!O:AB,14,0)="","",(VLOOKUP(A229,'[1]LISTA ETIQUETAS'!O:AB,14,0)))</f>
        <v/>
      </c>
      <c r="M229" s="8"/>
      <c r="N229" s="9">
        <f>IF(M229="",A229,M229)</f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>SUM(O229:S229)</f>
        <v>1</v>
      </c>
      <c r="U229" s="10" t="s">
        <v>635</v>
      </c>
    </row>
    <row r="230" spans="1:21" hidden="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>IFERROR(I230-I230*J230,"")</f>
        <v>0</v>
      </c>
      <c r="L230" s="7" t="str">
        <f>IF(VLOOKUP(A230,'[1]LISTA ETIQUETAS'!O:AB,14,0)="","",(VLOOKUP(A230,'[1]LISTA ETIQUETAS'!O:AB,14,0)))</f>
        <v/>
      </c>
      <c r="M230" s="8"/>
      <c r="N230" s="9">
        <f>IF(M230="",A230,M230)</f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>SUM(O230:S230)</f>
        <v>2</v>
      </c>
      <c r="U230" s="10" t="s">
        <v>627</v>
      </c>
    </row>
    <row r="231" spans="1:21" hidden="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>IFERROR(I231-I231*J231,"")</f>
        <v>0</v>
      </c>
      <c r="L231" s="7" t="str">
        <f>IF(VLOOKUP(A231,'[1]LISTA ETIQUETAS'!O:AB,14,0)="","",(VLOOKUP(A231,'[1]LISTA ETIQUETAS'!O:AB,14,0)))</f>
        <v/>
      </c>
      <c r="M231" s="8"/>
      <c r="N231" s="9">
        <f>IF(M231="",A231,M231)</f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>SUM(O231:S231)</f>
        <v>1</v>
      </c>
      <c r="U231" s="10" t="s">
        <v>632</v>
      </c>
    </row>
    <row r="232" spans="1:21" hidden="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>IFERROR(I232-I232*J232,"")</f>
        <v>0</v>
      </c>
      <c r="L232" s="7" t="str">
        <f>IF(VLOOKUP(A232,'[1]LISTA ETIQUETAS'!O:AB,14,0)="","",(VLOOKUP(A232,'[1]LISTA ETIQUETAS'!O:AB,14,0)))</f>
        <v/>
      </c>
      <c r="M232" s="8"/>
      <c r="N232" s="9">
        <f>IF(M232="",A232,M232)</f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>SUM(O232:S232)</f>
        <v>1</v>
      </c>
      <c r="U232" s="10" t="s">
        <v>651</v>
      </c>
    </row>
    <row r="233" spans="1:21" hidden="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>IFERROR(I233-I233*J233,"")</f>
        <v>20721.12</v>
      </c>
      <c r="L233" s="7" t="str">
        <f>IF(VLOOKUP(A233,'[1]LISTA ETIQUETAS'!O:AB,14,0)="","",(VLOOKUP(A233,'[1]LISTA ETIQUETAS'!O:AB,14,0)))</f>
        <v/>
      </c>
      <c r="M233" s="8"/>
      <c r="N233" s="9">
        <f>IF(M233="",A233,M233)</f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>SUM(O233:S233)</f>
        <v>1</v>
      </c>
      <c r="U233" s="10" t="s">
        <v>634</v>
      </c>
    </row>
    <row r="234" spans="1:21" hidden="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>IFERROR(I234-I234*J234,"")</f>
        <v>13022.91</v>
      </c>
      <c r="L234" s="7" t="str">
        <f>IF(VLOOKUP(A234,'[1]LISTA ETIQUETAS'!O:AB,14,0)="","",(VLOOKUP(A234,'[1]LISTA ETIQUETAS'!O:AB,14,0)))</f>
        <v/>
      </c>
      <c r="M234" s="8"/>
      <c r="N234" s="9">
        <f>IF(M234="",A234,M234)</f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>SUM(O234:S234)</f>
        <v>1</v>
      </c>
      <c r="U234" s="10" t="s">
        <v>639</v>
      </c>
    </row>
    <row r="235" spans="1:21" hidden="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>IFERROR(I235-I235*J235,"")</f>
        <v>0</v>
      </c>
      <c r="L235" s="7" t="str">
        <f>IF(VLOOKUP(A235,'[1]LISTA ETIQUETAS'!O:AB,14,0)="","",(VLOOKUP(A235,'[1]LISTA ETIQUETAS'!O:AB,14,0)))</f>
        <v/>
      </c>
      <c r="M235" s="8"/>
      <c r="N235" s="9">
        <f>IF(M235="",A235,M235)</f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>SUM(O235:S235)</f>
        <v>1</v>
      </c>
      <c r="U235" s="10" t="s">
        <v>627</v>
      </c>
    </row>
    <row r="236" spans="1:21" hidden="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>IFERROR(I236-I236*J236,"")</f>
        <v>19173.5</v>
      </c>
      <c r="L236" s="7" t="str">
        <f>IF(VLOOKUP(A236,'[1]LISTA ETIQUETAS'!O:AB,14,0)="","",(VLOOKUP(A236,'[1]LISTA ETIQUETAS'!O:AB,14,0)))</f>
        <v/>
      </c>
      <c r="M236" s="8"/>
      <c r="N236" s="9">
        <f>IF(M236="",A236,M236)</f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>SUM(O236:S236)</f>
        <v>1</v>
      </c>
      <c r="U236" s="10" t="s">
        <v>631</v>
      </c>
    </row>
    <row r="237" spans="1:21" hidden="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>IFERROR(I237-I237*J237,"")</f>
        <v>15680</v>
      </c>
      <c r="L237" s="7" t="str">
        <f>IF(VLOOKUP(A237,'[1]LISTA ETIQUETAS'!O:AB,14,0)="","",(VLOOKUP(A237,'[1]LISTA ETIQUETAS'!O:AB,14,0)))</f>
        <v/>
      </c>
      <c r="M237" s="8"/>
      <c r="N237" s="9">
        <f>IF(M237="",A237,M237)</f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>SUM(O237:S237)</f>
        <v>1</v>
      </c>
      <c r="U237" s="10" t="s">
        <v>642</v>
      </c>
    </row>
    <row r="238" spans="1:21" hidden="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>IFERROR(I238-I238*J238,"")</f>
        <v>0</v>
      </c>
      <c r="L238" s="7" t="str">
        <f>IF(VLOOKUP(A238,'[1]LISTA ETIQUETAS'!O:AB,14,0)="","",(VLOOKUP(A238,'[1]LISTA ETIQUETAS'!O:AB,14,0)))</f>
        <v/>
      </c>
      <c r="M238" s="8"/>
      <c r="N238" s="9">
        <f>IF(M238="",A238,M238)</f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>SUM(O238:S238)</f>
        <v>1</v>
      </c>
      <c r="U238" s="10" t="s">
        <v>640</v>
      </c>
    </row>
    <row r="239" spans="1:21" hidden="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>IFERROR(I239-I239*J239,"")</f>
        <v>21389.45</v>
      </c>
      <c r="L239" s="7" t="str">
        <f>IF(VLOOKUP(A239,'[1]LISTA ETIQUETAS'!O:AB,14,0)="","",(VLOOKUP(A239,'[1]LISTA ETIQUETAS'!O:AB,14,0)))</f>
        <v/>
      </c>
      <c r="M239" s="8"/>
      <c r="N239" s="9">
        <f>IF(M239="",A239,M239)</f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>SUM(O239:S239)</f>
        <v>2</v>
      </c>
      <c r="U239" s="10" t="s">
        <v>633</v>
      </c>
    </row>
    <row r="240" spans="1:21" hidden="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>IFERROR(I240-I240*J240,"")</f>
        <v>7526.4</v>
      </c>
      <c r="L240" s="7" t="str">
        <f>IF(VLOOKUP(A240,'[1]LISTA ETIQUETAS'!O:AB,14,0)="","",(VLOOKUP(A240,'[1]LISTA ETIQUETAS'!O:AB,14,0)))</f>
        <v/>
      </c>
      <c r="M240" s="8"/>
      <c r="N240" s="9">
        <f>IF(M240="",A240,M240)</f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>SUM(O240:S240)</f>
        <v>1</v>
      </c>
      <c r="U240" s="10" t="s">
        <v>637</v>
      </c>
    </row>
    <row r="241" spans="1:21" hidden="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>IFERROR(I241-I241*J241,"")</f>
        <v>0</v>
      </c>
      <c r="L241" s="7" t="str">
        <f>IF(VLOOKUP(A241,'[1]LISTA ETIQUETAS'!O:AB,14,0)="","",(VLOOKUP(A241,'[1]LISTA ETIQUETAS'!O:AB,14,0)))</f>
        <v/>
      </c>
      <c r="M241" s="8"/>
      <c r="N241" s="9">
        <f>IF(M241="",A241,M241)</f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>SUM(O241:S241)</f>
        <v>1</v>
      </c>
      <c r="U241" s="10" t="s">
        <v>627</v>
      </c>
    </row>
    <row r="242" spans="1:21" hidden="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>IFERROR(I242-I242*J242,"")</f>
        <v/>
      </c>
      <c r="L242" s="7" t="str">
        <f>IF(VLOOKUP(A242,'[1]LISTA ETIQUETAS'!O:AB,14,0)="","",(VLOOKUP(A242,'[1]LISTA ETIQUETAS'!O:AB,14,0)))</f>
        <v/>
      </c>
      <c r="M242" s="8"/>
      <c r="N242" s="9">
        <f>IF(M242="",A242,M242)</f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>SUM(O242:S242)</f>
        <v>1</v>
      </c>
      <c r="U242" s="10" t="s">
        <v>647</v>
      </c>
    </row>
    <row r="243" spans="1:21" hidden="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>IFERROR(I243-I243*J243,"")</f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>IF(M243="",A243,M243)</f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>SUM(O243:S243)</f>
        <v>1</v>
      </c>
      <c r="U243" s="10" t="s">
        <v>646</v>
      </c>
    </row>
    <row r="244" spans="1:21" hidden="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>IFERROR(I244-I244*J244,"")</f>
        <v>0</v>
      </c>
      <c r="L244" s="7" t="str">
        <f>IF(VLOOKUP(A244,'[1]LISTA ETIQUETAS'!O:AB,14,0)="","",(VLOOKUP(A244,'[1]LISTA ETIQUETAS'!O:AB,14,0)))</f>
        <v/>
      </c>
      <c r="M244" s="8"/>
      <c r="N244" s="9">
        <f>IF(M244="",A244,M244)</f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>SUM(O244:S244)</f>
        <v>1</v>
      </c>
      <c r="U244" s="10" t="s">
        <v>636</v>
      </c>
    </row>
    <row r="245" spans="1:21" hidden="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>IFERROR(I245-I245*J245,"")</f>
        <v>16329.51</v>
      </c>
      <c r="L245" s="7" t="str">
        <f>IF(VLOOKUP(A245,'[1]LISTA ETIQUETAS'!O:AB,14,0)="","",(VLOOKUP(A245,'[1]LISTA ETIQUETAS'!O:AB,14,0)))</f>
        <v/>
      </c>
      <c r="M245" s="8"/>
      <c r="N245" s="9">
        <f>IF(M245="",A245,M245)</f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>SUM(O245:S245)</f>
        <v>1</v>
      </c>
      <c r="U245" s="10" t="s">
        <v>627</v>
      </c>
    </row>
    <row r="246" spans="1:21" hidden="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>IFERROR(I246-I246*J246,"")</f>
        <v>14950.88</v>
      </c>
      <c r="L246" s="7" t="str">
        <f>IF(VLOOKUP(A246,'[1]LISTA ETIQUETAS'!O:AB,14,0)="","",(VLOOKUP(A246,'[1]LISTA ETIQUETAS'!O:AB,14,0)))</f>
        <v/>
      </c>
      <c r="M246" s="8"/>
      <c r="N246" s="9">
        <f>IF(M246="",A246,M246)</f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>SUM(O246:S246)</f>
        <v>1</v>
      </c>
      <c r="U246" s="10" t="s">
        <v>644</v>
      </c>
    </row>
    <row r="247" spans="1:21" hidden="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>IFERROR(I247-I247*J247,"")</f>
        <v>15464.74</v>
      </c>
      <c r="L247" s="7" t="str">
        <f>IF(VLOOKUP(A247,'[1]LISTA ETIQUETAS'!O:AB,14,0)="","",(VLOOKUP(A247,'[1]LISTA ETIQUETAS'!O:AB,14,0)))</f>
        <v/>
      </c>
      <c r="M247" s="8"/>
      <c r="N247" s="9">
        <f>IF(M247="",A247,M247)</f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>SUM(O247:S247)</f>
        <v>1</v>
      </c>
      <c r="U247" s="10" t="s">
        <v>627</v>
      </c>
    </row>
    <row r="248" spans="1:21" hidden="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>IFERROR(I248-I248*J248,"")</f>
        <v>13869.32</v>
      </c>
      <c r="L248" s="7" t="str">
        <f>IF(VLOOKUP(A248,'[1]LISTA ETIQUETAS'!O:AB,14,0)="","",(VLOOKUP(A248,'[1]LISTA ETIQUETAS'!O:AB,14,0)))</f>
        <v/>
      </c>
      <c r="M248" s="8"/>
      <c r="N248" s="9">
        <f>IF(M248="",A248,M248)</f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>SUM(O248:S248)</f>
        <v>1</v>
      </c>
      <c r="U248" s="10" t="s">
        <v>645</v>
      </c>
    </row>
    <row r="249" spans="1:21" hidden="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>IFERROR(I249-I249*J249,"")</f>
        <v>30533.4</v>
      </c>
      <c r="L249" s="7" t="str">
        <f>IF(VLOOKUP(A249,'[1]LISTA ETIQUETAS'!O:AB,14,0)="","",(VLOOKUP(A249,'[1]LISTA ETIQUETAS'!O:AB,14,0)))</f>
        <v/>
      </c>
      <c r="M249" s="8"/>
      <c r="N249" s="9">
        <f>IF(M249="",A249,M249)</f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>SUM(O249:S249)</f>
        <v>1</v>
      </c>
      <c r="U249" s="10" t="s">
        <v>652</v>
      </c>
    </row>
    <row r="250" spans="1:21" hidden="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ref="K195:K258" si="3">IFERROR(I250-I250*J250,"")</f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ref="N196:N259" si="4">IF(M250="",A250,M250)</f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ref="T196:T259" si="5">SUM(O250:S250)</f>
        <v>2</v>
      </c>
      <c r="U250" s="10" t="s">
        <v>629</v>
      </c>
    </row>
    <row r="251" spans="1:21" hidden="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3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4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5"/>
        <v>3</v>
      </c>
      <c r="U251" s="10" t="s">
        <v>629</v>
      </c>
    </row>
    <row r="252" spans="1:21" hidden="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3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4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5"/>
        <v>4</v>
      </c>
      <c r="U252" s="10" t="s">
        <v>629</v>
      </c>
    </row>
    <row r="253" spans="1:21" hidden="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3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4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5"/>
        <v>3</v>
      </c>
      <c r="U253" s="10" t="s">
        <v>629</v>
      </c>
    </row>
    <row r="254" spans="1:21" hidden="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3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4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5"/>
        <v>1</v>
      </c>
      <c r="U254" s="10" t="s">
        <v>629</v>
      </c>
    </row>
    <row r="255" spans="1:21" hidden="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3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4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5"/>
        <v>2</v>
      </c>
      <c r="U255" s="10" t="s">
        <v>629</v>
      </c>
    </row>
    <row r="256" spans="1:21" hidden="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3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4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5"/>
        <v>1</v>
      </c>
      <c r="U256" s="10" t="s">
        <v>629</v>
      </c>
    </row>
    <row r="257" spans="1:21" hidden="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3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4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5"/>
        <v>1</v>
      </c>
      <c r="U257" s="10" t="s">
        <v>629</v>
      </c>
    </row>
    <row r="258" spans="1:21" hidden="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3"/>
        <v/>
      </c>
      <c r="L258" s="7" t="str">
        <f>IF(VLOOKUP(A258,'[1]LISTA ETIQUETAS'!O:AB,14,0)="","",(VLOOKUP(A258,'[1]LISTA ETIQUETAS'!O:AB,14,0)))</f>
        <v/>
      </c>
      <c r="M258" s="8"/>
      <c r="N258" s="9">
        <f t="shared" si="4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5"/>
        <v>1</v>
      </c>
      <c r="U258" s="10" t="s">
        <v>629</v>
      </c>
    </row>
    <row r="259" spans="1:21" hidden="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6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4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5"/>
        <v>1</v>
      </c>
      <c r="U259" s="10" t="s">
        <v>629</v>
      </c>
    </row>
    <row r="260" spans="1:21" hidden="1" x14ac:dyDescent="0.25">
      <c r="A260" s="5">
        <v>270795</v>
      </c>
      <c r="B260" t="str">
        <f>IFERROR((VLOOKUP(A260,'[1]LISTA ETIQUETAS'!O:X,3,0)),"PRODUTO SEM ESTOQUE")</f>
        <v>EST BANCO DALI (ALUMINIO POLIDO)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6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7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8">SUM(O260:S260)</f>
        <v>1</v>
      </c>
      <c r="U260" s="10" t="s">
        <v>629</v>
      </c>
    </row>
    <row r="261" spans="1:21" hidden="1" x14ac:dyDescent="0.25">
      <c r="A261" s="5">
        <v>319905</v>
      </c>
      <c r="B261" t="str">
        <f>IFERROR((VLOOKUP(A261,'[1]LISTA ETIQUETAS'!O:X,3,0)),"PRODUTO SEM ESTOQUE")</f>
        <v>EST BANCO DALI (ALUMINIO POLIDO) FX D4163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6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7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8"/>
        <v>1</v>
      </c>
      <c r="U261" s="10" t="s">
        <v>654</v>
      </c>
    </row>
    <row r="262" spans="1:21" hidden="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6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7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8"/>
        <v>1</v>
      </c>
      <c r="U262" s="10" t="s">
        <v>655</v>
      </c>
    </row>
    <row r="263" spans="1:21" hidden="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6"/>
        <v/>
      </c>
      <c r="L263" s="7" t="str">
        <f>IF(VLOOKUP(A263,'[1]LISTA ETIQUETAS'!O:AB,14,0)="","",(VLOOKUP(A263,'[1]LISTA ETIQUETAS'!O:AB,14,0)))</f>
        <v/>
      </c>
      <c r="M263" s="8"/>
      <c r="N263" s="9">
        <f t="shared" si="7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8"/>
        <v>1</v>
      </c>
      <c r="U263" s="10" t="s">
        <v>656</v>
      </c>
    </row>
    <row r="264" spans="1:21" hidden="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6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7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8"/>
        <v>1</v>
      </c>
      <c r="U264" s="10" t="s">
        <v>657</v>
      </c>
    </row>
    <row r="265" spans="1:21" hidden="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6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7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8"/>
        <v>2</v>
      </c>
      <c r="U265" s="10" t="s">
        <v>658</v>
      </c>
    </row>
    <row r="266" spans="1:21" hidden="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6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7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8"/>
        <v>1</v>
      </c>
      <c r="U266" s="10" t="s">
        <v>659</v>
      </c>
    </row>
    <row r="267" spans="1:21" hidden="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6"/>
        <v/>
      </c>
      <c r="L267" s="7" t="str">
        <f>IF(VLOOKUP(A267,'[1]LISTA ETIQUETAS'!O:AB,14,0)="","",(VLOOKUP(A267,'[1]LISTA ETIQUETAS'!O:AB,14,0)))</f>
        <v/>
      </c>
      <c r="M267" s="8"/>
      <c r="N267" s="9">
        <f t="shared" si="7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8"/>
        <v>1</v>
      </c>
      <c r="U267" s="10" t="s">
        <v>660</v>
      </c>
    </row>
    <row r="268" spans="1:21" hidden="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6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7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8"/>
        <v>2</v>
      </c>
      <c r="U268" s="10" t="s">
        <v>661</v>
      </c>
    </row>
    <row r="269" spans="1:21" hidden="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6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7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8"/>
        <v>2</v>
      </c>
      <c r="U269" s="10" t="s">
        <v>663</v>
      </c>
    </row>
    <row r="270" spans="1:21" hidden="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6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7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8"/>
        <v>1</v>
      </c>
      <c r="U270" s="10" t="s">
        <v>662</v>
      </c>
    </row>
    <row r="271" spans="1:21" hidden="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6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7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8"/>
        <v>2</v>
      </c>
      <c r="U271" s="10" t="s">
        <v>664</v>
      </c>
    </row>
    <row r="272" spans="1:21" hidden="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6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7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8"/>
        <v>1</v>
      </c>
      <c r="U272" s="10" t="s">
        <v>665</v>
      </c>
    </row>
    <row r="273" spans="1:21" hidden="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6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7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8"/>
        <v>2</v>
      </c>
      <c r="U273" s="10" t="s">
        <v>666</v>
      </c>
    </row>
    <row r="274" spans="1:21" hidden="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6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7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8"/>
        <v>2</v>
      </c>
      <c r="U274" s="10" t="s">
        <v>667</v>
      </c>
    </row>
    <row r="275" spans="1:21" hidden="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6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7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8"/>
        <v>1</v>
      </c>
      <c r="U275" s="10" t="s">
        <v>668</v>
      </c>
    </row>
    <row r="276" spans="1:21" hidden="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6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7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8"/>
        <v>7</v>
      </c>
      <c r="U276" s="10" t="s">
        <v>669</v>
      </c>
    </row>
    <row r="277" spans="1:21" hidden="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6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7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8"/>
        <v>2</v>
      </c>
      <c r="U277" s="10" t="s">
        <v>670</v>
      </c>
    </row>
    <row r="278" spans="1:21" hidden="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6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7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8"/>
        <v>1</v>
      </c>
      <c r="U278" s="10" t="s">
        <v>671</v>
      </c>
    </row>
    <row r="279" spans="1:21" hidden="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6"/>
        <v/>
      </c>
      <c r="L279" s="7" t="str">
        <f>IF(VLOOKUP(A279,'[1]LISTA ETIQUETAS'!O:AB,14,0)="","",(VLOOKUP(A279,'[1]LISTA ETIQUETAS'!O:AB,14,0)))</f>
        <v/>
      </c>
      <c r="M279" s="8"/>
      <c r="N279" s="9">
        <f t="shared" si="7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8"/>
        <v>2</v>
      </c>
      <c r="U279" s="10" t="s">
        <v>672</v>
      </c>
    </row>
    <row r="280" spans="1:21" hidden="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6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7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8"/>
        <v>1</v>
      </c>
      <c r="U280" s="10" t="s">
        <v>629</v>
      </c>
    </row>
    <row r="281" spans="1:21" hidden="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6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7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8"/>
        <v>1</v>
      </c>
      <c r="U281" s="10" t="s">
        <v>680</v>
      </c>
    </row>
    <row r="282" spans="1:21" hidden="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6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7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8"/>
        <v>2</v>
      </c>
      <c r="U282" s="10" t="s">
        <v>679</v>
      </c>
    </row>
    <row r="283" spans="1:21" hidden="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6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7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8"/>
        <v>2</v>
      </c>
      <c r="U283" s="10" t="s">
        <v>678</v>
      </c>
    </row>
    <row r="284" spans="1:21" hidden="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6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7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8"/>
        <v>1</v>
      </c>
      <c r="U284" s="10" t="s">
        <v>677</v>
      </c>
    </row>
    <row r="285" spans="1:21" hidden="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6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7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8"/>
        <v>2</v>
      </c>
      <c r="U285" s="10" t="s">
        <v>629</v>
      </c>
    </row>
    <row r="286" spans="1:21" hidden="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6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7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8"/>
        <v>2</v>
      </c>
      <c r="U286" s="10" t="s">
        <v>676</v>
      </c>
    </row>
    <row r="287" spans="1:21" hidden="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6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7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8"/>
        <v>1</v>
      </c>
      <c r="U287" s="10" t="s">
        <v>675</v>
      </c>
    </row>
    <row r="288" spans="1:21" hidden="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6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7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8"/>
        <v>1</v>
      </c>
      <c r="U288" s="10" t="s">
        <v>674</v>
      </c>
    </row>
    <row r="289" spans="1:21" hidden="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6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7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8"/>
        <v>1</v>
      </c>
      <c r="U289" s="10" t="s">
        <v>673</v>
      </c>
    </row>
    <row r="290" spans="1:21" hidden="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6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7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8"/>
        <v>1</v>
      </c>
      <c r="U290" s="10" t="s">
        <v>629</v>
      </c>
    </row>
    <row r="291" spans="1:21" hidden="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6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7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8"/>
        <v>1</v>
      </c>
      <c r="U291" s="10" t="s">
        <v>629</v>
      </c>
    </row>
    <row r="292" spans="1:21" hidden="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6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7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8"/>
        <v>1</v>
      </c>
      <c r="U292" s="10" t="s">
        <v>681</v>
      </c>
    </row>
    <row r="293" spans="1:21" hidden="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6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7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8"/>
        <v>1</v>
      </c>
      <c r="U293" s="10" t="s">
        <v>682</v>
      </c>
    </row>
    <row r="294" spans="1:21" hidden="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6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7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8"/>
        <v>3</v>
      </c>
      <c r="U294" s="10" t="s">
        <v>683</v>
      </c>
    </row>
    <row r="295" spans="1:21" hidden="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6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7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8"/>
        <v>2</v>
      </c>
      <c r="U295" s="10" t="s">
        <v>629</v>
      </c>
    </row>
    <row r="296" spans="1:21" hidden="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6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7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8"/>
        <v>2</v>
      </c>
      <c r="U296" s="10" t="s">
        <v>629</v>
      </c>
    </row>
    <row r="297" spans="1:21" hidden="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6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7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8"/>
        <v>2</v>
      </c>
      <c r="U297" s="10" t="s">
        <v>684</v>
      </c>
    </row>
    <row r="298" spans="1:21" hidden="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6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7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8"/>
        <v>1</v>
      </c>
      <c r="U298" s="10" t="s">
        <v>685</v>
      </c>
    </row>
    <row r="299" spans="1:21" hidden="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6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7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8"/>
        <v>1</v>
      </c>
      <c r="U299" s="10" t="s">
        <v>629</v>
      </c>
    </row>
    <row r="300" spans="1:21" hidden="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6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7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8"/>
        <v>2</v>
      </c>
      <c r="U300" s="10" t="s">
        <v>629</v>
      </c>
    </row>
    <row r="301" spans="1:21" hidden="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6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7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8"/>
        <v>1</v>
      </c>
      <c r="U301" s="10" t="s">
        <v>686</v>
      </c>
    </row>
    <row r="302" spans="1:21" hidden="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6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7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8"/>
        <v>1</v>
      </c>
      <c r="U302" s="10" t="s">
        <v>687</v>
      </c>
    </row>
    <row r="303" spans="1:21" hidden="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6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7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8"/>
        <v>1</v>
      </c>
      <c r="U303" s="10" t="s">
        <v>688</v>
      </c>
    </row>
    <row r="304" spans="1:21" hidden="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6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7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8"/>
        <v>3</v>
      </c>
      <c r="U304" s="10" t="s">
        <v>689</v>
      </c>
    </row>
    <row r="305" spans="1:21" hidden="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6"/>
        <v/>
      </c>
      <c r="L305" s="7" t="str">
        <f>IF(VLOOKUP(A305,'[1]LISTA ETIQUETAS'!O:AB,14,0)="","",(VLOOKUP(A305,'[1]LISTA ETIQUETAS'!O:AB,14,0)))</f>
        <v/>
      </c>
      <c r="M305" s="8"/>
      <c r="N305" s="9">
        <f t="shared" si="7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8"/>
        <v>1</v>
      </c>
      <c r="U305" s="10" t="s">
        <v>690</v>
      </c>
    </row>
    <row r="306" spans="1:21" hidden="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6"/>
        <v/>
      </c>
      <c r="L306" s="7" t="str">
        <f>IF(VLOOKUP(A306,'[1]LISTA ETIQUETAS'!O:AB,14,0)="","",(VLOOKUP(A306,'[1]LISTA ETIQUETAS'!O:AB,14,0)))</f>
        <v/>
      </c>
      <c r="M306" s="8"/>
      <c r="N306" s="9">
        <f t="shared" si="7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8"/>
        <v>1</v>
      </c>
      <c r="U306" s="10" t="s">
        <v>691</v>
      </c>
    </row>
    <row r="307" spans="1:21" hidden="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6"/>
        <v/>
      </c>
      <c r="L307" s="7" t="str">
        <f>IF(VLOOKUP(A307,'[1]LISTA ETIQUETAS'!O:AB,14,0)="","",(VLOOKUP(A307,'[1]LISTA ETIQUETAS'!O:AB,14,0)))</f>
        <v/>
      </c>
      <c r="M307" s="8"/>
      <c r="N307" s="9">
        <f t="shared" si="7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8"/>
        <v>1</v>
      </c>
      <c r="U307" s="10" t="s">
        <v>629</v>
      </c>
    </row>
    <row r="308" spans="1:21" hidden="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6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7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8"/>
        <v>1</v>
      </c>
      <c r="U308" s="10" t="s">
        <v>692</v>
      </c>
    </row>
    <row r="309" spans="1:21" hidden="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6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7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8"/>
        <v>1</v>
      </c>
      <c r="U309" s="10" t="s">
        <v>693</v>
      </c>
    </row>
    <row r="310" spans="1:21" hidden="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6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7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8"/>
        <v>2</v>
      </c>
      <c r="U310" s="10" t="s">
        <v>694</v>
      </c>
    </row>
    <row r="311" spans="1:21" hidden="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6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7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8"/>
        <v>1</v>
      </c>
      <c r="U311" s="10" t="s">
        <v>695</v>
      </c>
    </row>
    <row r="312" spans="1:21" hidden="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6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7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8"/>
        <v>1</v>
      </c>
      <c r="U312" s="10" t="s">
        <v>629</v>
      </c>
    </row>
    <row r="313" spans="1:21" hidden="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6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7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8"/>
        <v>1</v>
      </c>
      <c r="U313" s="10" t="s">
        <v>629</v>
      </c>
    </row>
    <row r="314" spans="1:21" hidden="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6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7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8"/>
        <v>1</v>
      </c>
      <c r="U314" s="10" t="s">
        <v>696</v>
      </c>
    </row>
    <row r="315" spans="1:21" hidden="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6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7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8"/>
        <v>2</v>
      </c>
      <c r="U315" s="10" t="s">
        <v>629</v>
      </c>
    </row>
    <row r="316" spans="1:21" hidden="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6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7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8"/>
        <v>4</v>
      </c>
      <c r="U316" s="10" t="s">
        <v>629</v>
      </c>
    </row>
    <row r="317" spans="1:21" hidden="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6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7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8"/>
        <v>4</v>
      </c>
      <c r="U317" s="10" t="s">
        <v>629</v>
      </c>
    </row>
    <row r="318" spans="1:21" hidden="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6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7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8"/>
        <v>3</v>
      </c>
      <c r="U318" s="10" t="s">
        <v>629</v>
      </c>
    </row>
    <row r="319" spans="1:21" hidden="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6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7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8"/>
        <v>1</v>
      </c>
      <c r="U319" s="10" t="s">
        <v>629</v>
      </c>
    </row>
    <row r="320" spans="1:21" hidden="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6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7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8"/>
        <v>4</v>
      </c>
      <c r="U320" s="10" t="s">
        <v>629</v>
      </c>
    </row>
    <row r="321" spans="1:21" hidden="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6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7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8"/>
        <v>3</v>
      </c>
      <c r="U321" s="10" t="s">
        <v>629</v>
      </c>
    </row>
    <row r="322" spans="1:21" hidden="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6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7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8"/>
        <v>1</v>
      </c>
      <c r="U322" s="10" t="s">
        <v>629</v>
      </c>
    </row>
    <row r="323" spans="1:21" hidden="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9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7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8"/>
        <v>1</v>
      </c>
      <c r="U323" s="10" t="s">
        <v>629</v>
      </c>
    </row>
    <row r="324" spans="1:21" hidden="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9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0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1">SUM(O324:S324)</f>
        <v>1</v>
      </c>
      <c r="U324" s="10" t="s">
        <v>629</v>
      </c>
    </row>
    <row r="325" spans="1:21" hidden="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9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0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1"/>
        <v>1</v>
      </c>
      <c r="U325" s="10" t="s">
        <v>629</v>
      </c>
    </row>
    <row r="326" spans="1:21" hidden="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9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0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1"/>
        <v>1</v>
      </c>
      <c r="U326" s="10" t="s">
        <v>629</v>
      </c>
    </row>
    <row r="327" spans="1:21" hidden="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9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0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1"/>
        <v>3</v>
      </c>
      <c r="U327" s="10" t="s">
        <v>629</v>
      </c>
    </row>
    <row r="328" spans="1:21" hidden="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9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0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1"/>
        <v>1</v>
      </c>
      <c r="U328" s="10" t="s">
        <v>629</v>
      </c>
    </row>
    <row r="329" spans="1:21" hidden="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9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0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1"/>
        <v>1</v>
      </c>
      <c r="U329" s="10" t="s">
        <v>629</v>
      </c>
    </row>
    <row r="330" spans="1:21" hidden="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9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0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1"/>
        <v>1</v>
      </c>
      <c r="U330" s="10" t="s">
        <v>629</v>
      </c>
    </row>
    <row r="331" spans="1:21" hidden="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9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0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1"/>
        <v>1</v>
      </c>
      <c r="U331" s="10" t="s">
        <v>629</v>
      </c>
    </row>
    <row r="332" spans="1:21" hidden="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9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0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1"/>
        <v>1</v>
      </c>
      <c r="U332" s="10" t="s">
        <v>629</v>
      </c>
    </row>
    <row r="333" spans="1:21" hidden="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9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0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1"/>
        <v>1</v>
      </c>
      <c r="U333" s="10" t="s">
        <v>629</v>
      </c>
    </row>
    <row r="334" spans="1:21" hidden="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9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0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1"/>
        <v>2</v>
      </c>
      <c r="U334" s="10" t="s">
        <v>629</v>
      </c>
    </row>
    <row r="335" spans="1:21" hidden="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9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0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1"/>
        <v>1</v>
      </c>
      <c r="U335" s="10" t="s">
        <v>629</v>
      </c>
    </row>
    <row r="336" spans="1:21" hidden="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9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0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1"/>
        <v>1</v>
      </c>
      <c r="U336" s="10" t="s">
        <v>629</v>
      </c>
    </row>
    <row r="337" spans="1:21" hidden="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9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0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1"/>
        <v>1</v>
      </c>
      <c r="U337" s="10" t="s">
        <v>629</v>
      </c>
    </row>
    <row r="338" spans="1:21" hidden="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9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0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1"/>
        <v>1</v>
      </c>
      <c r="U338" s="10" t="s">
        <v>629</v>
      </c>
    </row>
    <row r="339" spans="1:21" hidden="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9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0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1"/>
        <v>1</v>
      </c>
      <c r="U339" s="10" t="s">
        <v>629</v>
      </c>
    </row>
    <row r="340" spans="1:21" hidden="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9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0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1"/>
        <v>1</v>
      </c>
      <c r="U340" s="10" t="s">
        <v>629</v>
      </c>
    </row>
    <row r="341" spans="1:21" hidden="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9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0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1"/>
        <v>1</v>
      </c>
      <c r="U341" s="10" t="s">
        <v>629</v>
      </c>
    </row>
    <row r="342" spans="1:21" hidden="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9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0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1"/>
        <v>1</v>
      </c>
      <c r="U342" s="10" t="s">
        <v>629</v>
      </c>
    </row>
    <row r="343" spans="1:21" hidden="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9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0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1"/>
        <v>1</v>
      </c>
      <c r="U343" s="10" t="s">
        <v>629</v>
      </c>
    </row>
    <row r="344" spans="1:21" hidden="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9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0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1"/>
        <v>1</v>
      </c>
      <c r="U344" s="10" t="s">
        <v>629</v>
      </c>
    </row>
    <row r="345" spans="1:21" hidden="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9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0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1"/>
        <v>2</v>
      </c>
      <c r="U345" s="10" t="s">
        <v>629</v>
      </c>
    </row>
    <row r="346" spans="1:21" hidden="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9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0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1"/>
        <v>1</v>
      </c>
      <c r="U346" s="10" t="s">
        <v>629</v>
      </c>
    </row>
    <row r="347" spans="1:21" hidden="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9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0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1"/>
        <v>1</v>
      </c>
      <c r="U347" s="10" t="s">
        <v>629</v>
      </c>
    </row>
    <row r="348" spans="1:21" hidden="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9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0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1"/>
        <v>1</v>
      </c>
      <c r="U348" s="10" t="s">
        <v>629</v>
      </c>
    </row>
    <row r="349" spans="1:21" hidden="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9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0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1"/>
        <v>1</v>
      </c>
      <c r="U349" s="10" t="s">
        <v>629</v>
      </c>
    </row>
    <row r="350" spans="1:21" hidden="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9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0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1"/>
        <v>3</v>
      </c>
      <c r="U350" s="10" t="s">
        <v>629</v>
      </c>
    </row>
    <row r="351" spans="1:21" hidden="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9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0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1"/>
        <v>1</v>
      </c>
      <c r="U351" s="10" t="s">
        <v>629</v>
      </c>
    </row>
    <row r="352" spans="1:21" hidden="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9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0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1"/>
        <v>1</v>
      </c>
      <c r="U352" s="10" t="s">
        <v>629</v>
      </c>
    </row>
    <row r="353" spans="1:21" hidden="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9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0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1"/>
        <v>1</v>
      </c>
      <c r="U353" s="10" t="s">
        <v>629</v>
      </c>
    </row>
    <row r="354" spans="1:21" hidden="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9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0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1"/>
        <v>2</v>
      </c>
      <c r="U354" s="10" t="s">
        <v>629</v>
      </c>
    </row>
    <row r="355" spans="1:21" hidden="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9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0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1"/>
        <v>2</v>
      </c>
      <c r="U355" s="10" t="s">
        <v>629</v>
      </c>
    </row>
    <row r="356" spans="1:21" hidden="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9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0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1"/>
        <v>1</v>
      </c>
      <c r="U356" s="10" t="s">
        <v>629</v>
      </c>
    </row>
    <row r="357" spans="1:21" hidden="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9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0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1"/>
        <v>1</v>
      </c>
      <c r="U357" s="10" t="s">
        <v>629</v>
      </c>
    </row>
    <row r="358" spans="1:21" hidden="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9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0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1"/>
        <v>1</v>
      </c>
      <c r="U358" s="10" t="s">
        <v>629</v>
      </c>
    </row>
    <row r="359" spans="1:21" hidden="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9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0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1"/>
        <v>1</v>
      </c>
      <c r="U359" s="10" t="s">
        <v>629</v>
      </c>
    </row>
    <row r="360" spans="1:21" hidden="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9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0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1"/>
        <v>2</v>
      </c>
      <c r="U360" s="10" t="s">
        <v>629</v>
      </c>
    </row>
    <row r="361" spans="1:21" hidden="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9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0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1"/>
        <v>1</v>
      </c>
      <c r="U361" s="10" t="s">
        <v>629</v>
      </c>
    </row>
    <row r="362" spans="1:21" hidden="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9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0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1"/>
        <v>1</v>
      </c>
      <c r="U362" s="10" t="s">
        <v>629</v>
      </c>
    </row>
    <row r="363" spans="1:21" hidden="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9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0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1"/>
        <v>2</v>
      </c>
      <c r="U363" s="10" t="s">
        <v>629</v>
      </c>
    </row>
    <row r="364" spans="1:21" hidden="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9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0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4</v>
      </c>
      <c r="T364" s="9">
        <f t="shared" si="11"/>
        <v>4</v>
      </c>
      <c r="U364" s="10" t="s">
        <v>629</v>
      </c>
    </row>
    <row r="365" spans="1:21" hidden="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9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0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1"/>
        <v>8</v>
      </c>
      <c r="U365" s="10" t="s">
        <v>629</v>
      </c>
    </row>
    <row r="366" spans="1:21" hidden="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9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0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1"/>
        <v>2</v>
      </c>
      <c r="U366" s="10" t="s">
        <v>629</v>
      </c>
    </row>
    <row r="367" spans="1:21" hidden="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9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0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1"/>
        <v>5</v>
      </c>
      <c r="U367" s="10" t="s">
        <v>629</v>
      </c>
    </row>
    <row r="368" spans="1:21" hidden="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9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0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1"/>
        <v>16</v>
      </c>
      <c r="U368" s="10" t="s">
        <v>629</v>
      </c>
    </row>
    <row r="369" spans="1:21" hidden="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9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0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1"/>
        <v>2</v>
      </c>
      <c r="U369" s="10" t="s">
        <v>629</v>
      </c>
    </row>
    <row r="370" spans="1:21" hidden="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9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0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1"/>
        <v>1</v>
      </c>
      <c r="U370" s="10" t="s">
        <v>629</v>
      </c>
    </row>
    <row r="371" spans="1:21" hidden="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9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0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1"/>
        <v>6</v>
      </c>
      <c r="U371" s="10" t="s">
        <v>629</v>
      </c>
    </row>
    <row r="372" spans="1:21" hidden="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9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0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1"/>
        <v>6</v>
      </c>
      <c r="U372" s="10" t="s">
        <v>629</v>
      </c>
    </row>
    <row r="373" spans="1:21" hidden="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9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0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1"/>
        <v>1</v>
      </c>
      <c r="U373" s="10" t="s">
        <v>629</v>
      </c>
    </row>
    <row r="374" spans="1:21" hidden="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9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0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1"/>
        <v>8</v>
      </c>
      <c r="U374" s="10" t="s">
        <v>629</v>
      </c>
    </row>
    <row r="375" spans="1:21" hidden="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10102.219999999999</v>
      </c>
      <c r="J375" s="6">
        <v>0</v>
      </c>
      <c r="K375" s="12">
        <f t="shared" si="9"/>
        <v>10102.219999999999</v>
      </c>
      <c r="L375" s="7" t="str">
        <f>IF(VLOOKUP(A375,'[1]LISTA ETIQUETAS'!O:AB,14,0)="","",(VLOOKUP(A375,'[1]LISTA ETIQUETAS'!O:AB,14,0)))</f>
        <v/>
      </c>
      <c r="M375" s="8"/>
      <c r="N375" s="9">
        <f t="shared" si="10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1"/>
        <v>6</v>
      </c>
      <c r="U375" s="10" t="s">
        <v>629</v>
      </c>
    </row>
    <row r="376" spans="1:21" hidden="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9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0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1"/>
        <v>8</v>
      </c>
      <c r="U376" s="10" t="s">
        <v>629</v>
      </c>
    </row>
    <row r="377" spans="1:21" hidden="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9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0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6</v>
      </c>
      <c r="T377" s="9">
        <f t="shared" si="11"/>
        <v>6</v>
      </c>
      <c r="U377" s="10" t="s">
        <v>629</v>
      </c>
    </row>
    <row r="378" spans="1:21" hidden="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9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0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1"/>
        <v>2</v>
      </c>
      <c r="U378" s="10" t="s">
        <v>629</v>
      </c>
    </row>
    <row r="379" spans="1:21" hidden="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9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0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1"/>
        <v>6</v>
      </c>
      <c r="U379" s="10" t="s">
        <v>629</v>
      </c>
    </row>
    <row r="380" spans="1:21" hidden="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9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0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1"/>
        <v>2</v>
      </c>
      <c r="U380" s="10" t="s">
        <v>629</v>
      </c>
    </row>
    <row r="381" spans="1:21" hidden="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9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0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1"/>
        <v>6</v>
      </c>
      <c r="U381" s="10" t="s">
        <v>629</v>
      </c>
    </row>
    <row r="382" spans="1:21" hidden="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9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0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2</v>
      </c>
      <c r="T382" s="9">
        <f t="shared" si="11"/>
        <v>2</v>
      </c>
      <c r="U382" s="10" t="s">
        <v>629</v>
      </c>
    </row>
    <row r="383" spans="1:21" hidden="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9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0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1"/>
        <v>2</v>
      </c>
      <c r="U383" s="10" t="s">
        <v>629</v>
      </c>
    </row>
    <row r="384" spans="1:21" hidden="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9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0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1"/>
        <v>10</v>
      </c>
      <c r="U384" s="10" t="s">
        <v>629</v>
      </c>
    </row>
    <row r="385" spans="1:21" hidden="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9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0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1"/>
        <v>10</v>
      </c>
      <c r="U385" s="10" t="s">
        <v>629</v>
      </c>
    </row>
    <row r="386" spans="1:21" hidden="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9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0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11"/>
        <v>2</v>
      </c>
      <c r="U386" s="10" t="s">
        <v>629</v>
      </c>
    </row>
    <row r="387" spans="1:21" hidden="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2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0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6</v>
      </c>
      <c r="T387" s="9">
        <f t="shared" si="11"/>
        <v>6</v>
      </c>
      <c r="U387" s="10" t="s">
        <v>629</v>
      </c>
    </row>
    <row r="388" spans="1:21" hidden="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2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3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14">SUM(O388:S388)</f>
        <v>10</v>
      </c>
      <c r="U388" s="10" t="s">
        <v>629</v>
      </c>
    </row>
    <row r="389" spans="1:21" hidden="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2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3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14"/>
        <v>3</v>
      </c>
      <c r="U389" s="10" t="s">
        <v>629</v>
      </c>
    </row>
    <row r="390" spans="1:21" hidden="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2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3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14"/>
        <v>10</v>
      </c>
      <c r="U390" s="10" t="s">
        <v>629</v>
      </c>
    </row>
    <row r="391" spans="1:21" hidden="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2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3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14"/>
        <v>5</v>
      </c>
      <c r="U391" s="10" t="s">
        <v>629</v>
      </c>
    </row>
    <row r="392" spans="1:21" hidden="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2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3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14"/>
        <v>8</v>
      </c>
      <c r="U392" s="10" t="s">
        <v>629</v>
      </c>
    </row>
    <row r="393" spans="1:21" hidden="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2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3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14"/>
        <v>10</v>
      </c>
      <c r="U393" s="10" t="s">
        <v>629</v>
      </c>
    </row>
    <row r="394" spans="1:21" hidden="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2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3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14"/>
        <v>8</v>
      </c>
      <c r="U394" s="10" t="s">
        <v>629</v>
      </c>
    </row>
    <row r="395" spans="1:21" hidden="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2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3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14"/>
        <v>8</v>
      </c>
      <c r="U395" s="10" t="s">
        <v>629</v>
      </c>
    </row>
    <row r="396" spans="1:21" hidden="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2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3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14"/>
        <v>6</v>
      </c>
      <c r="U396" s="10" t="s">
        <v>629</v>
      </c>
    </row>
    <row r="397" spans="1:21" hidden="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2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3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14"/>
        <v>6</v>
      </c>
      <c r="U397" s="10" t="s">
        <v>629</v>
      </c>
    </row>
    <row r="398" spans="1:21" hidden="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2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3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14"/>
        <v>8</v>
      </c>
      <c r="U398" s="10" t="s">
        <v>629</v>
      </c>
    </row>
    <row r="399" spans="1:21" hidden="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2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3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14"/>
        <v>2</v>
      </c>
      <c r="U399" s="10" t="s">
        <v>629</v>
      </c>
    </row>
    <row r="400" spans="1:21" hidden="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2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3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14"/>
        <v>8</v>
      </c>
      <c r="U400" s="10" t="s">
        <v>629</v>
      </c>
    </row>
    <row r="401" spans="1:21" hidden="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2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3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14"/>
        <v>8</v>
      </c>
      <c r="U401" s="10" t="s">
        <v>629</v>
      </c>
    </row>
    <row r="402" spans="1:21" hidden="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2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3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14"/>
        <v>8</v>
      </c>
      <c r="U402" s="10" t="s">
        <v>629</v>
      </c>
    </row>
    <row r="403" spans="1:21" hidden="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2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3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14"/>
        <v>2</v>
      </c>
      <c r="U403" s="10" t="s">
        <v>629</v>
      </c>
    </row>
    <row r="404" spans="1:21" hidden="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2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3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14"/>
        <v>2</v>
      </c>
      <c r="U404" s="10" t="s">
        <v>629</v>
      </c>
    </row>
    <row r="405" spans="1:21" hidden="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2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3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14"/>
        <v>8</v>
      </c>
      <c r="U405" s="10" t="s">
        <v>629</v>
      </c>
    </row>
    <row r="406" spans="1:21" hidden="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2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3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14"/>
        <v>8</v>
      </c>
      <c r="U406" s="10" t="s">
        <v>629</v>
      </c>
    </row>
    <row r="407" spans="1:21" hidden="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2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3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14"/>
        <v>8</v>
      </c>
      <c r="U407" s="10" t="s">
        <v>629</v>
      </c>
    </row>
    <row r="408" spans="1:21" hidden="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2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3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14"/>
        <v>8</v>
      </c>
      <c r="U408" s="10" t="s">
        <v>629</v>
      </c>
    </row>
    <row r="409" spans="1:21" hidden="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2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3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14"/>
        <v>1</v>
      </c>
      <c r="U409" s="10" t="s">
        <v>629</v>
      </c>
    </row>
    <row r="410" spans="1:21" hidden="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2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3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14"/>
        <v>2</v>
      </c>
      <c r="U410" s="10" t="s">
        <v>629</v>
      </c>
    </row>
    <row r="411" spans="1:21" hidden="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2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3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14"/>
        <v>2</v>
      </c>
      <c r="U411" s="10" t="s">
        <v>629</v>
      </c>
    </row>
    <row r="412" spans="1:21" hidden="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2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3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14"/>
        <v>8</v>
      </c>
      <c r="U412" s="10" t="s">
        <v>629</v>
      </c>
    </row>
    <row r="413" spans="1:21" hidden="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2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3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14"/>
        <v>2</v>
      </c>
      <c r="U413" s="10" t="s">
        <v>629</v>
      </c>
    </row>
    <row r="414" spans="1:21" hidden="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2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3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14"/>
        <v>8</v>
      </c>
      <c r="U414" s="10" t="s">
        <v>629</v>
      </c>
    </row>
    <row r="415" spans="1:21" hidden="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2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3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14"/>
        <v>4</v>
      </c>
      <c r="U415" s="10" t="s">
        <v>629</v>
      </c>
    </row>
    <row r="416" spans="1:21" hidden="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2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3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14"/>
        <v>10</v>
      </c>
      <c r="U416" s="10" t="s">
        <v>629</v>
      </c>
    </row>
    <row r="417" spans="1:21" hidden="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2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3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14"/>
        <v>2</v>
      </c>
      <c r="U417" s="10" t="s">
        <v>629</v>
      </c>
    </row>
    <row r="418" spans="1:21" hidden="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2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3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14"/>
        <v>7</v>
      </c>
      <c r="U418" s="10" t="s">
        <v>629</v>
      </c>
    </row>
    <row r="419" spans="1:21" hidden="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2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3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14"/>
        <v>1</v>
      </c>
      <c r="U419" s="10" t="s">
        <v>629</v>
      </c>
    </row>
    <row r="420" spans="1:21" hidden="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2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3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14"/>
        <v>1</v>
      </c>
      <c r="U420" s="10" t="s">
        <v>629</v>
      </c>
    </row>
    <row r="421" spans="1:21" hidden="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2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3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14"/>
        <v>1</v>
      </c>
      <c r="U421" s="10" t="s">
        <v>629</v>
      </c>
    </row>
    <row r="422" spans="1:21" hidden="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2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3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14"/>
        <v>1</v>
      </c>
      <c r="U422" s="10" t="s">
        <v>629</v>
      </c>
    </row>
    <row r="423" spans="1:21" hidden="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2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3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14"/>
        <v>1</v>
      </c>
      <c r="U423" s="10" t="s">
        <v>629</v>
      </c>
    </row>
    <row r="424" spans="1:21" hidden="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2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3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14"/>
        <v>1</v>
      </c>
      <c r="U424" s="10" t="s">
        <v>629</v>
      </c>
    </row>
    <row r="425" spans="1:21" hidden="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2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3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14"/>
        <v>1</v>
      </c>
      <c r="U425" s="10" t="s">
        <v>629</v>
      </c>
    </row>
    <row r="426" spans="1:21" hidden="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2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3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14"/>
        <v>1</v>
      </c>
      <c r="U426" s="10" t="s">
        <v>629</v>
      </c>
    </row>
    <row r="427" spans="1:21" hidden="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2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3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14"/>
        <v>1</v>
      </c>
      <c r="U427" s="10" t="s">
        <v>629</v>
      </c>
    </row>
    <row r="428" spans="1:21" hidden="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2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3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14"/>
        <v>1</v>
      </c>
      <c r="U428" s="10" t="s">
        <v>629</v>
      </c>
    </row>
    <row r="429" spans="1:21" hidden="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2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3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14"/>
        <v>2</v>
      </c>
      <c r="U429" s="10" t="s">
        <v>629</v>
      </c>
    </row>
    <row r="430" spans="1:21" hidden="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2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3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14"/>
        <v>1</v>
      </c>
      <c r="U430" s="10" t="s">
        <v>629</v>
      </c>
    </row>
    <row r="431" spans="1:21" hidden="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2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3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14"/>
        <v>3</v>
      </c>
      <c r="U431" s="10" t="s">
        <v>629</v>
      </c>
    </row>
    <row r="432" spans="1:21" hidden="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2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3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14"/>
        <v>3</v>
      </c>
      <c r="U432" s="10" t="s">
        <v>629</v>
      </c>
    </row>
    <row r="433" spans="1:21" hidden="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2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3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14"/>
        <v>4</v>
      </c>
      <c r="U433" s="10" t="s">
        <v>629</v>
      </c>
    </row>
    <row r="434" spans="1:21" hidden="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2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3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14"/>
        <v>1</v>
      </c>
      <c r="U434" s="10" t="s">
        <v>629</v>
      </c>
    </row>
    <row r="435" spans="1:21" hidden="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2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3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14"/>
        <v>1</v>
      </c>
      <c r="U435" s="10" t="s">
        <v>629</v>
      </c>
    </row>
    <row r="436" spans="1:21" hidden="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2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3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14"/>
        <v>2</v>
      </c>
      <c r="U436" s="10" t="s">
        <v>629</v>
      </c>
    </row>
    <row r="437" spans="1:21" hidden="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2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3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14"/>
        <v>1</v>
      </c>
      <c r="U437" s="10" t="s">
        <v>629</v>
      </c>
    </row>
    <row r="438" spans="1:21" hidden="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2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3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14"/>
        <v>3</v>
      </c>
      <c r="U438" s="10" t="s">
        <v>629</v>
      </c>
    </row>
    <row r="439" spans="1:21" hidden="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2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3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14"/>
        <v>2</v>
      </c>
      <c r="U439" s="10" t="s">
        <v>629</v>
      </c>
    </row>
    <row r="440" spans="1:21" hidden="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2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3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14"/>
        <v>2</v>
      </c>
      <c r="U440" s="10" t="s">
        <v>629</v>
      </c>
    </row>
    <row r="441" spans="1:21" hidden="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2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3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14"/>
        <v>4</v>
      </c>
      <c r="U441" s="10" t="s">
        <v>629</v>
      </c>
    </row>
    <row r="442" spans="1:21" hidden="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2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3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14"/>
        <v>4</v>
      </c>
      <c r="U442" s="10" t="s">
        <v>629</v>
      </c>
    </row>
    <row r="443" spans="1:21" hidden="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2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3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14"/>
        <v>3</v>
      </c>
      <c r="U443" s="10" t="s">
        <v>629</v>
      </c>
    </row>
    <row r="444" spans="1:21" hidden="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2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3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14"/>
        <v>2</v>
      </c>
      <c r="U444" s="10" t="s">
        <v>629</v>
      </c>
    </row>
    <row r="445" spans="1:21" hidden="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2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3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14"/>
        <v>4</v>
      </c>
      <c r="U445" s="10" t="s">
        <v>629</v>
      </c>
    </row>
    <row r="446" spans="1:21" hidden="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2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3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14"/>
        <v>2</v>
      </c>
      <c r="U446" s="10" t="s">
        <v>629</v>
      </c>
    </row>
    <row r="447" spans="1:21" hidden="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2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3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14"/>
        <v>1</v>
      </c>
      <c r="U447" s="10" t="s">
        <v>629</v>
      </c>
    </row>
    <row r="448" spans="1:21" hidden="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2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3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14"/>
        <v>4</v>
      </c>
      <c r="U448" s="10" t="s">
        <v>629</v>
      </c>
    </row>
    <row r="449" spans="1:21" hidden="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2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3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14"/>
        <v>2</v>
      </c>
      <c r="U449" s="10" t="s">
        <v>629</v>
      </c>
    </row>
    <row r="450" spans="1:21" hidden="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2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3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14"/>
        <v>2</v>
      </c>
      <c r="U450" s="10" t="s">
        <v>629</v>
      </c>
    </row>
    <row r="451" spans="1:21" hidden="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15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3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14"/>
        <v>2</v>
      </c>
      <c r="U451" s="10" t="s">
        <v>629</v>
      </c>
    </row>
    <row r="452" spans="1:21" hidden="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15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16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17">SUM(O452:S452)</f>
        <v>4</v>
      </c>
      <c r="U452" s="10" t="s">
        <v>629</v>
      </c>
    </row>
    <row r="453" spans="1:21" hidden="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15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16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17"/>
        <v>2</v>
      </c>
      <c r="U453" s="10" t="s">
        <v>629</v>
      </c>
    </row>
    <row r="454" spans="1:21" hidden="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15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16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17"/>
        <v>1</v>
      </c>
      <c r="U454" s="10" t="s">
        <v>629</v>
      </c>
    </row>
    <row r="455" spans="1:21" hidden="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15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16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17"/>
        <v>2</v>
      </c>
      <c r="U455" s="10" t="s">
        <v>629</v>
      </c>
    </row>
    <row r="456" spans="1:21" hidden="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15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16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17"/>
        <v>4</v>
      </c>
      <c r="U456" s="10" t="s">
        <v>629</v>
      </c>
    </row>
    <row r="457" spans="1:21" hidden="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15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16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17"/>
        <v>1</v>
      </c>
      <c r="U457" s="10" t="s">
        <v>629</v>
      </c>
    </row>
    <row r="458" spans="1:21" hidden="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15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16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17"/>
        <v>1</v>
      </c>
      <c r="U458" s="10" t="s">
        <v>629</v>
      </c>
    </row>
    <row r="459" spans="1:21" hidden="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15"/>
        <v/>
      </c>
      <c r="L459" s="7" t="str">
        <f>IF(VLOOKUP(A459,'[1]LISTA ETIQUETAS'!O:AB,14,0)="","",(VLOOKUP(A459,'[1]LISTA ETIQUETAS'!O:AB,14,0)))</f>
        <v/>
      </c>
      <c r="M459" s="8"/>
      <c r="N459" s="9">
        <f t="shared" si="16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17"/>
        <v>1</v>
      </c>
      <c r="U459" s="10" t="s">
        <v>629</v>
      </c>
    </row>
    <row r="460" spans="1:21" hidden="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15"/>
        <v/>
      </c>
      <c r="L460" s="7" t="str">
        <f>IF(VLOOKUP(A460,'[1]LISTA ETIQUETAS'!O:AB,14,0)="","",(VLOOKUP(A460,'[1]LISTA ETIQUETAS'!O:AB,14,0)))</f>
        <v/>
      </c>
      <c r="M460" s="8"/>
      <c r="N460" s="9">
        <f t="shared" si="16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17"/>
        <v>1</v>
      </c>
      <c r="U460" s="10" t="s">
        <v>629</v>
      </c>
    </row>
    <row r="461" spans="1:21" hidden="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15"/>
        <v/>
      </c>
      <c r="L461" s="7" t="str">
        <f>IF(VLOOKUP(A461,'[1]LISTA ETIQUETAS'!O:AB,14,0)="","",(VLOOKUP(A461,'[1]LISTA ETIQUETAS'!O:AB,14,0)))</f>
        <v/>
      </c>
      <c r="M461" s="8"/>
      <c r="N461" s="9">
        <f t="shared" si="16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17"/>
        <v>1</v>
      </c>
      <c r="U461" s="10" t="s">
        <v>629</v>
      </c>
    </row>
    <row r="462" spans="1:21" hidden="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15"/>
        <v/>
      </c>
      <c r="L462" s="7" t="str">
        <f>IF(VLOOKUP(A462,'[1]LISTA ETIQUETAS'!O:AB,14,0)="","",(VLOOKUP(A462,'[1]LISTA ETIQUETAS'!O:AB,14,0)))</f>
        <v/>
      </c>
      <c r="M462" s="8"/>
      <c r="N462" s="9">
        <f t="shared" si="16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17"/>
        <v>1</v>
      </c>
      <c r="U462" s="10" t="s">
        <v>629</v>
      </c>
    </row>
    <row r="463" spans="1:21" hidden="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15"/>
        <v/>
      </c>
      <c r="L463" s="7" t="str">
        <f>IF(VLOOKUP(A463,'[1]LISTA ETIQUETAS'!O:AB,14,0)="","",(VLOOKUP(A463,'[1]LISTA ETIQUETAS'!O:AB,14,0)))</f>
        <v/>
      </c>
      <c r="M463" s="8"/>
      <c r="N463" s="9">
        <f t="shared" si="16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17"/>
        <v>1</v>
      </c>
      <c r="U463" s="10" t="s">
        <v>629</v>
      </c>
    </row>
    <row r="464" spans="1:21" hidden="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15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16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17"/>
        <v>2</v>
      </c>
      <c r="U464" s="10" t="s">
        <v>629</v>
      </c>
    </row>
    <row r="465" spans="1:21" hidden="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15"/>
        <v/>
      </c>
      <c r="L465" s="7" t="str">
        <f>IF(VLOOKUP(A465,'[1]LISTA ETIQUETAS'!O:AB,14,0)="","",(VLOOKUP(A465,'[1]LISTA ETIQUETAS'!O:AB,14,0)))</f>
        <v/>
      </c>
      <c r="M465" s="8"/>
      <c r="N465" s="9">
        <f t="shared" si="16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17"/>
        <v>1</v>
      </c>
      <c r="U465" s="10" t="s">
        <v>629</v>
      </c>
    </row>
    <row r="466" spans="1:21" hidden="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15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16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17"/>
        <v>3</v>
      </c>
      <c r="U466" s="10" t="s">
        <v>629</v>
      </c>
    </row>
    <row r="467" spans="1:21" hidden="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15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16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17"/>
        <v>2</v>
      </c>
      <c r="U467" s="10" t="s">
        <v>629</v>
      </c>
    </row>
    <row r="468" spans="1:21" hidden="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15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16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17"/>
        <v>1</v>
      </c>
      <c r="U468" s="10" t="s">
        <v>629</v>
      </c>
    </row>
    <row r="469" spans="1:21" hidden="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15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16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17"/>
        <v>2</v>
      </c>
      <c r="U469" s="10" t="s">
        <v>629</v>
      </c>
    </row>
    <row r="470" spans="1:21" hidden="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15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16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17"/>
        <v>1</v>
      </c>
      <c r="U470" s="10" t="s">
        <v>629</v>
      </c>
    </row>
    <row r="471" spans="1:21" hidden="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15"/>
        <v/>
      </c>
      <c r="L471" s="7" t="str">
        <f>IF(VLOOKUP(A471,'[1]LISTA ETIQUETAS'!O:AB,14,0)="","",(VLOOKUP(A471,'[1]LISTA ETIQUETAS'!O:AB,14,0)))</f>
        <v/>
      </c>
      <c r="M471" s="8"/>
      <c r="N471" s="9">
        <f t="shared" si="16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17"/>
        <v>2</v>
      </c>
      <c r="U471" s="10" t="s">
        <v>629</v>
      </c>
    </row>
    <row r="472" spans="1:21" hidden="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15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16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17"/>
        <v>1</v>
      </c>
      <c r="U472" s="10" t="s">
        <v>629</v>
      </c>
    </row>
    <row r="473" spans="1:21" hidden="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15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16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17"/>
        <v>2</v>
      </c>
      <c r="U473" s="10" t="s">
        <v>629</v>
      </c>
    </row>
    <row r="474" spans="1:21" hidden="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15"/>
        <v/>
      </c>
      <c r="L474" s="7" t="str">
        <f>IF(VLOOKUP(A474,'[1]LISTA ETIQUETAS'!O:AB,14,0)="","",(VLOOKUP(A474,'[1]LISTA ETIQUETAS'!O:AB,14,0)))</f>
        <v/>
      </c>
      <c r="M474" s="8"/>
      <c r="N474" s="9">
        <f t="shared" si="16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17"/>
        <v>2</v>
      </c>
      <c r="U474" s="10" t="s">
        <v>629</v>
      </c>
    </row>
    <row r="475" spans="1:21" hidden="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15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16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17"/>
        <v>1</v>
      </c>
      <c r="U475" s="10" t="s">
        <v>629</v>
      </c>
    </row>
    <row r="476" spans="1:21" hidden="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15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16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17"/>
        <v>2</v>
      </c>
      <c r="U476" s="10" t="s">
        <v>629</v>
      </c>
    </row>
    <row r="477" spans="1:21" hidden="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15"/>
        <v/>
      </c>
      <c r="L477" s="7" t="str">
        <f>IF(VLOOKUP(A477,'[1]LISTA ETIQUETAS'!O:AB,14,0)="","",(VLOOKUP(A477,'[1]LISTA ETIQUETAS'!O:AB,14,0)))</f>
        <v/>
      </c>
      <c r="M477" s="8"/>
      <c r="N477" s="9">
        <f t="shared" si="16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17"/>
        <v>1</v>
      </c>
      <c r="U477" s="10" t="s">
        <v>629</v>
      </c>
    </row>
    <row r="478" spans="1:21" hidden="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15"/>
        <v/>
      </c>
      <c r="L478" s="7" t="str">
        <f>IF(VLOOKUP(A478,'[1]LISTA ETIQUETAS'!O:AB,14,0)="","",(VLOOKUP(A478,'[1]LISTA ETIQUETAS'!O:AB,14,0)))</f>
        <v/>
      </c>
      <c r="M478" s="8"/>
      <c r="N478" s="9">
        <f t="shared" si="16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17"/>
        <v>1</v>
      </c>
      <c r="U478" s="10" t="s">
        <v>629</v>
      </c>
    </row>
    <row r="479" spans="1:21" hidden="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15"/>
        <v/>
      </c>
      <c r="L479" s="7" t="str">
        <f>IF(VLOOKUP(A479,'[1]LISTA ETIQUETAS'!O:AB,14,0)="","",(VLOOKUP(A479,'[1]LISTA ETIQUETAS'!O:AB,14,0)))</f>
        <v/>
      </c>
      <c r="M479" s="8"/>
      <c r="N479" s="9">
        <f t="shared" si="16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17"/>
        <v>1</v>
      </c>
      <c r="U479" s="10" t="s">
        <v>629</v>
      </c>
    </row>
    <row r="480" spans="1:21" hidden="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15"/>
        <v/>
      </c>
      <c r="L480" s="7" t="str">
        <f>IF(VLOOKUP(A480,'[1]LISTA ETIQUETAS'!O:AB,14,0)="","",(VLOOKUP(A480,'[1]LISTA ETIQUETAS'!O:AB,14,0)))</f>
        <v/>
      </c>
      <c r="M480" s="8"/>
      <c r="N480" s="9">
        <f t="shared" si="16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17"/>
        <v>2</v>
      </c>
      <c r="U480" s="10" t="s">
        <v>629</v>
      </c>
    </row>
    <row r="481" spans="1:21" hidden="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15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16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17"/>
        <v>1</v>
      </c>
      <c r="U481" s="10" t="s">
        <v>629</v>
      </c>
    </row>
    <row r="482" spans="1:21" hidden="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15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16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17"/>
        <v>1</v>
      </c>
      <c r="U482" s="10" t="s">
        <v>629</v>
      </c>
    </row>
    <row r="483" spans="1:21" hidden="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15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16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17"/>
        <v>1</v>
      </c>
      <c r="U483" s="10" t="s">
        <v>629</v>
      </c>
    </row>
    <row r="484" spans="1:21" hidden="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15"/>
        <v/>
      </c>
      <c r="L484" s="7" t="str">
        <f>IF(VLOOKUP(A484,'[1]LISTA ETIQUETAS'!O:AB,14,0)="","",(VLOOKUP(A484,'[1]LISTA ETIQUETAS'!O:AB,14,0)))</f>
        <v/>
      </c>
      <c r="M484" s="8"/>
      <c r="N484" s="9">
        <f t="shared" si="16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17"/>
        <v>4</v>
      </c>
      <c r="U484" s="10" t="s">
        <v>629</v>
      </c>
    </row>
    <row r="485" spans="1:21" hidden="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15"/>
        <v/>
      </c>
      <c r="L485" s="7" t="str">
        <f>IF(VLOOKUP(A485,'[1]LISTA ETIQUETAS'!O:AB,14,0)="","",(VLOOKUP(A485,'[1]LISTA ETIQUETAS'!O:AB,14,0)))</f>
        <v/>
      </c>
      <c r="M485" s="8"/>
      <c r="N485" s="9">
        <f t="shared" si="16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17"/>
        <v>1</v>
      </c>
      <c r="U485" s="10" t="s">
        <v>629</v>
      </c>
    </row>
    <row r="486" spans="1:21" hidden="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15"/>
        <v/>
      </c>
      <c r="L486" s="7" t="str">
        <f>IF(VLOOKUP(A486,'[1]LISTA ETIQUETAS'!O:AB,14,0)="","",(VLOOKUP(A486,'[1]LISTA ETIQUETAS'!O:AB,14,0)))</f>
        <v/>
      </c>
      <c r="M486" s="8"/>
      <c r="N486" s="9">
        <f t="shared" si="16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17"/>
        <v>2</v>
      </c>
      <c r="U486" s="10" t="s">
        <v>629</v>
      </c>
    </row>
    <row r="487" spans="1:21" hidden="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15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16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17"/>
        <v>1</v>
      </c>
      <c r="U487" s="10" t="s">
        <v>629</v>
      </c>
    </row>
    <row r="488" spans="1:21" hidden="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15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16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17"/>
        <v>2</v>
      </c>
      <c r="U488" s="10" t="s">
        <v>629</v>
      </c>
    </row>
    <row r="489" spans="1:21" hidden="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15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16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17"/>
        <v>4</v>
      </c>
      <c r="U489" s="10" t="s">
        <v>629</v>
      </c>
    </row>
    <row r="490" spans="1:21" hidden="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15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16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17"/>
        <v>2</v>
      </c>
      <c r="U490" s="10" t="s">
        <v>629</v>
      </c>
    </row>
    <row r="491" spans="1:21" hidden="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15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16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17"/>
        <v>4</v>
      </c>
      <c r="U491" s="10" t="s">
        <v>629</v>
      </c>
    </row>
    <row r="492" spans="1:21" hidden="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15"/>
        <v/>
      </c>
      <c r="L492" s="7" t="str">
        <f>IF(VLOOKUP(A492,'[1]LISTA ETIQUETAS'!O:AB,14,0)="","",(VLOOKUP(A492,'[1]LISTA ETIQUETAS'!O:AB,14,0)))</f>
        <v/>
      </c>
      <c r="M492" s="8"/>
      <c r="N492" s="9">
        <f t="shared" si="16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17"/>
        <v>2</v>
      </c>
      <c r="U492" s="10" t="s">
        <v>629</v>
      </c>
    </row>
    <row r="493" spans="1:21" hidden="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15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16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17"/>
        <v>1</v>
      </c>
      <c r="U493" s="10" t="s">
        <v>629</v>
      </c>
    </row>
    <row r="494" spans="1:21" hidden="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15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16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17"/>
        <v>1</v>
      </c>
      <c r="U494" s="10" t="s">
        <v>629</v>
      </c>
    </row>
    <row r="495" spans="1:21" hidden="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15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16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17"/>
        <v>2</v>
      </c>
      <c r="U495" s="10" t="s">
        <v>629</v>
      </c>
    </row>
    <row r="496" spans="1:21" hidden="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15"/>
        <v/>
      </c>
      <c r="L496" s="7" t="str">
        <f>IF(VLOOKUP(A496,'[1]LISTA ETIQUETAS'!O:AB,14,0)="","",(VLOOKUP(A496,'[1]LISTA ETIQUETAS'!O:AB,14,0)))</f>
        <v/>
      </c>
      <c r="M496" s="8"/>
      <c r="N496" s="9">
        <f t="shared" si="16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17"/>
        <v>2</v>
      </c>
      <c r="U496" s="10" t="s">
        <v>629</v>
      </c>
    </row>
    <row r="497" spans="1:21" hidden="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15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16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17"/>
        <v>3</v>
      </c>
      <c r="U497" s="10" t="s">
        <v>629</v>
      </c>
    </row>
    <row r="498" spans="1:21" hidden="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15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16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17"/>
        <v>1</v>
      </c>
      <c r="U498" s="10" t="s">
        <v>629</v>
      </c>
    </row>
    <row r="499" spans="1:21" hidden="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15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16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17"/>
        <v>1</v>
      </c>
      <c r="U499" s="10" t="s">
        <v>629</v>
      </c>
    </row>
    <row r="500" spans="1:21" hidden="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15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16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17"/>
        <v>2</v>
      </c>
      <c r="U500" s="10" t="s">
        <v>629</v>
      </c>
    </row>
    <row r="501" spans="1:21" hidden="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15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16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17"/>
        <v>2</v>
      </c>
      <c r="U501" s="10" t="s">
        <v>629</v>
      </c>
    </row>
    <row r="502" spans="1:21" hidden="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15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16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17"/>
        <v>3</v>
      </c>
      <c r="U502" s="10" t="s">
        <v>629</v>
      </c>
    </row>
    <row r="503" spans="1:21" hidden="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15"/>
        <v/>
      </c>
      <c r="L503" s="7" t="str">
        <f>IF(VLOOKUP(A503,'[1]LISTA ETIQUETAS'!O:AB,14,0)="","",(VLOOKUP(A503,'[1]LISTA ETIQUETAS'!O:AB,14,0)))</f>
        <v/>
      </c>
      <c r="M503" s="8"/>
      <c r="N503" s="9">
        <f t="shared" si="16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17"/>
        <v>1</v>
      </c>
      <c r="U503" s="10" t="s">
        <v>629</v>
      </c>
    </row>
    <row r="504" spans="1:21" hidden="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15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16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17"/>
        <v>2</v>
      </c>
      <c r="U504" s="10" t="s">
        <v>629</v>
      </c>
    </row>
    <row r="505" spans="1:21" hidden="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15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16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17"/>
        <v>2</v>
      </c>
      <c r="U505" s="10" t="s">
        <v>629</v>
      </c>
    </row>
    <row r="506" spans="1:21" hidden="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15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16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17"/>
        <v>2</v>
      </c>
      <c r="U506" s="10" t="s">
        <v>629</v>
      </c>
    </row>
    <row r="507" spans="1:21" hidden="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15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16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17"/>
        <v>2</v>
      </c>
      <c r="U507" s="10" t="s">
        <v>629</v>
      </c>
    </row>
    <row r="508" spans="1:21" hidden="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15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16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17"/>
        <v>2</v>
      </c>
      <c r="U508" s="10" t="s">
        <v>629</v>
      </c>
    </row>
    <row r="509" spans="1:21" hidden="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15"/>
        <v/>
      </c>
      <c r="L509" s="7" t="str">
        <f>IF(VLOOKUP(A509,'[1]LISTA ETIQUETAS'!O:AB,14,0)="","",(VLOOKUP(A509,'[1]LISTA ETIQUETAS'!O:AB,14,0)))</f>
        <v/>
      </c>
      <c r="M509" s="8"/>
      <c r="N509" s="9">
        <f t="shared" si="16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17"/>
        <v>1</v>
      </c>
      <c r="U509" s="10" t="s">
        <v>629</v>
      </c>
    </row>
    <row r="510" spans="1:21" hidden="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15"/>
        <v/>
      </c>
      <c r="L510" s="7" t="str">
        <f>IF(VLOOKUP(A510,'[1]LISTA ETIQUETAS'!O:AB,14,0)="","",(VLOOKUP(A510,'[1]LISTA ETIQUETAS'!O:AB,14,0)))</f>
        <v/>
      </c>
      <c r="M510" s="8"/>
      <c r="N510" s="9">
        <f t="shared" si="16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17"/>
        <v>1</v>
      </c>
      <c r="U510" s="10" t="s">
        <v>629</v>
      </c>
    </row>
    <row r="511" spans="1:21" hidden="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15"/>
        <v/>
      </c>
      <c r="L511" s="7" t="str">
        <f>IF(VLOOKUP(A511,'[1]LISTA ETIQUETAS'!O:AB,14,0)="","",(VLOOKUP(A511,'[1]LISTA ETIQUETAS'!O:AB,14,0)))</f>
        <v/>
      </c>
      <c r="M511" s="8"/>
      <c r="N511" s="9">
        <f t="shared" si="16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17"/>
        <v>1</v>
      </c>
      <c r="U511" s="10" t="s">
        <v>629</v>
      </c>
    </row>
    <row r="512" spans="1:21" hidden="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15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16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17"/>
        <v>3</v>
      </c>
      <c r="U512" s="10" t="s">
        <v>629</v>
      </c>
    </row>
    <row r="513" spans="1:21" hidden="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15"/>
        <v/>
      </c>
      <c r="L513" s="7" t="str">
        <f>IF(VLOOKUP(A513,'[1]LISTA ETIQUETAS'!O:AB,14,0)="","",(VLOOKUP(A513,'[1]LISTA ETIQUETAS'!O:AB,14,0)))</f>
        <v/>
      </c>
      <c r="M513" s="8"/>
      <c r="N513" s="9">
        <f t="shared" si="16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17"/>
        <v>1</v>
      </c>
      <c r="U513" s="10" t="s">
        <v>629</v>
      </c>
    </row>
    <row r="514" spans="1:21" hidden="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15"/>
        <v/>
      </c>
      <c r="L514" s="7" t="str">
        <f>IF(VLOOKUP(A514,'[1]LISTA ETIQUETAS'!O:AB,14,0)="","",(VLOOKUP(A514,'[1]LISTA ETIQUETAS'!O:AB,14,0)))</f>
        <v/>
      </c>
      <c r="M514" s="8"/>
      <c r="N514" s="9">
        <f t="shared" si="16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17"/>
        <v>1</v>
      </c>
      <c r="U514" s="10" t="s">
        <v>629</v>
      </c>
    </row>
    <row r="515" spans="1:21" hidden="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18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16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17"/>
        <v>1</v>
      </c>
      <c r="U515" s="10" t="s">
        <v>629</v>
      </c>
    </row>
    <row r="516" spans="1:21" hidden="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18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19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0">SUM(O516:S516)</f>
        <v>1</v>
      </c>
      <c r="U516" s="10" t="s">
        <v>629</v>
      </c>
    </row>
    <row r="517" spans="1:21" hidden="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18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19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0"/>
        <v>2</v>
      </c>
      <c r="U517" s="10" t="s">
        <v>629</v>
      </c>
    </row>
    <row r="518" spans="1:21" hidden="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18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19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0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2</v>
      </c>
      <c r="T518" s="9">
        <f t="shared" si="20"/>
        <v>2</v>
      </c>
      <c r="U518" s="10" t="s">
        <v>629</v>
      </c>
    </row>
    <row r="519" spans="1:21" hidden="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18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19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0"/>
        <v>1</v>
      </c>
      <c r="U519" s="10" t="s">
        <v>629</v>
      </c>
    </row>
    <row r="520" spans="1:21" hidden="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18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19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0"/>
        <v>2</v>
      </c>
      <c r="U520" s="10" t="s">
        <v>629</v>
      </c>
    </row>
    <row r="521" spans="1:21" hidden="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18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19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0"/>
        <v>4</v>
      </c>
      <c r="U521" s="10" t="s">
        <v>629</v>
      </c>
    </row>
    <row r="522" spans="1:21" hidden="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18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19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0"/>
        <v>3</v>
      </c>
      <c r="U522" s="10" t="s">
        <v>629</v>
      </c>
    </row>
    <row r="523" spans="1:21" hidden="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18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19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0"/>
        <v>3</v>
      </c>
      <c r="U523" s="10" t="s">
        <v>629</v>
      </c>
    </row>
    <row r="524" spans="1:21" hidden="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18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19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0"/>
        <v>1</v>
      </c>
      <c r="U524" s="10" t="s">
        <v>629</v>
      </c>
    </row>
    <row r="525" spans="1:21" hidden="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18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19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2</v>
      </c>
      <c r="T525" s="9">
        <f t="shared" si="20"/>
        <v>2</v>
      </c>
      <c r="U525" s="10" t="s">
        <v>629</v>
      </c>
    </row>
    <row r="526" spans="1:21" hidden="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18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19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0"/>
        <v>6</v>
      </c>
      <c r="U526" s="10" t="s">
        <v>629</v>
      </c>
    </row>
    <row r="527" spans="1:21" hidden="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18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19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0"/>
        <v>6</v>
      </c>
      <c r="U527" s="10" t="s">
        <v>629</v>
      </c>
    </row>
    <row r="528" spans="1:21" hidden="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18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19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0"/>
        <v>8</v>
      </c>
      <c r="U528" s="10" t="s">
        <v>629</v>
      </c>
    </row>
    <row r="529" spans="1:21" hidden="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18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19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6</v>
      </c>
      <c r="T529" s="9">
        <f t="shared" si="20"/>
        <v>6</v>
      </c>
      <c r="U529" s="10" t="s">
        <v>629</v>
      </c>
    </row>
    <row r="530" spans="1:21" hidden="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18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19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4</v>
      </c>
      <c r="T530" s="9">
        <f t="shared" si="20"/>
        <v>4</v>
      </c>
      <c r="U530" s="10" t="s">
        <v>629</v>
      </c>
    </row>
    <row r="531" spans="1:21" hidden="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18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19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7</v>
      </c>
      <c r="T531" s="9">
        <f t="shared" si="20"/>
        <v>8</v>
      </c>
      <c r="U531" s="10" t="s">
        <v>629</v>
      </c>
    </row>
    <row r="532" spans="1:21" hidden="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18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19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0"/>
        <v>2</v>
      </c>
      <c r="U532" s="10" t="s">
        <v>629</v>
      </c>
    </row>
    <row r="533" spans="1:21" hidden="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18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19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0"/>
        <v>1</v>
      </c>
      <c r="U533" s="10" t="s">
        <v>629</v>
      </c>
    </row>
    <row r="534" spans="1:21" hidden="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18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19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0"/>
        <v>2</v>
      </c>
      <c r="U534" s="10" t="s">
        <v>629</v>
      </c>
    </row>
    <row r="535" spans="1:21" hidden="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18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19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0"/>
        <v>1</v>
      </c>
      <c r="U535" s="10" t="s">
        <v>629</v>
      </c>
    </row>
    <row r="536" spans="1:21" hidden="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18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19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0"/>
        <v>1</v>
      </c>
      <c r="U536" s="10" t="s">
        <v>629</v>
      </c>
    </row>
    <row r="537" spans="1:21" hidden="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18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19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0"/>
        <v>1</v>
      </c>
      <c r="U537" s="10" t="s">
        <v>629</v>
      </c>
    </row>
    <row r="538" spans="1:21" hidden="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18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19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0"/>
        <v>1</v>
      </c>
      <c r="U538" s="10" t="s">
        <v>629</v>
      </c>
    </row>
    <row r="539" spans="1:21" hidden="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18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19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0"/>
        <v>1</v>
      </c>
      <c r="U539" s="10" t="s">
        <v>629</v>
      </c>
    </row>
    <row r="540" spans="1:21" hidden="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18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19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0"/>
        <v>1</v>
      </c>
      <c r="U540" s="10" t="s">
        <v>629</v>
      </c>
    </row>
    <row r="541" spans="1:21" hidden="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18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19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0"/>
        <v>1</v>
      </c>
      <c r="U541" s="10" t="s">
        <v>629</v>
      </c>
    </row>
    <row r="542" spans="1:21" hidden="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18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19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0"/>
        <v>1</v>
      </c>
      <c r="U542" s="10" t="s">
        <v>629</v>
      </c>
    </row>
    <row r="543" spans="1:21" hidden="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18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19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0"/>
        <v>1</v>
      </c>
      <c r="U543" s="10" t="s">
        <v>629</v>
      </c>
    </row>
    <row r="544" spans="1:21" hidden="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18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19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0"/>
        <v>1</v>
      </c>
      <c r="U544" s="10" t="s">
        <v>629</v>
      </c>
    </row>
    <row r="545" spans="1:21" hidden="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18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19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0"/>
        <v>1</v>
      </c>
      <c r="U545" s="10" t="s">
        <v>629</v>
      </c>
    </row>
    <row r="546" spans="1:21" hidden="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18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19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0"/>
        <v>1</v>
      </c>
      <c r="U546" s="10" t="s">
        <v>629</v>
      </c>
    </row>
    <row r="547" spans="1:21" hidden="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18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19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0"/>
        <v>1</v>
      </c>
      <c r="U547" s="10" t="s">
        <v>629</v>
      </c>
    </row>
    <row r="548" spans="1:21" hidden="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18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19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0"/>
        <v>1</v>
      </c>
      <c r="U548" s="10" t="s">
        <v>629</v>
      </c>
    </row>
    <row r="549" spans="1:21" hidden="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18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19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0"/>
        <v>1</v>
      </c>
      <c r="U549" s="10" t="s">
        <v>629</v>
      </c>
    </row>
    <row r="550" spans="1:21" hidden="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18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19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0"/>
        <v>1</v>
      </c>
      <c r="U550" s="10" t="s">
        <v>629</v>
      </c>
    </row>
    <row r="551" spans="1:21" hidden="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18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19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0"/>
        <v>1</v>
      </c>
      <c r="U551" s="10" t="s">
        <v>629</v>
      </c>
    </row>
    <row r="552" spans="1:21" hidden="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18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19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0"/>
        <v>3</v>
      </c>
      <c r="U552" s="10" t="s">
        <v>629</v>
      </c>
    </row>
    <row r="553" spans="1:21" hidden="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18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19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0"/>
        <v>4</v>
      </c>
      <c r="U553" s="10" t="s">
        <v>629</v>
      </c>
    </row>
    <row r="554" spans="1:21" hidden="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18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19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0"/>
        <v>4</v>
      </c>
      <c r="U554" s="10" t="s">
        <v>629</v>
      </c>
    </row>
    <row r="555" spans="1:21" hidden="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18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19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0"/>
        <v>3</v>
      </c>
      <c r="U555" s="10" t="s">
        <v>629</v>
      </c>
    </row>
    <row r="556" spans="1:21" hidden="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18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19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0"/>
        <v>5</v>
      </c>
      <c r="U556" s="10" t="s">
        <v>629</v>
      </c>
    </row>
    <row r="557" spans="1:21" hidden="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18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19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0"/>
        <v>6</v>
      </c>
      <c r="U557" s="10" t="s">
        <v>629</v>
      </c>
    </row>
    <row r="558" spans="1:21" hidden="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18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19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0"/>
        <v>3</v>
      </c>
      <c r="U558" s="10" t="s">
        <v>629</v>
      </c>
    </row>
    <row r="559" spans="1:21" hidden="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18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19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0"/>
        <v>2</v>
      </c>
      <c r="U559" s="10" t="s">
        <v>629</v>
      </c>
    </row>
    <row r="560" spans="1:21" hidden="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18"/>
        <v/>
      </c>
      <c r="L560" s="7" t="str">
        <f>IF(VLOOKUP(A560,'[1]LISTA ETIQUETAS'!O:AB,14,0)="","",(VLOOKUP(A560,'[1]LISTA ETIQUETAS'!O:AB,14,0)))</f>
        <v/>
      </c>
      <c r="M560" s="8"/>
      <c r="N560" s="9">
        <f t="shared" si="19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0"/>
        <v>1</v>
      </c>
      <c r="U560" s="10" t="s">
        <v>629</v>
      </c>
    </row>
    <row r="561" spans="1:21" hidden="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18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19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0"/>
        <v>3</v>
      </c>
      <c r="U561" s="10" t="s">
        <v>629</v>
      </c>
    </row>
    <row r="562" spans="1:21" hidden="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18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19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0"/>
        <v>12</v>
      </c>
      <c r="U562" s="10" t="s">
        <v>629</v>
      </c>
    </row>
    <row r="563" spans="1:21" hidden="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18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19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0"/>
        <v>1</v>
      </c>
      <c r="U563" s="10" t="s">
        <v>629</v>
      </c>
    </row>
    <row r="564" spans="1:21" hidden="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18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19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0"/>
        <v>1</v>
      </c>
      <c r="U564" s="10" t="s">
        <v>629</v>
      </c>
    </row>
    <row r="565" spans="1:21" hidden="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18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19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0"/>
        <v>1</v>
      </c>
      <c r="U565" s="10" t="s">
        <v>629</v>
      </c>
    </row>
    <row r="566" spans="1:21" hidden="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18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19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0"/>
        <v>2</v>
      </c>
      <c r="U566" s="10" t="s">
        <v>629</v>
      </c>
    </row>
    <row r="567" spans="1:21" hidden="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18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19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0"/>
        <v>1</v>
      </c>
      <c r="U567" s="10" t="s">
        <v>629</v>
      </c>
    </row>
    <row r="568" spans="1:21" hidden="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18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19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0"/>
        <v>1</v>
      </c>
      <c r="U568" s="10" t="s">
        <v>629</v>
      </c>
    </row>
    <row r="569" spans="1:21" hidden="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18"/>
        <v/>
      </c>
      <c r="L569" s="7" t="str">
        <f>IF(VLOOKUP(A569,'[1]LISTA ETIQUETAS'!O:AB,14,0)="","",(VLOOKUP(A569,'[1]LISTA ETIQUETAS'!O:AB,14,0)))</f>
        <v/>
      </c>
      <c r="M569" s="8"/>
      <c r="N569" s="9">
        <f t="shared" si="19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0"/>
        <v>1</v>
      </c>
      <c r="U569" s="10" t="s">
        <v>629</v>
      </c>
    </row>
    <row r="570" spans="1:21" hidden="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18"/>
        <v/>
      </c>
      <c r="L570" s="7" t="str">
        <f>IF(VLOOKUP(A570,'[1]LISTA ETIQUETAS'!O:AB,14,0)="","",(VLOOKUP(A570,'[1]LISTA ETIQUETAS'!O:AB,14,0)))</f>
        <v/>
      </c>
      <c r="M570" s="8"/>
      <c r="N570" s="9">
        <f t="shared" si="19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0"/>
        <v>1</v>
      </c>
      <c r="U570" s="10" t="s">
        <v>629</v>
      </c>
    </row>
    <row r="571" spans="1:21" hidden="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18"/>
        <v/>
      </c>
      <c r="L571" s="7" t="str">
        <f>IF(VLOOKUP(A571,'[1]LISTA ETIQUETAS'!O:AB,14,0)="","",(VLOOKUP(A571,'[1]LISTA ETIQUETAS'!O:AB,14,0)))</f>
        <v/>
      </c>
      <c r="M571" s="8"/>
      <c r="N571" s="9">
        <f t="shared" si="19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0"/>
        <v>1</v>
      </c>
      <c r="U571" s="10" t="s">
        <v>629</v>
      </c>
    </row>
    <row r="572" spans="1:21" hidden="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18"/>
        <v/>
      </c>
      <c r="L572" s="7" t="str">
        <f>IF(VLOOKUP(A572,'[1]LISTA ETIQUETAS'!O:AB,14,0)="","",(VLOOKUP(A572,'[1]LISTA ETIQUETAS'!O:AB,14,0)))</f>
        <v/>
      </c>
      <c r="M572" s="8"/>
      <c r="N572" s="9">
        <f t="shared" si="19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0"/>
        <v>3</v>
      </c>
      <c r="U572" s="10" t="s">
        <v>629</v>
      </c>
    </row>
    <row r="573" spans="1:21" hidden="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18"/>
        <v/>
      </c>
      <c r="L573" s="7" t="str">
        <f>IF(VLOOKUP(A573,'[1]LISTA ETIQUETAS'!O:AB,14,0)="","",(VLOOKUP(A573,'[1]LISTA ETIQUETAS'!O:AB,14,0)))</f>
        <v/>
      </c>
      <c r="M573" s="8"/>
      <c r="N573" s="9">
        <f t="shared" si="19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0"/>
        <v>10</v>
      </c>
      <c r="U573" s="10" t="s">
        <v>629</v>
      </c>
    </row>
    <row r="574" spans="1:21" hidden="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18"/>
        <v/>
      </c>
      <c r="L574" s="7" t="str">
        <f>IF(VLOOKUP(A574,'[1]LISTA ETIQUETAS'!O:AB,14,0)="","",(VLOOKUP(A574,'[1]LISTA ETIQUETAS'!O:AB,14,0)))</f>
        <v/>
      </c>
      <c r="M574" s="8"/>
      <c r="N574" s="9">
        <f t="shared" si="19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0"/>
        <v>6</v>
      </c>
      <c r="U574" s="10" t="s">
        <v>629</v>
      </c>
    </row>
    <row r="575" spans="1:21" hidden="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18"/>
        <v/>
      </c>
      <c r="L575" s="7" t="str">
        <f>IF(VLOOKUP(A575,'[1]LISTA ETIQUETAS'!O:AB,14,0)="","",(VLOOKUP(A575,'[1]LISTA ETIQUETAS'!O:AB,14,0)))</f>
        <v/>
      </c>
      <c r="M575" s="8"/>
      <c r="N575" s="9">
        <f t="shared" si="19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0"/>
        <v>8</v>
      </c>
      <c r="U575" s="10" t="s">
        <v>629</v>
      </c>
    </row>
    <row r="576" spans="1:21" hidden="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18"/>
        <v/>
      </c>
      <c r="L576" s="7" t="str">
        <f>IF(VLOOKUP(A576,'[1]LISTA ETIQUETAS'!O:AB,14,0)="","",(VLOOKUP(A576,'[1]LISTA ETIQUETAS'!O:AB,14,0)))</f>
        <v/>
      </c>
      <c r="M576" s="8"/>
      <c r="N576" s="9">
        <f t="shared" si="19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0"/>
        <v>5</v>
      </c>
      <c r="U576" s="10" t="s">
        <v>629</v>
      </c>
    </row>
    <row r="577" spans="1:21" hidden="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18"/>
        <v/>
      </c>
      <c r="L577" s="7" t="str">
        <f>IF(VLOOKUP(A577,'[1]LISTA ETIQUETAS'!O:AB,14,0)="","",(VLOOKUP(A577,'[1]LISTA ETIQUETAS'!O:AB,14,0)))</f>
        <v/>
      </c>
      <c r="M577" s="8"/>
      <c r="N577" s="9">
        <f t="shared" si="19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0"/>
        <v>2</v>
      </c>
      <c r="U577" s="10" t="s">
        <v>629</v>
      </c>
    </row>
    <row r="578" spans="1:21" hidden="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18"/>
        <v/>
      </c>
      <c r="L578" s="7" t="str">
        <f>IF(VLOOKUP(A578,'[1]LISTA ETIQUETAS'!O:AB,14,0)="","",(VLOOKUP(A578,'[1]LISTA ETIQUETAS'!O:AB,14,0)))</f>
        <v/>
      </c>
      <c r="M578" s="8"/>
      <c r="N578" s="9">
        <f t="shared" si="19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0"/>
        <v>23</v>
      </c>
      <c r="U578" s="10" t="s">
        <v>629</v>
      </c>
    </row>
    <row r="579" spans="1:21" hidden="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1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19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0"/>
        <v>4</v>
      </c>
      <c r="U579" s="10" t="s">
        <v>629</v>
      </c>
    </row>
    <row r="580" spans="1:21" hidden="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1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2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3">SUM(O580:S580)</f>
        <v>4</v>
      </c>
      <c r="U580" s="10" t="s">
        <v>629</v>
      </c>
    </row>
    <row r="581" spans="1:21" hidden="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1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2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3"/>
        <v>2</v>
      </c>
      <c r="U581" s="10" t="s">
        <v>629</v>
      </c>
    </row>
    <row r="582" spans="1:21" hidden="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1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2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3"/>
        <v>3</v>
      </c>
      <c r="U582" s="10" t="s">
        <v>629</v>
      </c>
    </row>
    <row r="583" spans="1:21" hidden="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1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2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3"/>
        <v>1</v>
      </c>
      <c r="U583" s="10" t="s">
        <v>629</v>
      </c>
    </row>
    <row r="584" spans="1:21" hidden="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1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2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3"/>
        <v>1</v>
      </c>
      <c r="U584" s="10" t="s">
        <v>629</v>
      </c>
    </row>
    <row r="585" spans="1:21" hidden="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1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2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3"/>
        <v>1</v>
      </c>
      <c r="U585" s="10" t="s">
        <v>629</v>
      </c>
    </row>
    <row r="586" spans="1:21" hidden="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1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2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3"/>
        <v>1</v>
      </c>
      <c r="U586" s="10" t="s">
        <v>629</v>
      </c>
    </row>
    <row r="587" spans="1:21" hidden="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1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2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3"/>
        <v>4</v>
      </c>
      <c r="U587" s="10" t="s">
        <v>629</v>
      </c>
    </row>
    <row r="588" spans="1:21" hidden="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1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2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3"/>
        <v>4</v>
      </c>
      <c r="U588" s="10" t="s">
        <v>629</v>
      </c>
    </row>
    <row r="589" spans="1:21" hidden="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1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2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3"/>
        <v>4</v>
      </c>
      <c r="U589" s="10" t="s">
        <v>629</v>
      </c>
    </row>
    <row r="590" spans="1:21" hidden="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1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2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3"/>
        <v>1</v>
      </c>
      <c r="U590" s="10" t="s">
        <v>629</v>
      </c>
    </row>
    <row r="591" spans="1:21" hidden="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1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2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3"/>
        <v>1</v>
      </c>
      <c r="U591" s="10" t="s">
        <v>629</v>
      </c>
    </row>
    <row r="592" spans="1:21" hidden="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1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2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3"/>
        <v>1</v>
      </c>
      <c r="U592" s="10" t="s">
        <v>629</v>
      </c>
    </row>
    <row r="593" spans="1:21" hidden="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1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2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3"/>
        <v>4</v>
      </c>
      <c r="U593" s="10" t="s">
        <v>629</v>
      </c>
    </row>
    <row r="594" spans="1:21" hidden="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1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2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3"/>
        <v>4</v>
      </c>
      <c r="U594" s="10" t="s">
        <v>629</v>
      </c>
    </row>
    <row r="595" spans="1:21" hidden="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1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2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3"/>
        <v>3</v>
      </c>
      <c r="U595" s="10" t="s">
        <v>629</v>
      </c>
    </row>
    <row r="596" spans="1:21" hidden="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1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2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3"/>
        <v>2</v>
      </c>
      <c r="U596" s="10" t="s">
        <v>629</v>
      </c>
    </row>
    <row r="597" spans="1:21" hidden="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1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2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3"/>
        <v>1</v>
      </c>
      <c r="U597" s="10" t="s">
        <v>629</v>
      </c>
    </row>
    <row r="598" spans="1:21" hidden="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1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2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3"/>
        <v>1</v>
      </c>
      <c r="U598" s="10" t="s">
        <v>629</v>
      </c>
    </row>
    <row r="599" spans="1:21" hidden="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1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2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3"/>
        <v>1</v>
      </c>
      <c r="U599" s="10" t="s">
        <v>629</v>
      </c>
    </row>
    <row r="600" spans="1:21" hidden="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1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2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3"/>
        <v>1</v>
      </c>
      <c r="U600" s="10" t="s">
        <v>629</v>
      </c>
    </row>
    <row r="601" spans="1:21" hidden="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1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2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3"/>
        <v>1</v>
      </c>
      <c r="U601" s="10" t="s">
        <v>629</v>
      </c>
    </row>
    <row r="602" spans="1:21" hidden="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1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2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3"/>
        <v>1</v>
      </c>
      <c r="U602" s="10" t="s">
        <v>629</v>
      </c>
    </row>
    <row r="603" spans="1:21" hidden="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1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2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3"/>
        <v>1</v>
      </c>
      <c r="U603" s="10" t="s">
        <v>629</v>
      </c>
    </row>
    <row r="604" spans="1:21" hidden="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1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2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3"/>
        <v>1</v>
      </c>
      <c r="U604" s="10" t="s">
        <v>629</v>
      </c>
    </row>
    <row r="605" spans="1:21" hidden="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1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2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3"/>
        <v>1</v>
      </c>
      <c r="U605" s="10" t="s">
        <v>629</v>
      </c>
    </row>
    <row r="606" spans="1:21" hidden="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1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2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3"/>
        <v>1</v>
      </c>
      <c r="U606" s="10" t="s">
        <v>629</v>
      </c>
    </row>
    <row r="607" spans="1:21" hidden="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1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2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3"/>
        <v>1</v>
      </c>
      <c r="U607" s="10" t="s">
        <v>629</v>
      </c>
    </row>
    <row r="608" spans="1:21" hidden="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1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2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3"/>
        <v>2</v>
      </c>
      <c r="U608" s="10" t="s">
        <v>629</v>
      </c>
    </row>
    <row r="609" spans="1:21" hidden="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1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2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3"/>
        <v>1</v>
      </c>
      <c r="U609" s="10" t="s">
        <v>629</v>
      </c>
    </row>
    <row r="610" spans="1:21" hidden="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1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2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3"/>
        <v>1</v>
      </c>
      <c r="U610" s="10" t="s">
        <v>629</v>
      </c>
    </row>
    <row r="611" spans="1:21" hidden="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1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2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3"/>
        <v>1</v>
      </c>
      <c r="U611" s="10" t="s">
        <v>629</v>
      </c>
    </row>
    <row r="612" spans="1:21" hidden="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1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2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3"/>
        <v>1</v>
      </c>
      <c r="U612" s="10" t="s">
        <v>629</v>
      </c>
    </row>
    <row r="613" spans="1:21" hidden="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1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2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3"/>
        <v>1</v>
      </c>
      <c r="U613" s="10" t="s">
        <v>629</v>
      </c>
    </row>
    <row r="614" spans="1:21" hidden="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1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2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3"/>
        <v>1</v>
      </c>
      <c r="U614" s="10" t="s">
        <v>629</v>
      </c>
    </row>
    <row r="615" spans="1:21" hidden="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1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2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3"/>
        <v>1</v>
      </c>
      <c r="U615" s="10" t="s">
        <v>629</v>
      </c>
    </row>
    <row r="616" spans="1:21" hidden="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1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2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3"/>
        <v>1</v>
      </c>
      <c r="U616" s="10" t="s">
        <v>629</v>
      </c>
    </row>
    <row r="617" spans="1:21" hidden="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1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2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3"/>
        <v>1</v>
      </c>
      <c r="U617" s="10" t="s">
        <v>629</v>
      </c>
    </row>
    <row r="618" spans="1:21" hidden="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1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2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3"/>
        <v>1</v>
      </c>
      <c r="U618" s="10" t="s">
        <v>629</v>
      </c>
    </row>
    <row r="619" spans="1:21" hidden="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1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2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3"/>
        <v>1</v>
      </c>
      <c r="U619" s="10" t="s">
        <v>629</v>
      </c>
    </row>
    <row r="620" spans="1:21" hidden="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1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2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3"/>
        <v>1</v>
      </c>
      <c r="U620" s="10" t="s">
        <v>629</v>
      </c>
    </row>
    <row r="621" spans="1:21" hidden="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1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2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3"/>
        <v>1</v>
      </c>
      <c r="U621" s="10" t="s">
        <v>629</v>
      </c>
    </row>
    <row r="622" spans="1:21" hidden="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1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2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3"/>
        <v>1</v>
      </c>
      <c r="U622" s="10" t="s">
        <v>629</v>
      </c>
    </row>
    <row r="623" spans="1:21" hidden="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1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2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3"/>
        <v>1</v>
      </c>
      <c r="U623" s="10" t="s">
        <v>629</v>
      </c>
    </row>
    <row r="624" spans="1:21" hidden="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1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2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3"/>
        <v>1</v>
      </c>
      <c r="U624" s="10" t="s">
        <v>629</v>
      </c>
    </row>
    <row r="625" spans="1:21" hidden="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1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2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3"/>
        <v>1</v>
      </c>
      <c r="U625" s="10" t="s">
        <v>629</v>
      </c>
    </row>
    <row r="626" spans="1:21" hidden="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1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2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3"/>
        <v>1</v>
      </c>
      <c r="U626" s="10" t="s">
        <v>629</v>
      </c>
    </row>
    <row r="627" spans="1:21" hidden="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1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2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3"/>
        <v>1</v>
      </c>
      <c r="U627" s="10" t="s">
        <v>629</v>
      </c>
    </row>
    <row r="628" spans="1:21" hidden="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1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2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3"/>
        <v>1</v>
      </c>
      <c r="U628" s="10" t="s">
        <v>629</v>
      </c>
    </row>
    <row r="629" spans="1:21" hidden="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1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2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3"/>
        <v>1</v>
      </c>
      <c r="U629" s="10" t="s">
        <v>629</v>
      </c>
    </row>
    <row r="630" spans="1:21" hidden="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1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2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3"/>
        <v>1</v>
      </c>
      <c r="U630" s="10" t="s">
        <v>629</v>
      </c>
    </row>
    <row r="631" spans="1:21" hidden="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1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2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3"/>
        <v>1</v>
      </c>
      <c r="U631" s="10" t="s">
        <v>629</v>
      </c>
    </row>
    <row r="632" spans="1:21" hidden="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1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2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3"/>
        <v>1</v>
      </c>
      <c r="U632" s="10" t="s">
        <v>629</v>
      </c>
    </row>
    <row r="633" spans="1:21" hidden="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1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2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3"/>
        <v>1</v>
      </c>
      <c r="U633" s="10" t="s">
        <v>629</v>
      </c>
    </row>
    <row r="634" spans="1:21" hidden="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1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2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3"/>
        <v>1</v>
      </c>
      <c r="U634" s="10" t="s">
        <v>629</v>
      </c>
    </row>
    <row r="635" spans="1:21" hidden="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1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2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3"/>
        <v>1</v>
      </c>
      <c r="U635" s="10" t="s">
        <v>629</v>
      </c>
    </row>
    <row r="636" spans="1:21" hidden="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1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2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3"/>
        <v>1</v>
      </c>
      <c r="U636" s="10" t="s">
        <v>629</v>
      </c>
    </row>
    <row r="637" spans="1:21" hidden="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1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2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3"/>
        <v>1</v>
      </c>
      <c r="U637" s="10" t="s">
        <v>629</v>
      </c>
    </row>
    <row r="638" spans="1:21" hidden="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1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2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3"/>
        <v>1</v>
      </c>
      <c r="U638" s="10" t="s">
        <v>629</v>
      </c>
    </row>
    <row r="639" spans="1:21" hidden="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1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2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3"/>
        <v>1</v>
      </c>
      <c r="U639" s="10" t="s">
        <v>629</v>
      </c>
    </row>
    <row r="640" spans="1:21" hidden="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1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2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3"/>
        <v>1</v>
      </c>
      <c r="U640" s="10" t="s">
        <v>629</v>
      </c>
    </row>
    <row r="641" spans="1:21" hidden="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1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2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3"/>
        <v>1</v>
      </c>
      <c r="U641" s="10" t="s">
        <v>629</v>
      </c>
    </row>
    <row r="642" spans="1:21" hidden="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1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2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3"/>
        <v>4</v>
      </c>
      <c r="U642" s="10" t="s">
        <v>629</v>
      </c>
    </row>
    <row r="643" spans="1:21" hidden="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24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2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3"/>
        <v>1</v>
      </c>
      <c r="U643" s="10" t="s">
        <v>629</v>
      </c>
    </row>
    <row r="644" spans="1:21" hidden="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24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25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26">SUM(O644:S644)</f>
        <v>1</v>
      </c>
      <c r="U644" s="10" t="s">
        <v>629</v>
      </c>
    </row>
    <row r="645" spans="1:21" hidden="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24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25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26"/>
        <v>1</v>
      </c>
      <c r="U645" s="10" t="s">
        <v>629</v>
      </c>
    </row>
    <row r="646" spans="1:21" hidden="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24"/>
        <v/>
      </c>
      <c r="L646" s="7" t="str">
        <f>IF(VLOOKUP(A646,'[1]LISTA ETIQUETAS'!O:AB,14,0)="","",(VLOOKUP(A646,'[1]LISTA ETIQUETAS'!O:AB,14,0)))</f>
        <v/>
      </c>
      <c r="M646" s="8"/>
      <c r="N646" s="9">
        <f t="shared" si="25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26"/>
        <v>1</v>
      </c>
      <c r="U646" s="10" t="s">
        <v>629</v>
      </c>
    </row>
    <row r="647" spans="1:21" hidden="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24"/>
        <v/>
      </c>
      <c r="L647" s="7" t="str">
        <f>IF(VLOOKUP(A647,'[1]LISTA ETIQUETAS'!O:AB,14,0)="","",(VLOOKUP(A647,'[1]LISTA ETIQUETAS'!O:AB,14,0)))</f>
        <v/>
      </c>
      <c r="M647" s="8"/>
      <c r="N647" s="9">
        <f t="shared" si="25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26"/>
        <v>1</v>
      </c>
      <c r="U647" s="10" t="s">
        <v>629</v>
      </c>
    </row>
    <row r="648" spans="1:21" hidden="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24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25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26"/>
        <v>1</v>
      </c>
      <c r="U648" s="10" t="s">
        <v>629</v>
      </c>
    </row>
    <row r="649" spans="1:21" hidden="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24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25"/>
        <v>179052</v>
      </c>
      <c r="O649" s="2">
        <f>_xlfn.XLOOKUP($A649,'[1]LISTA ETIQUETAS'!$O:$O,'[1]LISTA ETIQUETAS'!C:C,"",0)</f>
        <v>1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0</v>
      </c>
      <c r="T649" s="9">
        <f t="shared" si="26"/>
        <v>1</v>
      </c>
      <c r="U649" s="10" t="s">
        <v>629</v>
      </c>
    </row>
    <row r="650" spans="1:21" hidden="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24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25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26"/>
        <v>1</v>
      </c>
      <c r="U650" s="10" t="s">
        <v>629</v>
      </c>
    </row>
    <row r="651" spans="1:21" hidden="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24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25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26"/>
        <v>1</v>
      </c>
      <c r="U651" s="10" t="s">
        <v>629</v>
      </c>
    </row>
    <row r="652" spans="1:21" hidden="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24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25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26"/>
        <v>1</v>
      </c>
      <c r="U652" s="10" t="s">
        <v>629</v>
      </c>
    </row>
    <row r="653" spans="1:21" hidden="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24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25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26"/>
        <v>1</v>
      </c>
      <c r="U653" s="10" t="s">
        <v>629</v>
      </c>
    </row>
    <row r="654" spans="1:21" hidden="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24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25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26"/>
        <v>1</v>
      </c>
      <c r="U654" s="10" t="s">
        <v>629</v>
      </c>
    </row>
    <row r="655" spans="1:21" hidden="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24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25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26"/>
        <v>1</v>
      </c>
      <c r="U655" s="10" t="s">
        <v>629</v>
      </c>
    </row>
    <row r="656" spans="1:21" hidden="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24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25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26"/>
        <v>2</v>
      </c>
      <c r="U656" s="10" t="s">
        <v>629</v>
      </c>
    </row>
    <row r="657" spans="1:21" hidden="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24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25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26"/>
        <v>1</v>
      </c>
      <c r="U657" s="10" t="s">
        <v>629</v>
      </c>
    </row>
    <row r="658" spans="1:21" hidden="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24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25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26"/>
        <v>1</v>
      </c>
      <c r="U658" s="10" t="s">
        <v>629</v>
      </c>
    </row>
    <row r="659" spans="1:21" hidden="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24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25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26"/>
        <v>1</v>
      </c>
      <c r="U659" s="10" t="s">
        <v>629</v>
      </c>
    </row>
    <row r="660" spans="1:21" hidden="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24"/>
        <v/>
      </c>
      <c r="L660" s="7" t="str">
        <f>IF(VLOOKUP(A660,'[1]LISTA ETIQUETAS'!O:AB,14,0)="","",(VLOOKUP(A660,'[1]LISTA ETIQUETAS'!O:AB,14,0)))</f>
        <v/>
      </c>
      <c r="M660" s="8"/>
      <c r="N660" s="9">
        <f t="shared" si="25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26"/>
        <v>1</v>
      </c>
      <c r="U660" s="10" t="s">
        <v>629</v>
      </c>
    </row>
    <row r="661" spans="1:21" hidden="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24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25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26"/>
        <v>1</v>
      </c>
      <c r="U661" s="10" t="s">
        <v>629</v>
      </c>
    </row>
    <row r="662" spans="1:21" hidden="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24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25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26"/>
        <v>1</v>
      </c>
      <c r="U662" s="10" t="s">
        <v>629</v>
      </c>
    </row>
    <row r="663" spans="1:21" hidden="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24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25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2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0</v>
      </c>
      <c r="T663" s="9">
        <f t="shared" si="26"/>
        <v>2</v>
      </c>
      <c r="U663" s="10" t="s">
        <v>629</v>
      </c>
    </row>
    <row r="664" spans="1:21" hidden="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24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25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2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0</v>
      </c>
      <c r="T664" s="9">
        <f t="shared" si="26"/>
        <v>2</v>
      </c>
      <c r="U664" s="10" t="s">
        <v>629</v>
      </c>
    </row>
    <row r="665" spans="1:21" hidden="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24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25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26"/>
        <v>1</v>
      </c>
      <c r="U665" s="10" t="s">
        <v>629</v>
      </c>
    </row>
    <row r="666" spans="1:21" hidden="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24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25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26"/>
        <v>1</v>
      </c>
      <c r="U666" s="10" t="s">
        <v>629</v>
      </c>
    </row>
    <row r="667" spans="1:21" hidden="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24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25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26"/>
        <v>1</v>
      </c>
      <c r="U667" s="10" t="s">
        <v>629</v>
      </c>
    </row>
    <row r="668" spans="1:21" hidden="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24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25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26"/>
        <v>1</v>
      </c>
      <c r="U668" s="10" t="s">
        <v>629</v>
      </c>
    </row>
    <row r="669" spans="1:21" hidden="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24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25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26"/>
        <v>2</v>
      </c>
      <c r="U669" s="10" t="s">
        <v>629</v>
      </c>
    </row>
    <row r="670" spans="1:21" hidden="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24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25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26"/>
        <v>1</v>
      </c>
      <c r="U670" s="10" t="s">
        <v>629</v>
      </c>
    </row>
    <row r="671" spans="1:21" hidden="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24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25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26"/>
        <v>1</v>
      </c>
      <c r="U671" s="10" t="s">
        <v>629</v>
      </c>
    </row>
    <row r="672" spans="1:21" hidden="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24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25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26"/>
        <v>2</v>
      </c>
      <c r="U672" s="10" t="s">
        <v>629</v>
      </c>
    </row>
    <row r="673" spans="1:21" hidden="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24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25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26"/>
        <v>1</v>
      </c>
      <c r="U673" s="10" t="s">
        <v>629</v>
      </c>
    </row>
    <row r="674" spans="1:21" hidden="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24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25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26"/>
        <v>2</v>
      </c>
      <c r="U674" s="10" t="s">
        <v>629</v>
      </c>
    </row>
    <row r="675" spans="1:21" hidden="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24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25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26"/>
        <v>1</v>
      </c>
      <c r="U675" s="10" t="s">
        <v>629</v>
      </c>
    </row>
    <row r="676" spans="1:21" hidden="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24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25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26"/>
        <v>1</v>
      </c>
      <c r="U676" s="10" t="s">
        <v>629</v>
      </c>
    </row>
    <row r="677" spans="1:21" hidden="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24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25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26"/>
        <v>1</v>
      </c>
      <c r="U677" s="10" t="s">
        <v>629</v>
      </c>
    </row>
    <row r="678" spans="1:21" hidden="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24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25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26"/>
        <v>1</v>
      </c>
      <c r="U678" s="10" t="s">
        <v>629</v>
      </c>
    </row>
    <row r="679" spans="1:21" hidden="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24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25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26"/>
        <v>1</v>
      </c>
      <c r="U679" s="10" t="s">
        <v>629</v>
      </c>
    </row>
    <row r="680" spans="1:21" hidden="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24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25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26"/>
        <v>1</v>
      </c>
      <c r="U680" s="10" t="s">
        <v>629</v>
      </c>
    </row>
    <row r="681" spans="1:21" hidden="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24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25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26"/>
        <v>1</v>
      </c>
      <c r="U681" s="10" t="s">
        <v>629</v>
      </c>
    </row>
    <row r="682" spans="1:21" hidden="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24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25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26"/>
        <v>1</v>
      </c>
      <c r="U682" s="10" t="s">
        <v>629</v>
      </c>
    </row>
    <row r="683" spans="1:21" hidden="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24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25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26"/>
        <v>1</v>
      </c>
      <c r="U683" s="10" t="s">
        <v>629</v>
      </c>
    </row>
    <row r="684" spans="1:21" hidden="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24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25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26"/>
        <v>1</v>
      </c>
      <c r="U684" s="10" t="s">
        <v>629</v>
      </c>
    </row>
    <row r="685" spans="1:21" hidden="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24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25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26"/>
        <v>1</v>
      </c>
      <c r="U685" s="10" t="s">
        <v>629</v>
      </c>
    </row>
    <row r="686" spans="1:21" hidden="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24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25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26"/>
        <v>1</v>
      </c>
      <c r="U686" s="10" t="s">
        <v>629</v>
      </c>
    </row>
    <row r="687" spans="1:21" hidden="1" x14ac:dyDescent="0.25">
      <c r="A687" s="5">
        <v>387722</v>
      </c>
      <c r="B687" t="str">
        <f>IFERROR((VLOOKUP(A687,'[1]LISTA ETIQUETAS'!O:X,3,0)),"PRODUTO SEM ESTOQUE")</f>
        <v>PRODUTO SEM ESTOQUE</v>
      </c>
      <c r="C687" s="10" t="s">
        <v>51</v>
      </c>
      <c r="D687" s="10" t="s">
        <v>430</v>
      </c>
      <c r="E687" s="11" t="e">
        <f>IF(VLOOKUP(A687,'[1]LISTA ETIQUETAS'!O:W,4,0)="",(VLOOKUP(A687,'[1]LISTA ETIQUETAS'!O:W,6,0)),(VLOOKUP(A687,'[1]LISTA ETIQUETAS'!O:W,4,0)))</f>
        <v>#N/A</v>
      </c>
      <c r="F687" s="11" t="e">
        <f>IF(VLOOKUP(A687,'[1]LISTA ETIQUETAS'!O:W,5,0)="",(VLOOKUP(A687,'[1]LISTA ETIQUETAS'!O:W,7,0)),(VLOOKUP(A687,'[1]LISTA ETIQUETAS'!O:W,5,0)))</f>
        <v>#N/A</v>
      </c>
      <c r="G687" s="11" t="str">
        <f>IFERROR((VLOOKUP(A687,'[1]LISTA ETIQUETAS'!O:X,8,0)),"")</f>
        <v/>
      </c>
      <c r="H687" s="11" t="str">
        <f>IFERROR((VLOOKUP(A687,'[1]LISTA ETIQUETAS'!O:X,9,0)),"")</f>
        <v/>
      </c>
      <c r="I687" s="12">
        <f>IFERROR((VLOOKUP(A687,'[1]LISTA ETIQUETAS'!O:Y,11,0)),"")</f>
        <v>24289.4</v>
      </c>
      <c r="J687" s="6">
        <v>0</v>
      </c>
      <c r="K687" s="12">
        <f t="shared" si="24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25"/>
        <v>387722</v>
      </c>
      <c r="O687" s="2" t="e">
        <f>_xlfn.XLOOKUP($A687,'[1]LISTA ETIQUETAS'!$O:$O,'[1]LISTA ETIQUETAS'!C:C,"",0)</f>
        <v>#N/A</v>
      </c>
      <c r="P687" s="2" t="e">
        <f>_xlfn.XLOOKUP($A687,'[1]LISTA ETIQUETAS'!$O:$O,'[1]LISTA ETIQUETAS'!D:D,"",0)</f>
        <v>#N/A</v>
      </c>
      <c r="Q687" s="2" t="e">
        <f>_xlfn.XLOOKUP($A687,'[1]LISTA ETIQUETAS'!$O:$O,'[1]LISTA ETIQUETAS'!E:E,"",0)</f>
        <v>#N/A</v>
      </c>
      <c r="R687" s="2" t="e">
        <f>_xlfn.XLOOKUP($A687,'[1]LISTA ETIQUETAS'!$O:$O,'[1]LISTA ETIQUETAS'!F:F,"",0)</f>
        <v>#N/A</v>
      </c>
      <c r="S687" s="2" t="e">
        <f>_xlfn.XLOOKUP($A687,'[1]LISTA ETIQUETAS'!$O:$O,'[1]LISTA ETIQUETAS'!H:H,"",0)</f>
        <v>#N/A</v>
      </c>
      <c r="T687" s="9" t="e">
        <f t="shared" si="26"/>
        <v>#N/A</v>
      </c>
      <c r="U687" s="10" t="s">
        <v>629</v>
      </c>
    </row>
    <row r="688" spans="1:21" hidden="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24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25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26"/>
        <v>1</v>
      </c>
      <c r="U688" s="10" t="s">
        <v>629</v>
      </c>
    </row>
    <row r="689" spans="1:21" hidden="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24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25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26"/>
        <v>2</v>
      </c>
      <c r="U689" s="10" t="s">
        <v>629</v>
      </c>
    </row>
    <row r="690" spans="1:21" hidden="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24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25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26"/>
        <v>1</v>
      </c>
      <c r="U690" s="10" t="s">
        <v>629</v>
      </c>
    </row>
    <row r="691" spans="1:21" hidden="1" x14ac:dyDescent="0.25">
      <c r="A691" s="5">
        <v>370965</v>
      </c>
      <c r="B691" t="str">
        <f>IFERROR((VLOOKUP(A691,'[1]LISTA ETIQUETAS'!O:X,3,0)),"PRODUTO SEM ESTOQUE")</f>
        <v>PRODUTO SEM ESTOQUE</v>
      </c>
      <c r="C691" s="10" t="s">
        <v>51</v>
      </c>
      <c r="D691" s="10" t="s">
        <v>434</v>
      </c>
      <c r="E691" s="11" t="e">
        <f>IF(VLOOKUP(A691,'[1]LISTA ETIQUETAS'!O:W,4,0)="",(VLOOKUP(A691,'[1]LISTA ETIQUETAS'!O:W,6,0)),(VLOOKUP(A691,'[1]LISTA ETIQUETAS'!O:W,4,0)))</f>
        <v>#N/A</v>
      </c>
      <c r="F691" s="11" t="e">
        <f>IF(VLOOKUP(A691,'[1]LISTA ETIQUETAS'!O:W,5,0)="",(VLOOKUP(A691,'[1]LISTA ETIQUETAS'!O:W,7,0)),(VLOOKUP(A691,'[1]LISTA ETIQUETAS'!O:W,5,0)))</f>
        <v>#N/A</v>
      </c>
      <c r="G691" s="11" t="str">
        <f>IFERROR((VLOOKUP(A691,'[1]LISTA ETIQUETAS'!O:X,8,0)),"")</f>
        <v/>
      </c>
      <c r="H691" s="11" t="str">
        <f>IFERROR((VLOOKUP(A691,'[1]LISTA ETIQUETAS'!O:X,9,0)),"")</f>
        <v/>
      </c>
      <c r="I691" s="12">
        <f>IFERROR((VLOOKUP(A691,'[1]LISTA ETIQUETAS'!O:Y,11,0)),"")</f>
        <v>26065</v>
      </c>
      <c r="J691" s="6">
        <v>0</v>
      </c>
      <c r="K691" s="12">
        <f t="shared" si="24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25"/>
        <v>370965</v>
      </c>
      <c r="O691" s="2" t="e">
        <f>_xlfn.XLOOKUP($A691,'[1]LISTA ETIQUETAS'!$O:$O,'[1]LISTA ETIQUETAS'!C:C,"",0)</f>
        <v>#N/A</v>
      </c>
      <c r="P691" s="2" t="e">
        <f>_xlfn.XLOOKUP($A691,'[1]LISTA ETIQUETAS'!$O:$O,'[1]LISTA ETIQUETAS'!D:D,"",0)</f>
        <v>#N/A</v>
      </c>
      <c r="Q691" s="2" t="e">
        <f>_xlfn.XLOOKUP($A691,'[1]LISTA ETIQUETAS'!$O:$O,'[1]LISTA ETIQUETAS'!E:E,"",0)</f>
        <v>#N/A</v>
      </c>
      <c r="R691" s="2" t="e">
        <f>_xlfn.XLOOKUP($A691,'[1]LISTA ETIQUETAS'!$O:$O,'[1]LISTA ETIQUETAS'!F:F,"",0)</f>
        <v>#N/A</v>
      </c>
      <c r="S691" s="2" t="e">
        <f>_xlfn.XLOOKUP($A691,'[1]LISTA ETIQUETAS'!$O:$O,'[1]LISTA ETIQUETAS'!H:H,"",0)</f>
        <v>#N/A</v>
      </c>
      <c r="T691" s="9" t="e">
        <f t="shared" si="26"/>
        <v>#N/A</v>
      </c>
      <c r="U691" s="10" t="s">
        <v>629</v>
      </c>
    </row>
    <row r="692" spans="1:21" hidden="1" x14ac:dyDescent="0.25">
      <c r="A692" s="5">
        <v>371590</v>
      </c>
      <c r="B692" t="str">
        <f>IFERROR((VLOOKUP(A692,'[1]LISTA ETIQUETAS'!O:X,3,0)),"PRODUTO SEM ESTOQUE")</f>
        <v>PRODUTO SEM ESTOQUE</v>
      </c>
      <c r="C692" s="10" t="s">
        <v>51</v>
      </c>
      <c r="D692" s="10" t="s">
        <v>435</v>
      </c>
      <c r="E692" s="11" t="e">
        <f>IF(VLOOKUP(A692,'[1]LISTA ETIQUETAS'!O:W,4,0)="",(VLOOKUP(A692,'[1]LISTA ETIQUETAS'!O:W,6,0)),(VLOOKUP(A692,'[1]LISTA ETIQUETAS'!O:W,4,0)))</f>
        <v>#N/A</v>
      </c>
      <c r="F692" s="11" t="e">
        <f>IF(VLOOKUP(A692,'[1]LISTA ETIQUETAS'!O:W,5,0)="",(VLOOKUP(A692,'[1]LISTA ETIQUETAS'!O:W,7,0)),(VLOOKUP(A692,'[1]LISTA ETIQUETAS'!O:W,5,0)))</f>
        <v>#N/A</v>
      </c>
      <c r="G692" s="11" t="str">
        <f>IFERROR((VLOOKUP(A692,'[1]LISTA ETIQUETAS'!O:X,8,0)),"")</f>
        <v/>
      </c>
      <c r="H692" s="11" t="str">
        <f>IFERROR((VLOOKUP(A692,'[1]LISTA ETIQUETAS'!O:X,9,0)),"")</f>
        <v/>
      </c>
      <c r="I692" s="12">
        <f>IFERROR((VLOOKUP(A692,'[1]LISTA ETIQUETAS'!O:Y,11,0)),"")</f>
        <v>100479.19</v>
      </c>
      <c r="J692" s="6">
        <v>0</v>
      </c>
      <c r="K692" s="12">
        <f t="shared" si="24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25"/>
        <v>371590</v>
      </c>
      <c r="O692" s="2" t="e">
        <f>_xlfn.XLOOKUP($A692,'[1]LISTA ETIQUETAS'!$O:$O,'[1]LISTA ETIQUETAS'!C:C,"",0)</f>
        <v>#N/A</v>
      </c>
      <c r="P692" s="2" t="e">
        <f>_xlfn.XLOOKUP($A692,'[1]LISTA ETIQUETAS'!$O:$O,'[1]LISTA ETIQUETAS'!D:D,"",0)</f>
        <v>#N/A</v>
      </c>
      <c r="Q692" s="2" t="e">
        <f>_xlfn.XLOOKUP($A692,'[1]LISTA ETIQUETAS'!$O:$O,'[1]LISTA ETIQUETAS'!E:E,"",0)</f>
        <v>#N/A</v>
      </c>
      <c r="R692" s="2" t="e">
        <f>_xlfn.XLOOKUP($A692,'[1]LISTA ETIQUETAS'!$O:$O,'[1]LISTA ETIQUETAS'!F:F,"",0)</f>
        <v>#N/A</v>
      </c>
      <c r="S692" s="2" t="e">
        <f>_xlfn.XLOOKUP($A692,'[1]LISTA ETIQUETAS'!$O:$O,'[1]LISTA ETIQUETAS'!H:H,"",0)</f>
        <v>#N/A</v>
      </c>
      <c r="T692" s="9" t="e">
        <f t="shared" si="26"/>
        <v>#N/A</v>
      </c>
      <c r="U692" s="10" t="s">
        <v>629</v>
      </c>
    </row>
    <row r="693" spans="1:21" hidden="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24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25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26"/>
        <v>1</v>
      </c>
      <c r="U693" s="10" t="s">
        <v>629</v>
      </c>
    </row>
    <row r="694" spans="1:21" hidden="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24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25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26"/>
        <v>1</v>
      </c>
      <c r="U694" s="10" t="s">
        <v>629</v>
      </c>
    </row>
    <row r="695" spans="1:21" hidden="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24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25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26"/>
        <v>1</v>
      </c>
      <c r="U695" s="10" t="s">
        <v>629</v>
      </c>
    </row>
    <row r="696" spans="1:21" hidden="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24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25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26"/>
        <v>2</v>
      </c>
      <c r="U696" s="10" t="s">
        <v>629</v>
      </c>
    </row>
    <row r="697" spans="1:21" hidden="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24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25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26"/>
        <v>1</v>
      </c>
      <c r="U697" s="10" t="s">
        <v>629</v>
      </c>
    </row>
    <row r="698" spans="1:21" hidden="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24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25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26"/>
        <v>1</v>
      </c>
      <c r="U698" s="10" t="s">
        <v>629</v>
      </c>
    </row>
    <row r="699" spans="1:21" hidden="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24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25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26"/>
        <v>1</v>
      </c>
      <c r="U699" s="10" t="s">
        <v>629</v>
      </c>
    </row>
    <row r="700" spans="1:21" hidden="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24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25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26"/>
        <v>1</v>
      </c>
      <c r="U700" s="10" t="s">
        <v>629</v>
      </c>
    </row>
    <row r="701" spans="1:21" hidden="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24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25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26"/>
        <v>1</v>
      </c>
      <c r="U701" s="10" t="s">
        <v>629</v>
      </c>
    </row>
    <row r="702" spans="1:21" hidden="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24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25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26"/>
        <v>1</v>
      </c>
      <c r="U702" s="10" t="s">
        <v>629</v>
      </c>
    </row>
    <row r="703" spans="1:21" hidden="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24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25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26"/>
        <v>1</v>
      </c>
      <c r="U703" s="10" t="s">
        <v>629</v>
      </c>
    </row>
    <row r="704" spans="1:21" hidden="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24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25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26"/>
        <v>1</v>
      </c>
      <c r="U704" s="10" t="s">
        <v>629</v>
      </c>
    </row>
    <row r="705" spans="1:21" hidden="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24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25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26"/>
        <v>1</v>
      </c>
      <c r="U705" s="10" t="s">
        <v>629</v>
      </c>
    </row>
    <row r="706" spans="1:21" hidden="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24"/>
        <v/>
      </c>
      <c r="L706" s="7" t="str">
        <f>IF(VLOOKUP(A706,'[1]LISTA ETIQUETAS'!O:AB,14,0)="","",(VLOOKUP(A706,'[1]LISTA ETIQUETAS'!O:AB,14,0)))</f>
        <v/>
      </c>
      <c r="M706" s="8"/>
      <c r="N706" s="9">
        <f t="shared" si="25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26"/>
        <v>1</v>
      </c>
      <c r="U706" s="10" t="s">
        <v>629</v>
      </c>
    </row>
    <row r="707" spans="1:21" hidden="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27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25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26"/>
        <v>1</v>
      </c>
      <c r="U707" s="10" t="s">
        <v>629</v>
      </c>
    </row>
    <row r="708" spans="1:21" hidden="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27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28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29">SUM(O708:S708)</f>
        <v>2</v>
      </c>
      <c r="U708" s="10" t="s">
        <v>629</v>
      </c>
    </row>
    <row r="709" spans="1:21" hidden="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27"/>
        <v/>
      </c>
      <c r="L709" s="7" t="str">
        <f>IF(VLOOKUP(A709,'[1]LISTA ETIQUETAS'!O:AB,14,0)="","",(VLOOKUP(A709,'[1]LISTA ETIQUETAS'!O:AB,14,0)))</f>
        <v/>
      </c>
      <c r="M709" s="8"/>
      <c r="N709" s="9">
        <f t="shared" si="28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29"/>
        <v>2</v>
      </c>
      <c r="U709" s="10" t="s">
        <v>629</v>
      </c>
    </row>
    <row r="710" spans="1:21" hidden="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27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28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29"/>
        <v>1</v>
      </c>
      <c r="U710" s="10" t="s">
        <v>629</v>
      </c>
    </row>
    <row r="711" spans="1:21" hidden="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27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28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29"/>
        <v>1</v>
      </c>
      <c r="U711" s="10" t="s">
        <v>629</v>
      </c>
    </row>
    <row r="712" spans="1:21" hidden="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27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28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29"/>
        <v>1</v>
      </c>
      <c r="U712" s="10" t="s">
        <v>629</v>
      </c>
    </row>
    <row r="713" spans="1:21" hidden="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27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28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29"/>
        <v>1</v>
      </c>
      <c r="U713" s="10" t="s">
        <v>629</v>
      </c>
    </row>
    <row r="714" spans="1:21" hidden="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27"/>
        <v/>
      </c>
      <c r="L714" s="7" t="str">
        <f>IF(VLOOKUP(A714,'[1]LISTA ETIQUETAS'!O:AB,14,0)="","",(VLOOKUP(A714,'[1]LISTA ETIQUETAS'!O:AB,14,0)))</f>
        <v/>
      </c>
      <c r="M714" s="8"/>
      <c r="N714" s="9">
        <f t="shared" si="28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29"/>
        <v>1</v>
      </c>
      <c r="U714" s="10" t="s">
        <v>629</v>
      </c>
    </row>
    <row r="715" spans="1:21" hidden="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27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28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29"/>
        <v>2</v>
      </c>
      <c r="U715" s="10" t="s">
        <v>629</v>
      </c>
    </row>
    <row r="716" spans="1:21" hidden="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27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28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29"/>
        <v>1</v>
      </c>
      <c r="U716" s="10" t="s">
        <v>629</v>
      </c>
    </row>
    <row r="717" spans="1:21" hidden="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27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28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29"/>
        <v>1</v>
      </c>
      <c r="U717" s="10" t="s">
        <v>629</v>
      </c>
    </row>
    <row r="718" spans="1:21" hidden="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27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28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29"/>
        <v>1</v>
      </c>
      <c r="U718" s="10" t="s">
        <v>629</v>
      </c>
    </row>
    <row r="719" spans="1:21" hidden="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27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28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29"/>
        <v>1</v>
      </c>
      <c r="U719" s="10" t="s">
        <v>629</v>
      </c>
    </row>
    <row r="720" spans="1:21" hidden="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27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28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29"/>
        <v>2</v>
      </c>
      <c r="U720" s="10" t="s">
        <v>629</v>
      </c>
    </row>
    <row r="721" spans="1:21" hidden="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27"/>
        <v/>
      </c>
      <c r="L721" s="7" t="str">
        <f>IF(VLOOKUP(A721,'[1]LISTA ETIQUETAS'!O:AB,14,0)="","",(VLOOKUP(A721,'[1]LISTA ETIQUETAS'!O:AB,14,0)))</f>
        <v/>
      </c>
      <c r="M721" s="8"/>
      <c r="N721" s="9">
        <f t="shared" si="28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29"/>
        <v>1</v>
      </c>
      <c r="U721" s="10" t="s">
        <v>629</v>
      </c>
    </row>
    <row r="722" spans="1:21" hidden="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27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28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29"/>
        <v>1</v>
      </c>
      <c r="U722" s="10" t="s">
        <v>629</v>
      </c>
    </row>
    <row r="723" spans="1:21" hidden="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27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28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29"/>
        <v>1</v>
      </c>
      <c r="U723" s="10" t="s">
        <v>629</v>
      </c>
    </row>
    <row r="724" spans="1:21" hidden="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27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28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29"/>
        <v>1</v>
      </c>
      <c r="U724" s="10" t="s">
        <v>629</v>
      </c>
    </row>
    <row r="725" spans="1:21" hidden="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27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28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29"/>
        <v>1</v>
      </c>
      <c r="U725" s="10" t="s">
        <v>629</v>
      </c>
    </row>
    <row r="726" spans="1:21" hidden="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27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28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29"/>
        <v>1</v>
      </c>
      <c r="U726" s="10" t="s">
        <v>629</v>
      </c>
    </row>
    <row r="727" spans="1:21" hidden="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27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28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29"/>
        <v>1</v>
      </c>
      <c r="U727" s="10" t="s">
        <v>629</v>
      </c>
    </row>
    <row r="728" spans="1:21" hidden="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27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28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29"/>
        <v>1</v>
      </c>
      <c r="U728" s="10" t="s">
        <v>629</v>
      </c>
    </row>
    <row r="729" spans="1:21" hidden="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27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28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29"/>
        <v>1</v>
      </c>
      <c r="U729" s="10" t="s">
        <v>629</v>
      </c>
    </row>
    <row r="730" spans="1:21" hidden="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27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28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29"/>
        <v>1</v>
      </c>
      <c r="U730" s="10" t="s">
        <v>629</v>
      </c>
    </row>
    <row r="731" spans="1:21" hidden="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27"/>
        <v/>
      </c>
      <c r="L731" s="7" t="str">
        <f>IF(VLOOKUP(A731,'[1]LISTA ETIQUETAS'!O:AB,14,0)="","",(VLOOKUP(A731,'[1]LISTA ETIQUETAS'!O:AB,14,0)))</f>
        <v/>
      </c>
      <c r="M731" s="8"/>
      <c r="N731" s="9">
        <f t="shared" si="28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29"/>
        <v>1</v>
      </c>
      <c r="U731" s="10" t="s">
        <v>629</v>
      </c>
    </row>
    <row r="732" spans="1:21" hidden="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27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28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29"/>
        <v>1</v>
      </c>
      <c r="U732" s="10" t="s">
        <v>629</v>
      </c>
    </row>
    <row r="733" spans="1:21" hidden="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27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28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29"/>
        <v>1</v>
      </c>
      <c r="U733" s="10" t="s">
        <v>629</v>
      </c>
    </row>
    <row r="734" spans="1:21" hidden="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27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28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29"/>
        <v>1</v>
      </c>
      <c r="U734" s="10" t="s">
        <v>629</v>
      </c>
    </row>
    <row r="735" spans="1:21" hidden="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27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28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29"/>
        <v>1</v>
      </c>
      <c r="U735" s="10" t="s">
        <v>629</v>
      </c>
    </row>
    <row r="736" spans="1:21" hidden="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27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28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29"/>
        <v>1</v>
      </c>
      <c r="U736" s="10" t="s">
        <v>629</v>
      </c>
    </row>
    <row r="737" spans="1:21" hidden="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27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28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29"/>
        <v>1</v>
      </c>
      <c r="U737" s="10" t="s">
        <v>629</v>
      </c>
    </row>
    <row r="738" spans="1:21" hidden="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27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28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29"/>
        <v>1</v>
      </c>
      <c r="U738" s="10" t="s">
        <v>629</v>
      </c>
    </row>
    <row r="739" spans="1:21" hidden="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27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28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29"/>
        <v>1</v>
      </c>
      <c r="U739" s="10" t="s">
        <v>629</v>
      </c>
    </row>
    <row r="740" spans="1:21" hidden="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27"/>
        <v/>
      </c>
      <c r="L740" s="7" t="str">
        <f>IF(VLOOKUP(A740,'[1]LISTA ETIQUETAS'!O:AB,14,0)="","",(VLOOKUP(A740,'[1]LISTA ETIQUETAS'!O:AB,14,0)))</f>
        <v/>
      </c>
      <c r="M740" s="8"/>
      <c r="N740" s="9">
        <f t="shared" si="28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29"/>
        <v>1</v>
      </c>
      <c r="U740" s="10" t="s">
        <v>629</v>
      </c>
    </row>
    <row r="741" spans="1:21" hidden="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27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28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29"/>
        <v>1</v>
      </c>
      <c r="U741" s="10" t="s">
        <v>629</v>
      </c>
    </row>
    <row r="742" spans="1:21" hidden="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27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28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29"/>
        <v>2</v>
      </c>
      <c r="U742" s="10" t="s">
        <v>629</v>
      </c>
    </row>
    <row r="743" spans="1:21" hidden="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27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28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29"/>
        <v>1</v>
      </c>
      <c r="U743" s="10" t="s">
        <v>629</v>
      </c>
    </row>
    <row r="744" spans="1:21" hidden="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27"/>
        <v/>
      </c>
      <c r="L744" s="7" t="str">
        <f>IF(VLOOKUP(A744,'[1]LISTA ETIQUETAS'!O:AB,14,0)="","",(VLOOKUP(A744,'[1]LISTA ETIQUETAS'!O:AB,14,0)))</f>
        <v/>
      </c>
      <c r="M744" s="8"/>
      <c r="N744" s="9">
        <f t="shared" si="28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29"/>
        <v>1</v>
      </c>
      <c r="U744" s="10" t="s">
        <v>629</v>
      </c>
    </row>
    <row r="745" spans="1:21" hidden="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27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28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29"/>
        <v>1</v>
      </c>
      <c r="U745" s="10" t="s">
        <v>629</v>
      </c>
    </row>
    <row r="746" spans="1:21" hidden="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27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28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29"/>
        <v>1</v>
      </c>
      <c r="U746" s="10" t="s">
        <v>629</v>
      </c>
    </row>
    <row r="747" spans="1:21" hidden="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27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28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29"/>
        <v>3</v>
      </c>
      <c r="U747" s="10" t="s">
        <v>629</v>
      </c>
    </row>
    <row r="748" spans="1:21" hidden="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27"/>
        <v/>
      </c>
      <c r="L748" s="7" t="str">
        <f>IF(VLOOKUP(A748,'[1]LISTA ETIQUETAS'!O:AB,14,0)="","",(VLOOKUP(A748,'[1]LISTA ETIQUETAS'!O:AB,14,0)))</f>
        <v/>
      </c>
      <c r="M748" s="8"/>
      <c r="N748" s="9">
        <f t="shared" si="28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29"/>
        <v>1</v>
      </c>
      <c r="U748" s="10" t="s">
        <v>629</v>
      </c>
    </row>
    <row r="749" spans="1:21" hidden="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27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28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29"/>
        <v>2</v>
      </c>
      <c r="U749" s="10" t="s">
        <v>629</v>
      </c>
    </row>
    <row r="750" spans="1:21" hidden="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27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28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29"/>
        <v>1</v>
      </c>
      <c r="U750" s="10" t="s">
        <v>629</v>
      </c>
    </row>
    <row r="751" spans="1:21" hidden="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27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28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29"/>
        <v>1</v>
      </c>
      <c r="U751" s="10" t="s">
        <v>629</v>
      </c>
    </row>
    <row r="752" spans="1:21" hidden="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27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28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29"/>
        <v>1</v>
      </c>
      <c r="U752" s="10" t="s">
        <v>629</v>
      </c>
    </row>
    <row r="753" spans="1:21" hidden="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27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28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29"/>
        <v>1</v>
      </c>
      <c r="U753" s="10" t="s">
        <v>629</v>
      </c>
    </row>
    <row r="754" spans="1:21" hidden="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27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28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29"/>
        <v>1</v>
      </c>
      <c r="U754" s="10" t="s">
        <v>629</v>
      </c>
    </row>
    <row r="755" spans="1:21" hidden="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27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28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29"/>
        <v>1</v>
      </c>
      <c r="U755" s="10" t="s">
        <v>629</v>
      </c>
    </row>
    <row r="756" spans="1:21" hidden="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27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28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29"/>
        <v>1</v>
      </c>
      <c r="U756" s="10" t="s">
        <v>629</v>
      </c>
    </row>
    <row r="757" spans="1:21" hidden="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27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28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29"/>
        <v>1</v>
      </c>
      <c r="U757" s="10" t="s">
        <v>629</v>
      </c>
    </row>
    <row r="758" spans="1:21" hidden="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27"/>
        <v/>
      </c>
      <c r="L758" s="7" t="str">
        <f>IF(VLOOKUP(A758,'[1]LISTA ETIQUETAS'!O:AB,14,0)="","",(VLOOKUP(A758,'[1]LISTA ETIQUETAS'!O:AB,14,0)))</f>
        <v/>
      </c>
      <c r="M758" s="8"/>
      <c r="N758" s="9">
        <f t="shared" si="28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29"/>
        <v>1</v>
      </c>
      <c r="U758" s="10" t="s">
        <v>629</v>
      </c>
    </row>
    <row r="759" spans="1:21" hidden="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27"/>
        <v/>
      </c>
      <c r="L759" s="7" t="str">
        <f>IF(VLOOKUP(A759,'[1]LISTA ETIQUETAS'!O:AB,14,0)="","",(VLOOKUP(A759,'[1]LISTA ETIQUETAS'!O:AB,14,0)))</f>
        <v/>
      </c>
      <c r="M759" s="8"/>
      <c r="N759" s="9">
        <f t="shared" si="28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29"/>
        <v>1</v>
      </c>
      <c r="U759" s="10" t="s">
        <v>629</v>
      </c>
    </row>
    <row r="760" spans="1:21" hidden="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27"/>
        <v/>
      </c>
      <c r="L760" s="7" t="str">
        <f>IF(VLOOKUP(A760,'[1]LISTA ETIQUETAS'!O:AB,14,0)="","",(VLOOKUP(A760,'[1]LISTA ETIQUETAS'!O:AB,14,0)))</f>
        <v/>
      </c>
      <c r="M760" s="8"/>
      <c r="N760" s="9">
        <f t="shared" si="28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29"/>
        <v>1</v>
      </c>
      <c r="U760" s="10" t="s">
        <v>629</v>
      </c>
    </row>
    <row r="761" spans="1:21" hidden="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27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28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29"/>
        <v>2</v>
      </c>
      <c r="U761" s="10" t="s">
        <v>629</v>
      </c>
    </row>
    <row r="762" spans="1:21" hidden="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27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28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29"/>
        <v>2</v>
      </c>
      <c r="U762" s="10" t="s">
        <v>629</v>
      </c>
    </row>
    <row r="763" spans="1:21" hidden="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27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28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29"/>
        <v>1</v>
      </c>
      <c r="U763" s="10" t="s">
        <v>629</v>
      </c>
    </row>
    <row r="764" spans="1:21" hidden="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27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28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29"/>
        <v>2</v>
      </c>
      <c r="U764" s="10" t="s">
        <v>629</v>
      </c>
    </row>
    <row r="765" spans="1:21" hidden="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27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28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29"/>
        <v>1</v>
      </c>
      <c r="U765" s="10" t="s">
        <v>629</v>
      </c>
    </row>
    <row r="766" spans="1:21" hidden="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27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28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29"/>
        <v>1</v>
      </c>
      <c r="U766" s="10" t="s">
        <v>629</v>
      </c>
    </row>
    <row r="767" spans="1:21" hidden="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27"/>
        <v/>
      </c>
      <c r="L767" s="7" t="str">
        <f>IF(VLOOKUP(A767,'[1]LISTA ETIQUETAS'!O:AB,14,0)="","",(VLOOKUP(A767,'[1]LISTA ETIQUETAS'!O:AB,14,0)))</f>
        <v/>
      </c>
      <c r="M767" s="8"/>
      <c r="N767" s="9">
        <f t="shared" si="28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29"/>
        <v>1</v>
      </c>
      <c r="U767" s="10" t="s">
        <v>629</v>
      </c>
    </row>
    <row r="768" spans="1:21" hidden="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27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28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29"/>
        <v>1</v>
      </c>
      <c r="U768" s="10" t="s">
        <v>629</v>
      </c>
    </row>
    <row r="769" spans="1:21" hidden="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27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28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29"/>
        <v>1</v>
      </c>
      <c r="U769" s="10" t="s">
        <v>629</v>
      </c>
    </row>
    <row r="770" spans="1:21" hidden="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27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28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29"/>
        <v>2</v>
      </c>
      <c r="U770" s="10" t="s">
        <v>629</v>
      </c>
    </row>
    <row r="771" spans="1:21" hidden="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0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28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29"/>
        <v>1</v>
      </c>
      <c r="U771" s="10" t="s">
        <v>629</v>
      </c>
    </row>
    <row r="772" spans="1:21" hidden="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0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1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2">SUM(O772:S772)</f>
        <v>1</v>
      </c>
      <c r="U772" s="10" t="s">
        <v>629</v>
      </c>
    </row>
    <row r="773" spans="1:21" hidden="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0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1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2"/>
        <v>1</v>
      </c>
      <c r="U773" s="10" t="s">
        <v>629</v>
      </c>
    </row>
    <row r="774" spans="1:21" hidden="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0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1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2"/>
        <v>3</v>
      </c>
      <c r="U774" s="10" t="s">
        <v>629</v>
      </c>
    </row>
    <row r="775" spans="1:21" hidden="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0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1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2"/>
        <v>1</v>
      </c>
      <c r="U775" s="10" t="s">
        <v>629</v>
      </c>
    </row>
    <row r="776" spans="1:21" hidden="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0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1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2"/>
        <v>1</v>
      </c>
      <c r="U776" s="10" t="s">
        <v>629</v>
      </c>
    </row>
    <row r="777" spans="1:21" hidden="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0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1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2"/>
        <v>2</v>
      </c>
      <c r="U777" s="10" t="s">
        <v>629</v>
      </c>
    </row>
    <row r="778" spans="1:21" hidden="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0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1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2"/>
        <v>2</v>
      </c>
      <c r="U778" s="10" t="s">
        <v>629</v>
      </c>
    </row>
    <row r="779" spans="1:21" hidden="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0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1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2"/>
        <v>1</v>
      </c>
      <c r="U779" s="10" t="s">
        <v>629</v>
      </c>
    </row>
    <row r="780" spans="1:21" hidden="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0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1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2"/>
        <v>2</v>
      </c>
      <c r="U780" s="10" t="s">
        <v>629</v>
      </c>
    </row>
    <row r="781" spans="1:21" hidden="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0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1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2"/>
        <v>2</v>
      </c>
      <c r="U781" s="10" t="s">
        <v>629</v>
      </c>
    </row>
    <row r="782" spans="1:21" hidden="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0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1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2"/>
        <v>1</v>
      </c>
      <c r="U782" s="10" t="s">
        <v>629</v>
      </c>
    </row>
    <row r="783" spans="1:21" hidden="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0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1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2"/>
        <v>2</v>
      </c>
      <c r="U783" s="10" t="s">
        <v>629</v>
      </c>
    </row>
    <row r="784" spans="1:21" hidden="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0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1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2"/>
        <v>1</v>
      </c>
      <c r="U784" s="10" t="s">
        <v>629</v>
      </c>
    </row>
    <row r="785" spans="1:21" hidden="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0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1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2"/>
        <v>1</v>
      </c>
      <c r="U785" s="10" t="s">
        <v>629</v>
      </c>
    </row>
    <row r="786" spans="1:21" hidden="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0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1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2"/>
        <v>1</v>
      </c>
      <c r="U786" s="10" t="s">
        <v>629</v>
      </c>
    </row>
    <row r="787" spans="1:21" hidden="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0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1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2"/>
        <v>2</v>
      </c>
      <c r="U787" s="10" t="s">
        <v>629</v>
      </c>
    </row>
    <row r="788" spans="1:21" hidden="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0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1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2"/>
        <v>1</v>
      </c>
      <c r="U788" s="10" t="s">
        <v>629</v>
      </c>
    </row>
    <row r="789" spans="1:21" hidden="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0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1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2"/>
        <v>1</v>
      </c>
      <c r="U789" s="10" t="s">
        <v>629</v>
      </c>
    </row>
    <row r="790" spans="1:21" hidden="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0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1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2"/>
        <v>1</v>
      </c>
      <c r="U790" s="10" t="s">
        <v>629</v>
      </c>
    </row>
    <row r="791" spans="1:21" hidden="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0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1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2"/>
        <v>2</v>
      </c>
      <c r="U791" s="10" t="s">
        <v>629</v>
      </c>
    </row>
    <row r="792" spans="1:21" hidden="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0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1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2"/>
        <v>2</v>
      </c>
      <c r="U792" s="10" t="s">
        <v>629</v>
      </c>
    </row>
    <row r="793" spans="1:21" hidden="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0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1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2"/>
        <v>1</v>
      </c>
      <c r="U793" s="10" t="s">
        <v>629</v>
      </c>
    </row>
    <row r="794" spans="1:21" hidden="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0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1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2"/>
        <v>1</v>
      </c>
      <c r="U794" s="10" t="s">
        <v>629</v>
      </c>
    </row>
    <row r="795" spans="1:21" hidden="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0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1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2"/>
        <v>3</v>
      </c>
      <c r="U795" s="10" t="s">
        <v>629</v>
      </c>
    </row>
    <row r="796" spans="1:21" hidden="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0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1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2"/>
        <v>2</v>
      </c>
      <c r="U796" s="10" t="s">
        <v>629</v>
      </c>
    </row>
    <row r="797" spans="1:21" hidden="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0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1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2"/>
        <v>2</v>
      </c>
      <c r="U797" s="10" t="s">
        <v>629</v>
      </c>
    </row>
    <row r="798" spans="1:21" hidden="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0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1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2"/>
        <v>2</v>
      </c>
      <c r="U798" s="10" t="s">
        <v>629</v>
      </c>
    </row>
    <row r="799" spans="1:21" hidden="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0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1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2"/>
        <v>1</v>
      </c>
      <c r="U799" s="10" t="s">
        <v>629</v>
      </c>
    </row>
    <row r="800" spans="1:21" hidden="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0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1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2"/>
        <v>1</v>
      </c>
      <c r="U800" s="10" t="s">
        <v>629</v>
      </c>
    </row>
    <row r="801" spans="1:21" hidden="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0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1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2"/>
        <v>2</v>
      </c>
      <c r="U801" s="10" t="s">
        <v>629</v>
      </c>
    </row>
    <row r="802" spans="1:21" hidden="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0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1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2"/>
        <v>2</v>
      </c>
      <c r="U802" s="10" t="s">
        <v>629</v>
      </c>
    </row>
    <row r="803" spans="1:21" hidden="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0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1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2"/>
        <v>1</v>
      </c>
      <c r="U803" s="10" t="s">
        <v>629</v>
      </c>
    </row>
    <row r="804" spans="1:21" hidden="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0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1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2"/>
        <v>1</v>
      </c>
      <c r="U804" s="10" t="s">
        <v>629</v>
      </c>
    </row>
    <row r="805" spans="1:21" hidden="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0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1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2"/>
        <v>1</v>
      </c>
      <c r="U805" s="10" t="s">
        <v>629</v>
      </c>
    </row>
    <row r="806" spans="1:21" hidden="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0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1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2"/>
        <v>1</v>
      </c>
      <c r="U806" s="10" t="s">
        <v>629</v>
      </c>
    </row>
    <row r="807" spans="1:21" hidden="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0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1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2"/>
        <v>2</v>
      </c>
      <c r="U807" s="10" t="s">
        <v>629</v>
      </c>
    </row>
    <row r="808" spans="1:21" hidden="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0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1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2"/>
        <v>1</v>
      </c>
      <c r="U808" s="10" t="s">
        <v>629</v>
      </c>
    </row>
    <row r="809" spans="1:21" hidden="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0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1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2"/>
        <v>1</v>
      </c>
      <c r="U809" s="10" t="s">
        <v>629</v>
      </c>
    </row>
    <row r="810" spans="1:21" hidden="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0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1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2"/>
        <v>1</v>
      </c>
      <c r="U810" s="10" t="s">
        <v>629</v>
      </c>
    </row>
    <row r="811" spans="1:21" hidden="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0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1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2"/>
        <v>1</v>
      </c>
      <c r="U811" s="10" t="s">
        <v>629</v>
      </c>
    </row>
    <row r="812" spans="1:21" hidden="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0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1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2"/>
        <v>1</v>
      </c>
      <c r="U812" s="10" t="s">
        <v>629</v>
      </c>
    </row>
    <row r="813" spans="1:21" hidden="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0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1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2"/>
        <v>1</v>
      </c>
      <c r="U813" s="10" t="s">
        <v>629</v>
      </c>
    </row>
    <row r="814" spans="1:21" hidden="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0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1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2"/>
        <v>1</v>
      </c>
      <c r="U814" s="10" t="s">
        <v>629</v>
      </c>
    </row>
    <row r="815" spans="1:21" hidden="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0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1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2"/>
        <v>1</v>
      </c>
      <c r="U815" s="10" t="s">
        <v>629</v>
      </c>
    </row>
    <row r="816" spans="1:21" hidden="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0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1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2"/>
        <v>1</v>
      </c>
      <c r="U816" s="10" t="s">
        <v>629</v>
      </c>
    </row>
    <row r="817" spans="1:21" hidden="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0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1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2"/>
        <v>1</v>
      </c>
      <c r="U817" s="10" t="s">
        <v>629</v>
      </c>
    </row>
    <row r="818" spans="1:21" hidden="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0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1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2"/>
        <v>1</v>
      </c>
      <c r="U818" s="10" t="s">
        <v>629</v>
      </c>
    </row>
    <row r="819" spans="1:21" hidden="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0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1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2"/>
        <v>2</v>
      </c>
      <c r="U819" s="10" t="s">
        <v>629</v>
      </c>
    </row>
    <row r="820" spans="1:21" hidden="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0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1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2"/>
        <v>1</v>
      </c>
      <c r="U820" s="10" t="s">
        <v>629</v>
      </c>
    </row>
    <row r="821" spans="1:21" hidden="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0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1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2"/>
        <v>1</v>
      </c>
      <c r="U821" s="10" t="s">
        <v>629</v>
      </c>
    </row>
    <row r="822" spans="1:21" hidden="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0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1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2"/>
        <v>1</v>
      </c>
      <c r="U822" s="10" t="s">
        <v>629</v>
      </c>
    </row>
    <row r="823" spans="1:21" hidden="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0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1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2"/>
        <v>2</v>
      </c>
      <c r="U823" s="10" t="s">
        <v>629</v>
      </c>
    </row>
    <row r="824" spans="1:21" hidden="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0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1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2"/>
        <v>1</v>
      </c>
      <c r="U824" s="10" t="s">
        <v>629</v>
      </c>
    </row>
    <row r="825" spans="1:21" hidden="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0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1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2"/>
        <v>1</v>
      </c>
      <c r="U825" s="10" t="s">
        <v>629</v>
      </c>
    </row>
    <row r="826" spans="1:21" hidden="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0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1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2"/>
        <v>4</v>
      </c>
      <c r="U826" s="10" t="s">
        <v>629</v>
      </c>
    </row>
    <row r="827" spans="1:21" hidden="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0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1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2"/>
        <v>1</v>
      </c>
      <c r="U827" s="10" t="s">
        <v>629</v>
      </c>
    </row>
    <row r="828" spans="1:21" hidden="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0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1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2"/>
        <v>10</v>
      </c>
      <c r="U828" s="10" t="s">
        <v>629</v>
      </c>
    </row>
    <row r="829" spans="1:21" hidden="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0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1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2"/>
        <v>1</v>
      </c>
      <c r="U829" s="10" t="s">
        <v>629</v>
      </c>
    </row>
    <row r="830" spans="1:21" hidden="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0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1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2"/>
        <v>1</v>
      </c>
      <c r="U830" s="10" t="s">
        <v>629</v>
      </c>
    </row>
    <row r="831" spans="1:21" hidden="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0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1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2"/>
        <v>2</v>
      </c>
      <c r="U831" s="10" t="s">
        <v>629</v>
      </c>
    </row>
    <row r="832" spans="1:21" hidden="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0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1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2"/>
        <v>1</v>
      </c>
      <c r="U832" s="10" t="s">
        <v>629</v>
      </c>
    </row>
    <row r="833" spans="1:21" hidden="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0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1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2"/>
        <v>4</v>
      </c>
      <c r="U833" s="10" t="s">
        <v>629</v>
      </c>
    </row>
    <row r="834" spans="1:21" hidden="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0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1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2"/>
        <v>1</v>
      </c>
      <c r="U834" s="10" t="s">
        <v>629</v>
      </c>
    </row>
    <row r="835" spans="1:21" hidden="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3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1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2"/>
        <v>3</v>
      </c>
      <c r="U835" s="10" t="s">
        <v>629</v>
      </c>
    </row>
    <row r="836" spans="1:21" hidden="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3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34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35">SUM(O836:S836)</f>
        <v>1</v>
      </c>
      <c r="U836" s="10" t="s">
        <v>629</v>
      </c>
    </row>
    <row r="837" spans="1:21" hidden="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3"/>
        <v/>
      </c>
      <c r="L837" s="7" t="str">
        <f>IF(VLOOKUP(A837,'[1]LISTA ETIQUETAS'!O:AB,14,0)="","",(VLOOKUP(A837,'[1]LISTA ETIQUETAS'!O:AB,14,0)))</f>
        <v/>
      </c>
      <c r="M837" s="8"/>
      <c r="N837" s="9">
        <f t="shared" si="34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35"/>
        <v>1</v>
      </c>
      <c r="U837" s="10" t="s">
        <v>629</v>
      </c>
    </row>
    <row r="838" spans="1:21" hidden="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3"/>
        <v/>
      </c>
      <c r="L838" s="7" t="str">
        <f>IF(VLOOKUP(A838,'[1]LISTA ETIQUETAS'!O:AB,14,0)="","",(VLOOKUP(A838,'[1]LISTA ETIQUETAS'!O:AB,14,0)))</f>
        <v/>
      </c>
      <c r="M838" s="8"/>
      <c r="N838" s="9">
        <f t="shared" si="34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35"/>
        <v>1</v>
      </c>
      <c r="U838" s="10" t="s">
        <v>629</v>
      </c>
    </row>
    <row r="839" spans="1:21" hidden="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3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34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35"/>
        <v>2</v>
      </c>
      <c r="U839" s="10" t="s">
        <v>629</v>
      </c>
    </row>
    <row r="840" spans="1:21" hidden="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3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34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35"/>
        <v>1</v>
      </c>
      <c r="U840" s="10" t="s">
        <v>629</v>
      </c>
    </row>
    <row r="841" spans="1:21" hidden="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3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34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35"/>
        <v>2</v>
      </c>
      <c r="U841" s="10" t="s">
        <v>629</v>
      </c>
    </row>
    <row r="842" spans="1:21" hidden="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3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34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35"/>
        <v>2</v>
      </c>
      <c r="U842" s="10" t="s">
        <v>629</v>
      </c>
    </row>
    <row r="843" spans="1:21" hidden="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3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34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35"/>
        <v>2</v>
      </c>
      <c r="U843" s="10" t="s">
        <v>629</v>
      </c>
    </row>
    <row r="844" spans="1:21" hidden="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3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34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35"/>
        <v>1</v>
      </c>
      <c r="U844" s="10" t="s">
        <v>629</v>
      </c>
    </row>
    <row r="845" spans="1:21" hidden="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3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34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35"/>
        <v>1</v>
      </c>
      <c r="U845" s="10" t="s">
        <v>629</v>
      </c>
    </row>
    <row r="846" spans="1:21" hidden="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3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34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35"/>
        <v>1</v>
      </c>
      <c r="U846" s="10" t="s">
        <v>629</v>
      </c>
    </row>
    <row r="847" spans="1:21" hidden="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3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34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35"/>
        <v>1</v>
      </c>
      <c r="U847" s="10" t="s">
        <v>629</v>
      </c>
    </row>
    <row r="848" spans="1:21" hidden="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3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34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35"/>
        <v>1</v>
      </c>
      <c r="U848" s="10" t="s">
        <v>629</v>
      </c>
    </row>
    <row r="849" spans="1:21" hidden="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3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34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35"/>
        <v>1</v>
      </c>
      <c r="U849" s="10" t="s">
        <v>629</v>
      </c>
    </row>
    <row r="850" spans="1:21" hidden="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3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34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35"/>
        <v>2</v>
      </c>
      <c r="U850" s="10" t="s">
        <v>629</v>
      </c>
    </row>
    <row r="851" spans="1:21" hidden="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3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34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35"/>
        <v>1</v>
      </c>
      <c r="U851" s="10" t="s">
        <v>629</v>
      </c>
    </row>
    <row r="852" spans="1:21" hidden="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3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34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35"/>
        <v>1</v>
      </c>
      <c r="U852" s="10" t="s">
        <v>629</v>
      </c>
    </row>
    <row r="853" spans="1:21" hidden="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3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34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35"/>
        <v>1</v>
      </c>
      <c r="U853" s="10" t="s">
        <v>629</v>
      </c>
    </row>
    <row r="854" spans="1:21" hidden="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3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34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35"/>
        <v>1</v>
      </c>
      <c r="U854" s="10" t="s">
        <v>629</v>
      </c>
    </row>
    <row r="855" spans="1:21" hidden="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3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34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35"/>
        <v>1</v>
      </c>
      <c r="U855" s="10" t="s">
        <v>629</v>
      </c>
    </row>
    <row r="856" spans="1:21" hidden="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3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34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35"/>
        <v>1</v>
      </c>
      <c r="U856" s="10" t="s">
        <v>629</v>
      </c>
    </row>
    <row r="857" spans="1:21" hidden="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3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34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35"/>
        <v>2</v>
      </c>
      <c r="U857" s="10" t="s">
        <v>629</v>
      </c>
    </row>
    <row r="858" spans="1:21" hidden="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3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34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35"/>
        <v>2</v>
      </c>
      <c r="U858" s="10" t="s">
        <v>629</v>
      </c>
    </row>
    <row r="859" spans="1:21" hidden="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3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34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35"/>
        <v>1</v>
      </c>
      <c r="U859" s="10" t="s">
        <v>629</v>
      </c>
    </row>
    <row r="860" spans="1:21" hidden="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3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34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35"/>
        <v>2</v>
      </c>
      <c r="U860" s="10" t="s">
        <v>629</v>
      </c>
    </row>
    <row r="861" spans="1:21" hidden="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3"/>
        <v/>
      </c>
      <c r="L861" s="7" t="str">
        <f>IF(VLOOKUP(A861,'[1]LISTA ETIQUETAS'!O:AB,14,0)="","",(VLOOKUP(A861,'[1]LISTA ETIQUETAS'!O:AB,14,0)))</f>
        <v/>
      </c>
      <c r="M861" s="8"/>
      <c r="N861" s="9">
        <f t="shared" si="34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35"/>
        <v>1</v>
      </c>
      <c r="U861" s="10" t="s">
        <v>629</v>
      </c>
    </row>
    <row r="862" spans="1:21" hidden="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3"/>
        <v/>
      </c>
      <c r="L862" s="7" t="str">
        <f>IF(VLOOKUP(A862,'[1]LISTA ETIQUETAS'!O:AB,14,0)="","",(VLOOKUP(A862,'[1]LISTA ETIQUETAS'!O:AB,14,0)))</f>
        <v/>
      </c>
      <c r="M862" s="8"/>
      <c r="N862" s="9">
        <f t="shared" si="34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35"/>
        <v>1</v>
      </c>
      <c r="U862" s="10" t="s">
        <v>629</v>
      </c>
    </row>
    <row r="863" spans="1:21" hidden="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3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34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35"/>
        <v>2</v>
      </c>
      <c r="U863" s="10" t="s">
        <v>629</v>
      </c>
    </row>
    <row r="864" spans="1:21" hidden="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3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34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35"/>
        <v>4</v>
      </c>
      <c r="U864" s="10" t="s">
        <v>629</v>
      </c>
    </row>
    <row r="865" spans="1:21" hidden="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3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34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35"/>
        <v>2</v>
      </c>
      <c r="U865" s="10" t="s">
        <v>629</v>
      </c>
    </row>
    <row r="866" spans="1:21" hidden="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3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34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35"/>
        <v>1</v>
      </c>
      <c r="U866" s="10" t="s">
        <v>629</v>
      </c>
    </row>
    <row r="867" spans="1:21" hidden="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3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34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35"/>
        <v>2</v>
      </c>
      <c r="U867" s="10" t="s">
        <v>629</v>
      </c>
    </row>
    <row r="868" spans="1:21" hidden="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3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34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35"/>
        <v>2</v>
      </c>
      <c r="U868" s="10" t="s">
        <v>629</v>
      </c>
    </row>
    <row r="869" spans="1:21" hidden="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3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34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35"/>
        <v>1</v>
      </c>
      <c r="U869" s="10" t="s">
        <v>629</v>
      </c>
    </row>
    <row r="870" spans="1:21" hidden="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3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34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35"/>
        <v>1</v>
      </c>
      <c r="U870" s="10" t="s">
        <v>629</v>
      </c>
    </row>
    <row r="871" spans="1:21" hidden="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3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34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35"/>
        <v>1</v>
      </c>
      <c r="U871" s="10" t="s">
        <v>629</v>
      </c>
    </row>
    <row r="872" spans="1:21" hidden="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3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34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35"/>
        <v>4</v>
      </c>
      <c r="U872" s="10" t="s">
        <v>629</v>
      </c>
    </row>
    <row r="873" spans="1:21" hidden="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3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34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35"/>
        <v>1</v>
      </c>
      <c r="U873" s="10" t="s">
        <v>629</v>
      </c>
    </row>
    <row r="874" spans="1:21" hidden="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3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34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2</v>
      </c>
      <c r="T874" s="9">
        <f t="shared" si="35"/>
        <v>2</v>
      </c>
      <c r="U874" s="10" t="s">
        <v>629</v>
      </c>
    </row>
    <row r="875" spans="1:21" hidden="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3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34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35"/>
        <v>1</v>
      </c>
      <c r="U875" s="10" t="s">
        <v>629</v>
      </c>
    </row>
    <row r="876" spans="1:21" hidden="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3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34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35"/>
        <v>1</v>
      </c>
      <c r="U876" s="10" t="s">
        <v>629</v>
      </c>
    </row>
    <row r="877" spans="1:21" hidden="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3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34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2</v>
      </c>
      <c r="T877" s="9">
        <f t="shared" si="35"/>
        <v>4</v>
      </c>
      <c r="U877" s="10" t="s">
        <v>629</v>
      </c>
    </row>
    <row r="878" spans="1:21" hidden="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3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34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35"/>
        <v>1</v>
      </c>
      <c r="U878" s="10" t="s">
        <v>629</v>
      </c>
    </row>
    <row r="879" spans="1:21" hidden="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3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34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35"/>
        <v>1</v>
      </c>
      <c r="U879" s="10" t="s">
        <v>629</v>
      </c>
    </row>
    <row r="880" spans="1:21" hidden="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3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34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35"/>
        <v>1</v>
      </c>
      <c r="U880" s="10" t="s">
        <v>629</v>
      </c>
    </row>
    <row r="881" spans="1:21" hidden="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3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34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35"/>
        <v>1</v>
      </c>
      <c r="U881" s="10" t="s">
        <v>629</v>
      </c>
    </row>
    <row r="882" spans="1:21" hidden="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3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34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35"/>
        <v>1</v>
      </c>
      <c r="U882" s="10" t="s">
        <v>629</v>
      </c>
    </row>
    <row r="883" spans="1:21" hidden="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3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34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35"/>
        <v>2</v>
      </c>
      <c r="U883" s="10" t="s">
        <v>629</v>
      </c>
    </row>
    <row r="884" spans="1:21" hidden="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3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34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35"/>
        <v>2</v>
      </c>
      <c r="U884" s="10" t="s">
        <v>629</v>
      </c>
    </row>
    <row r="885" spans="1:21" hidden="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3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34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35"/>
        <v>1</v>
      </c>
      <c r="U885" s="10" t="s">
        <v>629</v>
      </c>
    </row>
    <row r="886" spans="1:21" hidden="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3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34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35"/>
        <v>3</v>
      </c>
      <c r="U886" s="10" t="s">
        <v>629</v>
      </c>
    </row>
    <row r="887" spans="1:21" hidden="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3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34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35"/>
        <v>1</v>
      </c>
      <c r="U887" s="10" t="s">
        <v>629</v>
      </c>
    </row>
    <row r="888" spans="1:21" hidden="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3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34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35"/>
        <v>1</v>
      </c>
      <c r="U888" s="10" t="s">
        <v>629</v>
      </c>
    </row>
    <row r="889" spans="1:21" hidden="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3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34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35"/>
        <v>2</v>
      </c>
      <c r="U889" s="10" t="s">
        <v>629</v>
      </c>
    </row>
    <row r="890" spans="1:21" hidden="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3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34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35"/>
        <v>1</v>
      </c>
      <c r="U890" s="10" t="s">
        <v>629</v>
      </c>
    </row>
    <row r="891" spans="1:21" hidden="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3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34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35"/>
        <v>3</v>
      </c>
      <c r="U891" s="10" t="s">
        <v>629</v>
      </c>
    </row>
    <row r="892" spans="1:21" hidden="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3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34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35"/>
        <v>1</v>
      </c>
      <c r="U892" s="10" t="s">
        <v>629</v>
      </c>
    </row>
    <row r="893" spans="1:21" hidden="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3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34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35"/>
        <v>1</v>
      </c>
      <c r="U893" s="10" t="s">
        <v>629</v>
      </c>
    </row>
    <row r="894" spans="1:21" hidden="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3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34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35"/>
        <v>2</v>
      </c>
      <c r="U894" s="10" t="s">
        <v>629</v>
      </c>
    </row>
    <row r="895" spans="1:21" hidden="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3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34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35"/>
        <v>1</v>
      </c>
      <c r="U895" s="10" t="s">
        <v>629</v>
      </c>
    </row>
    <row r="896" spans="1:21" hidden="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3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34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35"/>
        <v>1</v>
      </c>
      <c r="U896" s="10" t="s">
        <v>629</v>
      </c>
    </row>
    <row r="897" spans="1:21" hidden="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3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34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35"/>
        <v>2</v>
      </c>
      <c r="U897" s="10" t="s">
        <v>629</v>
      </c>
    </row>
    <row r="898" spans="1:21" hidden="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3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34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35"/>
        <v>1</v>
      </c>
      <c r="U898" s="10" t="s">
        <v>629</v>
      </c>
    </row>
    <row r="899" spans="1:21" hidden="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36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34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35"/>
        <v>1</v>
      </c>
      <c r="U899" s="10" t="s">
        <v>629</v>
      </c>
    </row>
    <row r="900" spans="1:21" hidden="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36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37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38">SUM(O900:S900)</f>
        <v>2</v>
      </c>
      <c r="U900" s="10" t="s">
        <v>629</v>
      </c>
    </row>
    <row r="901" spans="1:21" hidden="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36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37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38"/>
        <v>1</v>
      </c>
      <c r="U901" s="10" t="s">
        <v>629</v>
      </c>
    </row>
    <row r="902" spans="1:21" hidden="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36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37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38"/>
        <v>2</v>
      </c>
      <c r="U902" s="10" t="s">
        <v>629</v>
      </c>
    </row>
    <row r="903" spans="1:21" hidden="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36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37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38"/>
        <v>2</v>
      </c>
      <c r="U903" s="10" t="s">
        <v>629</v>
      </c>
    </row>
    <row r="904" spans="1:21" hidden="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36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37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38"/>
        <v>1</v>
      </c>
      <c r="U904" s="10" t="s">
        <v>629</v>
      </c>
    </row>
    <row r="905" spans="1:21" hidden="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36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37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38"/>
        <v>1</v>
      </c>
      <c r="U905" s="10" t="s">
        <v>629</v>
      </c>
    </row>
    <row r="906" spans="1:21" hidden="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36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37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38"/>
        <v>3</v>
      </c>
      <c r="U906" s="10" t="s">
        <v>629</v>
      </c>
    </row>
    <row r="907" spans="1:21" hidden="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36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37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38"/>
        <v>1</v>
      </c>
      <c r="U907" s="10" t="s">
        <v>629</v>
      </c>
    </row>
    <row r="908" spans="1:21" hidden="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36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37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38"/>
        <v>1</v>
      </c>
      <c r="U908" s="10" t="s">
        <v>629</v>
      </c>
    </row>
    <row r="909" spans="1:21" hidden="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36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37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38"/>
        <v>2</v>
      </c>
      <c r="U909" s="10" t="s">
        <v>629</v>
      </c>
    </row>
    <row r="910" spans="1:21" hidden="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36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37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38"/>
        <v>4</v>
      </c>
      <c r="U910" s="10" t="s">
        <v>629</v>
      </c>
    </row>
    <row r="911" spans="1:21" hidden="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36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37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38"/>
        <v>2</v>
      </c>
      <c r="U911" s="10" t="s">
        <v>629</v>
      </c>
    </row>
    <row r="912" spans="1:21" hidden="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36"/>
        <v/>
      </c>
      <c r="L912" s="7" t="str">
        <f>IF(VLOOKUP(A912,'[1]LISTA ETIQUETAS'!O:AB,14,0)="","",(VLOOKUP(A912,'[1]LISTA ETIQUETAS'!O:AB,14,0)))</f>
        <v/>
      </c>
      <c r="M912" s="8"/>
      <c r="N912" s="9">
        <f t="shared" si="37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38"/>
        <v>1</v>
      </c>
      <c r="U912" s="10" t="s">
        <v>629</v>
      </c>
    </row>
    <row r="913" spans="1:21" hidden="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36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37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38"/>
        <v>2</v>
      </c>
      <c r="U913" s="10" t="s">
        <v>629</v>
      </c>
    </row>
    <row r="914" spans="1:21" hidden="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36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37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38"/>
        <v>2</v>
      </c>
      <c r="U914" s="10" t="s">
        <v>629</v>
      </c>
    </row>
    <row r="915" spans="1:21" hidden="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36"/>
        <v/>
      </c>
      <c r="L915" s="7" t="str">
        <f>IF(VLOOKUP(A915,'[1]LISTA ETIQUETAS'!O:AB,14,0)="","",(VLOOKUP(A915,'[1]LISTA ETIQUETAS'!O:AB,14,0)))</f>
        <v/>
      </c>
      <c r="M915" s="8"/>
      <c r="N915" s="9">
        <f t="shared" si="37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38"/>
        <v>1</v>
      </c>
      <c r="U915" s="10" t="s">
        <v>629</v>
      </c>
    </row>
    <row r="916" spans="1:21" hidden="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36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37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38"/>
        <v>2</v>
      </c>
      <c r="U916" s="10" t="s">
        <v>629</v>
      </c>
    </row>
    <row r="917" spans="1:21" hidden="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36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37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38"/>
        <v>1</v>
      </c>
      <c r="U917" s="10" t="s">
        <v>629</v>
      </c>
    </row>
    <row r="918" spans="1:21" hidden="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36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37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38"/>
        <v>2</v>
      </c>
      <c r="U918" s="10" t="s">
        <v>629</v>
      </c>
    </row>
    <row r="919" spans="1:21" hidden="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36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37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38"/>
        <v>1</v>
      </c>
      <c r="U919" s="10" t="s">
        <v>629</v>
      </c>
    </row>
    <row r="920" spans="1:21" hidden="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36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37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38"/>
        <v>1</v>
      </c>
      <c r="U920" s="10" t="s">
        <v>629</v>
      </c>
    </row>
    <row r="921" spans="1:21" hidden="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36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37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38"/>
        <v>2</v>
      </c>
      <c r="U921" s="10" t="s">
        <v>629</v>
      </c>
    </row>
    <row r="922" spans="1:21" hidden="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36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37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38"/>
        <v>1</v>
      </c>
      <c r="U922" s="10" t="s">
        <v>629</v>
      </c>
    </row>
    <row r="923" spans="1:21" hidden="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36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37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38"/>
        <v>1</v>
      </c>
      <c r="U923" s="10" t="s">
        <v>629</v>
      </c>
    </row>
    <row r="924" spans="1:2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36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37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38"/>
        <v>1</v>
      </c>
      <c r="U924" s="10" t="s">
        <v>629</v>
      </c>
    </row>
    <row r="925" spans="1:2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36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37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38"/>
        <v>1</v>
      </c>
      <c r="U925" s="10" t="s">
        <v>629</v>
      </c>
    </row>
    <row r="926" spans="1:2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36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37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38"/>
        <v>1</v>
      </c>
      <c r="U926" s="10" t="s">
        <v>629</v>
      </c>
    </row>
    <row r="927" spans="1:2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36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37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38"/>
        <v>1</v>
      </c>
      <c r="U927" s="10" t="s">
        <v>717</v>
      </c>
    </row>
    <row r="928" spans="1:2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36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37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38"/>
        <v>1</v>
      </c>
      <c r="U928" s="10" t="s">
        <v>716</v>
      </c>
    </row>
    <row r="929" spans="1:2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36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37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38"/>
        <v>1</v>
      </c>
      <c r="U929" s="10" t="s">
        <v>715</v>
      </c>
    </row>
    <row r="930" spans="1:2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36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37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38"/>
        <v>2</v>
      </c>
      <c r="U930" s="10" t="s">
        <v>714</v>
      </c>
    </row>
    <row r="931" spans="1:2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36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37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38"/>
        <v>1</v>
      </c>
      <c r="U931" s="10" t="s">
        <v>629</v>
      </c>
    </row>
    <row r="932" spans="1:2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36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37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38"/>
        <v>2</v>
      </c>
      <c r="U932" s="10" t="s">
        <v>629</v>
      </c>
    </row>
    <row r="933" spans="1:2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36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37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38"/>
        <v>5</v>
      </c>
      <c r="U933" s="10" t="s">
        <v>629</v>
      </c>
    </row>
    <row r="934" spans="1:2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36"/>
        <v/>
      </c>
      <c r="L934" s="7" t="str">
        <f>IF(VLOOKUP(A934,'[1]LISTA ETIQUETAS'!O:AB,14,0)="","",(VLOOKUP(A934,'[1]LISTA ETIQUETAS'!O:AB,14,0)))</f>
        <v/>
      </c>
      <c r="M934" s="8"/>
      <c r="N934" s="9">
        <f t="shared" si="37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38"/>
        <v>1</v>
      </c>
      <c r="U934" s="10" t="s">
        <v>629</v>
      </c>
    </row>
    <row r="935" spans="1:2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36"/>
        <v/>
      </c>
      <c r="L935" s="7" t="str">
        <f>IF(VLOOKUP(A935,'[1]LISTA ETIQUETAS'!O:AB,14,0)="","",(VLOOKUP(A935,'[1]LISTA ETIQUETAS'!O:AB,14,0)))</f>
        <v/>
      </c>
      <c r="M935" s="8"/>
      <c r="N935" s="9">
        <f t="shared" si="37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38"/>
        <v>1</v>
      </c>
      <c r="U935" s="10" t="s">
        <v>629</v>
      </c>
    </row>
    <row r="936" spans="1:2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36"/>
        <v/>
      </c>
      <c r="L936" s="7" t="str">
        <f>IF(VLOOKUP(A936,'[1]LISTA ETIQUETAS'!O:AB,14,0)="","",(VLOOKUP(A936,'[1]LISTA ETIQUETAS'!O:AB,14,0)))</f>
        <v/>
      </c>
      <c r="M936" s="8"/>
      <c r="N936" s="9">
        <f t="shared" si="37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38"/>
        <v>1</v>
      </c>
      <c r="U936" s="10" t="s">
        <v>629</v>
      </c>
    </row>
    <row r="937" spans="1:2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36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37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38"/>
        <v>1</v>
      </c>
      <c r="U937" s="10" t="s">
        <v>713</v>
      </c>
    </row>
    <row r="938" spans="1:2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36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37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38"/>
        <v>1</v>
      </c>
      <c r="U938" s="10" t="s">
        <v>629</v>
      </c>
    </row>
    <row r="939" spans="1:2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36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37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38"/>
        <v>1</v>
      </c>
      <c r="U939" s="10" t="s">
        <v>712</v>
      </c>
    </row>
    <row r="940" spans="1:2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36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37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38"/>
        <v>1</v>
      </c>
      <c r="U940" s="10" t="s">
        <v>711</v>
      </c>
    </row>
    <row r="941" spans="1:2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36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37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38"/>
        <v>1</v>
      </c>
      <c r="U941" s="10" t="s">
        <v>710</v>
      </c>
    </row>
    <row r="942" spans="1:2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36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37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38"/>
        <v>1</v>
      </c>
      <c r="U942" s="10" t="s">
        <v>629</v>
      </c>
    </row>
    <row r="943" spans="1:2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36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37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38"/>
        <v>1</v>
      </c>
      <c r="U943" s="10" t="s">
        <v>629</v>
      </c>
    </row>
    <row r="944" spans="1:2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36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37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38"/>
        <v>1</v>
      </c>
      <c r="U944" s="10" t="s">
        <v>629</v>
      </c>
    </row>
    <row r="945" spans="1:2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36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37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38"/>
        <v>1</v>
      </c>
      <c r="U945" s="10" t="s">
        <v>629</v>
      </c>
    </row>
    <row r="946" spans="1:2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36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37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38"/>
        <v>2</v>
      </c>
      <c r="U946" s="10" t="s">
        <v>629</v>
      </c>
    </row>
    <row r="947" spans="1:2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36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37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38"/>
        <v>2</v>
      </c>
      <c r="U947" s="10" t="s">
        <v>629</v>
      </c>
    </row>
    <row r="948" spans="1:2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36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37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38"/>
        <v>1</v>
      </c>
      <c r="U948" s="10" t="s">
        <v>629</v>
      </c>
    </row>
    <row r="949" spans="1:2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36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37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38"/>
        <v>1</v>
      </c>
      <c r="U949" s="10" t="s">
        <v>629</v>
      </c>
    </row>
    <row r="950" spans="1:2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36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37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38"/>
        <v>3</v>
      </c>
      <c r="U950" s="10" t="s">
        <v>629</v>
      </c>
    </row>
    <row r="951" spans="1:2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36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37"/>
        <v>334162</v>
      </c>
      <c r="O951" s="2">
        <f>_xlfn.XLOOKUP($A951,'[1]LISTA ETIQUETAS'!$O:$O,'[1]LISTA ETIQUETAS'!C:C,"",0)</f>
        <v>1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0</v>
      </c>
      <c r="T951" s="9">
        <f t="shared" si="38"/>
        <v>1</v>
      </c>
      <c r="U951" s="10" t="s">
        <v>629</v>
      </c>
    </row>
    <row r="952" spans="1:2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36"/>
        <v/>
      </c>
      <c r="L952" s="7" t="str">
        <f>IF(VLOOKUP(A952,'[1]LISTA ETIQUETAS'!O:AB,14,0)="","",(VLOOKUP(A952,'[1]LISTA ETIQUETAS'!O:AB,14,0)))</f>
        <v/>
      </c>
      <c r="M952" s="8"/>
      <c r="N952" s="9">
        <f t="shared" si="37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38"/>
        <v>1</v>
      </c>
      <c r="U952" s="10" t="s">
        <v>629</v>
      </c>
    </row>
    <row r="953" spans="1:2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36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37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38"/>
        <v>1</v>
      </c>
      <c r="U953" s="10" t="s">
        <v>709</v>
      </c>
    </row>
    <row r="954" spans="1:2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36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37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38"/>
        <v>1</v>
      </c>
      <c r="U954" s="10" t="s">
        <v>708</v>
      </c>
    </row>
    <row r="955" spans="1:2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36"/>
        <v/>
      </c>
      <c r="L955" s="7" t="str">
        <f>IF(VLOOKUP(A955,'[1]LISTA ETIQUETAS'!O:AB,14,0)="","",(VLOOKUP(A955,'[1]LISTA ETIQUETAS'!O:AB,14,0)))</f>
        <v/>
      </c>
      <c r="M955" s="8"/>
      <c r="N955" s="9">
        <f t="shared" si="37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38"/>
        <v>1</v>
      </c>
      <c r="U955" s="10" t="s">
        <v>629</v>
      </c>
    </row>
    <row r="956" spans="1:2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36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37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38"/>
        <v>1</v>
      </c>
      <c r="U956" s="10" t="s">
        <v>707</v>
      </c>
    </row>
    <row r="957" spans="1:2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36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37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38"/>
        <v>1</v>
      </c>
      <c r="U957" s="10" t="s">
        <v>706</v>
      </c>
    </row>
    <row r="958" spans="1:2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36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37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38"/>
        <v>1</v>
      </c>
      <c r="U958" s="10" t="s">
        <v>629</v>
      </c>
    </row>
    <row r="959" spans="1:2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36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37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38"/>
        <v>1</v>
      </c>
      <c r="U959" s="10" t="s">
        <v>705</v>
      </c>
    </row>
    <row r="960" spans="1:2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36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37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38"/>
        <v>1</v>
      </c>
      <c r="U960" s="10" t="s">
        <v>704</v>
      </c>
    </row>
    <row r="961" spans="1:2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36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37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38"/>
        <v>1</v>
      </c>
      <c r="U961" s="10" t="s">
        <v>703</v>
      </c>
    </row>
    <row r="962" spans="1:2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36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37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38"/>
        <v>1</v>
      </c>
      <c r="U962" s="10" t="s">
        <v>702</v>
      </c>
    </row>
    <row r="963" spans="1:2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39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37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38"/>
        <v>1</v>
      </c>
      <c r="U963" s="10" t="s">
        <v>701</v>
      </c>
    </row>
    <row r="964" spans="1:2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39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0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1">SUM(O964:S964)</f>
        <v>1</v>
      </c>
      <c r="U964" s="10" t="s">
        <v>700</v>
      </c>
    </row>
    <row r="965" spans="1:2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39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0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1"/>
        <v>1</v>
      </c>
      <c r="U965" s="10" t="s">
        <v>699</v>
      </c>
    </row>
    <row r="966" spans="1:2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39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0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1"/>
        <v>1</v>
      </c>
      <c r="U966" s="10" t="s">
        <v>698</v>
      </c>
    </row>
    <row r="967" spans="1:2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39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0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1"/>
        <v>1</v>
      </c>
      <c r="U967" s="10" t="s">
        <v>697</v>
      </c>
    </row>
    <row r="968" spans="1:2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39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0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1"/>
        <v>1</v>
      </c>
      <c r="U968" s="10" t="s">
        <v>629</v>
      </c>
    </row>
    <row r="969" spans="1:21" hidden="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39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0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1"/>
        <v>3</v>
      </c>
      <c r="U969" s="10" t="s">
        <v>629</v>
      </c>
    </row>
    <row r="970" spans="1:21" hidden="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39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0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1"/>
        <v>3</v>
      </c>
      <c r="U970" s="10" t="s">
        <v>629</v>
      </c>
    </row>
    <row r="971" spans="1:21" hidden="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39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0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1"/>
        <v>2</v>
      </c>
      <c r="U971" s="10" t="s">
        <v>629</v>
      </c>
    </row>
    <row r="972" spans="1:21" hidden="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39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0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1"/>
        <v>1</v>
      </c>
      <c r="U972" s="10" t="s">
        <v>629</v>
      </c>
    </row>
    <row r="973" spans="1:21" hidden="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39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0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1"/>
        <v>1</v>
      </c>
      <c r="U973" s="10" t="s">
        <v>629</v>
      </c>
    </row>
    <row r="974" spans="1:21" hidden="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39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0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1"/>
        <v>2</v>
      </c>
      <c r="U974" s="10" t="s">
        <v>629</v>
      </c>
    </row>
    <row r="975" spans="1:21" hidden="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39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0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1"/>
        <v>1</v>
      </c>
      <c r="U975" s="10" t="s">
        <v>629</v>
      </c>
    </row>
    <row r="976" spans="1:21" hidden="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39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0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1"/>
        <v>2</v>
      </c>
      <c r="U976" s="10" t="s">
        <v>629</v>
      </c>
    </row>
    <row r="977" spans="1:21" hidden="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39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0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1"/>
        <v>1</v>
      </c>
      <c r="U977" s="10" t="s">
        <v>629</v>
      </c>
    </row>
    <row r="978" spans="1:21" hidden="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39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0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1"/>
        <v>3</v>
      </c>
      <c r="U978" s="10" t="s">
        <v>629</v>
      </c>
    </row>
    <row r="979" spans="1:21" hidden="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39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0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1"/>
        <v>1</v>
      </c>
      <c r="U979" s="10" t="s">
        <v>629</v>
      </c>
    </row>
    <row r="980" spans="1:21" hidden="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39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0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1"/>
        <v>2</v>
      </c>
      <c r="U980" s="10" t="s">
        <v>629</v>
      </c>
    </row>
    <row r="981" spans="1:21" hidden="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39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0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1"/>
        <v>2</v>
      </c>
      <c r="U981" s="10" t="s">
        <v>629</v>
      </c>
    </row>
    <row r="982" spans="1:21" hidden="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39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0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1"/>
        <v>1</v>
      </c>
      <c r="U982" s="10" t="s">
        <v>629</v>
      </c>
    </row>
    <row r="983" spans="1:21" hidden="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39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0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1"/>
        <v>2</v>
      </c>
      <c r="U983" s="10" t="s">
        <v>629</v>
      </c>
    </row>
    <row r="984" spans="1:21" hidden="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39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0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1"/>
        <v>1</v>
      </c>
      <c r="U984" s="10" t="s">
        <v>629</v>
      </c>
    </row>
    <row r="985" spans="1:21" hidden="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39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0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1"/>
        <v>2</v>
      </c>
      <c r="U985" s="10" t="s">
        <v>629</v>
      </c>
    </row>
    <row r="986" spans="1:21" hidden="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39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0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1"/>
        <v>2</v>
      </c>
      <c r="U986" s="10" t="s">
        <v>629</v>
      </c>
    </row>
    <row r="987" spans="1:21" hidden="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39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0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1"/>
        <v>2</v>
      </c>
      <c r="U987" s="10" t="s">
        <v>629</v>
      </c>
    </row>
    <row r="988" spans="1:21" hidden="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39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0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1"/>
        <v>1</v>
      </c>
      <c r="U988" s="10" t="s">
        <v>629</v>
      </c>
    </row>
    <row r="989" spans="1:21" hidden="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39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0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1"/>
        <v>1</v>
      </c>
      <c r="U989" s="10" t="s">
        <v>629</v>
      </c>
    </row>
    <row r="990" spans="1:21" hidden="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39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0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1"/>
        <v>1</v>
      </c>
      <c r="U990" s="10" t="s">
        <v>629</v>
      </c>
    </row>
    <row r="991" spans="1:21" hidden="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39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0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1"/>
        <v>1</v>
      </c>
      <c r="U991" s="10" t="s">
        <v>629</v>
      </c>
    </row>
    <row r="992" spans="1:21" hidden="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39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0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1"/>
        <v>1</v>
      </c>
      <c r="U992" s="10" t="s">
        <v>629</v>
      </c>
    </row>
    <row r="993" spans="1:21" hidden="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39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0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1"/>
        <v>1</v>
      </c>
      <c r="U993" s="10" t="s">
        <v>629</v>
      </c>
    </row>
    <row r="994" spans="1:21" hidden="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39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0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1"/>
        <v>1</v>
      </c>
      <c r="U994" s="10" t="s">
        <v>629</v>
      </c>
    </row>
    <row r="995" spans="1:21" hidden="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39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0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1"/>
        <v>1</v>
      </c>
      <c r="U995" s="10" t="s">
        <v>629</v>
      </c>
    </row>
    <row r="996" spans="1:21" hidden="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39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0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1"/>
        <v>1</v>
      </c>
      <c r="U996" s="10" t="s">
        <v>629</v>
      </c>
    </row>
    <row r="997" spans="1:21" hidden="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39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0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1"/>
        <v>1</v>
      </c>
      <c r="U997" s="10" t="s">
        <v>629</v>
      </c>
    </row>
    <row r="998" spans="1:21" hidden="1" x14ac:dyDescent="0.25">
      <c r="A998" s="5">
        <v>380312</v>
      </c>
      <c r="B998" t="str">
        <f>IFERROR((VLOOKUP(A998,'[1]LISTA ETIQUETAS'!O:X,3,0)),"PRODUTO SEM ESTOQUE")</f>
        <v>PRODUTO SEM ESTOQUE</v>
      </c>
      <c r="C998" s="10" t="s">
        <v>113</v>
      </c>
      <c r="D998" s="10" t="s">
        <v>114</v>
      </c>
      <c r="E998" s="11" t="e">
        <f>IF(VLOOKUP(A998,'[1]LISTA ETIQUETAS'!O:W,4,0)="",(VLOOKUP(A998,'[1]LISTA ETIQUETAS'!O:W,6,0)),(VLOOKUP(A998,'[1]LISTA ETIQUETAS'!O:W,4,0)))</f>
        <v>#N/A</v>
      </c>
      <c r="F998" s="11" t="e">
        <f>IF(VLOOKUP(A998,'[1]LISTA ETIQUETAS'!O:W,5,0)="",(VLOOKUP(A998,'[1]LISTA ETIQUETAS'!O:W,7,0)),(VLOOKUP(A998,'[1]LISTA ETIQUETAS'!O:W,5,0)))</f>
        <v>#N/A</v>
      </c>
      <c r="G998" s="11" t="str">
        <f>IFERROR((VLOOKUP(A998,'[1]LISTA ETIQUETAS'!O:X,8,0)),"")</f>
        <v/>
      </c>
      <c r="H998" s="11" t="str">
        <f>IFERROR((VLOOKUP(A998,'[1]LISTA ETIQUETAS'!O:X,9,0)),"")</f>
        <v/>
      </c>
      <c r="I998" s="12" t="str">
        <f>IFERROR((VLOOKUP(A998,'[1]LISTA ETIQUETAS'!O:Y,11,0)),"")</f>
        <v/>
      </c>
      <c r="J998" s="6">
        <v>0</v>
      </c>
      <c r="K998" s="12" t="str">
        <f t="shared" si="39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0"/>
        <v>380312</v>
      </c>
      <c r="O998" s="2" t="e">
        <f>_xlfn.XLOOKUP($A998,'[1]LISTA ETIQUETAS'!$O:$O,'[1]LISTA ETIQUETAS'!C:C,"",0)</f>
        <v>#N/A</v>
      </c>
      <c r="P998" s="2" t="e">
        <f>_xlfn.XLOOKUP($A998,'[1]LISTA ETIQUETAS'!$O:$O,'[1]LISTA ETIQUETAS'!D:D,"",0)</f>
        <v>#N/A</v>
      </c>
      <c r="Q998" s="2" t="e">
        <f>_xlfn.XLOOKUP($A998,'[1]LISTA ETIQUETAS'!$O:$O,'[1]LISTA ETIQUETAS'!E:E,"",0)</f>
        <v>#N/A</v>
      </c>
      <c r="R998" s="2" t="e">
        <f>_xlfn.XLOOKUP($A998,'[1]LISTA ETIQUETAS'!$O:$O,'[1]LISTA ETIQUETAS'!F:F,"",0)</f>
        <v>#N/A</v>
      </c>
      <c r="S998" s="2" t="e">
        <f>_xlfn.XLOOKUP($A998,'[1]LISTA ETIQUETAS'!$O:$O,'[1]LISTA ETIQUETAS'!H:H,"",0)</f>
        <v>#N/A</v>
      </c>
      <c r="T998" s="9" t="e">
        <f t="shared" si="41"/>
        <v>#N/A</v>
      </c>
      <c r="U998" s="10" t="s">
        <v>629</v>
      </c>
    </row>
    <row r="999" spans="1:21" hidden="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39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0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1"/>
        <v>1</v>
      </c>
      <c r="U999" s="10" t="s">
        <v>629</v>
      </c>
    </row>
    <row r="1000" spans="1:21" hidden="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39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0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1"/>
        <v>3</v>
      </c>
      <c r="U1000" s="10" t="s">
        <v>629</v>
      </c>
    </row>
    <row r="1001" spans="1:21" hidden="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39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0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1"/>
        <v>1</v>
      </c>
      <c r="U1001" s="10" t="s">
        <v>629</v>
      </c>
    </row>
    <row r="1002" spans="1:21" hidden="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39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0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1"/>
        <v>1</v>
      </c>
      <c r="U1002" s="10" t="s">
        <v>629</v>
      </c>
    </row>
    <row r="1003" spans="1:21" hidden="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39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0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1"/>
        <v>1</v>
      </c>
      <c r="U1003" s="10" t="s">
        <v>629</v>
      </c>
    </row>
    <row r="1004" spans="1:21" hidden="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39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0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1"/>
        <v>2</v>
      </c>
      <c r="U1004" s="10" t="s">
        <v>629</v>
      </c>
    </row>
    <row r="1005" spans="1:21" hidden="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39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0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1"/>
        <v>1</v>
      </c>
      <c r="U1005" s="10" t="s">
        <v>629</v>
      </c>
    </row>
    <row r="1006" spans="1:21" hidden="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39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0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1"/>
        <v>2</v>
      </c>
      <c r="U1006" s="10" t="s">
        <v>629</v>
      </c>
    </row>
    <row r="1007" spans="1:21" hidden="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39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0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1"/>
        <v>1</v>
      </c>
      <c r="U1007" s="10" t="s">
        <v>629</v>
      </c>
    </row>
    <row r="1008" spans="1:21" hidden="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39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0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1"/>
        <v>1</v>
      </c>
      <c r="U1008" s="10" t="s">
        <v>629</v>
      </c>
    </row>
    <row r="1009" spans="1:21" hidden="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39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0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1"/>
        <v>1</v>
      </c>
      <c r="U1009" s="10" t="s">
        <v>629</v>
      </c>
    </row>
    <row r="1010" spans="1:21" hidden="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39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0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1"/>
        <v>1</v>
      </c>
      <c r="U1010" s="10" t="s">
        <v>629</v>
      </c>
    </row>
    <row r="1011" spans="1:21" hidden="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39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0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1"/>
        <v>1</v>
      </c>
      <c r="U1011" s="10" t="s">
        <v>629</v>
      </c>
    </row>
  </sheetData>
  <autoFilter ref="A2:AB1011" xr:uid="{A797188C-EE6D-4103-9686-A7EF3C02BDEA}">
    <filterColumn colId="2">
      <filters>
        <filter val="CLAMI SOFA"/>
      </filters>
    </filterColumn>
  </autoFilter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2025-11-17T11:20:17Z</dcterms:modified>
</cp:coreProperties>
</file>