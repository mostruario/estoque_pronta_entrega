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\"/>
    </mc:Choice>
  </mc:AlternateContent>
  <xr:revisionPtr revIDLastSave="0" documentId="13_ncr:1_{74E14D0D-C71C-4C73-99B6-E13D60829877}" xr6:coauthVersionLast="47" xr6:coauthVersionMax="47" xr10:uidLastSave="{00000000-0000-0000-0000-000000000000}"/>
  <bookViews>
    <workbookView xWindow="-120" yWindow="-120" windowWidth="29040" windowHeight="15720" xr2:uid="{25D354C9-8020-4249-AE76-12327F87B967}"/>
  </bookViews>
  <sheets>
    <sheet name="PRONTA ENTREGA TOTAL" sheetId="1" r:id="rId1"/>
    <sheet name="Planilha1" sheetId="2" r:id="rId2"/>
  </sheets>
  <externalReferences>
    <externalReference r:id="rId3"/>
  </externalReferences>
  <definedNames>
    <definedName name="_xlnm._FilterDatabase" localSheetId="1" hidden="1">Planilha1!$B$1:$H$1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" i="1" l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3" i="1"/>
  <c r="N434" i="1"/>
  <c r="N464" i="1"/>
  <c r="N524" i="1"/>
  <c r="S1011" i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I270" i="1"/>
  <c r="K270" i="1" s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I220" i="1"/>
  <c r="K220" i="1" s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H19" i="1"/>
  <c r="G19" i="1"/>
  <c r="F19" i="1"/>
  <c r="E19" i="1"/>
  <c r="B19" i="1"/>
  <c r="S18" i="1"/>
  <c r="R18" i="1"/>
  <c r="Q18" i="1"/>
  <c r="P18" i="1"/>
  <c r="O18" i="1"/>
  <c r="N18" i="1"/>
  <c r="L18" i="1"/>
  <c r="H18" i="1"/>
  <c r="G18" i="1"/>
  <c r="F18" i="1"/>
  <c r="E18" i="1"/>
  <c r="B18" i="1"/>
  <c r="S17" i="1"/>
  <c r="R17" i="1"/>
  <c r="Q17" i="1"/>
  <c r="P17" i="1"/>
  <c r="O17" i="1"/>
  <c r="N17" i="1"/>
  <c r="L17" i="1"/>
  <c r="H17" i="1"/>
  <c r="G17" i="1"/>
  <c r="F17" i="1"/>
  <c r="E17" i="1"/>
  <c r="B17" i="1"/>
  <c r="S16" i="1"/>
  <c r="R16" i="1"/>
  <c r="Q16" i="1"/>
  <c r="P16" i="1"/>
  <c r="O16" i="1"/>
  <c r="N16" i="1"/>
  <c r="L16" i="1"/>
  <c r="H16" i="1"/>
  <c r="G16" i="1"/>
  <c r="F16" i="1"/>
  <c r="E16" i="1"/>
  <c r="B16" i="1"/>
  <c r="S15" i="1"/>
  <c r="R15" i="1"/>
  <c r="Q15" i="1"/>
  <c r="P15" i="1"/>
  <c r="O15" i="1"/>
  <c r="N15" i="1"/>
  <c r="L15" i="1"/>
  <c r="H15" i="1"/>
  <c r="G15" i="1"/>
  <c r="F15" i="1"/>
  <c r="E15" i="1"/>
  <c r="B15" i="1"/>
  <c r="S14" i="1"/>
  <c r="R14" i="1"/>
  <c r="Q14" i="1"/>
  <c r="P14" i="1"/>
  <c r="O14" i="1"/>
  <c r="N14" i="1"/>
  <c r="L14" i="1"/>
  <c r="H14" i="1"/>
  <c r="G14" i="1"/>
  <c r="F14" i="1"/>
  <c r="E14" i="1"/>
  <c r="B14" i="1"/>
  <c r="S13" i="1"/>
  <c r="R13" i="1"/>
  <c r="Q13" i="1"/>
  <c r="P13" i="1"/>
  <c r="O13" i="1"/>
  <c r="N13" i="1"/>
  <c r="L13" i="1"/>
  <c r="H13" i="1"/>
  <c r="G13" i="1"/>
  <c r="F13" i="1"/>
  <c r="E13" i="1"/>
  <c r="B13" i="1"/>
  <c r="S12" i="1"/>
  <c r="R12" i="1"/>
  <c r="Q12" i="1"/>
  <c r="P12" i="1"/>
  <c r="O12" i="1"/>
  <c r="N12" i="1"/>
  <c r="L12" i="1"/>
  <c r="H12" i="1"/>
  <c r="G12" i="1"/>
  <c r="F12" i="1"/>
  <c r="E12" i="1"/>
  <c r="B12" i="1"/>
  <c r="S11" i="1"/>
  <c r="R11" i="1"/>
  <c r="Q11" i="1"/>
  <c r="P11" i="1"/>
  <c r="O11" i="1"/>
  <c r="N11" i="1"/>
  <c r="L11" i="1"/>
  <c r="H11" i="1"/>
  <c r="G11" i="1"/>
  <c r="F11" i="1"/>
  <c r="E11" i="1"/>
  <c r="B11" i="1"/>
  <c r="S10" i="1"/>
  <c r="R10" i="1"/>
  <c r="Q10" i="1"/>
  <c r="P10" i="1"/>
  <c r="O10" i="1"/>
  <c r="N10" i="1"/>
  <c r="L10" i="1"/>
  <c r="H10" i="1"/>
  <c r="G10" i="1"/>
  <c r="F10" i="1"/>
  <c r="E10" i="1"/>
  <c r="B10" i="1"/>
  <c r="S9" i="1"/>
  <c r="R9" i="1"/>
  <c r="Q9" i="1"/>
  <c r="P9" i="1"/>
  <c r="O9" i="1"/>
  <c r="N9" i="1"/>
  <c r="L9" i="1"/>
  <c r="H9" i="1"/>
  <c r="G9" i="1"/>
  <c r="F9" i="1"/>
  <c r="E9" i="1"/>
  <c r="B9" i="1"/>
  <c r="S8" i="1"/>
  <c r="R8" i="1"/>
  <c r="Q8" i="1"/>
  <c r="P8" i="1"/>
  <c r="O8" i="1"/>
  <c r="N8" i="1"/>
  <c r="L8" i="1"/>
  <c r="H8" i="1"/>
  <c r="G8" i="1"/>
  <c r="F8" i="1"/>
  <c r="E8" i="1"/>
  <c r="B8" i="1"/>
  <c r="S7" i="1"/>
  <c r="R7" i="1"/>
  <c r="Q7" i="1"/>
  <c r="P7" i="1"/>
  <c r="O7" i="1"/>
  <c r="N7" i="1"/>
  <c r="L7" i="1"/>
  <c r="H7" i="1"/>
  <c r="G7" i="1"/>
  <c r="F7" i="1"/>
  <c r="E7" i="1"/>
  <c r="B7" i="1"/>
  <c r="S6" i="1"/>
  <c r="R6" i="1"/>
  <c r="Q6" i="1"/>
  <c r="P6" i="1"/>
  <c r="O6" i="1"/>
  <c r="N6" i="1"/>
  <c r="L6" i="1"/>
  <c r="H6" i="1"/>
  <c r="G6" i="1"/>
  <c r="F6" i="1"/>
  <c r="E6" i="1"/>
  <c r="B6" i="1"/>
  <c r="S5" i="1"/>
  <c r="R5" i="1"/>
  <c r="Q5" i="1"/>
  <c r="P5" i="1"/>
  <c r="O5" i="1"/>
  <c r="N5" i="1"/>
  <c r="L5" i="1"/>
  <c r="H5" i="1"/>
  <c r="G5" i="1"/>
  <c r="F5" i="1"/>
  <c r="E5" i="1"/>
  <c r="B5" i="1"/>
  <c r="S4" i="1"/>
  <c r="R4" i="1"/>
  <c r="Q4" i="1"/>
  <c r="P4" i="1"/>
  <c r="O4" i="1"/>
  <c r="N4" i="1"/>
  <c r="L4" i="1"/>
  <c r="H4" i="1"/>
  <c r="G4" i="1"/>
  <c r="F4" i="1"/>
  <c r="E4" i="1"/>
  <c r="B4" i="1"/>
  <c r="S3" i="1"/>
  <c r="R3" i="1"/>
  <c r="Q3" i="1"/>
  <c r="P3" i="1"/>
  <c r="O3" i="1"/>
  <c r="N3" i="1"/>
  <c r="L3" i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sharedStrings.xml><?xml version="1.0" encoding="utf-8"?>
<sst xmlns="http://schemas.openxmlformats.org/spreadsheetml/2006/main" count="4025" uniqueCount="2052">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</sst>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14" fontId="3" fillId="0" borderId="0" xfId="0" applyNumberFormat="1" applyFont="1" applyAlignment="1">
      <alignment horizontal="center" vertical="center"/>
    </xf>
    <xf numFmtId="0" fontId="4" fillId="0" borderId="0" xfId="3"/>
    <xf numFmtId="0" fontId="2" fillId="0" borderId="0" xfId="0" applyFont="1" applyAlignment="1">
      <alignment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\\192.168.0.4\Produtos\PRODUTO_PRONTA_ENTREGA\static\IMAGENS_PRODUTOS\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file:///\\192.168.0.4\Produtos\PRODUTO_PRONTA_ENTREGA\static\IMAGENS_PRODUTOS\SEM%20IMAGEM.jpg" TargetMode="External"/><Relationship Id="rId4" Type="http://schemas.openxmlformats.org/officeDocument/2006/relationships/hyperlink" Target="file:///\\192.168.0.4\Produtos\PRODUTO_PRONTA_ENTREGA\static\IMAGENS_PRODUTOS\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011"/>
  <sheetViews>
    <sheetView tabSelected="1" topLeftCell="H1" zoomScale="85" zoomScaleNormal="85" workbookViewId="0">
      <pane ySplit="2" topLeftCell="A3" activePane="bottomLeft" state="frozen"/>
      <selection pane="bottomLeft" activeCell="U29" sqref="U29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49" style="9" bestFit="1" customWidth="1"/>
    <col min="15" max="15" width="19" style="2" hidden="1" customWidth="1"/>
    <col min="16" max="16" width="15" style="2" hidden="1" customWidth="1"/>
    <col min="17" max="17" width="13.7109375" style="2" hidden="1" customWidth="1"/>
    <col min="18" max="18" width="14.42578125" style="2" hidden="1" customWidth="1"/>
    <col min="19" max="19" width="10" style="2" hidden="1" customWidth="1"/>
    <col min="20" max="20" width="14.85546875" style="9" customWidth="1"/>
    <col min="21" max="21" width="112.85546875" style="10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6" t="s">
        <v>627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" t="s">
        <v>0</v>
      </c>
      <c r="AA1" s="14">
        <v>45962</v>
      </c>
      <c r="AB1" s="14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42437.61</v>
      </c>
      <c r="J3" s="6">
        <v>0</v>
      </c>
      <c r="K3" s="12">
        <f t="shared" ref="K3:K22" si="0">IFERROR(I3-I3*J3,"")</f>
        <v>42437.61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tr">
        <f>IFERROR((VLOOKUP(A3,Planilha1!A:B,2,0)),"\\192.168.0.4\Produtos\PRODUTO_PRONTA_ENTREGA\static\IMAGENS_PRODUTOS\SEM IMAGEM.jpg")</f>
        <v>\\192.168.0.4\Produtos\PRODUTO_PRONTA_ENTREGA\static\IMAGENS_PRODUTOS\SEM IMAGEM.jpg</v>
      </c>
      <c r="V3" t="str">
        <f>IFERROR((VLOOKUP(A3,Planilha1!A:B,2,0)),"\\192.168.0.4\Produtos\PRODUTO_PRONTA_ENTREGA\static\IMAGENS_PRODUTOS\SEM IMAGEM.jpg")</f>
        <v>\\192.168.0.4\Produtos\PRODUTO_PRONTA_ENTREGA\static\IMAGENS_PRODUTOS\SEM IMAGEM.jpg</v>
      </c>
    </row>
    <row r="4" spans="1:28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42437.61</v>
      </c>
      <c r="J4" s="6">
        <v>0</v>
      </c>
      <c r="K4" s="12">
        <f t="shared" si="0"/>
        <v>42437.61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22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22" si="2">SUM(O4:S4)</f>
        <v>1</v>
      </c>
      <c r="U4" s="10" t="str">
        <f>IFERROR((VLOOKUP(A4,Planilha1!A:B,2,0)),"\\192.168.0.4\Produtos\PRODUTO_PRONTA_ENTREGA\static\IMAGENS_PRODUTOS\SEM IMAGEM.jpg")</f>
        <v>\\192.168.0.4\Produtos\PRODUTO_PRONTA_ENTREGA\static\IMAGENS_PRODUTOS\SEM IMAGEM.jpg</v>
      </c>
      <c r="V4" t="str">
        <f>IFERROR((VLOOKUP(A4,Planilha1!A:B,2,0)),"\\192.168.0.4\Produtos\PRODUTO_PRONTA_ENTREGA\static\IMAGENS_PRODUTOS\SEM IMAGEM.jpg")</f>
        <v>\\192.168.0.4\Produtos\PRODUTO_PRONTA_ENTREGA\static\IMAGENS_PRODUTOS\SEM IMAGEM.jpg</v>
      </c>
    </row>
    <row r="5" spans="1:28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42437.61</v>
      </c>
      <c r="J5" s="6">
        <v>0</v>
      </c>
      <c r="K5" s="12">
        <f t="shared" si="0"/>
        <v>42437.61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tr">
        <f>IFERROR((VLOOKUP(A5,Planilha1!A:B,2,0)),"\\192.168.0.4\Produtos\PRODUTO_PRONTA_ENTREGA\static\IMAGENS_PRODUTOS\SEM IMAGEM.jpg")</f>
        <v>\\192.168.0.4\Produtos\PRODUTO_PRONTA_ENTREGA\static\IMAGENS_PRODUTOS\SEM IMAGEM.jpg</v>
      </c>
      <c r="V5" t="str">
        <f>IFERROR((VLOOKUP(A5,Planilha1!A:B,2,0)),"\\192.168.0.4\Produtos\PRODUTO_PRONTA_ENTREGA\static\IMAGENS_PRODUTOS\SEM IMAGEM.jpg")</f>
        <v>\\192.168.0.4\Produtos\PRODUTO_PRONTA_ENTREGA\static\IMAGENS_PRODUTOS\SEM IMAGEM.jpg</v>
      </c>
      <c r="Z5" s="10" t="s">
        <v>628</v>
      </c>
    </row>
    <row r="6" spans="1:28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76594.740000000005</v>
      </c>
      <c r="J6" s="6">
        <v>0</v>
      </c>
      <c r="K6" s="12">
        <f t="shared" si="0"/>
        <v>76594.740000000005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tr">
        <f>IFERROR((VLOOKUP(A6,Planilha1!A:B,2,0)),"\\192.168.0.4\Produtos\PRODUTO_PRONTA_ENTREGA\static\IMAGENS_PRODUTOS\SEM IMAGEM.jpg")</f>
        <v>\\192.168.0.4\Produtos\PRODUTO_PRONTA_ENTREGA\static\IMAGENS_PRODUTOS\SOFA SONETO_379922_379923.jpg</v>
      </c>
      <c r="V6" t="str">
        <f>IFERROR((VLOOKUP(A6,Planilha1!A:B,2,0)),"\\192.168.0.4\Produtos\PRODUTO_PRONTA_ENTREGA\static\IMAGENS_PRODUTOS\SEM IMAGEM.jpg")</f>
        <v>\\192.168.0.4\Produtos\PRODUTO_PRONTA_ENTREGA\static\IMAGENS_PRODUTOS\SOFA SONETO_379922_379923.jpg</v>
      </c>
    </row>
    <row r="7" spans="1:28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76594.740000000005</v>
      </c>
      <c r="J7" s="6">
        <v>0</v>
      </c>
      <c r="K7" s="12">
        <f t="shared" si="0"/>
        <v>76594.740000000005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tr">
        <f>IFERROR((VLOOKUP(A7,Planilha1!A:B,2,0)),"\\192.168.0.4\Produtos\PRODUTO_PRONTA_ENTREGA\static\IMAGENS_PRODUTOS\SEM IMAGEM.jpg")</f>
        <v>\\192.168.0.4\Produtos\PRODUTO_PRONTA_ENTREGA\static\IMAGENS_PRODUTOS\SOFA SONETO_379922_379923.jpg</v>
      </c>
      <c r="V7" t="str">
        <f>IFERROR((VLOOKUP(A7,Planilha1!A:B,2,0)),"\\192.168.0.4\Produtos\PRODUTO_PRONTA_ENTREGA\static\IMAGENS_PRODUTOS\SEM IMAGEM.jpg")</f>
        <v>\\192.168.0.4\Produtos\PRODUTO_PRONTA_ENTREGA\static\IMAGENS_PRODUTOS\SOFA SONETO_379922_379923.jpg</v>
      </c>
    </row>
    <row r="8" spans="1:28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69272.45</v>
      </c>
      <c r="J8" s="6">
        <v>0</v>
      </c>
      <c r="K8" s="12">
        <f t="shared" si="0"/>
        <v>69272.45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tr">
        <f>IFERROR((VLOOKUP(A8,Planilha1!A:B,2,0)),"\\192.168.0.4\Produtos\PRODUTO_PRONTA_ENTREGA\static\IMAGENS_PRODUTOS\SEM IMAGEM.jpg")</f>
        <v>\\192.168.0.4\Produtos\PRODUTO_PRONTA_ENTREGA\static\IMAGENS_PRODUTOS\SEM IMAGEM.jpg</v>
      </c>
      <c r="V8" t="str">
        <f>IFERROR((VLOOKUP(A8,Planilha1!A:B,2,0)),"\\192.168.0.4\Produtos\PRODUTO_PRONTA_ENTREGA\static\IMAGENS_PRODUTOS\SEM IMAGEM.jpg")</f>
        <v>\\192.168.0.4\Produtos\PRODUTO_PRONTA_ENTREGA\static\IMAGENS_PRODUTOS\SEM IMAGEM.jpg</v>
      </c>
    </row>
    <row r="9" spans="1:28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69272.45</v>
      </c>
      <c r="J9" s="6">
        <v>0</v>
      </c>
      <c r="K9" s="12">
        <f t="shared" si="0"/>
        <v>69272.45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tr">
        <f>IFERROR((VLOOKUP(A9,Planilha1!A:B,2,0)),"\\192.168.0.4\Produtos\PRODUTO_PRONTA_ENTREGA\static\IMAGENS_PRODUTOS\SEM IMAGEM.jpg")</f>
        <v>\\192.168.0.4\Produtos\PRODUTO_PRONTA_ENTREGA\static\IMAGENS_PRODUTOS\SEM IMAGEM.jpg</v>
      </c>
      <c r="V9" t="str">
        <f>IFERROR((VLOOKUP(A9,Planilha1!A:B,2,0)),"\\192.168.0.4\Produtos\PRODUTO_PRONTA_ENTREGA\static\IMAGENS_PRODUTOS\SEM IMAGEM.jpg")</f>
        <v>\\192.168.0.4\Produtos\PRODUTO_PRONTA_ENTREGA\static\IMAGENS_PRODUTOS\SEM IMAGEM.jpg</v>
      </c>
    </row>
    <row r="10" spans="1:28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69272.45</v>
      </c>
      <c r="J10" s="6">
        <v>0</v>
      </c>
      <c r="K10" s="12">
        <f t="shared" si="0"/>
        <v>69272.45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tr">
        <f>IFERROR((VLOOKUP(A10,Planilha1!A:B,2,0)),"\\192.168.0.4\Produtos\PRODUTO_PRONTA_ENTREGA\static\IMAGENS_PRODUTOS\SEM IMAGEM.jpg")</f>
        <v>\\192.168.0.4\Produtos\PRODUTO_PRONTA_ENTREGA\static\IMAGENS_PRODUTOS\SEM IMAGEM.jpg</v>
      </c>
      <c r="V10" t="str">
        <f>IFERROR((VLOOKUP(A10,Planilha1!A:B,2,0)),"\\192.168.0.4\Produtos\PRODUTO_PRONTA_ENTREGA\static\IMAGENS_PRODUTOS\SEM IMAGEM.jpg")</f>
        <v>\\192.168.0.4\Produtos\PRODUTO_PRONTA_ENTREGA\static\IMAGENS_PRODUTOS\SEM IMAGEM.jpg</v>
      </c>
    </row>
    <row r="11" spans="1:28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63416.46</v>
      </c>
      <c r="J11" s="6">
        <v>0</v>
      </c>
      <c r="K11" s="12">
        <f t="shared" si="0"/>
        <v>63416.46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tr">
        <f>IFERROR((VLOOKUP(A11,Planilha1!A:B,2,0)),"\\192.168.0.4\Produtos\PRODUTO_PRONTA_ENTREGA\static\IMAGENS_PRODUTOS\SEM IMAGEM.jpg")</f>
        <v>\\192.168.0.4\Produtos\PRODUTO_PRONTA_ENTREGA\static\IMAGENS_PRODUTOS\SEM IMAGEM.jpg</v>
      </c>
      <c r="V11" t="str">
        <f>IFERROR((VLOOKUP(A11,Planilha1!A:B,2,0)),"\\192.168.0.4\Produtos\PRODUTO_PRONTA_ENTREGA\static\IMAGENS_PRODUTOS\SEM IMAGEM.jpg")</f>
        <v>\\192.168.0.4\Produtos\PRODUTO_PRONTA_ENTREGA\static\IMAGENS_PRODUTOS\SEM IMAGEM.jpg</v>
      </c>
    </row>
    <row r="12" spans="1:28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63416.46</v>
      </c>
      <c r="J12" s="6">
        <v>0</v>
      </c>
      <c r="K12" s="12">
        <f t="shared" si="0"/>
        <v>63416.46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tr">
        <f>IFERROR((VLOOKUP(A12,Planilha1!A:B,2,0)),"\\192.168.0.4\Produtos\PRODUTO_PRONTA_ENTREGA\static\IMAGENS_PRODUTOS\SEM IMAGEM.jpg")</f>
        <v>\\192.168.0.4\Produtos\PRODUTO_PRONTA_ENTREGA\static\IMAGENS_PRODUTOS\SEM IMAGEM.jpg</v>
      </c>
      <c r="V12" t="str">
        <f>IFERROR((VLOOKUP(A12,Planilha1!A:B,2,0)),"\\192.168.0.4\Produtos\PRODUTO_PRONTA_ENTREGA\static\IMAGENS_PRODUTOS\SEM IMAGEM.jpg")</f>
        <v>\\192.168.0.4\Produtos\PRODUTO_PRONTA_ENTREGA\static\IMAGENS_PRODUTOS\SEM IMAGEM.jpg</v>
      </c>
    </row>
    <row r="13" spans="1:28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tr">
        <f>IFERROR((VLOOKUP(A13,Planilha1!A:B,2,0)),"\\192.168.0.4\Produtos\PRODUTO_PRONTA_ENTREGA\static\IMAGENS_PRODUTOS\SEM IMAGEM.jpg")</f>
        <v>\\192.168.0.4\Produtos\PRODUTO_PRONTA_ENTREGA\static\IMAGENS_PRODUTOS\SEM IMAGEM.jpg</v>
      </c>
      <c r="V13" t="str">
        <f>IFERROR((VLOOKUP(A13,Planilha1!A:B,2,0)),"\\192.168.0.4\Produtos\PRODUTO_PRONTA_ENTREGA\static\IMAGENS_PRODUTOS\SEM IMAGEM.jpg")</f>
        <v>\\192.168.0.4\Produtos\PRODUTO_PRONTA_ENTREGA\static\IMAGENS_PRODUTOS\SEM IMAGEM.jpg</v>
      </c>
    </row>
    <row r="14" spans="1:28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tr">
        <f>IFERROR((VLOOKUP(A14,Planilha1!A:B,2,0)),"\\192.168.0.4\Produtos\PRODUTO_PRONTA_ENTREGA\static\IMAGENS_PRODUTOS\SEM IMAGEM.jpg")</f>
        <v>\\192.168.0.4\Produtos\PRODUTO_PRONTA_ENTREGA\static\IMAGENS_PRODUTOS\SEM IMAGEM.jpg</v>
      </c>
      <c r="V14" t="str">
        <f>IFERROR((VLOOKUP(A14,Planilha1!A:B,2,0)),"\\192.168.0.4\Produtos\PRODUTO_PRONTA_ENTREGA\static\IMAGENS_PRODUTOS\SEM IMAGEM.jpg")</f>
        <v>\\192.168.0.4\Produtos\PRODUTO_PRONTA_ENTREGA\static\IMAGENS_PRODUTOS\SEM IMAGEM.jpg</v>
      </c>
    </row>
    <row r="15" spans="1:28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tr">
        <f>IFERROR((VLOOKUP(A15,Planilha1!A:B,2,0)),"\\192.168.0.4\Produtos\PRODUTO_PRONTA_ENTREGA\static\IMAGENS_PRODUTOS\SEM IMAGEM.jpg")</f>
        <v>\\192.168.0.4\Produtos\PRODUTO_PRONTA_ENTREGA\static\IMAGENS_PRODUTOS\SEM IMAGEM.jpg</v>
      </c>
      <c r="V15" t="str">
        <f>IFERROR((VLOOKUP(A15,Planilha1!A:B,2,0)),"\\192.168.0.4\Produtos\PRODUTO_PRONTA_ENTREGA\static\IMAGENS_PRODUTOS\SEM IMAGEM.jpg")</f>
        <v>\\192.168.0.4\Produtos\PRODUTO_PRONTA_ENTREGA\static\IMAGENS_PRODUTOS\SEM IMAGEM.jpg</v>
      </c>
    </row>
    <row r="16" spans="1:28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tr">
        <f>IFERROR((VLOOKUP(A16,Planilha1!A:B,2,0)),"\\192.168.0.4\Produtos\PRODUTO_PRONTA_ENTREGA\static\IMAGENS_PRODUTOS\SEM IMAGEM.jpg")</f>
        <v>\\192.168.0.4\Produtos\PRODUTO_PRONTA_ENTREGA\static\IMAGENS_PRODUTOS\SEM IMAGEM.jpg</v>
      </c>
      <c r="V16" t="str">
        <f>IFERROR((VLOOKUP(A16,Planilha1!A:B,2,0)),"\\192.168.0.4\Produtos\PRODUTO_PRONTA_ENTREGA\static\IMAGENS_PRODUTOS\SEM IMAGEM.jpg")</f>
        <v>\\192.168.0.4\Produtos\PRODUTO_PRONTA_ENTREGA\static\IMAGENS_PRODUTOS\SEM IMAGEM.jpg</v>
      </c>
    </row>
    <row r="17" spans="1:22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tr">
        <f>IFERROR((VLOOKUP(A17,Planilha1!A:B,2,0)),"\\192.168.0.4\Produtos\PRODUTO_PRONTA_ENTREGA\static\IMAGENS_PRODUTOS\SEM IMAGEM.jpg")</f>
        <v>\\192.168.0.4\Produtos\PRODUTO_PRONTA_ENTREGA\static\IMAGENS_PRODUTOS\SEM IMAGEM.jpg</v>
      </c>
      <c r="V17" t="str">
        <f>IFERROR((VLOOKUP(A17,Planilha1!A:B,2,0)),"\\192.168.0.4\Produtos\PRODUTO_PRONTA_ENTREGA\static\IMAGENS_PRODUTOS\SEM IMAGEM.jpg")</f>
        <v>\\192.168.0.4\Produtos\PRODUTO_PRONTA_ENTREGA\static\IMAGENS_PRODUTOS\SEM IMAGEM.jpg</v>
      </c>
    </row>
    <row r="18" spans="1:22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tr">
        <f>IFERROR((VLOOKUP(A18,Planilha1!A:B,2,0)),"\\192.168.0.4\Produtos\PRODUTO_PRONTA_ENTREGA\static\IMAGENS_PRODUTOS\SEM IMAGEM.jpg")</f>
        <v>\\192.168.0.4\Produtos\PRODUTO_PRONTA_ENTREGA\static\IMAGENS_PRODUTOS\SEM IMAGEM.jpg</v>
      </c>
      <c r="V18" t="str">
        <f>IFERROR((VLOOKUP(A18,Planilha1!A:B,2,0)),"\\192.168.0.4\Produtos\PRODUTO_PRONTA_ENTREGA\static\IMAGENS_PRODUTOS\SEM IMAGEM.jpg")</f>
        <v>\\192.168.0.4\Produtos\PRODUTO_PRONTA_ENTREGA\static\IMAGENS_PRODUTOS\SEM IMAGEM.jpg</v>
      </c>
    </row>
    <row r="19" spans="1:22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tr">
        <f>IFERROR((VLOOKUP(A19,Planilha1!A:B,2,0)),"\\192.168.0.4\Produtos\PRODUTO_PRONTA_ENTREGA\static\IMAGENS_PRODUTOS\SEM IMAGEM.jpg")</f>
        <v>\\192.168.0.4\Produtos\PRODUTO_PRONTA_ENTREGA\static\IMAGENS_PRODUTOS\SEM IMAGEM.jpg</v>
      </c>
      <c r="V19" t="str">
        <f>IFERROR((VLOOKUP(A19,Planilha1!A:B,2,0)),"\\192.168.0.4\Produtos\PRODUTO_PRONTA_ENTREGA\static\IMAGENS_PRODUTOS\SEM IMAGEM.jpg")</f>
        <v>\\192.168.0.4\Produtos\PRODUTO_PRONTA_ENTREGA\static\IMAGENS_PRODUTOS\SEM IMAGEM.jpg</v>
      </c>
    </row>
    <row r="20" spans="1:22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tr">
        <f>IFERROR((VLOOKUP(A20,Planilha1!A:B,2,0)),"\\192.168.0.4\Produtos\PRODUTO_PRONTA_ENTREGA\static\IMAGENS_PRODUTOS\SEM IMAGEM.jpg")</f>
        <v>\\192.168.0.4\Produtos\PRODUTO_PRONTA_ENTREGA\static\IMAGENS_PRODUTOS\SEM IMAGEM.jpg</v>
      </c>
      <c r="V20" t="str">
        <f>IFERROR((VLOOKUP(A20,Planilha1!A:B,2,0)),"\\192.168.0.4\Produtos\PRODUTO_PRONTA_ENTREGA\static\IMAGENS_PRODUTOS\SEM IMAGEM.jpg")</f>
        <v>\\192.168.0.4\Produtos\PRODUTO_PRONTA_ENTREGA\static\IMAGENS_PRODUTOS\SEM IMAGEM.jpg</v>
      </c>
    </row>
    <row r="21" spans="1:22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37919.699999999997</v>
      </c>
      <c r="J21" s="6">
        <v>0</v>
      </c>
      <c r="K21" s="12">
        <f t="shared" si="0"/>
        <v>37919.699999999997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tr">
        <f>IFERROR((VLOOKUP(A21,Planilha1!A:B,2,0)),"\\192.168.0.4\Produtos\PRODUTO_PRONTA_ENTREGA\static\IMAGENS_PRODUTOS\SEM IMAGEM.jpg")</f>
        <v>\\192.168.0.4\Produtos\PRODUTO_PRONTA_ENTREGA\static\IMAGENS_PRODUTOS\CHAISE TARANTO_335216_335217.jpg</v>
      </c>
      <c r="V21" t="str">
        <f>IFERROR((VLOOKUP(A21,Planilha1!A:B,2,0)),"\\192.168.0.4\Produtos\PRODUTO_PRONTA_ENTREGA\static\IMAGENS_PRODUTOS\SEM IMAGEM.jpg")</f>
        <v>\\192.168.0.4\Produtos\PRODUTO_PRONTA_ENTREGA\static\IMAGENS_PRODUTOS\CHAISE TARANTO_335216_335217.jpg</v>
      </c>
    </row>
    <row r="22" spans="1:22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37919.699999999997</v>
      </c>
      <c r="J22" s="6">
        <v>0</v>
      </c>
      <c r="K22" s="12">
        <f t="shared" si="0"/>
        <v>37919.699999999997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tr">
        <f>IFERROR((VLOOKUP(A22,Planilha1!A:B,2,0)),"\\192.168.0.4\Produtos\PRODUTO_PRONTA_ENTREGA\static\IMAGENS_PRODUTOS\SEM IMAGEM.jpg")</f>
        <v>\\192.168.0.4\Produtos\PRODUTO_PRONTA_ENTREGA\static\IMAGENS_PRODUTOS\CHAISE TARANTO_335216_335217.jpg</v>
      </c>
      <c r="V22" t="str">
        <f>IFERROR((VLOOKUP(A22,Planilha1!A:B,2,0)),"\\192.168.0.4\Produtos\PRODUTO_PRONTA_ENTREGA\static\IMAGENS_PRODUTOS\SEM IMAGEM.jpg")</f>
        <v>\\192.168.0.4\Produtos\PRODUTO_PRONTA_ENTREGA\static\IMAGENS_PRODUTOS\CHAISE TARANTO_335216_335217.jpg</v>
      </c>
    </row>
    <row r="23" spans="1:22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 t="shared" ref="K23:K86" si="3">IFERROR(I23-I23*J23,"")</f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 t="shared" ref="N23:N86" si="4">IF(M23="",A23,M23)</f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 t="shared" ref="T23:T86" si="5">SUM(O23:S23)</f>
        <v>1</v>
      </c>
      <c r="U23" s="10" t="str">
        <f>IFERROR((VLOOKUP(A23,Planilha1!A:B,2,0)),"\\192.168.0.4\Produtos\PRODUTO_PRONTA_ENTREGA\static\IMAGENS_PRODUTOS\SEM IMAGEM.jpg")</f>
        <v>\\192.168.0.4\Produtos\PRODUTO_PRONTA_ENTREGA\static\IMAGENS_PRODUTOS\SEM IMAGEM.jpg</v>
      </c>
      <c r="V23" t="str">
        <f>IFERROR((VLOOKUP(A23,Planilha1!A:B,2,0)),"\\192.168.0.4\Produtos\PRODUTO_PRONTA_ENTREGA\static\IMAGENS_PRODUTOS\SEM IMAGEM.jpg")</f>
        <v>\\192.168.0.4\Produtos\PRODUTO_PRONTA_ENTREGA\static\IMAGENS_PRODUTOS\SEM IMAGEM.jpg</v>
      </c>
    </row>
    <row r="24" spans="1:22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 t="shared" si="3"/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 t="shared" si="4"/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 t="shared" si="5"/>
        <v>1</v>
      </c>
      <c r="U24" s="10" t="str">
        <f>IFERROR((VLOOKUP(A24,Planilha1!A:B,2,0)),"\\192.168.0.4\Produtos\PRODUTO_PRONTA_ENTREGA\static\IMAGENS_PRODUTOS\SEM IMAGEM.jpg")</f>
        <v>\\192.168.0.4\Produtos\PRODUTO_PRONTA_ENTREGA\static\IMAGENS_PRODUTOS\SEM IMAGEM.jpg</v>
      </c>
      <c r="V24" t="str">
        <f>IFERROR((VLOOKUP(A24,Planilha1!A:B,2,0)),"\\192.168.0.4\Produtos\PRODUTO_PRONTA_ENTREGA\static\IMAGENS_PRODUTOS\SEM IMAGEM.jpg")</f>
        <v>\\192.168.0.4\Produtos\PRODUTO_PRONTA_ENTREGA\static\IMAGENS_PRODUTOS\SEM IMAGEM.jpg</v>
      </c>
    </row>
    <row r="25" spans="1:22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 t="shared" si="3"/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 t="shared" si="4"/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 t="shared" si="5"/>
        <v>3</v>
      </c>
      <c r="U25" s="10" t="str">
        <f>IFERROR((VLOOKUP(A25,Planilha1!A:B,2,0)),"\\192.168.0.4\Produtos\PRODUTO_PRONTA_ENTREGA\static\IMAGENS_PRODUTOS\SEM IMAGEM.jpg")</f>
        <v>\\192.168.0.4\Produtos\PRODUTO_PRONTA_ENTREGA\static\IMAGENS_PRODUTOS\SEM IMAGEM.jpg</v>
      </c>
      <c r="V25" t="str">
        <f>IFERROR((VLOOKUP(A25,Planilha1!A:B,2,0)),"\\192.168.0.4\Produtos\PRODUTO_PRONTA_ENTREGA\static\IMAGENS_PRODUTOS\SEM IMAGEM.jpg")</f>
        <v>\\192.168.0.4\Produtos\PRODUTO_PRONTA_ENTREGA\static\IMAGENS_PRODUTOS\SEM IMAGEM.jpg</v>
      </c>
    </row>
    <row r="26" spans="1:22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 t="shared" si="3"/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 t="shared" si="4"/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 t="shared" si="5"/>
        <v>6</v>
      </c>
      <c r="U26" s="10" t="str">
        <f>IFERROR((VLOOKUP(A26,Planilha1!A:B,2,0)),"\\192.168.0.4\Produtos\PRODUTO_PRONTA_ENTREGA\static\IMAGENS_PRODUTOS\SEM IMAGEM.jpg")</f>
        <v>\\192.168.0.4\Produtos\PRODUTO_PRONTA_ENTREGA\static\IMAGENS_PRODUTOS\SEM IMAGEM.jpg</v>
      </c>
      <c r="V26" t="str">
        <f>IFERROR((VLOOKUP(A26,Planilha1!A:B,2,0)),"\\192.168.0.4\Produtos\PRODUTO_PRONTA_ENTREGA\static\IMAGENS_PRODUTOS\SEM IMAGEM.jpg")</f>
        <v>\\192.168.0.4\Produtos\PRODUTO_PRONTA_ENTREGA\static\IMAGENS_PRODUTOS\SEM IMAGEM.jpg</v>
      </c>
    </row>
    <row r="27" spans="1:22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 t="shared" si="3"/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 t="shared" si="4"/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 t="shared" si="5"/>
        <v>1</v>
      </c>
      <c r="U27" s="10" t="str">
        <f>IFERROR((VLOOKUP(A27,Planilha1!A:B,2,0)),"\\192.168.0.4\Produtos\PRODUTO_PRONTA_ENTREGA\static\IMAGENS_PRODUTOS\SEM IMAGEM.jpg")</f>
        <v>\\192.168.0.4\Produtos\PRODUTO_PRONTA_ENTREGA\static\IMAGENS_PRODUTOS\PUFF PARATY_300472.jpg</v>
      </c>
      <c r="V27" t="str">
        <f>IFERROR((VLOOKUP(A27,Planilha1!A:B,2,0)),"\\192.168.0.4\Produtos\PRODUTO_PRONTA_ENTREGA\static\IMAGENS_PRODUTOS\SEM IMAGEM.jpg")</f>
        <v>\\192.168.0.4\Produtos\PRODUTO_PRONTA_ENTREGA\static\IMAGENS_PRODUTOS\PUFF PARATY_300472.jpg</v>
      </c>
    </row>
    <row r="28" spans="1:22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 t="shared" si="3"/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 t="shared" si="4"/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 t="shared" si="5"/>
        <v>1</v>
      </c>
      <c r="U28" s="10" t="str">
        <f>IFERROR((VLOOKUP(A28,Planilha1!A:B,2,0)),"\\192.168.0.4\Produtos\PRODUTO_PRONTA_ENTREGA\static\IMAGENS_PRODUTOS\SEM IMAGEM.jpg")</f>
        <v>\\192.168.0.4\Produtos\PRODUTO_PRONTA_ENTREGA\static\IMAGENS_PRODUTOS\SOFA PARATY_300476.jpg</v>
      </c>
      <c r="V28" t="str">
        <f>IFERROR((VLOOKUP(A28,Planilha1!A:B,2,0)),"\\192.168.0.4\Produtos\PRODUTO_PRONTA_ENTREGA\static\IMAGENS_PRODUTOS\SEM IMAGEM.jpg")</f>
        <v>\\192.168.0.4\Produtos\PRODUTO_PRONTA_ENTREGA\static\IMAGENS_PRODUTOS\SOFA PARATY_300476.jpg</v>
      </c>
    </row>
    <row r="29" spans="1:22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 t="shared" si="3"/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 t="shared" si="4"/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 t="shared" si="5"/>
        <v>3</v>
      </c>
      <c r="U29" s="10" t="str">
        <f>IFERROR((VLOOKUP(A29,Planilha1!A:B,2,0)),"\\192.168.0.4\Produtos\PRODUTO_PRONTA_ENTREGA\static\IMAGENS_PRODUTOS\SEM IMAGEM.jpg")</f>
        <v>\\192.168.0.4\Produtos\PRODUTO_PRONTA_ENTREGA\static\IMAGENS_PRODUTOS\MODULO PUFF PARATY_300471.jpg</v>
      </c>
      <c r="V29" t="str">
        <f>IFERROR((VLOOKUP(A29,Planilha1!A:B,2,0)),"\\192.168.0.4\Produtos\PRODUTO_PRONTA_ENTREGA\static\IMAGENS_PRODUTOS\SEM IMAGEM.jpg")</f>
        <v>\\192.168.0.4\Produtos\PRODUTO_PRONTA_ENTREGA\static\IMAGENS_PRODUTOS\MODULO PUFF PARATY_300471.jpg</v>
      </c>
    </row>
    <row r="30" spans="1:22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 t="shared" si="3"/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 t="shared" si="4"/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 t="shared" si="5"/>
        <v>1</v>
      </c>
      <c r="U30" s="10" t="str">
        <f>IFERROR((VLOOKUP(A30,Planilha1!A:B,2,0)),"\\192.168.0.4\Produtos\PRODUTO_PRONTA_ENTREGA\static\IMAGENS_PRODUTOS\SEM IMAGEM.jpg")</f>
        <v>\\192.168.0.4\Produtos\PRODUTO_PRONTA_ENTREGA\static\IMAGENS_PRODUTOS\SEM IMAGEM.jpg</v>
      </c>
      <c r="V30" t="str">
        <f>IFERROR((VLOOKUP(A30,Planilha1!A:B,2,0)),"\\192.168.0.4\Produtos\PRODUTO_PRONTA_ENTREGA\static\IMAGENS_PRODUTOS\SEM IMAGEM.jpg")</f>
        <v>\\192.168.0.4\Produtos\PRODUTO_PRONTA_ENTREGA\static\IMAGENS_PRODUTOS\SEM IMAGEM.jpg</v>
      </c>
    </row>
    <row r="31" spans="1:22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 t="shared" si="3"/>
        <v>23418.53</v>
      </c>
      <c r="L31" s="7" t="str">
        <f>IF(VLOOKUP(A31,'[1]LISTA ETIQUETAS'!O:AB,14,0)="","",(VLOOKUP(A31,'[1]LISTA ETIQUETAS'!O:AB,14,0)))</f>
        <v>IS</v>
      </c>
      <c r="M31" s="8" t="s">
        <v>41</v>
      </c>
      <c r="N31" s="9" t="str">
        <f t="shared" si="4"/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 t="shared" si="5"/>
        <v>4</v>
      </c>
      <c r="U31" s="10" t="str">
        <f>IFERROR((VLOOKUP(A31,Planilha1!A:B,2,0)),"\\192.168.0.4\Produtos\PRODUTO_PRONTA_ENTREGA\static\IMAGENS_PRODUTOS\SEM IMAGEM.jpg")</f>
        <v>\\192.168.0.4\Produtos\PRODUTO_PRONTA_ENTREGA\static\IMAGENS_PRODUTOS\SEM IMAGEM.jpg</v>
      </c>
      <c r="V31" t="str">
        <f>IFERROR((VLOOKUP(A31,Planilha1!A:B,2,0)),"\\192.168.0.4\Produtos\PRODUTO_PRONTA_ENTREGA\static\IMAGENS_PRODUTOS\SEM IMAGEM.jpg")</f>
        <v>\\192.168.0.4\Produtos\PRODUTO_PRONTA_ENTREGA\static\IMAGENS_PRODUTOS\SEM IMAGEM.jpg</v>
      </c>
    </row>
    <row r="32" spans="1:22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 t="shared" si="3"/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 t="shared" si="4"/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 t="shared" si="5"/>
        <v>2</v>
      </c>
      <c r="U32" s="10" t="str">
        <f>IFERROR((VLOOKUP(A32,Planilha1!A:B,2,0)),"\\192.168.0.4\Produtos\PRODUTO_PRONTA_ENTREGA\static\IMAGENS_PRODUTOS\SEM IMAGEM.jpg")</f>
        <v>\\192.168.0.4\Produtos\PRODUTO_PRONTA_ENTREGA\static\IMAGENS_PRODUTOS\SEM IMAGEM.jpg</v>
      </c>
      <c r="V32" t="str">
        <f>IFERROR((VLOOKUP(A32,Planilha1!A:B,2,0)),"\\192.168.0.4\Produtos\PRODUTO_PRONTA_ENTREGA\static\IMAGENS_PRODUTOS\SEM IMAGEM.jpg")</f>
        <v>\\192.168.0.4\Produtos\PRODUTO_PRONTA_ENTREGA\static\IMAGENS_PRODUTOS\SEM IMAGEM.jpg</v>
      </c>
    </row>
    <row r="33" spans="1:22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 t="shared" si="3"/>
        <v>22325.91</v>
      </c>
      <c r="L33" s="7" t="str">
        <f>IF(VLOOKUP(A33,'[1]LISTA ETIQUETAS'!O:AB,14,0)="","",(VLOOKUP(A33,'[1]LISTA ETIQUETAS'!O:AB,14,0)))</f>
        <v>HU</v>
      </c>
      <c r="M33" s="8"/>
      <c r="N33" s="9">
        <f t="shared" si="4"/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 t="shared" si="5"/>
        <v>3</v>
      </c>
      <c r="U33" s="10" t="str">
        <f>IFERROR((VLOOKUP(A33,Planilha1!A:B,2,0)),"\\192.168.0.4\Produtos\PRODUTO_PRONTA_ENTREGA\static\IMAGENS_PRODUTOS\SEM IMAGEM.jpg")</f>
        <v>\\192.168.0.4\Produtos\PRODUTO_PRONTA_ENTREGA\static\IMAGENS_PRODUTOS\MESA CENTRO MONDRIAN_379864_379866.jpg</v>
      </c>
      <c r="V33" t="str">
        <f>IFERROR((VLOOKUP(A33,Planilha1!A:B,2,0)),"\\192.168.0.4\Produtos\PRODUTO_PRONTA_ENTREGA\static\IMAGENS_PRODUTOS\SEM IMAGEM.jpg")</f>
        <v>\\192.168.0.4\Produtos\PRODUTO_PRONTA_ENTREGA\static\IMAGENS_PRODUTOS\MESA CENTRO MONDRIAN_379864_379866.jpg</v>
      </c>
    </row>
    <row r="34" spans="1:22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 t="shared" si="3"/>
        <v>22325.91</v>
      </c>
      <c r="L34" s="7" t="str">
        <f>IF(VLOOKUP(A34,'[1]LISTA ETIQUETAS'!O:AB,14,0)="","",(VLOOKUP(A34,'[1]LISTA ETIQUETAS'!O:AB,14,0)))</f>
        <v>HU</v>
      </c>
      <c r="M34" s="8" t="s">
        <v>42</v>
      </c>
      <c r="N34" s="9" t="str">
        <f t="shared" si="4"/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 t="shared" si="5"/>
        <v>5</v>
      </c>
      <c r="U34" s="10" t="str">
        <f>IFERROR((VLOOKUP(A34,Planilha1!A:B,2,0)),"\\192.168.0.4\Produtos\PRODUTO_PRONTA_ENTREGA\static\IMAGENS_PRODUTOS\SEM IMAGEM.jpg")</f>
        <v>\\192.168.0.4\Produtos\PRODUTO_PRONTA_ENTREGA\static\IMAGENS_PRODUTOS\MESA CENTRO MONDRIAN_379864_379866.jpg</v>
      </c>
      <c r="V34" t="str">
        <f>IFERROR((VLOOKUP(A34,Planilha1!A:B,2,0)),"\\192.168.0.4\Produtos\PRODUTO_PRONTA_ENTREGA\static\IMAGENS_PRODUTOS\SEM IMAGEM.jpg")</f>
        <v>\\192.168.0.4\Produtos\PRODUTO_PRONTA_ENTREGA\static\IMAGENS_PRODUTOS\MESA CENTRO MONDRIAN_379864_379866.jpg</v>
      </c>
    </row>
    <row r="35" spans="1:22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 t="shared" si="3"/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 t="shared" si="4"/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 t="shared" si="5"/>
        <v>2</v>
      </c>
      <c r="U35" s="10" t="str">
        <f>IFERROR((VLOOKUP(A35,Planilha1!A:B,2,0)),"\\192.168.0.4\Produtos\PRODUTO_PRONTA_ENTREGA\static\IMAGENS_PRODUTOS\SEM IMAGEM.jpg")</f>
        <v>\\192.168.0.4\Produtos\PRODUTO_PRONTA_ENTREGA\static\IMAGENS_PRODUTOS\SEM IMAGEM.jpg</v>
      </c>
      <c r="V35" t="str">
        <f>IFERROR((VLOOKUP(A35,Planilha1!A:B,2,0)),"\\192.168.0.4\Produtos\PRODUTO_PRONTA_ENTREGA\static\IMAGENS_PRODUTOS\SEM IMAGEM.jpg")</f>
        <v>\\192.168.0.4\Produtos\PRODUTO_PRONTA_ENTREGA\static\IMAGENS_PRODUTOS\SEM IMAGEM.jpg</v>
      </c>
    </row>
    <row r="36" spans="1:22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 t="shared" si="3"/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 t="shared" si="4"/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 t="shared" si="5"/>
        <v>1</v>
      </c>
      <c r="U36" s="10" t="str">
        <f>IFERROR((VLOOKUP(A36,Planilha1!A:B,2,0)),"\\192.168.0.4\Produtos\PRODUTO_PRONTA_ENTREGA\static\IMAGENS_PRODUTOS\SEM IMAGEM.jpg")</f>
        <v>\\192.168.0.4\Produtos\PRODUTO_PRONTA_ENTREGA\static\IMAGENS_PRODUTOS\SOFA MONDRIAN_379520_379519.jpg</v>
      </c>
      <c r="V36" t="str">
        <f>IFERROR((VLOOKUP(A36,Planilha1!A:B,2,0)),"\\192.168.0.4\Produtos\PRODUTO_PRONTA_ENTREGA\static\IMAGENS_PRODUTOS\SEM IMAGEM.jpg")</f>
        <v>\\192.168.0.4\Produtos\PRODUTO_PRONTA_ENTREGA\static\IMAGENS_PRODUTOS\SOFA MONDRIAN_379520_379519.jpg</v>
      </c>
    </row>
    <row r="37" spans="1:22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 t="shared" si="3"/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 t="shared" si="4"/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 t="shared" si="5"/>
        <v>1</v>
      </c>
      <c r="U37" s="10" t="str">
        <f>IFERROR((VLOOKUP(A37,Planilha1!A:B,2,0)),"\\192.168.0.4\Produtos\PRODUTO_PRONTA_ENTREGA\static\IMAGENS_PRODUTOS\SEM IMAGEM.jpg")</f>
        <v>\\192.168.0.4\Produtos\PRODUTO_PRONTA_ENTREGA\static\IMAGENS_PRODUTOS\SOFA MONDRIAN_379520_379519.jpg</v>
      </c>
      <c r="V37" t="str">
        <f>IFERROR((VLOOKUP(A37,Planilha1!A:B,2,0)),"\\192.168.0.4\Produtos\PRODUTO_PRONTA_ENTREGA\static\IMAGENS_PRODUTOS\SEM IMAGEM.jpg")</f>
        <v>\\192.168.0.4\Produtos\PRODUTO_PRONTA_ENTREGA\static\IMAGENS_PRODUTOS\SOFA MONDRIAN_379520_379519.jpg</v>
      </c>
    </row>
    <row r="38" spans="1:22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 t="shared" si="3"/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 t="shared" si="4"/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 t="shared" si="5"/>
        <v>1</v>
      </c>
      <c r="U38" s="10" t="str">
        <f>IFERROR((VLOOKUP(A38,Planilha1!A:B,2,0)),"\\192.168.0.4\Produtos\PRODUTO_PRONTA_ENTREGA\static\IMAGENS_PRODUTOS\SEM IMAGEM.jpg")</f>
        <v>\\192.168.0.4\Produtos\PRODUTO_PRONTA_ENTREGA\static\IMAGENS_PRODUTOS\SEM IMAGEM.jpg</v>
      </c>
      <c r="V38" t="str">
        <f>IFERROR((VLOOKUP(A38,Planilha1!A:B,2,0)),"\\192.168.0.4\Produtos\PRODUTO_PRONTA_ENTREGA\static\IMAGENS_PRODUTOS\SEM IMAGEM.jpg")</f>
        <v>\\192.168.0.4\Produtos\PRODUTO_PRONTA_ENTREGA\static\IMAGENS_PRODUTOS\SEM IMAGEM.jpg</v>
      </c>
    </row>
    <row r="39" spans="1:22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 t="shared" si="3"/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 t="shared" si="4"/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 t="shared" si="5"/>
        <v>1</v>
      </c>
      <c r="U39" s="10" t="str">
        <f>IFERROR((VLOOKUP(A39,Planilha1!A:B,2,0)),"\\192.168.0.4\Produtos\PRODUTO_PRONTA_ENTREGA\static\IMAGENS_PRODUTOS\SEM IMAGEM.jpg")</f>
        <v>\\192.168.0.4\Produtos\PRODUTO_PRONTA_ENTREGA\static\IMAGENS_PRODUTOS\SEM IMAGEM.jpg</v>
      </c>
      <c r="V39" t="str">
        <f>IFERROR((VLOOKUP(A39,Planilha1!A:B,2,0)),"\\192.168.0.4\Produtos\PRODUTO_PRONTA_ENTREGA\static\IMAGENS_PRODUTOS\SEM IMAGEM.jpg")</f>
        <v>\\192.168.0.4\Produtos\PRODUTO_PRONTA_ENTREGA\static\IMAGENS_PRODUTOS\SEM IMAGEM.jpg</v>
      </c>
    </row>
    <row r="40" spans="1:22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 t="shared" si="3"/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 t="shared" si="4"/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 t="shared" si="5"/>
        <v>1</v>
      </c>
      <c r="U40" s="10" t="str">
        <f>IFERROR((VLOOKUP(A40,Planilha1!A:B,2,0)),"\\192.168.0.4\Produtos\PRODUTO_PRONTA_ENTREGA\static\IMAGENS_PRODUTOS\SEM IMAGEM.jpg")</f>
        <v>\\192.168.0.4\Produtos\PRODUTO_PRONTA_ENTREGA\static\IMAGENS_PRODUTOS\SEM IMAGEM.jpg</v>
      </c>
      <c r="V40" t="str">
        <f>IFERROR((VLOOKUP(A40,Planilha1!A:B,2,0)),"\\192.168.0.4\Produtos\PRODUTO_PRONTA_ENTREGA\static\IMAGENS_PRODUTOS\SEM IMAGEM.jpg")</f>
        <v>\\192.168.0.4\Produtos\PRODUTO_PRONTA_ENTREGA\static\IMAGENS_PRODUTOS\SEM IMAGEM.jpg</v>
      </c>
    </row>
    <row r="41" spans="1:22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 t="shared" si="3"/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 t="shared" si="4"/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 t="shared" si="5"/>
        <v>1</v>
      </c>
      <c r="U41" s="10" t="str">
        <f>IFERROR((VLOOKUP(A41,Planilha1!A:B,2,0)),"\\192.168.0.4\Produtos\PRODUTO_PRONTA_ENTREGA\static\IMAGENS_PRODUTOS\SEM IMAGEM.jpg")</f>
        <v>\\192.168.0.4\Produtos\PRODUTO_PRONTA_ENTREGA\static\IMAGENS_PRODUTOS\SEM IMAGEM.jpg</v>
      </c>
      <c r="V41" t="str">
        <f>IFERROR((VLOOKUP(A41,Planilha1!A:B,2,0)),"\\192.168.0.4\Produtos\PRODUTO_PRONTA_ENTREGA\static\IMAGENS_PRODUTOS\SEM IMAGEM.jpg")</f>
        <v>\\192.168.0.4\Produtos\PRODUTO_PRONTA_ENTREGA\static\IMAGENS_PRODUTOS\SEM IMAGEM.jpg</v>
      </c>
    </row>
    <row r="42" spans="1:22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 t="shared" si="3"/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 t="shared" si="4"/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 t="shared" si="5"/>
        <v>1</v>
      </c>
      <c r="U42" s="10" t="str">
        <f>IFERROR((VLOOKUP(A42,Planilha1!A:B,2,0)),"\\192.168.0.4\Produtos\PRODUTO_PRONTA_ENTREGA\static\IMAGENS_PRODUTOS\SEM IMAGEM.jpg")</f>
        <v>\\192.168.0.4\Produtos\PRODUTO_PRONTA_ENTREGA\static\IMAGENS_PRODUTOS\SEM IMAGEM.jpg</v>
      </c>
      <c r="V42" t="str">
        <f>IFERROR((VLOOKUP(A42,Planilha1!A:B,2,0)),"\\192.168.0.4\Produtos\PRODUTO_PRONTA_ENTREGA\static\IMAGENS_PRODUTOS\SEM IMAGEM.jpg")</f>
        <v>\\192.168.0.4\Produtos\PRODUTO_PRONTA_ENTREGA\static\IMAGENS_PRODUTOS\SEM IMAGEM.jpg</v>
      </c>
    </row>
    <row r="43" spans="1:22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 t="shared" si="3"/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 t="shared" si="4"/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 t="shared" si="5"/>
        <v>1</v>
      </c>
      <c r="U43" s="10" t="str">
        <f>IFERROR((VLOOKUP(A43,Planilha1!A:B,2,0)),"\\192.168.0.4\Produtos\PRODUTO_PRONTA_ENTREGA\static\IMAGENS_PRODUTOS\SEM IMAGEM.jpg")</f>
        <v>\\192.168.0.4\Produtos\PRODUTO_PRONTA_ENTREGA\static\IMAGENS_PRODUTOS\SEM IMAGEM.jpg</v>
      </c>
      <c r="V43" t="str">
        <f>IFERROR((VLOOKUP(A43,Planilha1!A:B,2,0)),"\\192.168.0.4\Produtos\PRODUTO_PRONTA_ENTREGA\static\IMAGENS_PRODUTOS\SEM IMAGEM.jpg")</f>
        <v>\\192.168.0.4\Produtos\PRODUTO_PRONTA_ENTREGA\static\IMAGENS_PRODUTOS\SEM IMAGEM.jpg</v>
      </c>
    </row>
    <row r="44" spans="1:22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 t="shared" si="3"/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 t="shared" si="4"/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 t="shared" si="5"/>
        <v>1</v>
      </c>
      <c r="U44" s="10" t="str">
        <f>IFERROR((VLOOKUP(A44,Planilha1!A:B,2,0)),"\\192.168.0.4\Produtos\PRODUTO_PRONTA_ENTREGA\static\IMAGENS_PRODUTOS\SEM IMAGEM.jpg")</f>
        <v>\\192.168.0.4\Produtos\PRODUTO_PRONTA_ENTREGA\static\IMAGENS_PRODUTOS\SEM IMAGEM.jpg</v>
      </c>
      <c r="V44" t="str">
        <f>IFERROR((VLOOKUP(A44,Planilha1!A:B,2,0)),"\\192.168.0.4\Produtos\PRODUTO_PRONTA_ENTREGA\static\IMAGENS_PRODUTOS\SEM IMAGEM.jpg")</f>
        <v>\\192.168.0.4\Produtos\PRODUTO_PRONTA_ENTREGA\static\IMAGENS_PRODUTOS\SEM IMAGEM.jpg</v>
      </c>
    </row>
    <row r="45" spans="1:22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 t="shared" si="3"/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 t="shared" si="4"/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 t="shared" si="5"/>
        <v>1</v>
      </c>
      <c r="U45" s="10" t="str">
        <f>IFERROR((VLOOKUP(A45,Planilha1!A:B,2,0)),"\\192.168.0.4\Produtos\PRODUTO_PRONTA_ENTREGA\static\IMAGENS_PRODUTOS\SEM IMAGEM.jpg")</f>
        <v>\\192.168.0.4\Produtos\PRODUTO_PRONTA_ENTREGA\static\IMAGENS_PRODUTOS\SEM IMAGEM.jpg</v>
      </c>
      <c r="V45" t="str">
        <f>IFERROR((VLOOKUP(A45,Planilha1!A:B,2,0)),"\\192.168.0.4\Produtos\PRODUTO_PRONTA_ENTREGA\static\IMAGENS_PRODUTOS\SEM IMAGEM.jpg")</f>
        <v>\\192.168.0.4\Produtos\PRODUTO_PRONTA_ENTREGA\static\IMAGENS_PRODUTOS\SEM IMAGEM.jpg</v>
      </c>
    </row>
    <row r="46" spans="1:22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 t="shared" si="3"/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 t="shared" si="4"/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 t="shared" si="5"/>
        <v>1</v>
      </c>
      <c r="U46" s="10" t="str">
        <f>IFERROR((VLOOKUP(A46,Planilha1!A:B,2,0)),"\\192.168.0.4\Produtos\PRODUTO_PRONTA_ENTREGA\static\IMAGENS_PRODUTOS\SEM IMAGEM.jpg")</f>
        <v>\\192.168.0.4\Produtos\PRODUTO_PRONTA_ENTREGA\static\IMAGENS_PRODUTOS\SEM IMAGEM.jpg</v>
      </c>
      <c r="V46" t="str">
        <f>IFERROR((VLOOKUP(A46,Planilha1!A:B,2,0)),"\\192.168.0.4\Produtos\PRODUTO_PRONTA_ENTREGA\static\IMAGENS_PRODUTOS\SEM IMAGEM.jpg")</f>
        <v>\\192.168.0.4\Produtos\PRODUTO_PRONTA_ENTREGA\static\IMAGENS_PRODUTOS\SEM IMAGEM.jpg</v>
      </c>
    </row>
    <row r="47" spans="1:22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 t="shared" si="3"/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 t="shared" si="4"/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 t="shared" si="5"/>
        <v>5</v>
      </c>
      <c r="U47" s="10" t="str">
        <f>IFERROR((VLOOKUP(A47,Planilha1!A:B,2,0)),"\\192.168.0.4\Produtos\PRODUTO_PRONTA_ENTREGA\static\IMAGENS_PRODUTOS\SEM IMAGEM.jpg")</f>
        <v>\\192.168.0.4\Produtos\PRODUTO_PRONTA_ENTREGA\static\IMAGENS_PRODUTOS\PRATELEIRA VO_309891.jpg</v>
      </c>
      <c r="V47" t="str">
        <f>IFERROR((VLOOKUP(A47,Planilha1!A:B,2,0)),"\\192.168.0.4\Produtos\PRODUTO_PRONTA_ENTREGA\static\IMAGENS_PRODUTOS\SEM IMAGEM.jpg")</f>
        <v>\\192.168.0.4\Produtos\PRODUTO_PRONTA_ENTREGA\static\IMAGENS_PRODUTOS\PRATELEIRA VO_309891.jpg</v>
      </c>
    </row>
    <row r="48" spans="1:22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61959.61</v>
      </c>
      <c r="J48" s="6">
        <v>0</v>
      </c>
      <c r="K48" s="12">
        <f t="shared" si="3"/>
        <v>61959.61</v>
      </c>
      <c r="L48" s="7" t="str">
        <f>IF(VLOOKUP(A48,'[1]LISTA ETIQUETAS'!O:AB,14,0)="","",(VLOOKUP(A48,'[1]LISTA ETIQUETAS'!O:AB,14,0)))</f>
        <v/>
      </c>
      <c r="M48" s="8" t="s">
        <v>50</v>
      </c>
      <c r="N48" s="9" t="str">
        <f t="shared" si="4"/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 t="shared" si="5"/>
        <v>2</v>
      </c>
      <c r="U48" s="10" t="str">
        <f>IFERROR((VLOOKUP(A48,Planilha1!A:B,2,0)),"\\192.168.0.4\Produtos\PRODUTO_PRONTA_ENTREGA\static\IMAGENS_PRODUTOS\SEM IMAGEM.jpg")</f>
        <v>\\192.168.0.4\Produtos\PRODUTO_PRONTA_ENTREGA\static\IMAGENS_PRODUTOS\SEM IMAGEM.jpg</v>
      </c>
      <c r="V48" t="str">
        <f>IFERROR((VLOOKUP(A48,Planilha1!A:B,2,0)),"\\192.168.0.4\Produtos\PRODUTO_PRONTA_ENTREGA\static\IMAGENS_PRODUTOS\SEM IMAGEM.jpg")</f>
        <v>\\192.168.0.4\Produtos\PRODUTO_PRONTA_ENTREGA\static\IMAGENS_PRODUTOS\SEM IMAGEM.jpg</v>
      </c>
    </row>
    <row r="49" spans="1:22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63815.4</v>
      </c>
      <c r="J49" s="6">
        <v>0</v>
      </c>
      <c r="K49" s="12">
        <f t="shared" si="3"/>
        <v>63815.4</v>
      </c>
      <c r="L49" s="7" t="str">
        <f>IF(VLOOKUP(A49,'[1]LISTA ETIQUETAS'!O:AB,14,0)="","",(VLOOKUP(A49,'[1]LISTA ETIQUETAS'!O:AB,14,0)))</f>
        <v/>
      </c>
      <c r="M49" s="8" t="s">
        <v>50</v>
      </c>
      <c r="N49" s="9" t="str">
        <f t="shared" si="4"/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 t="shared" si="5"/>
        <v>2</v>
      </c>
      <c r="U49" s="10" t="str">
        <f>IFERROR((VLOOKUP(A49,Planilha1!A:B,2,0)),"\\192.168.0.4\Produtos\PRODUTO_PRONTA_ENTREGA\static\IMAGENS_PRODUTOS\SEM IMAGEM.jpg")</f>
        <v>\\192.168.0.4\Produtos\PRODUTO_PRONTA_ENTREGA\static\IMAGENS_PRODUTOS\SEM IMAGEM.jpg</v>
      </c>
      <c r="V49" t="str">
        <f>IFERROR((VLOOKUP(A49,Planilha1!A:B,2,0)),"\\192.168.0.4\Produtos\PRODUTO_PRONTA_ENTREGA\static\IMAGENS_PRODUTOS\SEM IMAGEM.jpg")</f>
        <v>\\192.168.0.4\Produtos\PRODUTO_PRONTA_ENTREGA\static\IMAGENS_PRODUTOS\SEM IMAGEM.jpg</v>
      </c>
    </row>
    <row r="50" spans="1:22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 t="shared" si="3"/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 t="shared" si="4"/>
        <v>371721 | 371720</v>
      </c>
      <c r="O50" s="2">
        <f>_xlfn.XLOOKUP($A50,'[1]LISTA ETIQUETAS'!$O:$O,'[1]LISTA ETIQUETAS'!C:C,"",0)</f>
        <v>1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0</v>
      </c>
      <c r="T50" s="9">
        <f t="shared" si="5"/>
        <v>1</v>
      </c>
      <c r="U50" s="10" t="str">
        <f>IFERROR((VLOOKUP(A50,Planilha1!A:B,2,0)),"\\192.168.0.4\Produtos\PRODUTO_PRONTA_ENTREGA\static\IMAGENS_PRODUTOS\SEM IMAGEM.jpg")</f>
        <v>\\192.168.0.4\Produtos\PRODUTO_PRONTA_ENTREGA\static\IMAGENS_PRODUTOS\SEM IMAGEM.jpg</v>
      </c>
      <c r="V50" t="str">
        <f>IFERROR((VLOOKUP(A50,Planilha1!A:B,2,0)),"\\192.168.0.4\Produtos\PRODUTO_PRONTA_ENTREGA\static\IMAGENS_PRODUTOS\SEM IMAGEM.jpg")</f>
        <v>\\192.168.0.4\Produtos\PRODUTO_PRONTA_ENTREGA\static\IMAGENS_PRODUTOS\SEM IMAGEM.jpg</v>
      </c>
    </row>
    <row r="51" spans="1:22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 t="shared" si="3"/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 t="shared" si="4"/>
        <v>371721 | 371720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0</v>
      </c>
      <c r="T51" s="9">
        <f t="shared" si="5"/>
        <v>1</v>
      </c>
      <c r="U51" s="10" t="str">
        <f>IFERROR((VLOOKUP(A51,Planilha1!A:B,2,0)),"\\192.168.0.4\Produtos\PRODUTO_PRONTA_ENTREGA\static\IMAGENS_PRODUTOS\SEM IMAGEM.jpg")</f>
        <v>\\192.168.0.4\Produtos\PRODUTO_PRONTA_ENTREGA\static\IMAGENS_PRODUTOS\SEM IMAGEM.jpg</v>
      </c>
      <c r="V51" t="str">
        <f>IFERROR((VLOOKUP(A51,Planilha1!A:B,2,0)),"\\192.168.0.4\Produtos\PRODUTO_PRONTA_ENTREGA\static\IMAGENS_PRODUTOS\SEM IMAGEM.jpg")</f>
        <v>\\192.168.0.4\Produtos\PRODUTO_PRONTA_ENTREGA\static\IMAGENS_PRODUTOS\SEM IMAGEM.jpg</v>
      </c>
    </row>
    <row r="52" spans="1:22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 t="shared" si="3"/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 t="shared" si="4"/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 t="shared" si="5"/>
        <v>1</v>
      </c>
      <c r="U52" s="10" t="str">
        <f>IFERROR((VLOOKUP(A52,Planilha1!A:B,2,0)),"\\192.168.0.4\Produtos\PRODUTO_PRONTA_ENTREGA\static\IMAGENS_PRODUTOS\SEM IMAGEM.jpg")</f>
        <v>\\192.168.0.4\Produtos\PRODUTO_PRONTA_ENTREGA\static\IMAGENS_PRODUTOS\SEM IMAGEM.jpg</v>
      </c>
      <c r="V52" t="str">
        <f>IFERROR((VLOOKUP(A52,Planilha1!A:B,2,0)),"\\192.168.0.4\Produtos\PRODUTO_PRONTA_ENTREGA\static\IMAGENS_PRODUTOS\SEM IMAGEM.jpg")</f>
        <v>\\192.168.0.4\Produtos\PRODUTO_PRONTA_ENTREGA\static\IMAGENS_PRODUTOS\SEM IMAGEM.jpg</v>
      </c>
    </row>
    <row r="53" spans="1:22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 t="shared" si="3"/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 t="shared" si="4"/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 t="shared" si="5"/>
        <v>2</v>
      </c>
      <c r="U53" s="10" t="str">
        <f>IFERROR((VLOOKUP(A53,Planilha1!A:B,2,0)),"\\192.168.0.4\Produtos\PRODUTO_PRONTA_ENTREGA\static\IMAGENS_PRODUTOS\SEM IMAGEM.jpg")</f>
        <v>\\192.168.0.4\Produtos\PRODUTO_PRONTA_ENTREGA\static\IMAGENS_PRODUTOS\SEM IMAGEM.jpg</v>
      </c>
      <c r="V53" t="str">
        <f>IFERROR((VLOOKUP(A53,Planilha1!A:B,2,0)),"\\192.168.0.4\Produtos\PRODUTO_PRONTA_ENTREGA\static\IMAGENS_PRODUTOS\SEM IMAGEM.jpg")</f>
        <v>\\192.168.0.4\Produtos\PRODUTO_PRONTA_ENTREGA\static\IMAGENS_PRODUTOS\SEM IMAGEM.jpg</v>
      </c>
    </row>
    <row r="54" spans="1:22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 t="shared" si="3"/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 t="shared" si="4"/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 t="shared" si="5"/>
        <v>1</v>
      </c>
      <c r="U54" s="10" t="str">
        <f>IFERROR((VLOOKUP(A54,Planilha1!A:B,2,0)),"\\192.168.0.4\Produtos\PRODUTO_PRONTA_ENTREGA\static\IMAGENS_PRODUTOS\SEM IMAGEM.jpg")</f>
        <v>\\192.168.0.4\Produtos\PRODUTO_PRONTA_ENTREGA\static\IMAGENS_PRODUTOS\SEM IMAGEM.jpg</v>
      </c>
      <c r="V54" t="str">
        <f>IFERROR((VLOOKUP(A54,Planilha1!A:B,2,0)),"\\192.168.0.4\Produtos\PRODUTO_PRONTA_ENTREGA\static\IMAGENS_PRODUTOS\SEM IMAGEM.jpg")</f>
        <v>\\192.168.0.4\Produtos\PRODUTO_PRONTA_ENTREGA\static\IMAGENS_PRODUTOS\SEM IMAGEM.jpg</v>
      </c>
    </row>
    <row r="55" spans="1:22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 t="shared" si="3"/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 t="shared" si="4"/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 t="shared" si="5"/>
        <v>1</v>
      </c>
      <c r="U55" s="10" t="str">
        <f>IFERROR((VLOOKUP(A55,Planilha1!A:B,2,0)),"\\192.168.0.4\Produtos\PRODUTO_PRONTA_ENTREGA\static\IMAGENS_PRODUTOS\SEM IMAGEM.jpg")</f>
        <v>\\192.168.0.4\Produtos\PRODUTO_PRONTA_ENTREGA\static\IMAGENS_PRODUTOS\SEM IMAGEM.jpg</v>
      </c>
      <c r="V55" t="str">
        <f>IFERROR((VLOOKUP(A55,Planilha1!A:B,2,0)),"\\192.168.0.4\Produtos\PRODUTO_PRONTA_ENTREGA\static\IMAGENS_PRODUTOS\SEM IMAGEM.jpg")</f>
        <v>\\192.168.0.4\Produtos\PRODUTO_PRONTA_ENTREGA\static\IMAGENS_PRODUTOS\SEM IMAGEM.jpg</v>
      </c>
    </row>
    <row r="56" spans="1:22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 t="shared" si="3"/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 t="shared" si="4"/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 t="shared" si="5"/>
        <v>1</v>
      </c>
      <c r="U56" s="10" t="str">
        <f>IFERROR((VLOOKUP(A56,Planilha1!A:B,2,0)),"\\192.168.0.4\Produtos\PRODUTO_PRONTA_ENTREGA\static\IMAGENS_PRODUTOS\SEM IMAGEM.jpg")</f>
        <v>\\192.168.0.4\Produtos\PRODUTO_PRONTA_ENTREGA\static\IMAGENS_PRODUTOS\SOFA CHATEAU_224382_224381.jpg</v>
      </c>
      <c r="V56" t="str">
        <f>IFERROR((VLOOKUP(A56,Planilha1!A:B,2,0)),"\\192.168.0.4\Produtos\PRODUTO_PRONTA_ENTREGA\static\IMAGENS_PRODUTOS\SEM IMAGEM.jpg")</f>
        <v>\\192.168.0.4\Produtos\PRODUTO_PRONTA_ENTREGA\static\IMAGENS_PRODUTOS\SOFA CHATEAU_224382_224381.jpg</v>
      </c>
    </row>
    <row r="57" spans="1:22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 t="shared" si="3"/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 t="shared" si="4"/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 t="shared" si="5"/>
        <v>1</v>
      </c>
      <c r="U57" s="10" t="str">
        <f>IFERROR((VLOOKUP(A57,Planilha1!A:B,2,0)),"\\192.168.0.4\Produtos\PRODUTO_PRONTA_ENTREGA\static\IMAGENS_PRODUTOS\SEM IMAGEM.jpg")</f>
        <v>\\192.168.0.4\Produtos\PRODUTO_PRONTA_ENTREGA\static\IMAGENS_PRODUTOS\SOFA CHATEAU_224382_224381.jpg</v>
      </c>
      <c r="V57" t="str">
        <f>IFERROR((VLOOKUP(A57,Planilha1!A:B,2,0)),"\\192.168.0.4\Produtos\PRODUTO_PRONTA_ENTREGA\static\IMAGENS_PRODUTOS\SEM IMAGEM.jpg")</f>
        <v>\\192.168.0.4\Produtos\PRODUTO_PRONTA_ENTREGA\static\IMAGENS_PRODUTOS\SOFA CHATEAU_224382_224381.jpg</v>
      </c>
    </row>
    <row r="58" spans="1:22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110895.16800000001</v>
      </c>
      <c r="J58" s="6">
        <v>0</v>
      </c>
      <c r="K58" s="12">
        <f t="shared" si="3"/>
        <v>110895.16800000001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 t="shared" si="4"/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 t="shared" si="5"/>
        <v>1</v>
      </c>
      <c r="U58" s="10" t="str">
        <f>IFERROR((VLOOKUP(A58,Planilha1!A:B,2,0)),"\\192.168.0.4\Produtos\PRODUTO_PRONTA_ENTREGA\static\IMAGENS_PRODUTOS\SEM IMAGEM.jpg")</f>
        <v>\\192.168.0.4\Produtos\PRODUTO_PRONTA_ENTREGA\static\IMAGENS_PRODUTOS\SEM IMAGEM.jpg</v>
      </c>
      <c r="V58" t="str">
        <f>IFERROR((VLOOKUP(A58,Planilha1!A:B,2,0)),"\\192.168.0.4\Produtos\PRODUTO_PRONTA_ENTREGA\static\IMAGENS_PRODUTOS\SEM IMAGEM.jpg")</f>
        <v>\\192.168.0.4\Produtos\PRODUTO_PRONTA_ENTREGA\static\IMAGENS_PRODUTOS\SEM IMAGEM.jpg</v>
      </c>
    </row>
    <row r="59" spans="1:22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110895.16800000001</v>
      </c>
      <c r="J59" s="6">
        <v>0</v>
      </c>
      <c r="K59" s="12">
        <f t="shared" si="3"/>
        <v>110895.16800000001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 t="shared" si="4"/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 t="shared" si="5"/>
        <v>1</v>
      </c>
      <c r="U59" s="10" t="str">
        <f>IFERROR((VLOOKUP(A59,Planilha1!A:B,2,0)),"\\192.168.0.4\Produtos\PRODUTO_PRONTA_ENTREGA\static\IMAGENS_PRODUTOS\SEM IMAGEM.jpg")</f>
        <v>\\192.168.0.4\Produtos\PRODUTO_PRONTA_ENTREGA\static\IMAGENS_PRODUTOS\SEM IMAGEM.jpg</v>
      </c>
      <c r="V59" t="str">
        <f>IFERROR((VLOOKUP(A59,Planilha1!A:B,2,0)),"\\192.168.0.4\Produtos\PRODUTO_PRONTA_ENTREGA\static\IMAGENS_PRODUTOS\SEM IMAGEM.jpg")</f>
        <v>\\192.168.0.4\Produtos\PRODUTO_PRONTA_ENTREGA\static\IMAGENS_PRODUTOS\SEM IMAGEM.jpg</v>
      </c>
    </row>
    <row r="60" spans="1:22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 t="shared" si="3"/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 t="shared" si="4"/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 t="shared" si="5"/>
        <v>1</v>
      </c>
      <c r="U60" s="10" t="str">
        <f>IFERROR((VLOOKUP(A60,Planilha1!A:B,2,0)),"\\192.168.0.4\Produtos\PRODUTO_PRONTA_ENTREGA\static\IMAGENS_PRODUTOS\SEM IMAGEM.jpg")</f>
        <v>\\192.168.0.4\Produtos\PRODUTO_PRONTA_ENTREGA\static\IMAGENS_PRODUTOS\SOFA ORSAGO_361213_361215_361214.jpg</v>
      </c>
      <c r="V60" t="str">
        <f>IFERROR((VLOOKUP(A60,Planilha1!A:B,2,0)),"\\192.168.0.4\Produtos\PRODUTO_PRONTA_ENTREGA\static\IMAGENS_PRODUTOS\SEM IMAGEM.jpg")</f>
        <v>\\192.168.0.4\Produtos\PRODUTO_PRONTA_ENTREGA\static\IMAGENS_PRODUTOS\SOFA ORSAGO_361213_361215_361214.jpg</v>
      </c>
    </row>
    <row r="61" spans="1:22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 t="shared" si="3"/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 t="shared" si="4"/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 t="shared" si="5"/>
        <v>1</v>
      </c>
      <c r="U61" s="10" t="str">
        <f>IFERROR((VLOOKUP(A61,Planilha1!A:B,2,0)),"\\192.168.0.4\Produtos\PRODUTO_PRONTA_ENTREGA\static\IMAGENS_PRODUTOS\SEM IMAGEM.jpg")</f>
        <v>\\192.168.0.4\Produtos\PRODUTO_PRONTA_ENTREGA\static\IMAGENS_PRODUTOS\SOFA ORSAGO_361213_361215_361214.jpg</v>
      </c>
      <c r="V61" t="str">
        <f>IFERROR((VLOOKUP(A61,Planilha1!A:B,2,0)),"\\192.168.0.4\Produtos\PRODUTO_PRONTA_ENTREGA\static\IMAGENS_PRODUTOS\SEM IMAGEM.jpg")</f>
        <v>\\192.168.0.4\Produtos\PRODUTO_PRONTA_ENTREGA\static\IMAGENS_PRODUTOS\SOFA ORSAGO_361213_361215_361214.jpg</v>
      </c>
    </row>
    <row r="62" spans="1:22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 t="shared" si="3"/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 t="shared" si="4"/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 t="shared" si="5"/>
        <v>1</v>
      </c>
      <c r="U62" s="10" t="str">
        <f>IFERROR((VLOOKUP(A62,Planilha1!A:B,2,0)),"\\192.168.0.4\Produtos\PRODUTO_PRONTA_ENTREGA\static\IMAGENS_PRODUTOS\SEM IMAGEM.jpg")</f>
        <v>\\192.168.0.4\Produtos\PRODUTO_PRONTA_ENTREGA\static\IMAGENS_PRODUTOS\SOFA ORSAGO_361213_361215_361214.jpg</v>
      </c>
      <c r="V62" t="str">
        <f>IFERROR((VLOOKUP(A62,Planilha1!A:B,2,0)),"\\192.168.0.4\Produtos\PRODUTO_PRONTA_ENTREGA\static\IMAGENS_PRODUTOS\SEM IMAGEM.jpg")</f>
        <v>\\192.168.0.4\Produtos\PRODUTO_PRONTA_ENTREGA\static\IMAGENS_PRODUTOS\SOFA ORSAGO_361213_361215_361214.jpg</v>
      </c>
    </row>
    <row r="63" spans="1:22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6072.72</v>
      </c>
      <c r="J63" s="6">
        <v>0</v>
      </c>
      <c r="K63" s="12">
        <f t="shared" si="3"/>
        <v>6072.72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 t="shared" si="4"/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 t="shared" si="5"/>
        <v>1</v>
      </c>
      <c r="U63" s="10" t="str">
        <f>IFERROR((VLOOKUP(A63,Planilha1!A:B,2,0)),"\\192.168.0.4\Produtos\PRODUTO_PRONTA_ENTREGA\static\IMAGENS_PRODUTOS\SEM IMAGEM.jpg")</f>
        <v>\\192.168.0.4\Produtos\PRODUTO_PRONTA_ENTREGA\static\IMAGENS_PRODUTOS\BANQUETA BAR DOTY_235153_235154.jpg</v>
      </c>
      <c r="V63" t="str">
        <f>IFERROR((VLOOKUP(A63,Planilha1!A:B,2,0)),"\\192.168.0.4\Produtos\PRODUTO_PRONTA_ENTREGA\static\IMAGENS_PRODUTOS\SEM IMAGEM.jpg")</f>
        <v>\\192.168.0.4\Produtos\PRODUTO_PRONTA_ENTREGA\static\IMAGENS_PRODUTOS\BANQUETA BAR DOTY_235153_235154.jpg</v>
      </c>
    </row>
    <row r="64" spans="1:22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6072.72</v>
      </c>
      <c r="J64" s="6">
        <v>0</v>
      </c>
      <c r="K64" s="12">
        <f t="shared" si="3"/>
        <v>6072.72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 t="shared" si="4"/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 t="shared" si="5"/>
        <v>1</v>
      </c>
      <c r="U64" s="10" t="str">
        <f>IFERROR((VLOOKUP(A64,Planilha1!A:B,2,0)),"\\192.168.0.4\Produtos\PRODUTO_PRONTA_ENTREGA\static\IMAGENS_PRODUTOS\SEM IMAGEM.jpg")</f>
        <v>\\192.168.0.4\Produtos\PRODUTO_PRONTA_ENTREGA\static\IMAGENS_PRODUTOS\BANQUETA BAR DOTY_235153_235154.jpg</v>
      </c>
      <c r="V64" t="str">
        <f>IFERROR((VLOOKUP(A64,Planilha1!A:B,2,0)),"\\192.168.0.4\Produtos\PRODUTO_PRONTA_ENTREGA\static\IMAGENS_PRODUTOS\SEM IMAGEM.jpg")</f>
        <v>\\192.168.0.4\Produtos\PRODUTO_PRONTA_ENTREGA\static\IMAGENS_PRODUTOS\BANQUETA BAR DOTY_235153_235154.jpg</v>
      </c>
    </row>
    <row r="65" spans="1:22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 t="shared" si="3"/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 t="shared" si="4"/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 t="shared" si="5"/>
        <v>1</v>
      </c>
      <c r="U65" s="10" t="str">
        <f>IFERROR((VLOOKUP(A65,Planilha1!A:B,2,0)),"\\192.168.0.4\Produtos\PRODUTO_PRONTA_ENTREGA\static\IMAGENS_PRODUTOS\SEM IMAGEM.jpg")</f>
        <v>\\192.168.0.4\Produtos\PRODUTO_PRONTA_ENTREGA\static\IMAGENS_PRODUTOS\SEM IMAGEM.jpg</v>
      </c>
      <c r="V65" t="str">
        <f>IFERROR((VLOOKUP(A65,Planilha1!A:B,2,0)),"\\192.168.0.4\Produtos\PRODUTO_PRONTA_ENTREGA\static\IMAGENS_PRODUTOS\SEM IMAGEM.jpg")</f>
        <v>\\192.168.0.4\Produtos\PRODUTO_PRONTA_ENTREGA\static\IMAGENS_PRODUTOS\SEM IMAGEM.jpg</v>
      </c>
    </row>
    <row r="66" spans="1:22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 t="shared" si="3"/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 t="shared" si="4"/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 t="shared" si="5"/>
        <v>1</v>
      </c>
      <c r="U66" s="10" t="str">
        <f>IFERROR((VLOOKUP(A66,Planilha1!A:B,2,0)),"\\192.168.0.4\Produtos\PRODUTO_PRONTA_ENTREGA\static\IMAGENS_PRODUTOS\SEM IMAGEM.jpg")</f>
        <v>\\192.168.0.4\Produtos\PRODUTO_PRONTA_ENTREGA\static\IMAGENS_PRODUTOS\SEM IMAGEM.jpg</v>
      </c>
      <c r="V66" t="str">
        <f>IFERROR((VLOOKUP(A66,Planilha1!A:B,2,0)),"\\192.168.0.4\Produtos\PRODUTO_PRONTA_ENTREGA\static\IMAGENS_PRODUTOS\SEM IMAGEM.jpg")</f>
        <v>\\192.168.0.4\Produtos\PRODUTO_PRONTA_ENTREGA\static\IMAGENS_PRODUTOS\SEM IMAGEM.jpg</v>
      </c>
    </row>
    <row r="67" spans="1:22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 t="shared" si="3"/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 t="shared" si="4"/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 t="shared" si="5"/>
        <v>1</v>
      </c>
      <c r="U67" s="10" t="str">
        <f>IFERROR((VLOOKUP(A67,Planilha1!A:B,2,0)),"\\192.168.0.4\Produtos\PRODUTO_PRONTA_ENTREGA\static\IMAGENS_PRODUTOS\SEM IMAGEM.jpg")</f>
        <v>\\192.168.0.4\Produtos\PRODUTO_PRONTA_ENTREGA\static\IMAGENS_PRODUTOS\SOFA DALOA_327346_327347_300252.jpg</v>
      </c>
      <c r="V67" t="str">
        <f>IFERROR((VLOOKUP(A67,Planilha1!A:B,2,0)),"\\192.168.0.4\Produtos\PRODUTO_PRONTA_ENTREGA\static\IMAGENS_PRODUTOS\SEM IMAGEM.jpg")</f>
        <v>\\192.168.0.4\Produtos\PRODUTO_PRONTA_ENTREGA\static\IMAGENS_PRODUTOS\SOFA DALOA_327346_327347_300252.jpg</v>
      </c>
    </row>
    <row r="68" spans="1:22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 t="shared" si="3"/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 t="shared" si="4"/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 t="shared" si="5"/>
        <v>1</v>
      </c>
      <c r="U68" s="10" t="str">
        <f>IFERROR((VLOOKUP(A68,Planilha1!A:B,2,0)),"\\192.168.0.4\Produtos\PRODUTO_PRONTA_ENTREGA\static\IMAGENS_PRODUTOS\SEM IMAGEM.jpg")</f>
        <v>\\192.168.0.4\Produtos\PRODUTO_PRONTA_ENTREGA\static\IMAGENS_PRODUTOS\SOFA DALOA_327346_327347_300252.jpg</v>
      </c>
      <c r="V68" t="str">
        <f>IFERROR((VLOOKUP(A68,Planilha1!A:B,2,0)),"\\192.168.0.4\Produtos\PRODUTO_PRONTA_ENTREGA\static\IMAGENS_PRODUTOS\SEM IMAGEM.jpg")</f>
        <v>\\192.168.0.4\Produtos\PRODUTO_PRONTA_ENTREGA\static\IMAGENS_PRODUTOS\SOFA DALOA_327346_327347_300252.jpg</v>
      </c>
    </row>
    <row r="69" spans="1:22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 t="shared" si="3"/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 t="shared" si="4"/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 t="shared" si="5"/>
        <v>1</v>
      </c>
      <c r="U69" s="10" t="str">
        <f>IFERROR((VLOOKUP(A69,Planilha1!A:B,2,0)),"\\192.168.0.4\Produtos\PRODUTO_PRONTA_ENTREGA\static\IMAGENS_PRODUTOS\SEM IMAGEM.jpg")</f>
        <v>\\192.168.0.4\Produtos\PRODUTO_PRONTA_ENTREGA\static\IMAGENS_PRODUTOS\SEM IMAGEM.jpg</v>
      </c>
      <c r="V69" t="str">
        <f>IFERROR((VLOOKUP(A69,Planilha1!A:B,2,0)),"\\192.168.0.4\Produtos\PRODUTO_PRONTA_ENTREGA\static\IMAGENS_PRODUTOS\SEM IMAGEM.jpg")</f>
        <v>\\192.168.0.4\Produtos\PRODUTO_PRONTA_ENTREGA\static\IMAGENS_PRODUTOS\SEM IMAGEM.jpg</v>
      </c>
    </row>
    <row r="70" spans="1:22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 t="shared" si="3"/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 t="shared" si="4"/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 t="shared" si="5"/>
        <v>1</v>
      </c>
      <c r="U70" s="10" t="str">
        <f>IFERROR((VLOOKUP(A70,Planilha1!A:B,2,0)),"\\192.168.0.4\Produtos\PRODUTO_PRONTA_ENTREGA\static\IMAGENS_PRODUTOS\SEM IMAGEM.jpg")</f>
        <v>\\192.168.0.4\Produtos\PRODUTO_PRONTA_ENTREGA\static\IMAGENS_PRODUTOS\SEM IMAGEM.jpg</v>
      </c>
      <c r="V70" t="str">
        <f>IFERROR((VLOOKUP(A70,Planilha1!A:B,2,0)),"\\192.168.0.4\Produtos\PRODUTO_PRONTA_ENTREGA\static\IMAGENS_PRODUTOS\SEM IMAGEM.jpg")</f>
        <v>\\192.168.0.4\Produtos\PRODUTO_PRONTA_ENTREGA\static\IMAGENS_PRODUTOS\SEM IMAGEM.jpg</v>
      </c>
    </row>
    <row r="71" spans="1:22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 t="shared" si="3"/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 t="shared" si="4"/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 t="shared" si="5"/>
        <v>1</v>
      </c>
      <c r="U71" s="10" t="str">
        <f>IFERROR((VLOOKUP(A71,Planilha1!A:B,2,0)),"\\192.168.0.4\Produtos\PRODUTO_PRONTA_ENTREGA\static\IMAGENS_PRODUTOS\SEM IMAGEM.jpg")</f>
        <v>\\192.168.0.4\Produtos\PRODUTO_PRONTA_ENTREGA\static\IMAGENS_PRODUTOS\SEM IMAGEM.jpg</v>
      </c>
      <c r="V71" t="str">
        <f>IFERROR((VLOOKUP(A71,Planilha1!A:B,2,0)),"\\192.168.0.4\Produtos\PRODUTO_PRONTA_ENTREGA\static\IMAGENS_PRODUTOS\SEM IMAGEM.jpg")</f>
        <v>\\192.168.0.4\Produtos\PRODUTO_PRONTA_ENTREGA\static\IMAGENS_PRODUTOS\SEM IMAGEM.jpg</v>
      </c>
    </row>
    <row r="72" spans="1:22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 t="shared" si="3"/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 t="shared" si="4"/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 t="shared" si="5"/>
        <v>1</v>
      </c>
      <c r="U72" s="10" t="str">
        <f>IFERROR((VLOOKUP(A72,Planilha1!A:B,2,0)),"\\192.168.0.4\Produtos\PRODUTO_PRONTA_ENTREGA\static\IMAGENS_PRODUTOS\SEM IMAGEM.jpg")</f>
        <v>\\192.168.0.4\Produtos\PRODUTO_PRONTA_ENTREGA\static\IMAGENS_PRODUTOS\SEM IMAGEM.jpg</v>
      </c>
      <c r="V72" t="str">
        <f>IFERROR((VLOOKUP(A72,Planilha1!A:B,2,0)),"\\192.168.0.4\Produtos\PRODUTO_PRONTA_ENTREGA\static\IMAGENS_PRODUTOS\SEM IMAGEM.jpg")</f>
        <v>\\192.168.0.4\Produtos\PRODUTO_PRONTA_ENTREGA\static\IMAGENS_PRODUTOS\SEM IMAGEM.jpg</v>
      </c>
    </row>
    <row r="73" spans="1:22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 t="shared" si="3"/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 t="shared" si="4"/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 t="shared" si="5"/>
        <v>3</v>
      </c>
      <c r="U73" s="10" t="str">
        <f>IFERROR((VLOOKUP(A73,Planilha1!A:B,2,0)),"\\192.168.0.4\Produtos\PRODUTO_PRONTA_ENTREGA\static\IMAGENS_PRODUTOS\SEM IMAGEM.jpg")</f>
        <v>\\192.168.0.4\Produtos\PRODUTO_PRONTA_ENTREGA\static\IMAGENS_PRODUTOS\SEM IMAGEM.jpg</v>
      </c>
      <c r="V73" t="str">
        <f>IFERROR((VLOOKUP(A73,Planilha1!A:B,2,0)),"\\192.168.0.4\Produtos\PRODUTO_PRONTA_ENTREGA\static\IMAGENS_PRODUTOS\SEM IMAGEM.jpg")</f>
        <v>\\192.168.0.4\Produtos\PRODUTO_PRONTA_ENTREGA\static\IMAGENS_PRODUTOS\SEM IMAGEM.jpg</v>
      </c>
    </row>
    <row r="74" spans="1:22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36885.869999999995</v>
      </c>
      <c r="J74" s="6">
        <v>0</v>
      </c>
      <c r="K74" s="12">
        <f t="shared" si="3"/>
        <v>36885.869999999995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 t="shared" si="4"/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 t="shared" si="5"/>
        <v>1</v>
      </c>
      <c r="U74" s="10" t="str">
        <f>IFERROR((VLOOKUP(A74,Planilha1!A:B,2,0)),"\\192.168.0.4\Produtos\PRODUTO_PRONTA_ENTREGA\static\IMAGENS_PRODUTOS\SEM IMAGEM.jpg")</f>
        <v>\\192.168.0.4\Produtos\PRODUTO_PRONTA_ENTREGA\static\IMAGENS_PRODUTOS\SOFA HARRY_223414_223413.jpg</v>
      </c>
      <c r="V74" t="str">
        <f>IFERROR((VLOOKUP(A74,Planilha1!A:B,2,0)),"\\192.168.0.4\Produtos\PRODUTO_PRONTA_ENTREGA\static\IMAGENS_PRODUTOS\SEM IMAGEM.jpg")</f>
        <v>\\192.168.0.4\Produtos\PRODUTO_PRONTA_ENTREGA\static\IMAGENS_PRODUTOS\SOFA HARRY_223414_223413.jpg</v>
      </c>
    </row>
    <row r="75" spans="1:22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36885.869999999995</v>
      </c>
      <c r="J75" s="6">
        <v>0</v>
      </c>
      <c r="K75" s="12">
        <f t="shared" si="3"/>
        <v>36885.869999999995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 t="shared" si="4"/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 t="shared" si="5"/>
        <v>1</v>
      </c>
      <c r="U75" s="10" t="str">
        <f>IFERROR((VLOOKUP(A75,Planilha1!A:B,2,0)),"\\192.168.0.4\Produtos\PRODUTO_PRONTA_ENTREGA\static\IMAGENS_PRODUTOS\SEM IMAGEM.jpg")</f>
        <v>\\192.168.0.4\Produtos\PRODUTO_PRONTA_ENTREGA\static\IMAGENS_PRODUTOS\SOFA HARRY_223414_223413.jpg</v>
      </c>
      <c r="V75" t="str">
        <f>IFERROR((VLOOKUP(A75,Planilha1!A:B,2,0)),"\\192.168.0.4\Produtos\PRODUTO_PRONTA_ENTREGA\static\IMAGENS_PRODUTOS\SEM IMAGEM.jpg")</f>
        <v>\\192.168.0.4\Produtos\PRODUTO_PRONTA_ENTREGA\static\IMAGENS_PRODUTOS\SOFA HARRY_223414_223413.jpg</v>
      </c>
    </row>
    <row r="76" spans="1:22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 t="shared" si="3"/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 t="shared" si="4"/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 t="shared" si="5"/>
        <v>1</v>
      </c>
      <c r="U76" s="10" t="str">
        <f>IFERROR((VLOOKUP(A76,Planilha1!A:B,2,0)),"\\192.168.0.4\Produtos\PRODUTO_PRONTA_ENTREGA\static\IMAGENS_PRODUTOS\SEM IMAGEM.jpg")</f>
        <v>\\192.168.0.4\Produtos\PRODUTO_PRONTA_ENTREGA\static\IMAGENS_PRODUTOS\SEM IMAGEM.jpg</v>
      </c>
      <c r="V76" t="str">
        <f>IFERROR((VLOOKUP(A76,Planilha1!A:B,2,0)),"\\192.168.0.4\Produtos\PRODUTO_PRONTA_ENTREGA\static\IMAGENS_PRODUTOS\SEM IMAGEM.jpg")</f>
        <v>\\192.168.0.4\Produtos\PRODUTO_PRONTA_ENTREGA\static\IMAGENS_PRODUTOS\SEM IMAGEM.jpg</v>
      </c>
    </row>
    <row r="77" spans="1:22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 t="shared" si="3"/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 t="shared" si="4"/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 t="shared" si="5"/>
        <v>1</v>
      </c>
      <c r="U77" s="10" t="str">
        <f>IFERROR((VLOOKUP(A77,Planilha1!A:B,2,0)),"\\192.168.0.4\Produtos\PRODUTO_PRONTA_ENTREGA\static\IMAGENS_PRODUTOS\SEM IMAGEM.jpg")</f>
        <v>\\192.168.0.4\Produtos\PRODUTO_PRONTA_ENTREGA\static\IMAGENS_PRODUTOS\SEM IMAGEM.jpg</v>
      </c>
      <c r="V77" t="str">
        <f>IFERROR((VLOOKUP(A77,Planilha1!A:B,2,0)),"\\192.168.0.4\Produtos\PRODUTO_PRONTA_ENTREGA\static\IMAGENS_PRODUTOS\SEM IMAGEM.jpg")</f>
        <v>\\192.168.0.4\Produtos\PRODUTO_PRONTA_ENTREGA\static\IMAGENS_PRODUTOS\SEM IMAGEM.jpg</v>
      </c>
    </row>
    <row r="78" spans="1:22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58811.78</v>
      </c>
      <c r="J78" s="6">
        <v>0</v>
      </c>
      <c r="K78" s="12">
        <f t="shared" si="3"/>
        <v>58811.78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 t="shared" si="4"/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 t="shared" si="5"/>
        <v>1</v>
      </c>
      <c r="U78" s="10" t="str">
        <f>IFERROR((VLOOKUP(A78,Planilha1!A:B,2,0)),"\\192.168.0.4\Produtos\PRODUTO_PRONTA_ENTREGA\static\IMAGENS_PRODUTOS\SEM IMAGEM.jpg")</f>
        <v>\\192.168.0.4\Produtos\PRODUTO_PRONTA_ENTREGA\static\IMAGENS_PRODUTOS\SEM IMAGEM.jpg</v>
      </c>
      <c r="V78" t="str">
        <f>IFERROR((VLOOKUP(A78,Planilha1!A:B,2,0)),"\\192.168.0.4\Produtos\PRODUTO_PRONTA_ENTREGA\static\IMAGENS_PRODUTOS\SEM IMAGEM.jpg")</f>
        <v>\\192.168.0.4\Produtos\PRODUTO_PRONTA_ENTREGA\static\IMAGENS_PRODUTOS\SEM IMAGEM.jpg</v>
      </c>
    </row>
    <row r="79" spans="1:22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58811.78</v>
      </c>
      <c r="J79" s="6">
        <v>0</v>
      </c>
      <c r="K79" s="12">
        <f t="shared" si="3"/>
        <v>58811.78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 t="shared" si="4"/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 t="shared" si="5"/>
        <v>1</v>
      </c>
      <c r="U79" s="10" t="str">
        <f>IFERROR((VLOOKUP(A79,Planilha1!A:B,2,0)),"\\192.168.0.4\Produtos\PRODUTO_PRONTA_ENTREGA\static\IMAGENS_PRODUTOS\SEM IMAGEM.jpg")</f>
        <v>\\192.168.0.4\Produtos\PRODUTO_PRONTA_ENTREGA\static\IMAGENS_PRODUTOS\MESA LATERAL FLY_275790.jpg</v>
      </c>
      <c r="V79" t="str">
        <f>IFERROR((VLOOKUP(A79,Planilha1!A:B,2,0)),"\\192.168.0.4\Produtos\PRODUTO_PRONTA_ENTREGA\static\IMAGENS_PRODUTOS\SEM IMAGEM.jpg")</f>
        <v>\\192.168.0.4\Produtos\PRODUTO_PRONTA_ENTREGA\static\IMAGENS_PRODUTOS\MESA LATERAL FLY_275790.jpg</v>
      </c>
    </row>
    <row r="80" spans="1:22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58811.78</v>
      </c>
      <c r="J80" s="6">
        <v>0</v>
      </c>
      <c r="K80" s="12">
        <f t="shared" si="3"/>
        <v>58811.78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 t="shared" si="4"/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 t="shared" si="5"/>
        <v>1</v>
      </c>
      <c r="U80" s="10" t="str">
        <f>IFERROR((VLOOKUP(A80,Planilha1!A:B,2,0)),"\\192.168.0.4\Produtos\PRODUTO_PRONTA_ENTREGA\static\IMAGENS_PRODUTOS\SEM IMAGEM.jpg")</f>
        <v>\\192.168.0.4\Produtos\PRODUTO_PRONTA_ENTREGA\static\IMAGENS_PRODUTOS\SOFA FLY_275789.jpg</v>
      </c>
      <c r="V80" t="str">
        <f>IFERROR((VLOOKUP(A80,Planilha1!A:B,2,0)),"\\192.168.0.4\Produtos\PRODUTO_PRONTA_ENTREGA\static\IMAGENS_PRODUTOS\SEM IMAGEM.jpg")</f>
        <v>\\192.168.0.4\Produtos\PRODUTO_PRONTA_ENTREGA\static\IMAGENS_PRODUTOS\SOFA FLY_275789.jpg</v>
      </c>
    </row>
    <row r="81" spans="1:22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54490.429999999993</v>
      </c>
      <c r="J81" s="6">
        <v>0</v>
      </c>
      <c r="K81" s="12">
        <f t="shared" si="3"/>
        <v>54490.429999999993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 t="shared" si="4"/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 t="shared" si="5"/>
        <v>1</v>
      </c>
      <c r="U81" s="10" t="str">
        <f>IFERROR((VLOOKUP(A81,Planilha1!A:B,2,0)),"\\192.168.0.4\Produtos\PRODUTO_PRONTA_ENTREGA\static\IMAGENS_PRODUTOS\SEM IMAGEM.jpg")</f>
        <v>\\192.168.0.4\Produtos\PRODUTO_PRONTA_ENTREGA\static\IMAGENS_PRODUTOS\SOFA FLY MESA LATERAL_270495_270576.jpg</v>
      </c>
      <c r="V81" t="str">
        <f>IFERROR((VLOOKUP(A81,Planilha1!A:B,2,0)),"\\192.168.0.4\Produtos\PRODUTO_PRONTA_ENTREGA\static\IMAGENS_PRODUTOS\SEM IMAGEM.jpg")</f>
        <v>\\192.168.0.4\Produtos\PRODUTO_PRONTA_ENTREGA\static\IMAGENS_PRODUTOS\SOFA FLY MESA LATERAL_270495_270576.jpg</v>
      </c>
    </row>
    <row r="82" spans="1:22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54490.429999999993</v>
      </c>
      <c r="J82" s="6">
        <v>0</v>
      </c>
      <c r="K82" s="12">
        <f t="shared" si="3"/>
        <v>54490.429999999993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 t="shared" si="4"/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 t="shared" si="5"/>
        <v>1</v>
      </c>
      <c r="U82" s="10" t="str">
        <f>IFERROR((VLOOKUP(A82,Planilha1!A:B,2,0)),"\\192.168.0.4\Produtos\PRODUTO_PRONTA_ENTREGA\static\IMAGENS_PRODUTOS\SEM IMAGEM.jpg")</f>
        <v>\\192.168.0.4\Produtos\PRODUTO_PRONTA_ENTREGA\static\IMAGENS_PRODUTOS\SEM IMAGEM.jpg</v>
      </c>
      <c r="V82" t="str">
        <f>IFERROR((VLOOKUP(A82,Planilha1!A:B,2,0)),"\\192.168.0.4\Produtos\PRODUTO_PRONTA_ENTREGA\static\IMAGENS_PRODUTOS\SEM IMAGEM.jpg")</f>
        <v>\\192.168.0.4\Produtos\PRODUTO_PRONTA_ENTREGA\static\IMAGENS_PRODUTOS\SEM IMAGEM.jpg</v>
      </c>
    </row>
    <row r="83" spans="1:22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54490.429999999993</v>
      </c>
      <c r="J83" s="6">
        <v>0</v>
      </c>
      <c r="K83" s="12">
        <f t="shared" si="3"/>
        <v>54490.429999999993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 t="shared" si="4"/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 t="shared" si="5"/>
        <v>1</v>
      </c>
      <c r="U83" s="10" t="str">
        <f>IFERROR((VLOOKUP(A83,Planilha1!A:B,2,0)),"\\192.168.0.4\Produtos\PRODUTO_PRONTA_ENTREGA\static\IMAGENS_PRODUTOS\SEM IMAGEM.jpg")</f>
        <v>\\192.168.0.4\Produtos\PRODUTO_PRONTA_ENTREGA\static\IMAGENS_PRODUTOS\SOFA FLY MESA LATERAL_270495_270576.jpg</v>
      </c>
      <c r="V83" t="str">
        <f>IFERROR((VLOOKUP(A83,Planilha1!A:B,2,0)),"\\192.168.0.4\Produtos\PRODUTO_PRONTA_ENTREGA\static\IMAGENS_PRODUTOS\SEM IMAGEM.jpg")</f>
        <v>\\192.168.0.4\Produtos\PRODUTO_PRONTA_ENTREGA\static\IMAGENS_PRODUTOS\SOFA FLY MESA LATERAL_270495_270576.jpg</v>
      </c>
    </row>
    <row r="84" spans="1:22" x14ac:dyDescent="0.25">
      <c r="A84" s="5">
        <v>354545</v>
      </c>
      <c r="B84" t="str">
        <f>IFERROR((VLOOKUP(A84,'[1]LISTA ETIQUETAS'!O:X,3,0)),"PRODUTO SEM ESTOQUE")</f>
        <v>sem saldo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3129.88</v>
      </c>
      <c r="J84" s="6">
        <v>0</v>
      </c>
      <c r="K84" s="12">
        <f t="shared" si="3"/>
        <v>3129.88</v>
      </c>
      <c r="L84" s="7" t="str">
        <f>IF(VLOOKUP(A84,'[1]LISTA ETIQUETAS'!O:AB,14,0)="","",(VLOOKUP(A84,'[1]LISTA ETIQUETAS'!O:AB,14,0)))</f>
        <v>FD</v>
      </c>
      <c r="M84" s="8">
        <v>354545</v>
      </c>
      <c r="N84" s="9">
        <f t="shared" si="4"/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 t="shared" si="5"/>
        <v>1</v>
      </c>
      <c r="U84" s="10" t="str">
        <f>IFERROR((VLOOKUP(A84,Planilha1!A:B,2,0)),"\\192.168.0.4\Produtos\PRODUTO_PRONTA_ENTREGA\static\IMAGENS_PRODUTOS\SEM IMAGEM.jpg")</f>
        <v>\\192.168.0.4\Produtos\PRODUTO_PRONTA_ENTREGA\static\IMAGENS_PRODUTOS\MESA LATERAL PACO_354545.jpg</v>
      </c>
      <c r="V84" t="str">
        <f>IFERROR((VLOOKUP(A84,Planilha1!A:B,2,0)),"\\192.168.0.4\Produtos\PRODUTO_PRONTA_ENTREGA\static\IMAGENS_PRODUTOS\SEM IMAGEM.jpg")</f>
        <v>\\192.168.0.4\Produtos\PRODUTO_PRONTA_ENTREGA\static\IMAGENS_PRODUTOS\MESA LATERAL PACO_354545.jpg</v>
      </c>
    </row>
    <row r="85" spans="1:22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 t="shared" si="3"/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 t="shared" si="4"/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 t="shared" si="5"/>
        <v>1</v>
      </c>
      <c r="U85" s="10" t="str">
        <f>IFERROR((VLOOKUP(A85,Planilha1!A:B,2,0)),"\\192.168.0.4\Produtos\PRODUTO_PRONTA_ENTREGA\static\IMAGENS_PRODUTOS\SEM IMAGEM.jpg")</f>
        <v>\\192.168.0.4\Produtos\PRODUTO_PRONTA_ENTREGA\static\IMAGENS_PRODUTOS\SEM IMAGEM.jpg</v>
      </c>
      <c r="V85" t="str">
        <f>IFERROR((VLOOKUP(A85,Planilha1!A:B,2,0)),"\\192.168.0.4\Produtos\PRODUTO_PRONTA_ENTREGA\static\IMAGENS_PRODUTOS\SEM IMAGEM.jpg")</f>
        <v>\\192.168.0.4\Produtos\PRODUTO_PRONTA_ENTREGA\static\IMAGENS_PRODUTOS\SEM IMAGEM.jpg</v>
      </c>
    </row>
    <row r="86" spans="1:22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 t="shared" si="3"/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 t="shared" si="4"/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 t="shared" si="5"/>
        <v>1</v>
      </c>
      <c r="U86" s="10" t="str">
        <f>IFERROR((VLOOKUP(A86,Planilha1!A:B,2,0)),"\\192.168.0.4\Produtos\PRODUTO_PRONTA_ENTREGA\static\IMAGENS_PRODUTOS\SEM IMAGEM.jpg")</f>
        <v>\\192.168.0.4\Produtos\PRODUTO_PRONTA_ENTREGA\static\IMAGENS_PRODUTOS\SEM IMAGEM.jpg</v>
      </c>
      <c r="V86" t="str">
        <f>IFERROR((VLOOKUP(A86,Planilha1!A:B,2,0)),"\\192.168.0.4\Produtos\PRODUTO_PRONTA_ENTREGA\static\IMAGENS_PRODUTOS\SEM IMAGEM.jpg")</f>
        <v>\\192.168.0.4\Produtos\PRODUTO_PRONTA_ENTREGA\static\IMAGENS_PRODUTOS\SEM IMAGEM.jpg</v>
      </c>
    </row>
    <row r="87" spans="1:22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 t="shared" ref="K87:K150" si="6">IFERROR(I87-I87*J87,"")</f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 t="shared" ref="N87:N150" si="7">IF(M87="",A87,M87)</f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 t="shared" ref="T87:T150" si="8">SUM(O87:S87)</f>
        <v>1</v>
      </c>
      <c r="U87" s="10" t="str">
        <f>IFERROR((VLOOKUP(A87,Planilha1!A:B,2,0)),"\\192.168.0.4\Produtos\PRODUTO_PRONTA_ENTREGA\static\IMAGENS_PRODUTOS\SEM IMAGEM.jpg")</f>
        <v>\\192.168.0.4\Produtos\PRODUTO_PRONTA_ENTREGA\static\IMAGENS_PRODUTOS\SEM IMAGEM.jpg</v>
      </c>
      <c r="V87" t="str">
        <f>IFERROR((VLOOKUP(A87,Planilha1!A:B,2,0)),"\\192.168.0.4\Produtos\PRODUTO_PRONTA_ENTREGA\static\IMAGENS_PRODUTOS\SEM IMAGEM.jpg")</f>
        <v>\\192.168.0.4\Produtos\PRODUTO_PRONTA_ENTREGA\static\IMAGENS_PRODUTOS\SEM IMAGEM.jpg</v>
      </c>
    </row>
    <row r="88" spans="1:22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38837.549999999996</v>
      </c>
      <c r="J88" s="6">
        <v>0</v>
      </c>
      <c r="K88" s="12">
        <f t="shared" si="6"/>
        <v>38837.549999999996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 t="shared" si="7"/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 t="shared" si="8"/>
        <v>1</v>
      </c>
      <c r="U88" s="10" t="str">
        <f>IFERROR((VLOOKUP(A88,Planilha1!A:B,2,0)),"\\192.168.0.4\Produtos\PRODUTO_PRONTA_ENTREGA\static\IMAGENS_PRODUTOS\SEM IMAGEM.jpg")</f>
        <v>\\192.168.0.4\Produtos\PRODUTO_PRONTA_ENTREGA\static\IMAGENS_PRODUTOS\MESA LATERAL PACO_354548.jpg</v>
      </c>
      <c r="V88" t="str">
        <f>IFERROR((VLOOKUP(A88,Planilha1!A:B,2,0)),"\\192.168.0.4\Produtos\PRODUTO_PRONTA_ENTREGA\static\IMAGENS_PRODUTOS\SEM IMAGEM.jpg")</f>
        <v>\\192.168.0.4\Produtos\PRODUTO_PRONTA_ENTREGA\static\IMAGENS_PRODUTOS\MESA LATERAL PACO_354548.jpg</v>
      </c>
    </row>
    <row r="89" spans="1:22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38837.549999999996</v>
      </c>
      <c r="J89" s="6">
        <v>0</v>
      </c>
      <c r="K89" s="12">
        <f t="shared" si="6"/>
        <v>38837.549999999996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 t="shared" si="7"/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 t="shared" si="8"/>
        <v>1</v>
      </c>
      <c r="U89" s="10" t="str">
        <f>IFERROR((VLOOKUP(A89,Planilha1!A:B,2,0)),"\\192.168.0.4\Produtos\PRODUTO_PRONTA_ENTREGA\static\IMAGENS_PRODUTOS\SEM IMAGEM.jpg")</f>
        <v>\\192.168.0.4\Produtos\PRODUTO_PRONTA_ENTREGA\static\IMAGENS_PRODUTOS\POLTRONA PACO_336556.jpg</v>
      </c>
      <c r="V89" t="str">
        <f>IFERROR((VLOOKUP(A89,Planilha1!A:B,2,0)),"\\192.168.0.4\Produtos\PRODUTO_PRONTA_ENTREGA\static\IMAGENS_PRODUTOS\SEM IMAGEM.jpg")</f>
        <v>\\192.168.0.4\Produtos\PRODUTO_PRONTA_ENTREGA\static\IMAGENS_PRODUTOS\POLTRONA PACO_336556.jpg</v>
      </c>
    </row>
    <row r="90" spans="1:22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 t="shared" si="6"/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 t="shared" si="7"/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 t="shared" si="8"/>
        <v>1</v>
      </c>
      <c r="U90" s="10" t="str">
        <f>IFERROR((VLOOKUP(A90,Planilha1!A:B,2,0)),"\\192.168.0.4\Produtos\PRODUTO_PRONTA_ENTREGA\static\IMAGENS_PRODUTOS\SEM IMAGEM.jpg")</f>
        <v>\\192.168.0.4\Produtos\PRODUTO_PRONTA_ENTREGA\static\IMAGENS_PRODUTOS\SOFA AURORA_335215_335214_335213.jpg</v>
      </c>
      <c r="V90" t="str">
        <f>IFERROR((VLOOKUP(A90,Planilha1!A:B,2,0)),"\\192.168.0.4\Produtos\PRODUTO_PRONTA_ENTREGA\static\IMAGENS_PRODUTOS\SEM IMAGEM.jpg")</f>
        <v>\\192.168.0.4\Produtos\PRODUTO_PRONTA_ENTREGA\static\IMAGENS_PRODUTOS\SOFA AURORA_335215_335214_335213.jpg</v>
      </c>
    </row>
    <row r="91" spans="1:22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 t="shared" si="6"/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 t="shared" si="7"/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 t="shared" si="8"/>
        <v>1</v>
      </c>
      <c r="U91" s="10" t="str">
        <f>IFERROR((VLOOKUP(A91,Planilha1!A:B,2,0)),"\\192.168.0.4\Produtos\PRODUTO_PRONTA_ENTREGA\static\IMAGENS_PRODUTOS\SEM IMAGEM.jpg")</f>
        <v>\\192.168.0.4\Produtos\PRODUTO_PRONTA_ENTREGA\static\IMAGENS_PRODUTOS\SOFA AURORA_335215_335214_335213.jpg</v>
      </c>
      <c r="V91" t="str">
        <f>IFERROR((VLOOKUP(A91,Planilha1!A:B,2,0)),"\\192.168.0.4\Produtos\PRODUTO_PRONTA_ENTREGA\static\IMAGENS_PRODUTOS\SEM IMAGEM.jpg")</f>
        <v>\\192.168.0.4\Produtos\PRODUTO_PRONTA_ENTREGA\static\IMAGENS_PRODUTOS\SOFA AURORA_335215_335214_335213.jpg</v>
      </c>
    </row>
    <row r="92" spans="1:22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 t="shared" si="6"/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 t="shared" si="7"/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 t="shared" si="8"/>
        <v>1</v>
      </c>
      <c r="U92" s="10" t="str">
        <f>IFERROR((VLOOKUP(A92,Planilha1!A:B,2,0)),"\\192.168.0.4\Produtos\PRODUTO_PRONTA_ENTREGA\static\IMAGENS_PRODUTOS\SEM IMAGEM.jpg")</f>
        <v>\\192.168.0.4\Produtos\PRODUTO_PRONTA_ENTREGA\static\IMAGENS_PRODUTOS\SOFA AURORA_335215_335214_335213.jpg</v>
      </c>
      <c r="V92" t="str">
        <f>IFERROR((VLOOKUP(A92,Planilha1!A:B,2,0)),"\\192.168.0.4\Produtos\PRODUTO_PRONTA_ENTREGA\static\IMAGENS_PRODUTOS\SEM IMAGEM.jpg")</f>
        <v>\\192.168.0.4\Produtos\PRODUTO_PRONTA_ENTREGA\static\IMAGENS_PRODUTOS\SOFA AURORA_335215_335214_335213.jpg</v>
      </c>
    </row>
    <row r="93" spans="1:22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51254.2</v>
      </c>
      <c r="J93" s="6">
        <v>0</v>
      </c>
      <c r="K93" s="12">
        <f t="shared" si="6"/>
        <v>51254.2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 t="shared" si="7"/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 t="shared" si="8"/>
        <v>2</v>
      </c>
      <c r="U93" s="10" t="str">
        <f>IFERROR((VLOOKUP(A93,Planilha1!A:B,2,0)),"\\192.168.0.4\Produtos\PRODUTO_PRONTA_ENTREGA\static\IMAGENS_PRODUTOS\SEM IMAGEM.jpg")</f>
        <v>\\192.168.0.4\Produtos\PRODUTO_PRONTA_ENTREGA\static\IMAGENS_PRODUTOS\SEM IMAGEM.jpg</v>
      </c>
      <c r="V93" t="str">
        <f>IFERROR((VLOOKUP(A93,Planilha1!A:B,2,0)),"\\192.168.0.4\Produtos\PRODUTO_PRONTA_ENTREGA\static\IMAGENS_PRODUTOS\SEM IMAGEM.jpg")</f>
        <v>\\192.168.0.4\Produtos\PRODUTO_PRONTA_ENTREGA\static\IMAGENS_PRODUTOS\SEM IMAGEM.jpg</v>
      </c>
    </row>
    <row r="94" spans="1:22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51254.2</v>
      </c>
      <c r="J94" s="6">
        <v>0</v>
      </c>
      <c r="K94" s="12">
        <f t="shared" si="6"/>
        <v>51254.2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 t="shared" si="7"/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 t="shared" si="8"/>
        <v>3</v>
      </c>
      <c r="U94" s="10" t="str">
        <f>IFERROR((VLOOKUP(A94,Planilha1!A:B,2,0)),"\\192.168.0.4\Produtos\PRODUTO_PRONTA_ENTREGA\static\IMAGENS_PRODUTOS\SEM IMAGEM.jpg")</f>
        <v>\\192.168.0.4\Produtos\PRODUTO_PRONTA_ENTREGA\static\IMAGENS_PRODUTOS\POLTRONA PACO_336696.jpg</v>
      </c>
      <c r="V94" t="str">
        <f>IFERROR((VLOOKUP(A94,Planilha1!A:B,2,0)),"\\192.168.0.4\Produtos\PRODUTO_PRONTA_ENTREGA\static\IMAGENS_PRODUTOS\SEM IMAGEM.jpg")</f>
        <v>\\192.168.0.4\Produtos\PRODUTO_PRONTA_ENTREGA\static\IMAGENS_PRODUTOS\POLTRONA PACO_336696.jpg</v>
      </c>
    </row>
    <row r="95" spans="1:22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 t="shared" si="6"/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 t="shared" si="7"/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 t="shared" si="8"/>
        <v>1</v>
      </c>
      <c r="U95" s="10" t="str">
        <f>IFERROR((VLOOKUP(A95,Planilha1!A:B,2,0)),"\\192.168.0.4\Produtos\PRODUTO_PRONTA_ENTREGA\static\IMAGENS_PRODUTOS\SEM IMAGEM.jpg")</f>
        <v>\\192.168.0.4\Produtos\PRODUTO_PRONTA_ENTREGA\static\IMAGENS_PRODUTOS\SOFA DIXON_328716_328725_328726_328727.jpg</v>
      </c>
      <c r="V95" t="str">
        <f>IFERROR((VLOOKUP(A95,Planilha1!A:B,2,0)),"\\192.168.0.4\Produtos\PRODUTO_PRONTA_ENTREGA\static\IMAGENS_PRODUTOS\SEM IMAGEM.jpg")</f>
        <v>\\192.168.0.4\Produtos\PRODUTO_PRONTA_ENTREGA\static\IMAGENS_PRODUTOS\SOFA DIXON_328716_328725_328726_328727.jpg</v>
      </c>
    </row>
    <row r="96" spans="1:22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 t="shared" si="6"/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 t="shared" si="7"/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 t="shared" si="8"/>
        <v>1</v>
      </c>
      <c r="U96" s="10" t="str">
        <f>IFERROR((VLOOKUP(A96,Planilha1!A:B,2,0)),"\\192.168.0.4\Produtos\PRODUTO_PRONTA_ENTREGA\static\IMAGENS_PRODUTOS\SEM IMAGEM.jpg")</f>
        <v>\\192.168.0.4\Produtos\PRODUTO_PRONTA_ENTREGA\static\IMAGENS_PRODUTOS\SOFA DIXON_328716_328725_328726_328727.jpg</v>
      </c>
      <c r="V96" t="str">
        <f>IFERROR((VLOOKUP(A96,Planilha1!A:B,2,0)),"\\192.168.0.4\Produtos\PRODUTO_PRONTA_ENTREGA\static\IMAGENS_PRODUTOS\SEM IMAGEM.jpg")</f>
        <v>\\192.168.0.4\Produtos\PRODUTO_PRONTA_ENTREGA\static\IMAGENS_PRODUTOS\SOFA DIXON_328716_328725_328726_328727.jpg</v>
      </c>
    </row>
    <row r="97" spans="1:22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 t="shared" si="6"/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 t="shared" si="7"/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 t="shared" si="8"/>
        <v>1</v>
      </c>
      <c r="U97" s="10" t="str">
        <f>IFERROR((VLOOKUP(A97,Planilha1!A:B,2,0)),"\\192.168.0.4\Produtos\PRODUTO_PRONTA_ENTREGA\static\IMAGENS_PRODUTOS\SEM IMAGEM.jpg")</f>
        <v>\\192.168.0.4\Produtos\PRODUTO_PRONTA_ENTREGA\static\IMAGENS_PRODUTOS\SOFA DIXON_328716_328725_328726_328727.jpg</v>
      </c>
      <c r="V97" t="str">
        <f>IFERROR((VLOOKUP(A97,Planilha1!A:B,2,0)),"\\192.168.0.4\Produtos\PRODUTO_PRONTA_ENTREGA\static\IMAGENS_PRODUTOS\SEM IMAGEM.jpg")</f>
        <v>\\192.168.0.4\Produtos\PRODUTO_PRONTA_ENTREGA\static\IMAGENS_PRODUTOS\SOFA DIXON_328716_328725_328726_328727.jpg</v>
      </c>
    </row>
    <row r="98" spans="1:22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 t="shared" si="6"/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 t="shared" si="7"/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 t="shared" si="8"/>
        <v>1</v>
      </c>
      <c r="U98" s="10" t="str">
        <f>IFERROR((VLOOKUP(A98,Planilha1!A:B,2,0)),"\\192.168.0.4\Produtos\PRODUTO_PRONTA_ENTREGA\static\IMAGENS_PRODUTOS\SEM IMAGEM.jpg")</f>
        <v>\\192.168.0.4\Produtos\PRODUTO_PRONTA_ENTREGA\static\IMAGENS_PRODUTOS\SOFA DIXON_328716_328725_328726_328727.jpg</v>
      </c>
      <c r="V98" t="str">
        <f>IFERROR((VLOOKUP(A98,Planilha1!A:B,2,0)),"\\192.168.0.4\Produtos\PRODUTO_PRONTA_ENTREGA\static\IMAGENS_PRODUTOS\SEM IMAGEM.jpg")</f>
        <v>\\192.168.0.4\Produtos\PRODUTO_PRONTA_ENTREGA\static\IMAGENS_PRODUTOS\SOFA DIXON_328716_328725_328726_328727.jpg</v>
      </c>
    </row>
    <row r="99" spans="1:22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 t="shared" si="6"/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 t="shared" si="7"/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 t="shared" si="8"/>
        <v>1</v>
      </c>
      <c r="U99" s="10" t="str">
        <f>IFERROR((VLOOKUP(A99,Planilha1!A:B,2,0)),"\\192.168.0.4\Produtos\PRODUTO_PRONTA_ENTREGA\static\IMAGENS_PRODUTOS\SEM IMAGEM.jpg")</f>
        <v>\\192.168.0.4\Produtos\PRODUTO_PRONTA_ENTREGA\static\IMAGENS_PRODUTOS\SOFA ICARUS_339717_339718.jpg</v>
      </c>
      <c r="V99" t="str">
        <f>IFERROR((VLOOKUP(A99,Planilha1!A:B,2,0)),"\\192.168.0.4\Produtos\PRODUTO_PRONTA_ENTREGA\static\IMAGENS_PRODUTOS\SEM IMAGEM.jpg")</f>
        <v>\\192.168.0.4\Produtos\PRODUTO_PRONTA_ENTREGA\static\IMAGENS_PRODUTOS\SOFA ICARUS_339717_339718.jpg</v>
      </c>
    </row>
    <row r="100" spans="1:22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 t="shared" si="6"/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 t="shared" si="7"/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 t="shared" si="8"/>
        <v>1</v>
      </c>
      <c r="U100" s="10" t="str">
        <f>IFERROR((VLOOKUP(A100,Planilha1!A:B,2,0)),"\\192.168.0.4\Produtos\PRODUTO_PRONTA_ENTREGA\static\IMAGENS_PRODUTOS\SEM IMAGEM.jpg")</f>
        <v>\\192.168.0.4\Produtos\PRODUTO_PRONTA_ENTREGA\static\IMAGENS_PRODUTOS\SOFA ICARUS_339717_339718.jpg</v>
      </c>
      <c r="V100" t="str">
        <f>IFERROR((VLOOKUP(A100,Planilha1!A:B,2,0)),"\\192.168.0.4\Produtos\PRODUTO_PRONTA_ENTREGA\static\IMAGENS_PRODUTOS\SEM IMAGEM.jpg")</f>
        <v>\\192.168.0.4\Produtos\PRODUTO_PRONTA_ENTREGA\static\IMAGENS_PRODUTOS\SOFA ICARUS_339717_339718.jpg</v>
      </c>
    </row>
    <row r="101" spans="1:22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52550.240000000005</v>
      </c>
      <c r="J101" s="6">
        <v>0</v>
      </c>
      <c r="K101" s="12">
        <f t="shared" si="6"/>
        <v>52550.240000000005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 t="shared" si="7"/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 t="shared" si="8"/>
        <v>1</v>
      </c>
      <c r="U101" s="10" t="str">
        <f>IFERROR((VLOOKUP(A101,Planilha1!A:B,2,0)),"\\192.168.0.4\Produtos\PRODUTO_PRONTA_ENTREGA\static\IMAGENS_PRODUTOS\SEM IMAGEM.jpg")</f>
        <v>\\192.168.0.4\Produtos\PRODUTO_PRONTA_ENTREGA\static\IMAGENS_PRODUTOS\SEM IMAGEM.jpg</v>
      </c>
      <c r="V101" t="str">
        <f>IFERROR((VLOOKUP(A101,Planilha1!A:B,2,0)),"\\192.168.0.4\Produtos\PRODUTO_PRONTA_ENTREGA\static\IMAGENS_PRODUTOS\SEM IMAGEM.jpg")</f>
        <v>\\192.168.0.4\Produtos\PRODUTO_PRONTA_ENTREGA\static\IMAGENS_PRODUTOS\SEM IMAGEM.jpg</v>
      </c>
    </row>
    <row r="102" spans="1:22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52550.240000000005</v>
      </c>
      <c r="J102" s="6">
        <v>0</v>
      </c>
      <c r="K102" s="12">
        <f t="shared" si="6"/>
        <v>52550.240000000005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 t="shared" si="7"/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 t="shared" si="8"/>
        <v>1</v>
      </c>
      <c r="U102" s="10" t="str">
        <f>IFERROR((VLOOKUP(A102,Planilha1!A:B,2,0)),"\\192.168.0.4\Produtos\PRODUTO_PRONTA_ENTREGA\static\IMAGENS_PRODUTOS\SEM IMAGEM.jpg")</f>
        <v>\\192.168.0.4\Produtos\PRODUTO_PRONTA_ENTREGA\static\IMAGENS_PRODUTOS\SEM IMAGEM.jpg</v>
      </c>
      <c r="V102" t="str">
        <f>IFERROR((VLOOKUP(A102,Planilha1!A:B,2,0)),"\\192.168.0.4\Produtos\PRODUTO_PRONTA_ENTREGA\static\IMAGENS_PRODUTOS\SEM IMAGEM.jpg")</f>
        <v>\\192.168.0.4\Produtos\PRODUTO_PRONTA_ENTREGA\static\IMAGENS_PRODUTOS\SEM IMAGEM.jpg</v>
      </c>
    </row>
    <row r="103" spans="1:22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72182.334999999992</v>
      </c>
      <c r="J103" s="6">
        <v>0</v>
      </c>
      <c r="K103" s="12">
        <f t="shared" si="6"/>
        <v>72182.334999999992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 t="shared" si="7"/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 t="shared" si="8"/>
        <v>1</v>
      </c>
      <c r="U103" s="10" t="str">
        <f>IFERROR((VLOOKUP(A103,Planilha1!A:B,2,0)),"\\192.168.0.4\Produtos\PRODUTO_PRONTA_ENTREGA\static\IMAGENS_PRODUTOS\SEM IMAGEM.jpg")</f>
        <v>\\192.168.0.4\Produtos\PRODUTO_PRONTA_ENTREGA\static\IMAGENS_PRODUTOS\SEM IMAGEM.jpg</v>
      </c>
      <c r="V103" t="str">
        <f>IFERROR((VLOOKUP(A103,Planilha1!A:B,2,0)),"\\192.168.0.4\Produtos\PRODUTO_PRONTA_ENTREGA\static\IMAGENS_PRODUTOS\SEM IMAGEM.jpg")</f>
        <v>\\192.168.0.4\Produtos\PRODUTO_PRONTA_ENTREGA\static\IMAGENS_PRODUTOS\SEM IMAGEM.jpg</v>
      </c>
    </row>
    <row r="104" spans="1:22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72182.334999999992</v>
      </c>
      <c r="J104" s="6">
        <v>0</v>
      </c>
      <c r="K104" s="12">
        <f t="shared" si="6"/>
        <v>72182.334999999992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 t="shared" si="7"/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 t="shared" si="8"/>
        <v>1</v>
      </c>
      <c r="U104" s="10" t="str">
        <f>IFERROR((VLOOKUP(A104,Planilha1!A:B,2,0)),"\\192.168.0.4\Produtos\PRODUTO_PRONTA_ENTREGA\static\IMAGENS_PRODUTOS\SEM IMAGEM.jpg")</f>
        <v>\\192.168.0.4\Produtos\PRODUTO_PRONTA_ENTREGA\static\IMAGENS_PRODUTOS\SEM IMAGEM.jpg</v>
      </c>
      <c r="V104" t="str">
        <f>IFERROR((VLOOKUP(A104,Planilha1!A:B,2,0)),"\\192.168.0.4\Produtos\PRODUTO_PRONTA_ENTREGA\static\IMAGENS_PRODUTOS\SEM IMAGEM.jpg")</f>
        <v>\\192.168.0.4\Produtos\PRODUTO_PRONTA_ENTREGA\static\IMAGENS_PRODUTOS\SEM IMAGEM.jpg</v>
      </c>
    </row>
    <row r="105" spans="1:22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 t="shared" si="6"/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 t="shared" si="7"/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 t="shared" si="8"/>
        <v>2</v>
      </c>
      <c r="U105" s="10" t="str">
        <f>IFERROR((VLOOKUP(A105,Planilha1!A:B,2,0)),"\\192.168.0.4\Produtos\PRODUTO_PRONTA_ENTREGA\static\IMAGENS_PRODUTOS\SEM IMAGEM.jpg")</f>
        <v>\\192.168.0.4\Produtos\PRODUTO_PRONTA_ENTREGA\static\IMAGENS_PRODUTOS\SOFA PARATY_334247_334248_334249.jpg</v>
      </c>
      <c r="V105" t="str">
        <f>IFERROR((VLOOKUP(A105,Planilha1!A:B,2,0)),"\\192.168.0.4\Produtos\PRODUTO_PRONTA_ENTREGA\static\IMAGENS_PRODUTOS\SEM IMAGEM.jpg")</f>
        <v>\\192.168.0.4\Produtos\PRODUTO_PRONTA_ENTREGA\static\IMAGENS_PRODUTOS\SOFA PARATY_334247_334248_334249.jpg</v>
      </c>
    </row>
    <row r="106" spans="1:22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 t="shared" si="6"/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 t="shared" si="7"/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 t="shared" si="8"/>
        <v>2</v>
      </c>
      <c r="U106" s="10" t="str">
        <f>IFERROR((VLOOKUP(A106,Planilha1!A:B,2,0)),"\\192.168.0.4\Produtos\PRODUTO_PRONTA_ENTREGA\static\IMAGENS_PRODUTOS\SEM IMAGEM.jpg")</f>
        <v>\\192.168.0.4\Produtos\PRODUTO_PRONTA_ENTREGA\static\IMAGENS_PRODUTOS\SOFA PARATY_334247_334248_334249.jpg</v>
      </c>
      <c r="V106" t="str">
        <f>IFERROR((VLOOKUP(A106,Planilha1!A:B,2,0)),"\\192.168.0.4\Produtos\PRODUTO_PRONTA_ENTREGA\static\IMAGENS_PRODUTOS\SEM IMAGEM.jpg")</f>
        <v>\\192.168.0.4\Produtos\PRODUTO_PRONTA_ENTREGA\static\IMAGENS_PRODUTOS\SOFA PARATY_334247_334248_334249.jpg</v>
      </c>
    </row>
    <row r="107" spans="1:22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 t="shared" si="6"/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 t="shared" si="7"/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 t="shared" si="8"/>
        <v>2</v>
      </c>
      <c r="U107" s="10" t="str">
        <f>IFERROR((VLOOKUP(A107,Planilha1!A:B,2,0)),"\\192.168.0.4\Produtos\PRODUTO_PRONTA_ENTREGA\static\IMAGENS_PRODUTOS\SEM IMAGEM.jpg")</f>
        <v>\\192.168.0.4\Produtos\PRODUTO_PRONTA_ENTREGA\static\IMAGENS_PRODUTOS\SOFA PARATY_334247_334248_334249.jpg</v>
      </c>
      <c r="V107" t="str">
        <f>IFERROR((VLOOKUP(A107,Planilha1!A:B,2,0)),"\\192.168.0.4\Produtos\PRODUTO_PRONTA_ENTREGA\static\IMAGENS_PRODUTOS\SEM IMAGEM.jpg")</f>
        <v>\\192.168.0.4\Produtos\PRODUTO_PRONTA_ENTREGA\static\IMAGENS_PRODUTOS\SOFA PARATY_334247_334248_334249.jpg</v>
      </c>
    </row>
    <row r="108" spans="1:22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 t="shared" si="6"/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 t="shared" si="7"/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 t="shared" si="8"/>
        <v>1</v>
      </c>
      <c r="U108" s="10" t="str">
        <f>IFERROR((VLOOKUP(A108,Planilha1!A:B,2,0)),"\\192.168.0.4\Produtos\PRODUTO_PRONTA_ENTREGA\static\IMAGENS_PRODUTOS\SEM IMAGEM.jpg")</f>
        <v>\\192.168.0.4\Produtos\PRODUTO_PRONTA_ENTREGA\static\IMAGENS_PRODUTOS\SOFA AURORA_334205_334206.jpg</v>
      </c>
      <c r="V108" t="str">
        <f>IFERROR((VLOOKUP(A108,Planilha1!A:B,2,0)),"\\192.168.0.4\Produtos\PRODUTO_PRONTA_ENTREGA\static\IMAGENS_PRODUTOS\SEM IMAGEM.jpg")</f>
        <v>\\192.168.0.4\Produtos\PRODUTO_PRONTA_ENTREGA\static\IMAGENS_PRODUTOS\SOFA AURORA_334205_334206.jpg</v>
      </c>
    </row>
    <row r="109" spans="1:22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 t="shared" si="6"/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 t="shared" si="7"/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 t="shared" si="8"/>
        <v>1</v>
      </c>
      <c r="U109" s="10" t="str">
        <f>IFERROR((VLOOKUP(A109,Planilha1!A:B,2,0)),"\\192.168.0.4\Produtos\PRODUTO_PRONTA_ENTREGA\static\IMAGENS_PRODUTOS\SEM IMAGEM.jpg")</f>
        <v>\\192.168.0.4\Produtos\PRODUTO_PRONTA_ENTREGA\static\IMAGENS_PRODUTOS\SOFA AURORA_334205_334206.jpg</v>
      </c>
      <c r="V109" t="str">
        <f>IFERROR((VLOOKUP(A109,Planilha1!A:B,2,0)),"\\192.168.0.4\Produtos\PRODUTO_PRONTA_ENTREGA\static\IMAGENS_PRODUTOS\SEM IMAGEM.jpg")</f>
        <v>\\192.168.0.4\Produtos\PRODUTO_PRONTA_ENTREGA\static\IMAGENS_PRODUTOS\SOFA AURORA_334205_334206.jpg</v>
      </c>
    </row>
    <row r="110" spans="1:22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 t="shared" si="6"/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 t="shared" si="7"/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 t="shared" si="8"/>
        <v>1</v>
      </c>
      <c r="U110" s="10" t="str">
        <f>IFERROR((VLOOKUP(A110,Planilha1!A:B,2,0)),"\\192.168.0.4\Produtos\PRODUTO_PRONTA_ENTREGA\static\IMAGENS_PRODUTOS\SEM IMAGEM.jpg")</f>
        <v>\\192.168.0.4\Produtos\PRODUTO_PRONTA_ENTREGA\static\IMAGENS_PRODUTOS\SOFA ATLAS_334345_334346.jpg</v>
      </c>
      <c r="V110" t="str">
        <f>IFERROR((VLOOKUP(A110,Planilha1!A:B,2,0)),"\\192.168.0.4\Produtos\PRODUTO_PRONTA_ENTREGA\static\IMAGENS_PRODUTOS\SEM IMAGEM.jpg")</f>
        <v>\\192.168.0.4\Produtos\PRODUTO_PRONTA_ENTREGA\static\IMAGENS_PRODUTOS\SOFA ATLAS_334345_334346.jpg</v>
      </c>
    </row>
    <row r="111" spans="1:22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 t="shared" si="6"/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 t="shared" si="7"/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 t="shared" si="8"/>
        <v>1</v>
      </c>
      <c r="U111" s="10" t="str">
        <f>IFERROR((VLOOKUP(A111,Planilha1!A:B,2,0)),"\\192.168.0.4\Produtos\PRODUTO_PRONTA_ENTREGA\static\IMAGENS_PRODUTOS\SEM IMAGEM.jpg")</f>
        <v>\\192.168.0.4\Produtos\PRODUTO_PRONTA_ENTREGA\static\IMAGENS_PRODUTOS\SOFA ATLAS_334345_334346.jpg</v>
      </c>
      <c r="V111" t="str">
        <f>IFERROR((VLOOKUP(A111,Planilha1!A:B,2,0)),"\\192.168.0.4\Produtos\PRODUTO_PRONTA_ENTREGA\static\IMAGENS_PRODUTOS\SEM IMAGEM.jpg")</f>
        <v>\\192.168.0.4\Produtos\PRODUTO_PRONTA_ENTREGA\static\IMAGENS_PRODUTOS\SOFA ATLAS_334345_334346.jpg</v>
      </c>
    </row>
    <row r="112" spans="1:22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 t="shared" si="6"/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 t="shared" si="7"/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 t="shared" si="8"/>
        <v>1</v>
      </c>
      <c r="U112" s="10" t="str">
        <f>IFERROR((VLOOKUP(A112,Planilha1!A:B,2,0)),"\\192.168.0.4\Produtos\PRODUTO_PRONTA_ENTREGA\static\IMAGENS_PRODUTOS\SEM IMAGEM.jpg")</f>
        <v>\\192.168.0.4\Produtos\PRODUTO_PRONTA_ENTREGA\static\IMAGENS_PRODUTOS\SOFA ARAGON_334182_334183_334184.jpg</v>
      </c>
      <c r="V112" t="str">
        <f>IFERROR((VLOOKUP(A112,Planilha1!A:B,2,0)),"\\192.168.0.4\Produtos\PRODUTO_PRONTA_ENTREGA\static\IMAGENS_PRODUTOS\SEM IMAGEM.jpg")</f>
        <v>\\192.168.0.4\Produtos\PRODUTO_PRONTA_ENTREGA\static\IMAGENS_PRODUTOS\SOFA ARAGON_334182_334183_334184.jpg</v>
      </c>
    </row>
    <row r="113" spans="1:22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 t="shared" si="6"/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 t="shared" si="7"/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 t="shared" si="8"/>
        <v>1</v>
      </c>
      <c r="U113" s="10" t="str">
        <f>IFERROR((VLOOKUP(A113,Planilha1!A:B,2,0)),"\\192.168.0.4\Produtos\PRODUTO_PRONTA_ENTREGA\static\IMAGENS_PRODUTOS\SEM IMAGEM.jpg")</f>
        <v>\\192.168.0.4\Produtos\PRODUTO_PRONTA_ENTREGA\static\IMAGENS_PRODUTOS\SOFA ARAGON_334182_334183_334184.jpg</v>
      </c>
      <c r="V113" t="str">
        <f>IFERROR((VLOOKUP(A113,Planilha1!A:B,2,0)),"\\192.168.0.4\Produtos\PRODUTO_PRONTA_ENTREGA\static\IMAGENS_PRODUTOS\SEM IMAGEM.jpg")</f>
        <v>\\192.168.0.4\Produtos\PRODUTO_PRONTA_ENTREGA\static\IMAGENS_PRODUTOS\SOFA ARAGON_334182_334183_334184.jpg</v>
      </c>
    </row>
    <row r="114" spans="1:22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 t="shared" si="6"/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 t="shared" si="7"/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 t="shared" si="8"/>
        <v>1</v>
      </c>
      <c r="U114" s="10" t="str">
        <f>IFERROR((VLOOKUP(A114,Planilha1!A:B,2,0)),"\\192.168.0.4\Produtos\PRODUTO_PRONTA_ENTREGA\static\IMAGENS_PRODUTOS\SEM IMAGEM.jpg")</f>
        <v>\\192.168.0.4\Produtos\PRODUTO_PRONTA_ENTREGA\static\IMAGENS_PRODUTOS\SOFA ARAGON_334182_334183_334184.jpg</v>
      </c>
      <c r="V114" t="str">
        <f>IFERROR((VLOOKUP(A114,Planilha1!A:B,2,0)),"\\192.168.0.4\Produtos\PRODUTO_PRONTA_ENTREGA\static\IMAGENS_PRODUTOS\SEM IMAGEM.jpg")</f>
        <v>\\192.168.0.4\Produtos\PRODUTO_PRONTA_ENTREGA\static\IMAGENS_PRODUTOS\SOFA ARAGON_334182_334183_334184.jpg</v>
      </c>
    </row>
    <row r="115" spans="1:22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 t="shared" si="6"/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 t="shared" si="7"/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 t="shared" si="8"/>
        <v>1</v>
      </c>
      <c r="U115" s="10" t="str">
        <f>IFERROR((VLOOKUP(A115,Planilha1!A:B,2,0)),"\\192.168.0.4\Produtos\PRODUTO_PRONTA_ENTREGA\static\IMAGENS_PRODUTOS\SEM IMAGEM.jpg")</f>
        <v>\\192.168.0.4\Produtos\PRODUTO_PRONTA_ENTREGA\static\IMAGENS_PRODUTOS\SOFA NEW CHATEAU_270794_270800.jpg</v>
      </c>
      <c r="V115" t="str">
        <f>IFERROR((VLOOKUP(A115,Planilha1!A:B,2,0)),"\\192.168.0.4\Produtos\PRODUTO_PRONTA_ENTREGA\static\IMAGENS_PRODUTOS\SEM IMAGEM.jpg")</f>
        <v>\\192.168.0.4\Produtos\PRODUTO_PRONTA_ENTREGA\static\IMAGENS_PRODUTOS\SOFA NEW CHATEAU_270794_270800.jpg</v>
      </c>
    </row>
    <row r="116" spans="1:22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 t="shared" si="6"/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 t="shared" si="7"/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 t="shared" si="8"/>
        <v>1</v>
      </c>
      <c r="U116" s="10" t="str">
        <f>IFERROR((VLOOKUP(A116,Planilha1!A:B,2,0)),"\\192.168.0.4\Produtos\PRODUTO_PRONTA_ENTREGA\static\IMAGENS_PRODUTOS\SEM IMAGEM.jpg")</f>
        <v>\\192.168.0.4\Produtos\PRODUTO_PRONTA_ENTREGA\static\IMAGENS_PRODUTOS\SOFA NEW CHATEAU_270794_270800.jpg</v>
      </c>
      <c r="V116" t="str">
        <f>IFERROR((VLOOKUP(A116,Planilha1!A:B,2,0)),"\\192.168.0.4\Produtos\PRODUTO_PRONTA_ENTREGA\static\IMAGENS_PRODUTOS\SEM IMAGEM.jpg")</f>
        <v>\\192.168.0.4\Produtos\PRODUTO_PRONTA_ENTREGA\static\IMAGENS_PRODUTOS\SOFA NEW CHATEAU_270794_270800.jpg</v>
      </c>
    </row>
    <row r="117" spans="1:22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 t="shared" si="6"/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 t="shared" si="7"/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 t="shared" si="8"/>
        <v>3</v>
      </c>
      <c r="U117" s="10" t="str">
        <f>IFERROR((VLOOKUP(A117,Planilha1!A:B,2,0)),"\\192.168.0.4\Produtos\PRODUTO_PRONTA_ENTREGA\static\IMAGENS_PRODUTOS\SEM IMAGEM.jpg")</f>
        <v>\\192.168.0.4\Produtos\PRODUTO_PRONTA_ENTREGA\static\IMAGENS_PRODUTOS\MESA JANTAR (BASE) GRAZ_238164.jpg</v>
      </c>
      <c r="V117" t="str">
        <f>IFERROR((VLOOKUP(A117,Planilha1!A:B,2,0)),"\\192.168.0.4\Produtos\PRODUTO_PRONTA_ENTREGA\static\IMAGENS_PRODUTOS\SEM IMAGEM.jpg")</f>
        <v>\\192.168.0.4\Produtos\PRODUTO_PRONTA_ENTREGA\static\IMAGENS_PRODUTOS\MESA JANTAR (BASE) GRAZ_238164.jpg</v>
      </c>
    </row>
    <row r="118" spans="1:22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 t="shared" si="6"/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 t="shared" si="7"/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 t="shared" si="8"/>
        <v>1</v>
      </c>
      <c r="U118" s="10" t="str">
        <f>IFERROR((VLOOKUP(A118,Planilha1!A:B,2,0)),"\\192.168.0.4\Produtos\PRODUTO_PRONTA_ENTREGA\static\IMAGENS_PRODUTOS\SEM IMAGEM.jpg")</f>
        <v>\\192.168.0.4\Produtos\PRODUTO_PRONTA_ENTREGA\static\IMAGENS_PRODUTOS\SEM IMAGEM.jpg</v>
      </c>
      <c r="V118" t="str">
        <f>IFERROR((VLOOKUP(A118,Planilha1!A:B,2,0)),"\\192.168.0.4\Produtos\PRODUTO_PRONTA_ENTREGA\static\IMAGENS_PRODUTOS\SEM IMAGEM.jpg")</f>
        <v>\\192.168.0.4\Produtos\PRODUTO_PRONTA_ENTREGA\static\IMAGENS_PRODUTOS\SEM IMAGEM.jpg</v>
      </c>
    </row>
    <row r="119" spans="1:22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 t="shared" si="6"/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 t="shared" si="7"/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 t="shared" si="8"/>
        <v>1</v>
      </c>
      <c r="U119" s="10" t="str">
        <f>IFERROR((VLOOKUP(A119,Planilha1!A:B,2,0)),"\\192.168.0.4\Produtos\PRODUTO_PRONTA_ENTREGA\static\IMAGENS_PRODUTOS\SEM IMAGEM.jpg")</f>
        <v>\\192.168.0.4\Produtos\PRODUTO_PRONTA_ENTREGA\static\IMAGENS_PRODUTOS\SOFA DIXON_206600_206602_206601_206603.jpg</v>
      </c>
      <c r="V119" t="str">
        <f>IFERROR((VLOOKUP(A119,Planilha1!A:B,2,0)),"\\192.168.0.4\Produtos\PRODUTO_PRONTA_ENTREGA\static\IMAGENS_PRODUTOS\SEM IMAGEM.jpg")</f>
        <v>\\192.168.0.4\Produtos\PRODUTO_PRONTA_ENTREGA\static\IMAGENS_PRODUTOS\SOFA DIXON_206600_206602_206601_206603.jpg</v>
      </c>
    </row>
    <row r="120" spans="1:22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 t="shared" si="6"/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 t="shared" si="7"/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 t="shared" si="8"/>
        <v>1</v>
      </c>
      <c r="U120" s="10" t="str">
        <f>IFERROR((VLOOKUP(A120,Planilha1!A:B,2,0)),"\\192.168.0.4\Produtos\PRODUTO_PRONTA_ENTREGA\static\IMAGENS_PRODUTOS\SEM IMAGEM.jpg")</f>
        <v>\\192.168.0.4\Produtos\PRODUTO_PRONTA_ENTREGA\static\IMAGENS_PRODUTOS\SOFA DIXON_206600_206602_206601_206603.jpg</v>
      </c>
      <c r="V120" t="str">
        <f>IFERROR((VLOOKUP(A120,Planilha1!A:B,2,0)),"\\192.168.0.4\Produtos\PRODUTO_PRONTA_ENTREGA\static\IMAGENS_PRODUTOS\SEM IMAGEM.jpg")</f>
        <v>\\192.168.0.4\Produtos\PRODUTO_PRONTA_ENTREGA\static\IMAGENS_PRODUTOS\SOFA DIXON_206600_206602_206601_206603.jpg</v>
      </c>
    </row>
    <row r="121" spans="1:22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 t="shared" si="6"/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 t="shared" si="7"/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 t="shared" si="8"/>
        <v>1</v>
      </c>
      <c r="U121" s="10" t="str">
        <f>IFERROR((VLOOKUP(A121,Planilha1!A:B,2,0)),"\\192.168.0.4\Produtos\PRODUTO_PRONTA_ENTREGA\static\IMAGENS_PRODUTOS\SEM IMAGEM.jpg")</f>
        <v>\\192.168.0.4\Produtos\PRODUTO_PRONTA_ENTREGA\static\IMAGENS_PRODUTOS\SOFA DIXON_206600_206602_206601_206603.jpg</v>
      </c>
      <c r="V121" t="str">
        <f>IFERROR((VLOOKUP(A121,Planilha1!A:B,2,0)),"\\192.168.0.4\Produtos\PRODUTO_PRONTA_ENTREGA\static\IMAGENS_PRODUTOS\SEM IMAGEM.jpg")</f>
        <v>\\192.168.0.4\Produtos\PRODUTO_PRONTA_ENTREGA\static\IMAGENS_PRODUTOS\SOFA DIXON_206600_206602_206601_206603.jpg</v>
      </c>
    </row>
    <row r="122" spans="1:22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 t="shared" si="6"/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 t="shared" si="7"/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 t="shared" si="8"/>
        <v>1</v>
      </c>
      <c r="U122" s="10" t="str">
        <f>IFERROR((VLOOKUP(A122,Planilha1!A:B,2,0)),"\\192.168.0.4\Produtos\PRODUTO_PRONTA_ENTREGA\static\IMAGENS_PRODUTOS\SEM IMAGEM.jpg")</f>
        <v>\\192.168.0.4\Produtos\PRODUTO_PRONTA_ENTREGA\static\IMAGENS_PRODUTOS\SOFA DIXON_206600_206602_206601_206603.jpg</v>
      </c>
      <c r="V122" t="str">
        <f>IFERROR((VLOOKUP(A122,Planilha1!A:B,2,0)),"\\192.168.0.4\Produtos\PRODUTO_PRONTA_ENTREGA\static\IMAGENS_PRODUTOS\SEM IMAGEM.jpg")</f>
        <v>\\192.168.0.4\Produtos\PRODUTO_PRONTA_ENTREGA\static\IMAGENS_PRODUTOS\SOFA DIXON_206600_206602_206601_206603.jpg</v>
      </c>
    </row>
    <row r="123" spans="1:22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 t="shared" si="6"/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 t="shared" si="7"/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 t="shared" si="8"/>
        <v>1</v>
      </c>
      <c r="U123" s="10" t="str">
        <f>IFERROR((VLOOKUP(A123,Planilha1!A:B,2,0)),"\\192.168.0.4\Produtos\PRODUTO_PRONTA_ENTREGA\static\IMAGENS_PRODUTOS\SEM IMAGEM.jpg")</f>
        <v>\\192.168.0.4\Produtos\PRODUTO_PRONTA_ENTREGA\static\IMAGENS_PRODUTOS\SOFA DIXON_273691_273692_273693.jpg</v>
      </c>
      <c r="V123" t="str">
        <f>IFERROR((VLOOKUP(A123,Planilha1!A:B,2,0)),"\\192.168.0.4\Produtos\PRODUTO_PRONTA_ENTREGA\static\IMAGENS_PRODUTOS\SEM IMAGEM.jpg")</f>
        <v>\\192.168.0.4\Produtos\PRODUTO_PRONTA_ENTREGA\static\IMAGENS_PRODUTOS\SOFA DIXON_273691_273692_273693.jpg</v>
      </c>
    </row>
    <row r="124" spans="1:22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 t="shared" si="6"/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 t="shared" si="7"/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 t="shared" si="8"/>
        <v>1</v>
      </c>
      <c r="U124" s="10" t="str">
        <f>IFERROR((VLOOKUP(A124,Planilha1!A:B,2,0)),"\\192.168.0.4\Produtos\PRODUTO_PRONTA_ENTREGA\static\IMAGENS_PRODUTOS\SEM IMAGEM.jpg")</f>
        <v>\\192.168.0.4\Produtos\PRODUTO_PRONTA_ENTREGA\static\IMAGENS_PRODUTOS\SOFA DIXON_273691_273692_273693.jpg</v>
      </c>
      <c r="V124" t="str">
        <f>IFERROR((VLOOKUP(A124,Planilha1!A:B,2,0)),"\\192.168.0.4\Produtos\PRODUTO_PRONTA_ENTREGA\static\IMAGENS_PRODUTOS\SEM IMAGEM.jpg")</f>
        <v>\\192.168.0.4\Produtos\PRODUTO_PRONTA_ENTREGA\static\IMAGENS_PRODUTOS\SOFA DIXON_273691_273692_273693.jpg</v>
      </c>
    </row>
    <row r="125" spans="1:22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 t="shared" si="6"/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 t="shared" si="7"/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 t="shared" si="8"/>
        <v>1</v>
      </c>
      <c r="U125" s="10" t="str">
        <f>IFERROR((VLOOKUP(A125,Planilha1!A:B,2,0)),"\\192.168.0.4\Produtos\PRODUTO_PRONTA_ENTREGA\static\IMAGENS_PRODUTOS\SEM IMAGEM.jpg")</f>
        <v>\\192.168.0.4\Produtos\PRODUTO_PRONTA_ENTREGA\static\IMAGENS_PRODUTOS\SOFA DIXON_273691_273692_273693.jpg</v>
      </c>
      <c r="V125" t="str">
        <f>IFERROR((VLOOKUP(A125,Planilha1!A:B,2,0)),"\\192.168.0.4\Produtos\PRODUTO_PRONTA_ENTREGA\static\IMAGENS_PRODUTOS\SEM IMAGEM.jpg")</f>
        <v>\\192.168.0.4\Produtos\PRODUTO_PRONTA_ENTREGA\static\IMAGENS_PRODUTOS\SOFA DIXON_273691_273692_273693.jpg</v>
      </c>
    </row>
    <row r="126" spans="1:22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27730.951000000001</v>
      </c>
      <c r="J126" s="6">
        <v>0</v>
      </c>
      <c r="K126" s="12">
        <f t="shared" si="6"/>
        <v>27730.951000000001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 t="shared" si="7"/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 t="shared" si="8"/>
        <v>2</v>
      </c>
      <c r="U126" s="10" t="str">
        <f>IFERROR((VLOOKUP(A126,Planilha1!A:B,2,0)),"\\192.168.0.4\Produtos\PRODUTO_PRONTA_ENTREGA\static\IMAGENS_PRODUTOS\SEM IMAGEM.jpg")</f>
        <v>\\192.168.0.4\Produtos\PRODUTO_PRONTA_ENTREGA\static\IMAGENS_PRODUTOS\APARADOR MAZAS_151718.jpg</v>
      </c>
      <c r="V126" t="str">
        <f>IFERROR((VLOOKUP(A126,Planilha1!A:B,2,0)),"\\192.168.0.4\Produtos\PRODUTO_PRONTA_ENTREGA\static\IMAGENS_PRODUTOS\SEM IMAGEM.jpg")</f>
        <v>\\192.168.0.4\Produtos\PRODUTO_PRONTA_ENTREGA\static\IMAGENS_PRODUTOS\APARADOR MAZAS_151718.jpg</v>
      </c>
    </row>
    <row r="127" spans="1:22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27730.951000000001</v>
      </c>
      <c r="J127" s="6">
        <v>0</v>
      </c>
      <c r="K127" s="12">
        <f t="shared" si="6"/>
        <v>27730.951000000001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 t="shared" si="7"/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 t="shared" si="8"/>
        <v>1</v>
      </c>
      <c r="U127" s="10" t="str">
        <f>IFERROR((VLOOKUP(A127,Planilha1!A:B,2,0)),"\\192.168.0.4\Produtos\PRODUTO_PRONTA_ENTREGA\static\IMAGENS_PRODUTOS\SEM IMAGEM.jpg")</f>
        <v>\\192.168.0.4\Produtos\PRODUTO_PRONTA_ENTREGA\static\IMAGENS_PRODUTOS\SEM IMAGEM.jpg</v>
      </c>
      <c r="V127" t="str">
        <f>IFERROR((VLOOKUP(A127,Planilha1!A:B,2,0)),"\\192.168.0.4\Produtos\PRODUTO_PRONTA_ENTREGA\static\IMAGENS_PRODUTOS\SEM IMAGEM.jpg")</f>
        <v>\\192.168.0.4\Produtos\PRODUTO_PRONTA_ENTREGA\static\IMAGENS_PRODUTOS\SEM IMAGEM.jpg</v>
      </c>
    </row>
    <row r="128" spans="1:22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72759.19</v>
      </c>
      <c r="J128" s="6">
        <v>0</v>
      </c>
      <c r="K128" s="12">
        <f t="shared" si="6"/>
        <v>72759.19</v>
      </c>
      <c r="L128" s="7" t="str">
        <f>IF(VLOOKUP(A128,'[1]LISTA ETIQUETAS'!O:AB,14,0)="","",(VLOOKUP(A128,'[1]LISTA ETIQUETAS'!O:AB,14,0)))</f>
        <v>CQ</v>
      </c>
      <c r="M128" s="8" t="s">
        <v>115</v>
      </c>
      <c r="N128" s="9" t="str">
        <f t="shared" si="7"/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 t="shared" si="8"/>
        <v>2</v>
      </c>
      <c r="U128" s="10" t="str">
        <f>IFERROR((VLOOKUP(A128,Planilha1!A:B,2,0)),"\\192.168.0.4\Produtos\PRODUTO_PRONTA_ENTREGA\static\IMAGENS_PRODUTOS\SEM IMAGEM.jpg")</f>
        <v>\\192.168.0.4\Produtos\PRODUTO_PRONTA_ENTREGA\static\IMAGENS_PRODUTOS\SOFA ARAGON_274727_274732_274729.jpg</v>
      </c>
      <c r="V128" t="str">
        <f>IFERROR((VLOOKUP(A128,Planilha1!A:B,2,0)),"\\192.168.0.4\Produtos\PRODUTO_PRONTA_ENTREGA\static\IMAGENS_PRODUTOS\SEM IMAGEM.jpg")</f>
        <v>\\192.168.0.4\Produtos\PRODUTO_PRONTA_ENTREGA\static\IMAGENS_PRODUTOS\SOFA ARAGON_274727_274732_274729.jpg</v>
      </c>
    </row>
    <row r="129" spans="1:22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72759.19</v>
      </c>
      <c r="J129" s="6">
        <v>0</v>
      </c>
      <c r="K129" s="12">
        <f t="shared" si="6"/>
        <v>72759.19</v>
      </c>
      <c r="L129" s="7" t="str">
        <f>IF(VLOOKUP(A129,'[1]LISTA ETIQUETAS'!O:AB,14,0)="","",(VLOOKUP(A129,'[1]LISTA ETIQUETAS'!O:AB,14,0)))</f>
        <v>CQ</v>
      </c>
      <c r="M129" s="8" t="s">
        <v>115</v>
      </c>
      <c r="N129" s="9" t="str">
        <f t="shared" si="7"/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 t="shared" si="8"/>
        <v>2</v>
      </c>
      <c r="U129" s="10" t="str">
        <f>IFERROR((VLOOKUP(A129,Planilha1!A:B,2,0)),"\\192.168.0.4\Produtos\PRODUTO_PRONTA_ENTREGA\static\IMAGENS_PRODUTOS\SEM IMAGEM.jpg")</f>
        <v>\\192.168.0.4\Produtos\PRODUTO_PRONTA_ENTREGA\static\IMAGENS_PRODUTOS\SOFA ARAGON_274727_274732_274729.jpg</v>
      </c>
      <c r="V129" t="str">
        <f>IFERROR((VLOOKUP(A129,Planilha1!A:B,2,0)),"\\192.168.0.4\Produtos\PRODUTO_PRONTA_ENTREGA\static\IMAGENS_PRODUTOS\SEM IMAGEM.jpg")</f>
        <v>\\192.168.0.4\Produtos\PRODUTO_PRONTA_ENTREGA\static\IMAGENS_PRODUTOS\SOFA ARAGON_274727_274732_274729.jpg</v>
      </c>
    </row>
    <row r="130" spans="1:22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72759.19</v>
      </c>
      <c r="J130" s="6">
        <v>0</v>
      </c>
      <c r="K130" s="12">
        <f t="shared" si="6"/>
        <v>72759.19</v>
      </c>
      <c r="L130" s="7" t="str">
        <f>IF(VLOOKUP(A130,'[1]LISTA ETIQUETAS'!O:AB,14,0)="","",(VLOOKUP(A130,'[1]LISTA ETIQUETAS'!O:AB,14,0)))</f>
        <v>CQ</v>
      </c>
      <c r="M130" s="8" t="s">
        <v>115</v>
      </c>
      <c r="N130" s="9" t="str">
        <f t="shared" si="7"/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 t="shared" si="8"/>
        <v>2</v>
      </c>
      <c r="U130" s="10" t="str">
        <f>IFERROR((VLOOKUP(A130,Planilha1!A:B,2,0)),"\\192.168.0.4\Produtos\PRODUTO_PRONTA_ENTREGA\static\IMAGENS_PRODUTOS\SEM IMAGEM.jpg")</f>
        <v>\\192.168.0.4\Produtos\PRODUTO_PRONTA_ENTREGA\static\IMAGENS_PRODUTOS\SOFA ARAGON_274727_274732_274729.jpg</v>
      </c>
      <c r="V130" t="str">
        <f>IFERROR((VLOOKUP(A130,Planilha1!A:B,2,0)),"\\192.168.0.4\Produtos\PRODUTO_PRONTA_ENTREGA\static\IMAGENS_PRODUTOS\SEM IMAGEM.jpg")</f>
        <v>\\192.168.0.4\Produtos\PRODUTO_PRONTA_ENTREGA\static\IMAGENS_PRODUTOS\SOFA ARAGON_274727_274732_274729.jpg</v>
      </c>
    </row>
    <row r="131" spans="1:22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 t="shared" si="6"/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 t="shared" si="7"/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 t="shared" si="8"/>
        <v>5</v>
      </c>
      <c r="U131" s="10" t="str">
        <f>IFERROR((VLOOKUP(A131,Planilha1!A:B,2,0)),"\\192.168.0.4\Produtos\PRODUTO_PRONTA_ENTREGA\static\IMAGENS_PRODUTOS\SEM IMAGEM.jpg")</f>
        <v>\\192.168.0.4\Produtos\PRODUTO_PRONTA_ENTREGA\static\IMAGENS_PRODUTOS\SOFA LENCOIS M MODULO ENCOSTO RETO_251464.jpg</v>
      </c>
      <c r="V131" t="str">
        <f>IFERROR((VLOOKUP(A131,Planilha1!A:B,2,0)),"\\192.168.0.4\Produtos\PRODUTO_PRONTA_ENTREGA\static\IMAGENS_PRODUTOS\SEM IMAGEM.jpg")</f>
        <v>\\192.168.0.4\Produtos\PRODUTO_PRONTA_ENTREGA\static\IMAGENS_PRODUTOS\SOFA LENCOIS M MODULO ENCOSTO RETO_251464.jpg</v>
      </c>
    </row>
    <row r="132" spans="1:22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 t="shared" si="6"/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 t="shared" si="7"/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 t="shared" si="8"/>
        <v>1</v>
      </c>
      <c r="U132" s="10" t="str">
        <f>IFERROR((VLOOKUP(A132,Planilha1!A:B,2,0)),"\\192.168.0.4\Produtos\PRODUTO_PRONTA_ENTREGA\static\IMAGENS_PRODUTOS\SEM IMAGEM.jpg")</f>
        <v>\\192.168.0.4\Produtos\PRODUTO_PRONTA_ENTREGA\static\IMAGENS_PRODUTOS\SEM IMAGEM.jpg</v>
      </c>
      <c r="V132" t="str">
        <f>IFERROR((VLOOKUP(A132,Planilha1!A:B,2,0)),"\\192.168.0.4\Produtos\PRODUTO_PRONTA_ENTREGA\static\IMAGENS_PRODUTOS\SEM IMAGEM.jpg")</f>
        <v>\\192.168.0.4\Produtos\PRODUTO_PRONTA_ENTREGA\static\IMAGENS_PRODUTOS\SEM IMAGEM.jpg</v>
      </c>
    </row>
    <row r="133" spans="1:22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 t="shared" si="6"/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 t="shared" si="7"/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 t="shared" si="8"/>
        <v>1</v>
      </c>
      <c r="U133" s="10" t="str">
        <f>IFERROR((VLOOKUP(A133,Planilha1!A:B,2,0)),"\\192.168.0.4\Produtos\PRODUTO_PRONTA_ENTREGA\static\IMAGENS_PRODUTOS\SEM IMAGEM.jpg")</f>
        <v>\\192.168.0.4\Produtos\PRODUTO_PRONTA_ENTREGA\static\IMAGENS_PRODUTOS\PUFF LENCOIS M_244137.jpg</v>
      </c>
      <c r="V133" t="str">
        <f>IFERROR((VLOOKUP(A133,Planilha1!A:B,2,0)),"\\192.168.0.4\Produtos\PRODUTO_PRONTA_ENTREGA\static\IMAGENS_PRODUTOS\SEM IMAGEM.jpg")</f>
        <v>\\192.168.0.4\Produtos\PRODUTO_PRONTA_ENTREGA\static\IMAGENS_PRODUTOS\PUFF LENCOIS M_244137.jpg</v>
      </c>
    </row>
    <row r="134" spans="1:22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 t="shared" si="6"/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 t="shared" si="7"/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 t="shared" si="8"/>
        <v>1</v>
      </c>
      <c r="U134" s="10" t="str">
        <f>IFERROR((VLOOKUP(A134,Planilha1!A:B,2,0)),"\\192.168.0.4\Produtos\PRODUTO_PRONTA_ENTREGA\static\IMAGENS_PRODUTOS\SEM IMAGEM.jpg")</f>
        <v>\\192.168.0.4\Produtos\PRODUTO_PRONTA_ENTREGA\static\IMAGENS_PRODUTOS\SEM IMAGEM.jpg</v>
      </c>
      <c r="V134" t="str">
        <f>IFERROR((VLOOKUP(A134,Planilha1!A:B,2,0)),"\\192.168.0.4\Produtos\PRODUTO_PRONTA_ENTREGA\static\IMAGENS_PRODUTOS\SEM IMAGEM.jpg")</f>
        <v>\\192.168.0.4\Produtos\PRODUTO_PRONTA_ENTREGA\static\IMAGENS_PRODUTOS\SEM IMAGEM.jpg</v>
      </c>
    </row>
    <row r="135" spans="1:22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 t="shared" si="6"/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 t="shared" si="7"/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 t="shared" si="8"/>
        <v>1</v>
      </c>
      <c r="U135" s="10" t="str">
        <f>IFERROR((VLOOKUP(A135,Planilha1!A:B,2,0)),"\\192.168.0.4\Produtos\PRODUTO_PRONTA_ENTREGA\static\IMAGENS_PRODUTOS\SEM IMAGEM.jpg")</f>
        <v>\\192.168.0.4\Produtos\PRODUTO_PRONTA_ENTREGA\static\IMAGENS_PRODUTOS\SEM IMAGEM.jpg</v>
      </c>
      <c r="V135" t="str">
        <f>IFERROR((VLOOKUP(A135,Planilha1!A:B,2,0)),"\\192.168.0.4\Produtos\PRODUTO_PRONTA_ENTREGA\static\IMAGENS_PRODUTOS\SEM IMAGEM.jpg")</f>
        <v>\\192.168.0.4\Produtos\PRODUTO_PRONTA_ENTREGA\static\IMAGENS_PRODUTOS\SEM IMAGEM.jpg</v>
      </c>
    </row>
    <row r="136" spans="1:22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 t="shared" si="6"/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 t="shared" si="7"/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 t="shared" si="8"/>
        <v>1</v>
      </c>
      <c r="U136" s="10" t="str">
        <f>IFERROR((VLOOKUP(A136,Planilha1!A:B,2,0)),"\\192.168.0.4\Produtos\PRODUTO_PRONTA_ENTREGA\static\IMAGENS_PRODUTOS\SEM IMAGEM.jpg")</f>
        <v>\\192.168.0.4\Produtos\PRODUTO_PRONTA_ENTREGA\static\IMAGENS_PRODUTOS\SEM IMAGEM.jpg</v>
      </c>
      <c r="V136" t="str">
        <f>IFERROR((VLOOKUP(A136,Planilha1!A:B,2,0)),"\\192.168.0.4\Produtos\PRODUTO_PRONTA_ENTREGA\static\IMAGENS_PRODUTOS\SEM IMAGEM.jpg")</f>
        <v>\\192.168.0.4\Produtos\PRODUTO_PRONTA_ENTREGA\static\IMAGENS_PRODUTOS\SEM IMAGEM.jpg</v>
      </c>
    </row>
    <row r="137" spans="1:22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 t="shared" si="6"/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 t="shared" si="7"/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 t="shared" si="8"/>
        <v>1</v>
      </c>
      <c r="U137" s="10" t="str">
        <f>IFERROR((VLOOKUP(A137,Planilha1!A:B,2,0)),"\\192.168.0.4\Produtos\PRODUTO_PRONTA_ENTREGA\static\IMAGENS_PRODUTOS\SEM IMAGEM.jpg")</f>
        <v>\\192.168.0.4\Produtos\PRODUTO_PRONTA_ENTREGA\static\IMAGENS_PRODUTOS\SEM IMAGEM.jpg</v>
      </c>
      <c r="V137" t="str">
        <f>IFERROR((VLOOKUP(A137,Planilha1!A:B,2,0)),"\\192.168.0.4\Produtos\PRODUTO_PRONTA_ENTREGA\static\IMAGENS_PRODUTOS\SEM IMAGEM.jpg")</f>
        <v>\\192.168.0.4\Produtos\PRODUTO_PRONTA_ENTREGA\static\IMAGENS_PRODUTOS\SEM IMAGEM.jpg</v>
      </c>
    </row>
    <row r="138" spans="1:22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 t="shared" si="6"/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 t="shared" si="7"/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 t="shared" si="8"/>
        <v>1</v>
      </c>
      <c r="U138" s="10" t="str">
        <f>IFERROR((VLOOKUP(A138,Planilha1!A:B,2,0)),"\\192.168.0.4\Produtos\PRODUTO_PRONTA_ENTREGA\static\IMAGENS_PRODUTOS\SEM IMAGEM.jpg")</f>
        <v>\\192.168.0.4\Produtos\PRODUTO_PRONTA_ENTREGA\static\IMAGENS_PRODUTOS\SOFA ILHA BELO HORIZONTE_270718_270719_270720.jpg</v>
      </c>
      <c r="V138" t="str">
        <f>IFERROR((VLOOKUP(A138,Planilha1!A:B,2,0)),"\\192.168.0.4\Produtos\PRODUTO_PRONTA_ENTREGA\static\IMAGENS_PRODUTOS\SEM IMAGEM.jpg")</f>
        <v>\\192.168.0.4\Produtos\PRODUTO_PRONTA_ENTREGA\static\IMAGENS_PRODUTOS\SOFA ILHA BELO HORIZONTE_270718_270719_270720.jpg</v>
      </c>
    </row>
    <row r="139" spans="1:22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 t="shared" si="6"/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 t="shared" si="7"/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 t="shared" si="8"/>
        <v>1</v>
      </c>
      <c r="U139" s="10" t="str">
        <f>IFERROR((VLOOKUP(A139,Planilha1!A:B,2,0)),"\\192.168.0.4\Produtos\PRODUTO_PRONTA_ENTREGA\static\IMAGENS_PRODUTOS\SEM IMAGEM.jpg")</f>
        <v>\\192.168.0.4\Produtos\PRODUTO_PRONTA_ENTREGA\static\IMAGENS_PRODUTOS\SOFA ILHA BELO HORIZONTE_270718_270719_270720.jpg</v>
      </c>
      <c r="V139" t="str">
        <f>IFERROR((VLOOKUP(A139,Planilha1!A:B,2,0)),"\\192.168.0.4\Produtos\PRODUTO_PRONTA_ENTREGA\static\IMAGENS_PRODUTOS\SEM IMAGEM.jpg")</f>
        <v>\\192.168.0.4\Produtos\PRODUTO_PRONTA_ENTREGA\static\IMAGENS_PRODUTOS\SOFA ILHA BELO HORIZONTE_270718_270719_270720.jpg</v>
      </c>
    </row>
    <row r="140" spans="1:22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 t="shared" si="6"/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 t="shared" si="7"/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 t="shared" si="8"/>
        <v>1</v>
      </c>
      <c r="U140" s="10" t="str">
        <f>IFERROR((VLOOKUP(A140,Planilha1!A:B,2,0)),"\\192.168.0.4\Produtos\PRODUTO_PRONTA_ENTREGA\static\IMAGENS_PRODUTOS\SEM IMAGEM.jpg")</f>
        <v>\\192.168.0.4\Produtos\PRODUTO_PRONTA_ENTREGA\static\IMAGENS_PRODUTOS\SOFA ILHA BELO HORIZONTE_270718_270719_270720.jpg</v>
      </c>
      <c r="V140" t="str">
        <f>IFERROR((VLOOKUP(A140,Planilha1!A:B,2,0)),"\\192.168.0.4\Produtos\PRODUTO_PRONTA_ENTREGA\static\IMAGENS_PRODUTOS\SEM IMAGEM.jpg")</f>
        <v>\\192.168.0.4\Produtos\PRODUTO_PRONTA_ENTREGA\static\IMAGENS_PRODUTOS\SOFA ILHA BELO HORIZONTE_270718_270719_270720.jpg</v>
      </c>
    </row>
    <row r="141" spans="1:22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 t="shared" si="6"/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 t="shared" si="7"/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 t="shared" si="8"/>
        <v>1</v>
      </c>
      <c r="U141" s="10" t="str">
        <f>IFERROR((VLOOKUP(A141,Planilha1!A:B,2,0)),"\\192.168.0.4\Produtos\PRODUTO_PRONTA_ENTREGA\static\IMAGENS_PRODUTOS\SEM IMAGEM.jpg")</f>
        <v>\\192.168.0.4\Produtos\PRODUTO_PRONTA_ENTREGA\static\IMAGENS_PRODUTOS\SOFA PADOVA_233163_233162.jpg</v>
      </c>
      <c r="V141" t="str">
        <f>IFERROR((VLOOKUP(A141,Planilha1!A:B,2,0)),"\\192.168.0.4\Produtos\PRODUTO_PRONTA_ENTREGA\static\IMAGENS_PRODUTOS\SEM IMAGEM.jpg")</f>
        <v>\\192.168.0.4\Produtos\PRODUTO_PRONTA_ENTREGA\static\IMAGENS_PRODUTOS\SOFA PADOVA_233163_233162.jpg</v>
      </c>
    </row>
    <row r="142" spans="1:22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 t="shared" si="6"/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 t="shared" si="7"/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 t="shared" si="8"/>
        <v>1</v>
      </c>
      <c r="U142" s="10" t="str">
        <f>IFERROR((VLOOKUP(A142,Planilha1!A:B,2,0)),"\\192.168.0.4\Produtos\PRODUTO_PRONTA_ENTREGA\static\IMAGENS_PRODUTOS\SEM IMAGEM.jpg")</f>
        <v>\\192.168.0.4\Produtos\PRODUTO_PRONTA_ENTREGA\static\IMAGENS_PRODUTOS\SOFA PADOVA_233163_233162.jpg</v>
      </c>
      <c r="V142" t="str">
        <f>IFERROR((VLOOKUP(A142,Planilha1!A:B,2,0)),"\\192.168.0.4\Produtos\PRODUTO_PRONTA_ENTREGA\static\IMAGENS_PRODUTOS\SEM IMAGEM.jpg")</f>
        <v>\\192.168.0.4\Produtos\PRODUTO_PRONTA_ENTREGA\static\IMAGENS_PRODUTOS\SOFA PADOVA_233163_233162.jpg</v>
      </c>
    </row>
    <row r="143" spans="1:22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31889.22</v>
      </c>
      <c r="J143" s="6">
        <v>0</v>
      </c>
      <c r="K143" s="12">
        <f t="shared" si="6"/>
        <v>31889.22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 t="shared" si="7"/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 t="shared" si="8"/>
        <v>1</v>
      </c>
      <c r="U143" s="10" t="str">
        <f>IFERROR((VLOOKUP(A143,Planilha1!A:B,2,0)),"\\192.168.0.4\Produtos\PRODUTO_PRONTA_ENTREGA\static\IMAGENS_PRODUTOS\SEM IMAGEM.jpg")</f>
        <v>\\192.168.0.4\Produtos\PRODUTO_PRONTA_ENTREGA\static\IMAGENS_PRODUTOS\SOFA CLICK_178912_178910.jpg</v>
      </c>
      <c r="V143" t="str">
        <f>IFERROR((VLOOKUP(A143,Planilha1!A:B,2,0)),"\\192.168.0.4\Produtos\PRODUTO_PRONTA_ENTREGA\static\IMAGENS_PRODUTOS\SEM IMAGEM.jpg")</f>
        <v>\\192.168.0.4\Produtos\PRODUTO_PRONTA_ENTREGA\static\IMAGENS_PRODUTOS\SOFA CLICK_178912_178910.jpg</v>
      </c>
    </row>
    <row r="144" spans="1:22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31889.22</v>
      </c>
      <c r="J144" s="6">
        <v>0</v>
      </c>
      <c r="K144" s="12">
        <f t="shared" si="6"/>
        <v>31889.22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 t="shared" si="7"/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 t="shared" si="8"/>
        <v>1</v>
      </c>
      <c r="U144" s="10" t="str">
        <f>IFERROR((VLOOKUP(A144,Planilha1!A:B,2,0)),"\\192.168.0.4\Produtos\PRODUTO_PRONTA_ENTREGA\static\IMAGENS_PRODUTOS\SEM IMAGEM.jpg")</f>
        <v>\\192.168.0.4\Produtos\PRODUTO_PRONTA_ENTREGA\static\IMAGENS_PRODUTOS\SOFA CLICK_178912_178910.jpg</v>
      </c>
      <c r="V144" t="str">
        <f>IFERROR((VLOOKUP(A144,Planilha1!A:B,2,0)),"\\192.168.0.4\Produtos\PRODUTO_PRONTA_ENTREGA\static\IMAGENS_PRODUTOS\SEM IMAGEM.jpg")</f>
        <v>\\192.168.0.4\Produtos\PRODUTO_PRONTA_ENTREGA\static\IMAGENS_PRODUTOS\SOFA CLICK_178912_178910.jpg</v>
      </c>
    </row>
    <row r="145" spans="1:22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 t="shared" si="6"/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 t="shared" si="7"/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 t="shared" si="8"/>
        <v>1</v>
      </c>
      <c r="U145" s="10" t="str">
        <f>IFERROR((VLOOKUP(A145,Planilha1!A:B,2,0)),"\\192.168.0.4\Produtos\PRODUTO_PRONTA_ENTREGA\static\IMAGENS_PRODUTOS\SEM IMAGEM.jpg")</f>
        <v>\\192.168.0.4\Produtos\PRODUTO_PRONTA_ENTREGA\static\IMAGENS_PRODUTOS\SEM IMAGEM.jpg</v>
      </c>
      <c r="V145" t="str">
        <f>IFERROR((VLOOKUP(A145,Planilha1!A:B,2,0)),"\\192.168.0.4\Produtos\PRODUTO_PRONTA_ENTREGA\static\IMAGENS_PRODUTOS\SEM IMAGEM.jpg")</f>
        <v>\\192.168.0.4\Produtos\PRODUTO_PRONTA_ENTREGA\static\IMAGENS_PRODUTOS\SEM IMAGEM.jpg</v>
      </c>
    </row>
    <row r="146" spans="1:22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 t="shared" si="6"/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 t="shared" si="7"/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 t="shared" si="8"/>
        <v>1</v>
      </c>
      <c r="U146" s="10" t="str">
        <f>IFERROR((VLOOKUP(A146,Planilha1!A:B,2,0)),"\\192.168.0.4\Produtos\PRODUTO_PRONTA_ENTREGA\static\IMAGENS_PRODUTOS\SEM IMAGEM.jpg")</f>
        <v>\\192.168.0.4\Produtos\PRODUTO_PRONTA_ENTREGA\static\IMAGENS_PRODUTOS\SEM IMAGEM.jpg</v>
      </c>
      <c r="V146" t="str">
        <f>IFERROR((VLOOKUP(A146,Planilha1!A:B,2,0)),"\\192.168.0.4\Produtos\PRODUTO_PRONTA_ENTREGA\static\IMAGENS_PRODUTOS\SEM IMAGEM.jpg")</f>
        <v>\\192.168.0.4\Produtos\PRODUTO_PRONTA_ENTREGA\static\IMAGENS_PRODUTOS\SEM IMAGEM.jpg</v>
      </c>
    </row>
    <row r="147" spans="1:22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 t="shared" si="6"/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 t="shared" si="7"/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 t="shared" si="8"/>
        <v>1</v>
      </c>
      <c r="U147" s="10" t="str">
        <f>IFERROR((VLOOKUP(A147,Planilha1!A:B,2,0)),"\\192.168.0.4\Produtos\PRODUTO_PRONTA_ENTREGA\static\IMAGENS_PRODUTOS\SEM IMAGEM.jpg")</f>
        <v>\\192.168.0.4\Produtos\PRODUTO_PRONTA_ENTREGA\static\IMAGENS_PRODUTOS\SOFA HIMALAYA PUFF_381908_381907_381905.jpg</v>
      </c>
      <c r="V147" t="str">
        <f>IFERROR((VLOOKUP(A147,Planilha1!A:B,2,0)),"\\192.168.0.4\Produtos\PRODUTO_PRONTA_ENTREGA\static\IMAGENS_PRODUTOS\SEM IMAGEM.jpg")</f>
        <v>\\192.168.0.4\Produtos\PRODUTO_PRONTA_ENTREGA\static\IMAGENS_PRODUTOS\SOFA HIMALAYA PUFF_381908_381907_381905.jpg</v>
      </c>
    </row>
    <row r="148" spans="1:22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 t="shared" si="6"/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 t="shared" si="7"/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 t="shared" si="8"/>
        <v>1</v>
      </c>
      <c r="U148" s="10" t="str">
        <f>IFERROR((VLOOKUP(A148,Planilha1!A:B,2,0)),"\\192.168.0.4\Produtos\PRODUTO_PRONTA_ENTREGA\static\IMAGENS_PRODUTOS\SEM IMAGEM.jpg")</f>
        <v>\\192.168.0.4\Produtos\PRODUTO_PRONTA_ENTREGA\static\IMAGENS_PRODUTOS\SOFA HIMALAYA PUFF_381908_381907_381905.jpg</v>
      </c>
      <c r="V148" t="str">
        <f>IFERROR((VLOOKUP(A148,Planilha1!A:B,2,0)),"\\192.168.0.4\Produtos\PRODUTO_PRONTA_ENTREGA\static\IMAGENS_PRODUTOS\SEM IMAGEM.jpg")</f>
        <v>\\192.168.0.4\Produtos\PRODUTO_PRONTA_ENTREGA\static\IMAGENS_PRODUTOS\SOFA HIMALAYA PUFF_381908_381907_381905.jpg</v>
      </c>
    </row>
    <row r="149" spans="1:22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 t="shared" si="6"/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 t="shared" si="7"/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 t="shared" si="8"/>
        <v>1</v>
      </c>
      <c r="U149" s="10" t="str">
        <f>IFERROR((VLOOKUP(A149,Planilha1!A:B,2,0)),"\\192.168.0.4\Produtos\PRODUTO_PRONTA_ENTREGA\static\IMAGENS_PRODUTOS\SEM IMAGEM.jpg")</f>
        <v>\\192.168.0.4\Produtos\PRODUTO_PRONTA_ENTREGA\static\IMAGENS_PRODUTOS\SOFA HIMALAYA PUFF_381908_381907_381905.jpg</v>
      </c>
      <c r="V149" t="str">
        <f>IFERROR((VLOOKUP(A149,Planilha1!A:B,2,0)),"\\192.168.0.4\Produtos\PRODUTO_PRONTA_ENTREGA\static\IMAGENS_PRODUTOS\SEM IMAGEM.jpg")</f>
        <v>\\192.168.0.4\Produtos\PRODUTO_PRONTA_ENTREGA\static\IMAGENS_PRODUTOS\SOFA HIMALAYA PUFF_381908_381907_381905.jpg</v>
      </c>
    </row>
    <row r="150" spans="1:22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 t="shared" si="6"/>
        <v>443.52</v>
      </c>
      <c r="L150" s="7" t="str">
        <f>IF(VLOOKUP(A150,'[1]LISTA ETIQUETAS'!O:AB,14,0)="","",(VLOOKUP(A150,'[1]LISTA ETIQUETAS'!O:AB,14,0)))</f>
        <v/>
      </c>
      <c r="M150" s="8"/>
      <c r="N150" s="9">
        <f t="shared" si="7"/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 t="shared" si="8"/>
        <v>6</v>
      </c>
      <c r="U150" s="10" t="str">
        <f>IFERROR((VLOOKUP(A150,Planilha1!A:B,2,0)),"\\192.168.0.4\Produtos\PRODUTO_PRONTA_ENTREGA\static\IMAGENS_PRODUTOS\SEM IMAGEM.jpg")</f>
        <v>\\192.168.0.4\Produtos\PRODUTO_PRONTA_ENTREGA\static\IMAGENS_PRODUTOS\SEM IMAGEM.jpg</v>
      </c>
      <c r="V150" t="str">
        <f>IFERROR((VLOOKUP(A150,Planilha1!A:B,2,0)),"\\192.168.0.4\Produtos\PRODUTO_PRONTA_ENTREGA\static\IMAGENS_PRODUTOS\SEM IMAGEM.jpg")</f>
        <v>\\192.168.0.4\Produtos\PRODUTO_PRONTA_ENTREGA\static\IMAGENS_PRODUTOS\SEM IMAGEM.jpg</v>
      </c>
    </row>
    <row r="151" spans="1:22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 t="shared" ref="K151:K214" si="9">IFERROR(I151-I151*J151,"")</f>
        <v>4954.84</v>
      </c>
      <c r="L151" s="7" t="str">
        <f>IF(VLOOKUP(A151,'[1]LISTA ETIQUETAS'!O:AB,14,0)="","",(VLOOKUP(A151,'[1]LISTA ETIQUETAS'!O:AB,14,0)))</f>
        <v/>
      </c>
      <c r="M151" s="8"/>
      <c r="N151" s="9">
        <f t="shared" ref="N151:N214" si="10">IF(M151="",A151,M151)</f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 t="shared" ref="T151:T214" si="11">SUM(O151:S151)</f>
        <v>9</v>
      </c>
      <c r="U151" s="10" t="str">
        <f>IFERROR((VLOOKUP(A151,Planilha1!A:B,2,0)),"\\192.168.0.4\Produtos\PRODUTO_PRONTA_ENTREGA\static\IMAGENS_PRODUTOS\SEM IMAGEM.jpg")</f>
        <v>\\192.168.0.4\Produtos\PRODUTO_PRONTA_ENTREGA\static\IMAGENS_PRODUTOS\SEM IMAGEM.jpg</v>
      </c>
      <c r="V151" t="str">
        <f>IFERROR((VLOOKUP(A151,Planilha1!A:B,2,0)),"\\192.168.0.4\Produtos\PRODUTO_PRONTA_ENTREGA\static\IMAGENS_PRODUTOS\SEM IMAGEM.jpg")</f>
        <v>\\192.168.0.4\Produtos\PRODUTO_PRONTA_ENTREGA\static\IMAGENS_PRODUTOS\SEM IMAGEM.jpg</v>
      </c>
    </row>
    <row r="152" spans="1:22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 t="shared" si="9"/>
        <v>1733.54</v>
      </c>
      <c r="L152" s="7" t="str">
        <f>IF(VLOOKUP(A152,'[1]LISTA ETIQUETAS'!O:AB,14,0)="","",(VLOOKUP(A152,'[1]LISTA ETIQUETAS'!O:AB,14,0)))</f>
        <v/>
      </c>
      <c r="M152" s="8"/>
      <c r="N152" s="9">
        <f t="shared" si="10"/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 t="shared" si="11"/>
        <v>1</v>
      </c>
      <c r="U152" s="10" t="str">
        <f>IFERROR((VLOOKUP(A152,Planilha1!A:B,2,0)),"\\192.168.0.4\Produtos\PRODUTO_PRONTA_ENTREGA\static\IMAGENS_PRODUTOS\SEM IMAGEM.jpg")</f>
        <v>\\192.168.0.4\Produtos\PRODUTO_PRONTA_ENTREGA\static\IMAGENS_PRODUTOS\SEM IMAGEM.jpg</v>
      </c>
      <c r="V152" t="str">
        <f>IFERROR((VLOOKUP(A152,Planilha1!A:B,2,0)),"\\192.168.0.4\Produtos\PRODUTO_PRONTA_ENTREGA\static\IMAGENS_PRODUTOS\SEM IMAGEM.jpg")</f>
        <v>\\192.168.0.4\Produtos\PRODUTO_PRONTA_ENTREGA\static\IMAGENS_PRODUTOS\SEM IMAGEM.jpg</v>
      </c>
    </row>
    <row r="153" spans="1:22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 t="shared" si="9"/>
        <v>3779.87</v>
      </c>
      <c r="L153" s="7" t="str">
        <f>IF(VLOOKUP(A153,'[1]LISTA ETIQUETAS'!O:AB,14,0)="","",(VLOOKUP(A153,'[1]LISTA ETIQUETAS'!O:AB,14,0)))</f>
        <v/>
      </c>
      <c r="M153" s="8"/>
      <c r="N153" s="9">
        <f t="shared" si="10"/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 t="shared" si="11"/>
        <v>1</v>
      </c>
      <c r="U153" s="10" t="str">
        <f>IFERROR((VLOOKUP(A153,Planilha1!A:B,2,0)),"\\192.168.0.4\Produtos\PRODUTO_PRONTA_ENTREGA\static\IMAGENS_PRODUTOS\SEM IMAGEM.jpg")</f>
        <v>\\192.168.0.4\Produtos\PRODUTO_PRONTA_ENTREGA\static\IMAGENS_PRODUTOS\SEM IMAGEM.jpg</v>
      </c>
      <c r="V153" t="str">
        <f>IFERROR((VLOOKUP(A153,Planilha1!A:B,2,0)),"\\192.168.0.4\Produtos\PRODUTO_PRONTA_ENTREGA\static\IMAGENS_PRODUTOS\SEM IMAGEM.jpg")</f>
        <v>\\192.168.0.4\Produtos\PRODUTO_PRONTA_ENTREGA\static\IMAGENS_PRODUTOS\SEM IMAGEM.jpg</v>
      </c>
    </row>
    <row r="154" spans="1:22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 t="shared" si="9"/>
        <v>1733.54</v>
      </c>
      <c r="L154" s="7" t="str">
        <f>IF(VLOOKUP(A154,'[1]LISTA ETIQUETAS'!O:AB,14,0)="","",(VLOOKUP(A154,'[1]LISTA ETIQUETAS'!O:AB,14,0)))</f>
        <v/>
      </c>
      <c r="M154" s="8"/>
      <c r="N154" s="9">
        <f t="shared" si="10"/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 t="shared" si="11"/>
        <v>1</v>
      </c>
      <c r="U154" s="10" t="str">
        <f>IFERROR((VLOOKUP(A154,Planilha1!A:B,2,0)),"\\192.168.0.4\Produtos\PRODUTO_PRONTA_ENTREGA\static\IMAGENS_PRODUTOS\SEM IMAGEM.jpg")</f>
        <v>\\192.168.0.4\Produtos\PRODUTO_PRONTA_ENTREGA\static\IMAGENS_PRODUTOS\SEM IMAGEM.jpg</v>
      </c>
      <c r="V154" t="str">
        <f>IFERROR((VLOOKUP(A154,Planilha1!A:B,2,0)),"\\192.168.0.4\Produtos\PRODUTO_PRONTA_ENTREGA\static\IMAGENS_PRODUTOS\SEM IMAGEM.jpg")</f>
        <v>\\192.168.0.4\Produtos\PRODUTO_PRONTA_ENTREGA\static\IMAGENS_PRODUTOS\SEM IMAGEM.jpg</v>
      </c>
    </row>
    <row r="155" spans="1:22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 t="shared" si="9"/>
        <v>3518.32</v>
      </c>
      <c r="L155" s="7" t="str">
        <f>IF(VLOOKUP(A155,'[1]LISTA ETIQUETAS'!O:AB,14,0)="","",(VLOOKUP(A155,'[1]LISTA ETIQUETAS'!O:AB,14,0)))</f>
        <v/>
      </c>
      <c r="M155" s="8"/>
      <c r="N155" s="9">
        <f t="shared" si="10"/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 t="shared" si="11"/>
        <v>1</v>
      </c>
      <c r="U155" s="10" t="str">
        <f>IFERROR((VLOOKUP(A155,Planilha1!A:B,2,0)),"\\192.168.0.4\Produtos\PRODUTO_PRONTA_ENTREGA\static\IMAGENS_PRODUTOS\SEM IMAGEM.jpg")</f>
        <v>\\192.168.0.4\Produtos\PRODUTO_PRONTA_ENTREGA\static\IMAGENS_PRODUTOS\BANDEJA MATISSE_351060.jpg</v>
      </c>
      <c r="V155" t="str">
        <f>IFERROR((VLOOKUP(A155,Planilha1!A:B,2,0)),"\\192.168.0.4\Produtos\PRODUTO_PRONTA_ENTREGA\static\IMAGENS_PRODUTOS\SEM IMAGEM.jpg")</f>
        <v>\\192.168.0.4\Produtos\PRODUTO_PRONTA_ENTREGA\static\IMAGENS_PRODUTOS\BANDEJA MATISSE_351060.jpg</v>
      </c>
    </row>
    <row r="156" spans="1:22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 t="shared" si="9"/>
        <v>2307.96</v>
      </c>
      <c r="L156" s="7" t="str">
        <f>IF(VLOOKUP(A156,'[1]LISTA ETIQUETAS'!O:AB,14,0)="","",(VLOOKUP(A156,'[1]LISTA ETIQUETAS'!O:AB,14,0)))</f>
        <v/>
      </c>
      <c r="M156" s="8"/>
      <c r="N156" s="9">
        <f t="shared" si="10"/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 t="shared" si="11"/>
        <v>1</v>
      </c>
      <c r="U156" s="10" t="str">
        <f>IFERROR((VLOOKUP(A156,Planilha1!A:B,2,0)),"\\192.168.0.4\Produtos\PRODUTO_PRONTA_ENTREGA\static\IMAGENS_PRODUTOS\SEM IMAGEM.jpg")</f>
        <v>\\192.168.0.4\Produtos\PRODUTO_PRONTA_ENTREGA\static\IMAGENS_PRODUTOS\SEM IMAGEM.jpg</v>
      </c>
      <c r="V156" t="str">
        <f>IFERROR((VLOOKUP(A156,Planilha1!A:B,2,0)),"\\192.168.0.4\Produtos\PRODUTO_PRONTA_ENTREGA\static\IMAGENS_PRODUTOS\SEM IMAGEM.jpg")</f>
        <v>\\192.168.0.4\Produtos\PRODUTO_PRONTA_ENTREGA\static\IMAGENS_PRODUTOS\SEM IMAGEM.jpg</v>
      </c>
    </row>
    <row r="157" spans="1:22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 t="shared" si="9"/>
        <v/>
      </c>
      <c r="L157" s="7" t="str">
        <f>IF(VLOOKUP(A157,'[1]LISTA ETIQUETAS'!O:AB,14,0)="","",(VLOOKUP(A157,'[1]LISTA ETIQUETAS'!O:AB,14,0)))</f>
        <v/>
      </c>
      <c r="M157" s="8"/>
      <c r="N157" s="9">
        <f t="shared" si="10"/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 t="shared" si="11"/>
        <v>1</v>
      </c>
      <c r="U157" s="10" t="str">
        <f>IFERROR((VLOOKUP(A157,Planilha1!A:B,2,0)),"\\192.168.0.4\Produtos\PRODUTO_PRONTA_ENTREGA\static\IMAGENS_PRODUTOS\SEM IMAGEM.jpg")</f>
        <v>\\192.168.0.4\Produtos\PRODUTO_PRONTA_ENTREGA\static\IMAGENS_PRODUTOS\SEM IMAGEM.jpg</v>
      </c>
      <c r="V157" t="str">
        <f>IFERROR((VLOOKUP(A157,Planilha1!A:B,2,0)),"\\192.168.0.4\Produtos\PRODUTO_PRONTA_ENTREGA\static\IMAGENS_PRODUTOS\SEM IMAGEM.jpg")</f>
        <v>\\192.168.0.4\Produtos\PRODUTO_PRONTA_ENTREGA\static\IMAGENS_PRODUTOS\SEM IMAGEM.jpg</v>
      </c>
    </row>
    <row r="158" spans="1:22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 t="shared" si="9"/>
        <v>4243.68</v>
      </c>
      <c r="L158" s="7" t="str">
        <f>IF(VLOOKUP(A158,'[1]LISTA ETIQUETAS'!O:AB,14,0)="","",(VLOOKUP(A158,'[1]LISTA ETIQUETAS'!O:AB,14,0)))</f>
        <v/>
      </c>
      <c r="M158" s="8"/>
      <c r="N158" s="9">
        <f t="shared" si="10"/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 t="shared" si="11"/>
        <v>2</v>
      </c>
      <c r="U158" s="10" t="str">
        <f>IFERROR((VLOOKUP(A158,Planilha1!A:B,2,0)),"\\192.168.0.4\Produtos\PRODUTO_PRONTA_ENTREGA\static\IMAGENS_PRODUTOS\SEM IMAGEM.jpg")</f>
        <v>\\192.168.0.4\Produtos\PRODUTO_PRONTA_ENTREGA\static\IMAGENS_PRODUTOS\SEM IMAGEM.jpg</v>
      </c>
      <c r="V158" t="str">
        <f>IFERROR((VLOOKUP(A158,Planilha1!A:B,2,0)),"\\192.168.0.4\Produtos\PRODUTO_PRONTA_ENTREGA\static\IMAGENS_PRODUTOS\SEM IMAGEM.jpg")</f>
        <v>\\192.168.0.4\Produtos\PRODUTO_PRONTA_ENTREGA\static\IMAGENS_PRODUTOS\SEM IMAGEM.jpg</v>
      </c>
    </row>
    <row r="159" spans="1:22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 t="shared" si="9"/>
        <v>3537.18</v>
      </c>
      <c r="L159" s="7" t="str">
        <f>IF(VLOOKUP(A159,'[1]LISTA ETIQUETAS'!O:AB,14,0)="","",(VLOOKUP(A159,'[1]LISTA ETIQUETAS'!O:AB,14,0)))</f>
        <v/>
      </c>
      <c r="M159" s="8"/>
      <c r="N159" s="9">
        <f t="shared" si="10"/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 t="shared" si="11"/>
        <v>3</v>
      </c>
      <c r="U159" s="10" t="str">
        <f>IFERROR((VLOOKUP(A159,Planilha1!A:B,2,0)),"\\192.168.0.4\Produtos\PRODUTO_PRONTA_ENTREGA\static\IMAGENS_PRODUTOS\SEM IMAGEM.jpg")</f>
        <v>\\192.168.0.4\Produtos\PRODUTO_PRONTA_ENTREGA\static\IMAGENS_PRODUTOS\SEM IMAGEM.jpg</v>
      </c>
      <c r="V159" t="str">
        <f>IFERROR((VLOOKUP(A159,Planilha1!A:B,2,0)),"\\192.168.0.4\Produtos\PRODUTO_PRONTA_ENTREGA\static\IMAGENS_PRODUTOS\SEM IMAGEM.jpg")</f>
        <v>\\192.168.0.4\Produtos\PRODUTO_PRONTA_ENTREGA\static\IMAGENS_PRODUTOS\SEM IMAGEM.jpg</v>
      </c>
    </row>
    <row r="160" spans="1:22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 t="shared" si="9"/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 t="shared" si="10"/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 t="shared" si="11"/>
        <v>1</v>
      </c>
      <c r="U160" s="10" t="str">
        <f>IFERROR((VLOOKUP(A160,Planilha1!A:B,2,0)),"\\192.168.0.4\Produtos\PRODUTO_PRONTA_ENTREGA\static\IMAGENS_PRODUTOS\SEM IMAGEM.jpg")</f>
        <v>\\192.168.0.4\Produtos\PRODUTO_PRONTA_ENTREGA\static\IMAGENS_PRODUTOS\BANDEJA MATISSE_351057.jpg</v>
      </c>
      <c r="V160" t="str">
        <f>IFERROR((VLOOKUP(A160,Planilha1!A:B,2,0)),"\\192.168.0.4\Produtos\PRODUTO_PRONTA_ENTREGA\static\IMAGENS_PRODUTOS\SEM IMAGEM.jpg")</f>
        <v>\\192.168.0.4\Produtos\PRODUTO_PRONTA_ENTREGA\static\IMAGENS_PRODUTOS\BANDEJA MATISSE_351057.jpg</v>
      </c>
    </row>
    <row r="161" spans="1:22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 t="shared" si="9"/>
        <v>0</v>
      </c>
      <c r="L161" s="7" t="str">
        <f>IF(VLOOKUP(A161,'[1]LISTA ETIQUETAS'!O:AB,14,0)="","",(VLOOKUP(A161,'[1]LISTA ETIQUETAS'!O:AB,14,0)))</f>
        <v/>
      </c>
      <c r="M161" s="8"/>
      <c r="N161" s="9">
        <f t="shared" si="10"/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 t="shared" si="11"/>
        <v>2</v>
      </c>
      <c r="U161" s="10" t="str">
        <f>IFERROR((VLOOKUP(A161,Planilha1!A:B,2,0)),"\\192.168.0.4\Produtos\PRODUTO_PRONTA_ENTREGA\static\IMAGENS_PRODUTOS\SEM IMAGEM.jpg")</f>
        <v>\\192.168.0.4\Produtos\PRODUTO_PRONTA_ENTREGA\static\IMAGENS_PRODUTOS\SEM IMAGEM.jpg</v>
      </c>
      <c r="V161" t="str">
        <f>IFERROR((VLOOKUP(A161,Planilha1!A:B,2,0)),"\\192.168.0.4\Produtos\PRODUTO_PRONTA_ENTREGA\static\IMAGENS_PRODUTOS\SEM IMAGEM.jpg")</f>
        <v>\\192.168.0.4\Produtos\PRODUTO_PRONTA_ENTREGA\static\IMAGENS_PRODUTOS\SEM IMAGEM.jpg</v>
      </c>
    </row>
    <row r="162" spans="1:22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 t="shared" si="9"/>
        <v/>
      </c>
      <c r="L162" s="7" t="str">
        <f>IF(VLOOKUP(A162,'[1]LISTA ETIQUETAS'!O:AB,14,0)="","",(VLOOKUP(A162,'[1]LISTA ETIQUETAS'!O:AB,14,0)))</f>
        <v/>
      </c>
      <c r="M162" s="8"/>
      <c r="N162" s="9">
        <f t="shared" si="10"/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 t="shared" si="11"/>
        <v>2</v>
      </c>
      <c r="U162" s="10" t="str">
        <f>IFERROR((VLOOKUP(A162,Planilha1!A:B,2,0)),"\\192.168.0.4\Produtos\PRODUTO_PRONTA_ENTREGA\static\IMAGENS_PRODUTOS\SEM IMAGEM.jpg")</f>
        <v>\\192.168.0.4\Produtos\PRODUTO_PRONTA_ENTREGA\static\IMAGENS_PRODUTOS\SEM IMAGEM.jpg</v>
      </c>
      <c r="V162" t="str">
        <f>IFERROR((VLOOKUP(A162,Planilha1!A:B,2,0)),"\\192.168.0.4\Produtos\PRODUTO_PRONTA_ENTREGA\static\IMAGENS_PRODUTOS\SEM IMAGEM.jpg")</f>
        <v>\\192.168.0.4\Produtos\PRODUTO_PRONTA_ENTREGA\static\IMAGENS_PRODUTOS\SEM IMAGEM.jpg</v>
      </c>
    </row>
    <row r="163" spans="1:22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 t="shared" si="9"/>
        <v>3865.88</v>
      </c>
      <c r="L163" s="7" t="str">
        <f>IF(VLOOKUP(A163,'[1]LISTA ETIQUETAS'!O:AB,14,0)="","",(VLOOKUP(A163,'[1]LISTA ETIQUETAS'!O:AB,14,0)))</f>
        <v/>
      </c>
      <c r="M163" s="8"/>
      <c r="N163" s="9">
        <f t="shared" si="10"/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 t="shared" si="11"/>
        <v>1</v>
      </c>
      <c r="U163" s="10" t="str">
        <f>IFERROR((VLOOKUP(A163,Planilha1!A:B,2,0)),"\\192.168.0.4\Produtos\PRODUTO_PRONTA_ENTREGA\static\IMAGENS_PRODUTOS\SEM IMAGEM.jpg")</f>
        <v>\\192.168.0.4\Produtos\PRODUTO_PRONTA_ENTREGA\static\IMAGENS_PRODUTOS\SEM IMAGEM.jpg</v>
      </c>
      <c r="V163" t="str">
        <f>IFERROR((VLOOKUP(A163,Planilha1!A:B,2,0)),"\\192.168.0.4\Produtos\PRODUTO_PRONTA_ENTREGA\static\IMAGENS_PRODUTOS\SEM IMAGEM.jpg")</f>
        <v>\\192.168.0.4\Produtos\PRODUTO_PRONTA_ENTREGA\static\IMAGENS_PRODUTOS\SEM IMAGEM.jpg</v>
      </c>
    </row>
    <row r="164" spans="1:22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 t="shared" si="9"/>
        <v>0</v>
      </c>
      <c r="L164" s="7" t="str">
        <f>IF(VLOOKUP(A164,'[1]LISTA ETIQUETAS'!O:AB,14,0)="","",(VLOOKUP(A164,'[1]LISTA ETIQUETAS'!O:AB,14,0)))</f>
        <v/>
      </c>
      <c r="M164" s="8"/>
      <c r="N164" s="9">
        <f t="shared" si="10"/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 t="shared" si="11"/>
        <v>2</v>
      </c>
      <c r="U164" s="10" t="str">
        <f>IFERROR((VLOOKUP(A164,Planilha1!A:B,2,0)),"\\192.168.0.4\Produtos\PRODUTO_PRONTA_ENTREGA\static\IMAGENS_PRODUTOS\SEM IMAGEM.jpg")</f>
        <v>\\192.168.0.4\Produtos\PRODUTO_PRONTA_ENTREGA\static\IMAGENS_PRODUTOS\MANTA TURK AZUL_271507.jpg</v>
      </c>
      <c r="V164" t="str">
        <f>IFERROR((VLOOKUP(A164,Planilha1!A:B,2,0)),"\\192.168.0.4\Produtos\PRODUTO_PRONTA_ENTREGA\static\IMAGENS_PRODUTOS\SEM IMAGEM.jpg")</f>
        <v>\\192.168.0.4\Produtos\PRODUTO_PRONTA_ENTREGA\static\IMAGENS_PRODUTOS\MANTA TURK AZUL_271507.jpg</v>
      </c>
    </row>
    <row r="165" spans="1:22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 t="shared" si="9"/>
        <v/>
      </c>
      <c r="L165" s="7" t="str">
        <f>IF(VLOOKUP(A165,'[1]LISTA ETIQUETAS'!O:AB,14,0)="","",(VLOOKUP(A165,'[1]LISTA ETIQUETAS'!O:AB,14,0)))</f>
        <v/>
      </c>
      <c r="M165" s="8"/>
      <c r="N165" s="9">
        <f t="shared" si="10"/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 t="shared" si="11"/>
        <v>3</v>
      </c>
      <c r="U165" s="10" t="str">
        <f>IFERROR((VLOOKUP(A165,Planilha1!A:B,2,0)),"\\192.168.0.4\Produtos\PRODUTO_PRONTA_ENTREGA\static\IMAGENS_PRODUTOS\SEM IMAGEM.jpg")</f>
        <v>\\192.168.0.4\Produtos\PRODUTO_PRONTA_ENTREGA\static\IMAGENS_PRODUTOS\SEM IMAGEM.jpg</v>
      </c>
      <c r="V165" t="str">
        <f>IFERROR((VLOOKUP(A165,Planilha1!A:B,2,0)),"\\192.168.0.4\Produtos\PRODUTO_PRONTA_ENTREGA\static\IMAGENS_PRODUTOS\SEM IMAGEM.jpg")</f>
        <v>\\192.168.0.4\Produtos\PRODUTO_PRONTA_ENTREGA\static\IMAGENS_PRODUTOS\SEM IMAGEM.jpg</v>
      </c>
    </row>
    <row r="166" spans="1:22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 t="shared" si="9"/>
        <v/>
      </c>
      <c r="L166" s="7" t="str">
        <f>IF(VLOOKUP(A166,'[1]LISTA ETIQUETAS'!O:AB,14,0)="","",(VLOOKUP(A166,'[1]LISTA ETIQUETAS'!O:AB,14,0)))</f>
        <v/>
      </c>
      <c r="M166" s="8"/>
      <c r="N166" s="9">
        <f t="shared" si="10"/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 t="shared" si="11"/>
        <v>1</v>
      </c>
      <c r="U166" s="10" t="str">
        <f>IFERROR((VLOOKUP(A166,Planilha1!A:B,2,0)),"\\192.168.0.4\Produtos\PRODUTO_PRONTA_ENTREGA\static\IMAGENS_PRODUTOS\SEM IMAGEM.jpg")</f>
        <v>\\192.168.0.4\Produtos\PRODUTO_PRONTA_ENTREGA\static\IMAGENS_PRODUTOS\REVISTEIRO TECA_152276.jpg</v>
      </c>
      <c r="V166" t="str">
        <f>IFERROR((VLOOKUP(A166,Planilha1!A:B,2,0)),"\\192.168.0.4\Produtos\PRODUTO_PRONTA_ENTREGA\static\IMAGENS_PRODUTOS\SEM IMAGEM.jpg")</f>
        <v>\\192.168.0.4\Produtos\PRODUTO_PRONTA_ENTREGA\static\IMAGENS_PRODUTOS\REVISTEIRO TECA_152276.jpg</v>
      </c>
    </row>
    <row r="167" spans="1:22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 t="shared" si="9"/>
        <v/>
      </c>
      <c r="L167" s="7" t="str">
        <f>IF(VLOOKUP(A167,'[1]LISTA ETIQUETAS'!O:AB,14,0)="","",(VLOOKUP(A167,'[1]LISTA ETIQUETAS'!O:AB,14,0)))</f>
        <v/>
      </c>
      <c r="M167" s="8"/>
      <c r="N167" s="9">
        <f t="shared" si="10"/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 t="shared" si="11"/>
        <v>2</v>
      </c>
      <c r="U167" s="10" t="str">
        <f>IFERROR((VLOOKUP(A167,Planilha1!A:B,2,0)),"\\192.168.0.4\Produtos\PRODUTO_PRONTA_ENTREGA\static\IMAGENS_PRODUTOS\SEM IMAGEM.jpg")</f>
        <v>\\192.168.0.4\Produtos\PRODUTO_PRONTA_ENTREGA\static\IMAGENS_PRODUTOS\REVISTEIRO THORK_151004.jpg</v>
      </c>
      <c r="V167" t="str">
        <f>IFERROR((VLOOKUP(A167,Planilha1!A:B,2,0)),"\\192.168.0.4\Produtos\PRODUTO_PRONTA_ENTREGA\static\IMAGENS_PRODUTOS\SEM IMAGEM.jpg")</f>
        <v>\\192.168.0.4\Produtos\PRODUTO_PRONTA_ENTREGA\static\IMAGENS_PRODUTOS\REVISTEIRO THORK_151004.jpg</v>
      </c>
    </row>
    <row r="168" spans="1:22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 t="shared" si="9"/>
        <v>0</v>
      </c>
      <c r="L168" s="7" t="str">
        <f>IF(VLOOKUP(A168,'[1]LISTA ETIQUETAS'!O:AB,14,0)="","",(VLOOKUP(A168,'[1]LISTA ETIQUETAS'!O:AB,14,0)))</f>
        <v/>
      </c>
      <c r="M168" s="8"/>
      <c r="N168" s="9">
        <f t="shared" si="10"/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 t="shared" si="11"/>
        <v>8</v>
      </c>
      <c r="U168" s="10" t="str">
        <f>IFERROR((VLOOKUP(A168,Planilha1!A:B,2,0)),"\\192.168.0.4\Produtos\PRODUTO_PRONTA_ENTREGA\static\IMAGENS_PRODUTOS\SEM IMAGEM.jpg")</f>
        <v>\\192.168.0.4\Produtos\PRODUTO_PRONTA_ENTREGA\static\IMAGENS_PRODUTOS\SEM IMAGEM.jpg</v>
      </c>
      <c r="V168" t="str">
        <f>IFERROR((VLOOKUP(A168,Planilha1!A:B,2,0)),"\\192.168.0.4\Produtos\PRODUTO_PRONTA_ENTREGA\static\IMAGENS_PRODUTOS\SEM IMAGEM.jpg")</f>
        <v>\\192.168.0.4\Produtos\PRODUTO_PRONTA_ENTREGA\static\IMAGENS_PRODUTOS\SEM IMAGEM.jpg</v>
      </c>
    </row>
    <row r="169" spans="1:22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 t="shared" si="9"/>
        <v/>
      </c>
      <c r="L169" s="7" t="str">
        <f>IF(VLOOKUP(A169,'[1]LISTA ETIQUETAS'!O:AB,14,0)="","",(VLOOKUP(A169,'[1]LISTA ETIQUETAS'!O:AB,14,0)))</f>
        <v/>
      </c>
      <c r="M169" s="8"/>
      <c r="N169" s="9">
        <f t="shared" si="10"/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 t="shared" si="11"/>
        <v>4</v>
      </c>
      <c r="U169" s="10" t="str">
        <f>IFERROR((VLOOKUP(A169,Planilha1!A:B,2,0)),"\\192.168.0.4\Produtos\PRODUTO_PRONTA_ENTREGA\static\IMAGENS_PRODUTOS\SEM IMAGEM.jpg")</f>
        <v>\\192.168.0.4\Produtos\PRODUTO_PRONTA_ENTREGA\static\IMAGENS_PRODUTOS\BANDEJA ALD_191295.jpg</v>
      </c>
      <c r="V169" t="str">
        <f>IFERROR((VLOOKUP(A169,Planilha1!A:B,2,0)),"\\192.168.0.4\Produtos\PRODUTO_PRONTA_ENTREGA\static\IMAGENS_PRODUTOS\SEM IMAGEM.jpg")</f>
        <v>\\192.168.0.4\Produtos\PRODUTO_PRONTA_ENTREGA\static\IMAGENS_PRODUTOS\BANDEJA ALD_191295.jpg</v>
      </c>
    </row>
    <row r="170" spans="1:22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 t="shared" si="9"/>
        <v/>
      </c>
      <c r="L170" s="7" t="str">
        <f>IF(VLOOKUP(A170,'[1]LISTA ETIQUETAS'!O:AB,14,0)="","",(VLOOKUP(A170,'[1]LISTA ETIQUETAS'!O:AB,14,0)))</f>
        <v/>
      </c>
      <c r="M170" s="8"/>
      <c r="N170" s="9">
        <f t="shared" si="10"/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 t="shared" si="11"/>
        <v>8</v>
      </c>
      <c r="U170" s="10" t="str">
        <f>IFERROR((VLOOKUP(A170,Planilha1!A:B,2,0)),"\\192.168.0.4\Produtos\PRODUTO_PRONTA_ENTREGA\static\IMAGENS_PRODUTOS\SEM IMAGEM.jpg")</f>
        <v>\\192.168.0.4\Produtos\PRODUTO_PRONTA_ENTREGA\static\IMAGENS_PRODUTOS\PORTA LAPIS_191296.jpg</v>
      </c>
      <c r="V170" t="str">
        <f>IFERROR((VLOOKUP(A170,Planilha1!A:B,2,0)),"\\192.168.0.4\Produtos\PRODUTO_PRONTA_ENTREGA\static\IMAGENS_PRODUTOS\SEM IMAGEM.jpg")</f>
        <v>\\192.168.0.4\Produtos\PRODUTO_PRONTA_ENTREGA\static\IMAGENS_PRODUTOS\PORTA LAPIS_191296.jpg</v>
      </c>
    </row>
    <row r="171" spans="1:22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 t="shared" si="9"/>
        <v/>
      </c>
      <c r="L171" s="7" t="str">
        <f>IF(VLOOKUP(A171,'[1]LISTA ETIQUETAS'!O:AB,14,0)="","",(VLOOKUP(A171,'[1]LISTA ETIQUETAS'!O:AB,14,0)))</f>
        <v/>
      </c>
      <c r="M171" s="8"/>
      <c r="N171" s="9">
        <f t="shared" si="10"/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 t="shared" si="11"/>
        <v>2</v>
      </c>
      <c r="U171" s="10" t="str">
        <f>IFERROR((VLOOKUP(A171,Planilha1!A:B,2,0)),"\\192.168.0.4\Produtos\PRODUTO_PRONTA_ENTREGA\static\IMAGENS_PRODUTOS\SEM IMAGEM.jpg")</f>
        <v>\\192.168.0.4\Produtos\PRODUTO_PRONTA_ENTREGA\static\IMAGENS_PRODUTOS\SEM IMAGEM.jpg</v>
      </c>
      <c r="V171" t="str">
        <f>IFERROR((VLOOKUP(A171,Planilha1!A:B,2,0)),"\\192.168.0.4\Produtos\PRODUTO_PRONTA_ENTREGA\static\IMAGENS_PRODUTOS\SEM IMAGEM.jpg")</f>
        <v>\\192.168.0.4\Produtos\PRODUTO_PRONTA_ENTREGA\static\IMAGENS_PRODUTOS\SEM IMAGEM.jpg</v>
      </c>
    </row>
    <row r="172" spans="1:22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 t="shared" si="9"/>
        <v/>
      </c>
      <c r="L172" s="7" t="str">
        <f>IF(VLOOKUP(A172,'[1]LISTA ETIQUETAS'!O:AB,14,0)="","",(VLOOKUP(A172,'[1]LISTA ETIQUETAS'!O:AB,14,0)))</f>
        <v/>
      </c>
      <c r="M172" s="8"/>
      <c r="N172" s="9">
        <f t="shared" si="10"/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 t="shared" si="11"/>
        <v>1</v>
      </c>
      <c r="U172" s="10" t="str">
        <f>IFERROR((VLOOKUP(A172,Planilha1!A:B,2,0)),"\\192.168.0.4\Produtos\PRODUTO_PRONTA_ENTREGA\static\IMAGENS_PRODUTOS\SEM IMAGEM.jpg")</f>
        <v>\\192.168.0.4\Produtos\PRODUTO_PRONTA_ENTREGA\static\IMAGENS_PRODUTOS\SEM IMAGEM.jpg</v>
      </c>
      <c r="V172" t="str">
        <f>IFERROR((VLOOKUP(A172,Planilha1!A:B,2,0)),"\\192.168.0.4\Produtos\PRODUTO_PRONTA_ENTREGA\static\IMAGENS_PRODUTOS\SEM IMAGEM.jpg")</f>
        <v>\\192.168.0.4\Produtos\PRODUTO_PRONTA_ENTREGA\static\IMAGENS_PRODUTOS\SEM IMAGEM.jpg</v>
      </c>
    </row>
    <row r="173" spans="1:22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 t="shared" si="9"/>
        <v>0</v>
      </c>
      <c r="L173" s="7" t="str">
        <f>IF(VLOOKUP(A173,'[1]LISTA ETIQUETAS'!O:AB,14,0)="","",(VLOOKUP(A173,'[1]LISTA ETIQUETAS'!O:AB,14,0)))</f>
        <v/>
      </c>
      <c r="M173" s="8"/>
      <c r="N173" s="9">
        <f t="shared" si="10"/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 t="shared" si="11"/>
        <v>1</v>
      </c>
      <c r="U173" s="10" t="str">
        <f>IFERROR((VLOOKUP(A173,Planilha1!A:B,2,0)),"\\192.168.0.4\Produtos\PRODUTO_PRONTA_ENTREGA\static\IMAGENS_PRODUTOS\SEM IMAGEM.jpg")</f>
        <v>\\192.168.0.4\Produtos\PRODUTO_PRONTA_ENTREGA\static\IMAGENS_PRODUTOS\MANCEBO DIX_217201.jpg</v>
      </c>
      <c r="V173" t="str">
        <f>IFERROR((VLOOKUP(A173,Planilha1!A:B,2,0)),"\\192.168.0.4\Produtos\PRODUTO_PRONTA_ENTREGA\static\IMAGENS_PRODUTOS\SEM IMAGEM.jpg")</f>
        <v>\\192.168.0.4\Produtos\PRODUTO_PRONTA_ENTREGA\static\IMAGENS_PRODUTOS\MANCEBO DIX_217201.jpg</v>
      </c>
    </row>
    <row r="174" spans="1:22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 t="shared" si="9"/>
        <v>8960</v>
      </c>
      <c r="L174" s="7" t="str">
        <f>IF(VLOOKUP(A174,'[1]LISTA ETIQUETAS'!O:AB,14,0)="","",(VLOOKUP(A174,'[1]LISTA ETIQUETAS'!O:AB,14,0)))</f>
        <v/>
      </c>
      <c r="M174" s="8"/>
      <c r="N174" s="9">
        <f t="shared" si="10"/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 t="shared" si="11"/>
        <v>1</v>
      </c>
      <c r="U174" s="10" t="str">
        <f>IFERROR((VLOOKUP(A174,Planilha1!A:B,2,0)),"\\192.168.0.4\Produtos\PRODUTO_PRONTA_ENTREGA\static\IMAGENS_PRODUTOS\SEM IMAGEM.jpg")</f>
        <v>\\192.168.0.4\Produtos\PRODUTO_PRONTA_ENTREGA\static\IMAGENS_PRODUTOS\REVISTEIRO TECA_344146.jpg</v>
      </c>
      <c r="V174" t="str">
        <f>IFERROR((VLOOKUP(A174,Planilha1!A:B,2,0)),"\\192.168.0.4\Produtos\PRODUTO_PRONTA_ENTREGA\static\IMAGENS_PRODUTOS\SEM IMAGEM.jpg")</f>
        <v>\\192.168.0.4\Produtos\PRODUTO_PRONTA_ENTREGA\static\IMAGENS_PRODUTOS\REVISTEIRO TECA_344146.jpg</v>
      </c>
    </row>
    <row r="175" spans="1:22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 t="shared" si="9"/>
        <v>1952.16</v>
      </c>
      <c r="L175" s="7" t="str">
        <f>IF(VLOOKUP(A175,'[1]LISTA ETIQUETAS'!O:AB,14,0)="","",(VLOOKUP(A175,'[1]LISTA ETIQUETAS'!O:AB,14,0)))</f>
        <v/>
      </c>
      <c r="M175" s="8"/>
      <c r="N175" s="9">
        <f t="shared" si="10"/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 t="shared" si="11"/>
        <v>1</v>
      </c>
      <c r="U175" s="10" t="str">
        <f>IFERROR((VLOOKUP(A175,Planilha1!A:B,2,0)),"\\192.168.0.4\Produtos\PRODUTO_PRONTA_ENTREGA\static\IMAGENS_PRODUTOS\SEM IMAGEM.jpg")</f>
        <v>\\192.168.0.4\Produtos\PRODUTO_PRONTA_ENTREGA\static\IMAGENS_PRODUTOS\SEM IMAGEM.jpg</v>
      </c>
      <c r="V175" t="str">
        <f>IFERROR((VLOOKUP(A175,Planilha1!A:B,2,0)),"\\192.168.0.4\Produtos\PRODUTO_PRONTA_ENTREGA\static\IMAGENS_PRODUTOS\SEM IMAGEM.jpg")</f>
        <v>\\192.168.0.4\Produtos\PRODUTO_PRONTA_ENTREGA\static\IMAGENS_PRODUTOS\SEM IMAGEM.jpg</v>
      </c>
    </row>
    <row r="176" spans="1:22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 t="shared" si="9"/>
        <v>5597.76</v>
      </c>
      <c r="L176" s="7" t="str">
        <f>IF(VLOOKUP(A176,'[1]LISTA ETIQUETAS'!O:AB,14,0)="","",(VLOOKUP(A176,'[1]LISTA ETIQUETAS'!O:AB,14,0)))</f>
        <v/>
      </c>
      <c r="M176" s="8"/>
      <c r="N176" s="9">
        <f t="shared" si="10"/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 t="shared" si="11"/>
        <v>2</v>
      </c>
      <c r="U176" s="10" t="str">
        <f>IFERROR((VLOOKUP(A176,Planilha1!A:B,2,0)),"\\192.168.0.4\Produtos\PRODUTO_PRONTA_ENTREGA\static\IMAGENS_PRODUTOS\SEM IMAGEM.jpg")</f>
        <v>\\192.168.0.4\Produtos\PRODUTO_PRONTA_ENTREGA\static\IMAGENS_PRODUTOS\SEM IMAGEM.jpg</v>
      </c>
      <c r="V176" t="str">
        <f>IFERROR((VLOOKUP(A176,Planilha1!A:B,2,0)),"\\192.168.0.4\Produtos\PRODUTO_PRONTA_ENTREGA\static\IMAGENS_PRODUTOS\SEM IMAGEM.jpg")</f>
        <v>\\192.168.0.4\Produtos\PRODUTO_PRONTA_ENTREGA\static\IMAGENS_PRODUTOS\SEM IMAGEM.jpg</v>
      </c>
    </row>
    <row r="177" spans="1:22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 t="shared" si="9"/>
        <v>5597.76</v>
      </c>
      <c r="L177" s="7" t="str">
        <f>IF(VLOOKUP(A177,'[1]LISTA ETIQUETAS'!O:AB,14,0)="","",(VLOOKUP(A177,'[1]LISTA ETIQUETAS'!O:AB,14,0)))</f>
        <v/>
      </c>
      <c r="M177" s="8"/>
      <c r="N177" s="9">
        <f t="shared" si="10"/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 t="shared" si="11"/>
        <v>3</v>
      </c>
      <c r="U177" s="10" t="str">
        <f>IFERROR((VLOOKUP(A177,Planilha1!A:B,2,0)),"\\192.168.0.4\Produtos\PRODUTO_PRONTA_ENTREGA\static\IMAGENS_PRODUTOS\SEM IMAGEM.jpg")</f>
        <v>\\192.168.0.4\Produtos\PRODUTO_PRONTA_ENTREGA\static\IMAGENS_PRODUTOS\SEM IMAGEM.jpg</v>
      </c>
      <c r="V177" t="str">
        <f>IFERROR((VLOOKUP(A177,Planilha1!A:B,2,0)),"\\192.168.0.4\Produtos\PRODUTO_PRONTA_ENTREGA\static\IMAGENS_PRODUTOS\SEM IMAGEM.jpg")</f>
        <v>\\192.168.0.4\Produtos\PRODUTO_PRONTA_ENTREGA\static\IMAGENS_PRODUTOS\SEM IMAGEM.jpg</v>
      </c>
    </row>
    <row r="178" spans="1:22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 t="shared" si="9"/>
        <v>3245.76</v>
      </c>
      <c r="L178" s="7" t="str">
        <f>IF(VLOOKUP(A178,'[1]LISTA ETIQUETAS'!O:AB,14,0)="","",(VLOOKUP(A178,'[1]LISTA ETIQUETAS'!O:AB,14,0)))</f>
        <v/>
      </c>
      <c r="M178" s="8"/>
      <c r="N178" s="9">
        <f t="shared" si="10"/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 t="shared" si="11"/>
        <v>2</v>
      </c>
      <c r="U178" s="10" t="str">
        <f>IFERROR((VLOOKUP(A178,Planilha1!A:B,2,0)),"\\192.168.0.4\Produtos\PRODUTO_PRONTA_ENTREGA\static\IMAGENS_PRODUTOS\SEM IMAGEM.jpg")</f>
        <v>\\192.168.0.4\Produtos\PRODUTO_PRONTA_ENTREGA\static\IMAGENS_PRODUTOS\SEM IMAGEM.jpg</v>
      </c>
      <c r="V178" t="str">
        <f>IFERROR((VLOOKUP(A178,Planilha1!A:B,2,0)),"\\192.168.0.4\Produtos\PRODUTO_PRONTA_ENTREGA\static\IMAGENS_PRODUTOS\SEM IMAGEM.jpg")</f>
        <v>\\192.168.0.4\Produtos\PRODUTO_PRONTA_ENTREGA\static\IMAGENS_PRODUTOS\SEM IMAGEM.jpg</v>
      </c>
    </row>
    <row r="179" spans="1:22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 t="shared" si="9"/>
        <v>2676.58</v>
      </c>
      <c r="L179" s="7" t="str">
        <f>IF(VLOOKUP(A179,'[1]LISTA ETIQUETAS'!O:AB,14,0)="","",(VLOOKUP(A179,'[1]LISTA ETIQUETAS'!O:AB,14,0)))</f>
        <v/>
      </c>
      <c r="M179" s="8"/>
      <c r="N179" s="9">
        <f t="shared" si="10"/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 t="shared" si="11"/>
        <v>2</v>
      </c>
      <c r="U179" s="10" t="str">
        <f>IFERROR((VLOOKUP(A179,Planilha1!A:B,2,0)),"\\192.168.0.4\Produtos\PRODUTO_PRONTA_ENTREGA\static\IMAGENS_PRODUTOS\SEM IMAGEM.jpg")</f>
        <v>\\192.168.0.4\Produtos\PRODUTO_PRONTA_ENTREGA\static\IMAGENS_PRODUTOS\SEM IMAGEM.jpg</v>
      </c>
      <c r="V179" t="str">
        <f>IFERROR((VLOOKUP(A179,Planilha1!A:B,2,0)),"\\192.168.0.4\Produtos\PRODUTO_PRONTA_ENTREGA\static\IMAGENS_PRODUTOS\SEM IMAGEM.jpg")</f>
        <v>\\192.168.0.4\Produtos\PRODUTO_PRONTA_ENTREGA\static\IMAGENS_PRODUTOS\SEM IMAGEM.jpg</v>
      </c>
    </row>
    <row r="180" spans="1:22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 t="shared" si="9"/>
        <v/>
      </c>
      <c r="L180" s="7" t="str">
        <f>IF(VLOOKUP(A180,'[1]LISTA ETIQUETAS'!O:AB,14,0)="","",(VLOOKUP(A180,'[1]LISTA ETIQUETAS'!O:AB,14,0)))</f>
        <v/>
      </c>
      <c r="M180" s="8"/>
      <c r="N180" s="9">
        <f t="shared" si="10"/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 t="shared" si="11"/>
        <v>2</v>
      </c>
      <c r="U180" s="10" t="str">
        <f>IFERROR((VLOOKUP(A180,Planilha1!A:B,2,0)),"\\192.168.0.4\Produtos\PRODUTO_PRONTA_ENTREGA\static\IMAGENS_PRODUTOS\SEM IMAGEM.jpg")</f>
        <v>\\192.168.0.4\Produtos\PRODUTO_PRONTA_ENTREGA\static\IMAGENS_PRODUTOS\SEM IMAGEM.jpg</v>
      </c>
      <c r="V180" t="str">
        <f>IFERROR((VLOOKUP(A180,Planilha1!A:B,2,0)),"\\192.168.0.4\Produtos\PRODUTO_PRONTA_ENTREGA\static\IMAGENS_PRODUTOS\SEM IMAGEM.jpg")</f>
        <v>\\192.168.0.4\Produtos\PRODUTO_PRONTA_ENTREGA\static\IMAGENS_PRODUTOS\SEM IMAGEM.jpg</v>
      </c>
    </row>
    <row r="181" spans="1:22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 t="shared" si="9"/>
        <v/>
      </c>
      <c r="L181" s="7" t="str">
        <f>IF(VLOOKUP(A181,'[1]LISTA ETIQUETAS'!O:AB,14,0)="","",(VLOOKUP(A181,'[1]LISTA ETIQUETAS'!O:AB,14,0)))</f>
        <v/>
      </c>
      <c r="M181" s="8"/>
      <c r="N181" s="9">
        <f t="shared" si="10"/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 t="shared" si="11"/>
        <v>2</v>
      </c>
      <c r="U181" s="10" t="str">
        <f>IFERROR((VLOOKUP(A181,Planilha1!A:B,2,0)),"\\192.168.0.4\Produtos\PRODUTO_PRONTA_ENTREGA\static\IMAGENS_PRODUTOS\SEM IMAGEM.jpg")</f>
        <v>\\192.168.0.4\Produtos\PRODUTO_PRONTA_ENTREGA\static\IMAGENS_PRODUTOS\SEM IMAGEM.jpg</v>
      </c>
      <c r="V181" t="str">
        <f>IFERROR((VLOOKUP(A181,Planilha1!A:B,2,0)),"\\192.168.0.4\Produtos\PRODUTO_PRONTA_ENTREGA\static\IMAGENS_PRODUTOS\SEM IMAGEM.jpg")</f>
        <v>\\192.168.0.4\Produtos\PRODUTO_PRONTA_ENTREGA\static\IMAGENS_PRODUTOS\SEM IMAGEM.jpg</v>
      </c>
    </row>
    <row r="182" spans="1:22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 t="shared" si="9"/>
        <v>738.84</v>
      </c>
      <c r="L182" s="7" t="str">
        <f>IF(VLOOKUP(A182,'[1]LISTA ETIQUETAS'!O:AB,14,0)="","",(VLOOKUP(A182,'[1]LISTA ETIQUETAS'!O:AB,14,0)))</f>
        <v/>
      </c>
      <c r="M182" s="8"/>
      <c r="N182" s="9">
        <f t="shared" si="10"/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 t="shared" si="11"/>
        <v>2</v>
      </c>
      <c r="U182" s="10" t="str">
        <f>IFERROR((VLOOKUP(A182,Planilha1!A:B,2,0)),"\\192.168.0.4\Produtos\PRODUTO_PRONTA_ENTREGA\static\IMAGENS_PRODUTOS\SEM IMAGEM.jpg")</f>
        <v>\\192.168.0.4\Produtos\PRODUTO_PRONTA_ENTREGA\static\IMAGENS_PRODUTOS\SEM IMAGEM.jpg</v>
      </c>
      <c r="V182" t="str">
        <f>IFERROR((VLOOKUP(A182,Planilha1!A:B,2,0)),"\\192.168.0.4\Produtos\PRODUTO_PRONTA_ENTREGA\static\IMAGENS_PRODUTOS\SEM IMAGEM.jpg")</f>
        <v>\\192.168.0.4\Produtos\PRODUTO_PRONTA_ENTREGA\static\IMAGENS_PRODUTOS\SEM IMAGEM.jpg</v>
      </c>
    </row>
    <row r="183" spans="1:22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 t="shared" si="9"/>
        <v>669.58</v>
      </c>
      <c r="L183" s="7" t="str">
        <f>IF(VLOOKUP(A183,'[1]LISTA ETIQUETAS'!O:AB,14,0)="","",(VLOOKUP(A183,'[1]LISTA ETIQUETAS'!O:AB,14,0)))</f>
        <v/>
      </c>
      <c r="M183" s="8"/>
      <c r="N183" s="9">
        <f t="shared" si="10"/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 t="shared" si="11"/>
        <v>2</v>
      </c>
      <c r="U183" s="10" t="str">
        <f>IFERROR((VLOOKUP(A183,Planilha1!A:B,2,0)),"\\192.168.0.4\Produtos\PRODUTO_PRONTA_ENTREGA\static\IMAGENS_PRODUTOS\SEM IMAGEM.jpg")</f>
        <v>\\192.168.0.4\Produtos\PRODUTO_PRONTA_ENTREGA\static\IMAGENS_PRODUTOS\SEM IMAGEM.jpg</v>
      </c>
      <c r="V183" t="str">
        <f>IFERROR((VLOOKUP(A183,Planilha1!A:B,2,0)),"\\192.168.0.4\Produtos\PRODUTO_PRONTA_ENTREGA\static\IMAGENS_PRODUTOS\SEM IMAGEM.jpg")</f>
        <v>\\192.168.0.4\Produtos\PRODUTO_PRONTA_ENTREGA\static\IMAGENS_PRODUTOS\SEM IMAGEM.jpg</v>
      </c>
    </row>
    <row r="184" spans="1:22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 t="shared" si="9"/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 t="shared" si="10"/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 t="shared" si="11"/>
        <v>4</v>
      </c>
      <c r="U184" s="10" t="str">
        <f>IFERROR((VLOOKUP(A184,Planilha1!A:B,2,0)),"\\192.168.0.4\Produtos\PRODUTO_PRONTA_ENTREGA\static\IMAGENS_PRODUTOS\SEM IMAGEM.jpg")</f>
        <v>\\192.168.0.4\Produtos\PRODUTO_PRONTA_ENTREGA\static\IMAGENS_PRODUTOS\SEM IMAGEM.jpg</v>
      </c>
      <c r="V184" t="str">
        <f>IFERROR((VLOOKUP(A184,Planilha1!A:B,2,0)),"\\192.168.0.4\Produtos\PRODUTO_PRONTA_ENTREGA\static\IMAGENS_PRODUTOS\SEM IMAGEM.jpg")</f>
        <v>\\192.168.0.4\Produtos\PRODUTO_PRONTA_ENTREGA\static\IMAGENS_PRODUTOS\SEM IMAGEM.jpg</v>
      </c>
    </row>
    <row r="185" spans="1:22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 t="shared" si="9"/>
        <v>1229.98</v>
      </c>
      <c r="L185" s="7" t="str">
        <f>IF(VLOOKUP(A185,'[1]LISTA ETIQUETAS'!O:AB,14,0)="","",(VLOOKUP(A185,'[1]LISTA ETIQUETAS'!O:AB,14,0)))</f>
        <v/>
      </c>
      <c r="M185" s="8"/>
      <c r="N185" s="9">
        <f t="shared" si="10"/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 t="shared" si="11"/>
        <v>8</v>
      </c>
      <c r="U185" s="10" t="str">
        <f>IFERROR((VLOOKUP(A185,Planilha1!A:B,2,0)),"\\192.168.0.4\Produtos\PRODUTO_PRONTA_ENTREGA\static\IMAGENS_PRODUTOS\SEM IMAGEM.jpg")</f>
        <v>\\192.168.0.4\Produtos\PRODUTO_PRONTA_ENTREGA\static\IMAGENS_PRODUTOS\SEM IMAGEM.jpg</v>
      </c>
      <c r="V185" t="str">
        <f>IFERROR((VLOOKUP(A185,Planilha1!A:B,2,0)),"\\192.168.0.4\Produtos\PRODUTO_PRONTA_ENTREGA\static\IMAGENS_PRODUTOS\SEM IMAGEM.jpg")</f>
        <v>\\192.168.0.4\Produtos\PRODUTO_PRONTA_ENTREGA\static\IMAGENS_PRODUTOS\SEM IMAGEM.jpg</v>
      </c>
    </row>
    <row r="186" spans="1:22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 t="shared" si="9"/>
        <v/>
      </c>
      <c r="L186" s="7" t="str">
        <f>IF(VLOOKUP(A186,'[1]LISTA ETIQUETAS'!O:AB,14,0)="","",(VLOOKUP(A186,'[1]LISTA ETIQUETAS'!O:AB,14,0)))</f>
        <v/>
      </c>
      <c r="M186" s="8"/>
      <c r="N186" s="9">
        <f t="shared" si="10"/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 t="shared" si="11"/>
        <v>3</v>
      </c>
      <c r="U186" s="10" t="str">
        <f>IFERROR((VLOOKUP(A186,Planilha1!A:B,2,0)),"\\192.168.0.4\Produtos\PRODUTO_PRONTA_ENTREGA\static\IMAGENS_PRODUTOS\SEM IMAGEM.jpg")</f>
        <v>\\192.168.0.4\Produtos\PRODUTO_PRONTA_ENTREGA\static\IMAGENS_PRODUTOS\SEM IMAGEM.jpg</v>
      </c>
      <c r="V186" t="str">
        <f>IFERROR((VLOOKUP(A186,Planilha1!A:B,2,0)),"\\192.168.0.4\Produtos\PRODUTO_PRONTA_ENTREGA\static\IMAGENS_PRODUTOS\SEM IMAGEM.jpg")</f>
        <v>\\192.168.0.4\Produtos\PRODUTO_PRONTA_ENTREGA\static\IMAGENS_PRODUTOS\SEM IMAGEM.jpg</v>
      </c>
    </row>
    <row r="187" spans="1:22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 t="shared" si="9"/>
        <v>770.52</v>
      </c>
      <c r="L187" s="7" t="str">
        <f>IF(VLOOKUP(A187,'[1]LISTA ETIQUETAS'!O:AB,14,0)="","",(VLOOKUP(A187,'[1]LISTA ETIQUETAS'!O:AB,14,0)))</f>
        <v/>
      </c>
      <c r="M187" s="8"/>
      <c r="N187" s="9">
        <f t="shared" si="10"/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 t="shared" si="11"/>
        <v>1</v>
      </c>
      <c r="U187" s="10" t="str">
        <f>IFERROR((VLOOKUP(A187,Planilha1!A:B,2,0)),"\\192.168.0.4\Produtos\PRODUTO_PRONTA_ENTREGA\static\IMAGENS_PRODUTOS\SEM IMAGEM.jpg")</f>
        <v>\\192.168.0.4\Produtos\PRODUTO_PRONTA_ENTREGA\static\IMAGENS_PRODUTOS\SEM IMAGEM.jpg</v>
      </c>
      <c r="V187" t="str">
        <f>IFERROR((VLOOKUP(A187,Planilha1!A:B,2,0)),"\\192.168.0.4\Produtos\PRODUTO_PRONTA_ENTREGA\static\IMAGENS_PRODUTOS\SEM IMAGEM.jpg")</f>
        <v>\\192.168.0.4\Produtos\PRODUTO_PRONTA_ENTREGA\static\IMAGENS_PRODUTOS\SEM IMAGEM.jpg</v>
      </c>
    </row>
    <row r="188" spans="1:22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 t="shared" si="9"/>
        <v>550.37</v>
      </c>
      <c r="L188" s="7" t="str">
        <f>IF(VLOOKUP(A188,'[1]LISTA ETIQUETAS'!O:AB,14,0)="","",(VLOOKUP(A188,'[1]LISTA ETIQUETAS'!O:AB,14,0)))</f>
        <v/>
      </c>
      <c r="M188" s="8"/>
      <c r="N188" s="9">
        <f t="shared" si="10"/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 t="shared" si="11"/>
        <v>1</v>
      </c>
      <c r="U188" s="10" t="str">
        <f>IFERROR((VLOOKUP(A188,Planilha1!A:B,2,0)),"\\192.168.0.4\Produtos\PRODUTO_PRONTA_ENTREGA\static\IMAGENS_PRODUTOS\SEM IMAGEM.jpg")</f>
        <v>\\192.168.0.4\Produtos\PRODUTO_PRONTA_ENTREGA\static\IMAGENS_PRODUTOS\SEM IMAGEM.jpg</v>
      </c>
      <c r="V188" t="str">
        <f>IFERROR((VLOOKUP(A188,Planilha1!A:B,2,0)),"\\192.168.0.4\Produtos\PRODUTO_PRONTA_ENTREGA\static\IMAGENS_PRODUTOS\SEM IMAGEM.jpg")</f>
        <v>\\192.168.0.4\Produtos\PRODUTO_PRONTA_ENTREGA\static\IMAGENS_PRODUTOS\SEM IMAGEM.jpg</v>
      </c>
    </row>
    <row r="189" spans="1:22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 t="shared" si="9"/>
        <v>770.52</v>
      </c>
      <c r="L189" s="7" t="str">
        <f>IF(VLOOKUP(A189,'[1]LISTA ETIQUETAS'!O:AB,14,0)="","",(VLOOKUP(A189,'[1]LISTA ETIQUETAS'!O:AB,14,0)))</f>
        <v/>
      </c>
      <c r="M189" s="8"/>
      <c r="N189" s="9">
        <f t="shared" si="10"/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 t="shared" si="11"/>
        <v>1</v>
      </c>
      <c r="U189" s="10" t="str">
        <f>IFERROR((VLOOKUP(A189,Planilha1!A:B,2,0)),"\\192.168.0.4\Produtos\PRODUTO_PRONTA_ENTREGA\static\IMAGENS_PRODUTOS\SEM IMAGEM.jpg")</f>
        <v>\\192.168.0.4\Produtos\PRODUTO_PRONTA_ENTREGA\static\IMAGENS_PRODUTOS\SEM IMAGEM.jpg</v>
      </c>
      <c r="V189" t="str">
        <f>IFERROR((VLOOKUP(A189,Planilha1!A:B,2,0)),"\\192.168.0.4\Produtos\PRODUTO_PRONTA_ENTREGA\static\IMAGENS_PRODUTOS\SEM IMAGEM.jpg")</f>
        <v>\\192.168.0.4\Produtos\PRODUTO_PRONTA_ENTREGA\static\IMAGENS_PRODUTOS\SEM IMAGEM.jpg</v>
      </c>
    </row>
    <row r="190" spans="1:22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 t="shared" si="9"/>
        <v>550.37</v>
      </c>
      <c r="L190" s="7" t="str">
        <f>IF(VLOOKUP(A190,'[1]LISTA ETIQUETAS'!O:AB,14,0)="","",(VLOOKUP(A190,'[1]LISTA ETIQUETAS'!O:AB,14,0)))</f>
        <v/>
      </c>
      <c r="M190" s="8"/>
      <c r="N190" s="9">
        <f t="shared" si="10"/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 t="shared" si="11"/>
        <v>1</v>
      </c>
      <c r="U190" s="10" t="str">
        <f>IFERROR((VLOOKUP(A190,Planilha1!A:B,2,0)),"\\192.168.0.4\Produtos\PRODUTO_PRONTA_ENTREGA\static\IMAGENS_PRODUTOS\SEM IMAGEM.jpg")</f>
        <v>\\192.168.0.4\Produtos\PRODUTO_PRONTA_ENTREGA\static\IMAGENS_PRODUTOS\SEM IMAGEM.jpg</v>
      </c>
      <c r="V190" t="str">
        <f>IFERROR((VLOOKUP(A190,Planilha1!A:B,2,0)),"\\192.168.0.4\Produtos\PRODUTO_PRONTA_ENTREGA\static\IMAGENS_PRODUTOS\SEM IMAGEM.jpg")</f>
        <v>\\192.168.0.4\Produtos\PRODUTO_PRONTA_ENTREGA\static\IMAGENS_PRODUTOS\SEM IMAGEM.jpg</v>
      </c>
    </row>
    <row r="191" spans="1:22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 t="shared" si="9"/>
        <v>770.52</v>
      </c>
      <c r="L191" s="7" t="str">
        <f>IF(VLOOKUP(A191,'[1]LISTA ETIQUETAS'!O:AB,14,0)="","",(VLOOKUP(A191,'[1]LISTA ETIQUETAS'!O:AB,14,0)))</f>
        <v/>
      </c>
      <c r="M191" s="8"/>
      <c r="N191" s="9">
        <f t="shared" si="10"/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 t="shared" si="11"/>
        <v>1</v>
      </c>
      <c r="U191" s="10" t="str">
        <f>IFERROR((VLOOKUP(A191,Planilha1!A:B,2,0)),"\\192.168.0.4\Produtos\PRODUTO_PRONTA_ENTREGA\static\IMAGENS_PRODUTOS\SEM IMAGEM.jpg")</f>
        <v>\\192.168.0.4\Produtos\PRODUTO_PRONTA_ENTREGA\static\IMAGENS_PRODUTOS\SEM IMAGEM.jpg</v>
      </c>
      <c r="V191" t="str">
        <f>IFERROR((VLOOKUP(A191,Planilha1!A:B,2,0)),"\\192.168.0.4\Produtos\PRODUTO_PRONTA_ENTREGA\static\IMAGENS_PRODUTOS\SEM IMAGEM.jpg")</f>
        <v>\\192.168.0.4\Produtos\PRODUTO_PRONTA_ENTREGA\static\IMAGENS_PRODUTOS\SEM IMAGEM.jpg</v>
      </c>
    </row>
    <row r="192" spans="1:22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 t="shared" si="9"/>
        <v>550.37</v>
      </c>
      <c r="L192" s="7" t="str">
        <f>IF(VLOOKUP(A192,'[1]LISTA ETIQUETAS'!O:AB,14,0)="","",(VLOOKUP(A192,'[1]LISTA ETIQUETAS'!O:AB,14,0)))</f>
        <v/>
      </c>
      <c r="M192" s="8"/>
      <c r="N192" s="9">
        <f t="shared" si="10"/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 t="shared" si="11"/>
        <v>1</v>
      </c>
      <c r="U192" s="10" t="str">
        <f>IFERROR((VLOOKUP(A192,Planilha1!A:B,2,0)),"\\192.168.0.4\Produtos\PRODUTO_PRONTA_ENTREGA\static\IMAGENS_PRODUTOS\SEM IMAGEM.jpg")</f>
        <v>\\192.168.0.4\Produtos\PRODUTO_PRONTA_ENTREGA\static\IMAGENS_PRODUTOS\SEM IMAGEM.jpg</v>
      </c>
      <c r="V192" t="str">
        <f>IFERROR((VLOOKUP(A192,Planilha1!A:B,2,0)),"\\192.168.0.4\Produtos\PRODUTO_PRONTA_ENTREGA\static\IMAGENS_PRODUTOS\SEM IMAGEM.jpg")</f>
        <v>\\192.168.0.4\Produtos\PRODUTO_PRONTA_ENTREGA\static\IMAGENS_PRODUTOS\SEM IMAGEM.jpg</v>
      </c>
    </row>
    <row r="193" spans="1:22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 t="shared" si="9"/>
        <v>770.52</v>
      </c>
      <c r="L193" s="7" t="str">
        <f>IF(VLOOKUP(A193,'[1]LISTA ETIQUETAS'!O:AB,14,0)="","",(VLOOKUP(A193,'[1]LISTA ETIQUETAS'!O:AB,14,0)))</f>
        <v/>
      </c>
      <c r="M193" s="8"/>
      <c r="N193" s="9">
        <f t="shared" si="10"/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 t="shared" si="11"/>
        <v>1</v>
      </c>
      <c r="U193" s="10" t="str">
        <f>IFERROR((VLOOKUP(A193,Planilha1!A:B,2,0)),"\\192.168.0.4\Produtos\PRODUTO_PRONTA_ENTREGA\static\IMAGENS_PRODUTOS\SEM IMAGEM.jpg")</f>
        <v>\\192.168.0.4\Produtos\PRODUTO_PRONTA_ENTREGA\static\IMAGENS_PRODUTOS\SEM IMAGEM.jpg</v>
      </c>
      <c r="V193" t="str">
        <f>IFERROR((VLOOKUP(A193,Planilha1!A:B,2,0)),"\\192.168.0.4\Produtos\PRODUTO_PRONTA_ENTREGA\static\IMAGENS_PRODUTOS\SEM IMAGEM.jpg")</f>
        <v>\\192.168.0.4\Produtos\PRODUTO_PRONTA_ENTREGA\static\IMAGENS_PRODUTOS\SEM IMAGEM.jpg</v>
      </c>
    </row>
    <row r="194" spans="1:22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 t="shared" si="9"/>
        <v>440.29</v>
      </c>
      <c r="L194" s="7" t="str">
        <f>IF(VLOOKUP(A194,'[1]LISTA ETIQUETAS'!O:AB,14,0)="","",(VLOOKUP(A194,'[1]LISTA ETIQUETAS'!O:AB,14,0)))</f>
        <v/>
      </c>
      <c r="M194" s="8"/>
      <c r="N194" s="9">
        <f t="shared" si="10"/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 t="shared" si="11"/>
        <v>2</v>
      </c>
      <c r="U194" s="10" t="str">
        <f>IFERROR((VLOOKUP(A194,Planilha1!A:B,2,0)),"\\192.168.0.4\Produtos\PRODUTO_PRONTA_ENTREGA\static\IMAGENS_PRODUTOS\SEM IMAGEM.jpg")</f>
        <v>\\192.168.0.4\Produtos\PRODUTO_PRONTA_ENTREGA\static\IMAGENS_PRODUTOS\SEM IMAGEM.jpg</v>
      </c>
      <c r="V194" t="str">
        <f>IFERROR((VLOOKUP(A194,Planilha1!A:B,2,0)),"\\192.168.0.4\Produtos\PRODUTO_PRONTA_ENTREGA\static\IMAGENS_PRODUTOS\SEM IMAGEM.jpg")</f>
        <v>\\192.168.0.4\Produtos\PRODUTO_PRONTA_ENTREGA\static\IMAGENS_PRODUTOS\SEM IMAGEM.jpg</v>
      </c>
    </row>
    <row r="195" spans="1:22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 t="shared" si="9"/>
        <v>642.12</v>
      </c>
      <c r="L195" s="7" t="str">
        <f>IF(VLOOKUP(A195,'[1]LISTA ETIQUETAS'!O:AB,14,0)="","",(VLOOKUP(A195,'[1]LISTA ETIQUETAS'!O:AB,14,0)))</f>
        <v/>
      </c>
      <c r="M195" s="8"/>
      <c r="N195" s="9">
        <f t="shared" si="10"/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 t="shared" si="11"/>
        <v>2</v>
      </c>
      <c r="U195" s="10" t="str">
        <f>IFERROR((VLOOKUP(A195,Planilha1!A:B,2,0)),"\\192.168.0.4\Produtos\PRODUTO_PRONTA_ENTREGA\static\IMAGENS_PRODUTOS\SEM IMAGEM.jpg")</f>
        <v>\\192.168.0.4\Produtos\PRODUTO_PRONTA_ENTREGA\static\IMAGENS_PRODUTOS\SEM IMAGEM.jpg</v>
      </c>
      <c r="V195" t="str">
        <f>IFERROR((VLOOKUP(A195,Planilha1!A:B,2,0)),"\\192.168.0.4\Produtos\PRODUTO_PRONTA_ENTREGA\static\IMAGENS_PRODUTOS\SEM IMAGEM.jpg")</f>
        <v>\\192.168.0.4\Produtos\PRODUTO_PRONTA_ENTREGA\static\IMAGENS_PRODUTOS\SEM IMAGEM.jpg</v>
      </c>
    </row>
    <row r="196" spans="1:22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 t="shared" si="9"/>
        <v>550.37</v>
      </c>
      <c r="L196" s="7" t="str">
        <f>IF(VLOOKUP(A196,'[1]LISTA ETIQUETAS'!O:AB,14,0)="","",(VLOOKUP(A196,'[1]LISTA ETIQUETAS'!O:AB,14,0)))</f>
        <v/>
      </c>
      <c r="M196" s="8"/>
      <c r="N196" s="9">
        <f t="shared" si="10"/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 t="shared" si="11"/>
        <v>2</v>
      </c>
      <c r="U196" s="10" t="str">
        <f>IFERROR((VLOOKUP(A196,Planilha1!A:B,2,0)),"\\192.168.0.4\Produtos\PRODUTO_PRONTA_ENTREGA\static\IMAGENS_PRODUTOS\SEM IMAGEM.jpg")</f>
        <v>\\192.168.0.4\Produtos\PRODUTO_PRONTA_ENTREGA\static\IMAGENS_PRODUTOS\SEM IMAGEM.jpg</v>
      </c>
      <c r="V196" t="str">
        <f>IFERROR((VLOOKUP(A196,Planilha1!A:B,2,0)),"\\192.168.0.4\Produtos\PRODUTO_PRONTA_ENTREGA\static\IMAGENS_PRODUTOS\SEM IMAGEM.jpg")</f>
        <v>\\192.168.0.4\Produtos\PRODUTO_PRONTA_ENTREGA\static\IMAGENS_PRODUTOS\SEM IMAGEM.jpg</v>
      </c>
    </row>
    <row r="197" spans="1:22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 t="shared" si="9"/>
        <v>440.29</v>
      </c>
      <c r="L197" s="7" t="str">
        <f>IF(VLOOKUP(A197,'[1]LISTA ETIQUETAS'!O:AB,14,0)="","",(VLOOKUP(A197,'[1]LISTA ETIQUETAS'!O:AB,14,0)))</f>
        <v/>
      </c>
      <c r="M197" s="8"/>
      <c r="N197" s="9">
        <f t="shared" si="10"/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 t="shared" si="11"/>
        <v>2</v>
      </c>
      <c r="U197" s="10" t="str">
        <f>IFERROR((VLOOKUP(A197,Planilha1!A:B,2,0)),"\\192.168.0.4\Produtos\PRODUTO_PRONTA_ENTREGA\static\IMAGENS_PRODUTOS\SEM IMAGEM.jpg")</f>
        <v>\\192.168.0.4\Produtos\PRODUTO_PRONTA_ENTREGA\static\IMAGENS_PRODUTOS\SEM IMAGEM.jpg</v>
      </c>
      <c r="V197" t="str">
        <f>IFERROR((VLOOKUP(A197,Planilha1!A:B,2,0)),"\\192.168.0.4\Produtos\PRODUTO_PRONTA_ENTREGA\static\IMAGENS_PRODUTOS\SEM IMAGEM.jpg")</f>
        <v>\\192.168.0.4\Produtos\PRODUTO_PRONTA_ENTREGA\static\IMAGENS_PRODUTOS\SEM IMAGEM.jpg</v>
      </c>
    </row>
    <row r="198" spans="1:22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 t="shared" si="9"/>
        <v>642.12</v>
      </c>
      <c r="L198" s="7" t="str">
        <f>IF(VLOOKUP(A198,'[1]LISTA ETIQUETAS'!O:AB,14,0)="","",(VLOOKUP(A198,'[1]LISTA ETIQUETAS'!O:AB,14,0)))</f>
        <v/>
      </c>
      <c r="M198" s="8"/>
      <c r="N198" s="9">
        <f t="shared" si="10"/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 t="shared" si="11"/>
        <v>2</v>
      </c>
      <c r="U198" s="10" t="str">
        <f>IFERROR((VLOOKUP(A198,Planilha1!A:B,2,0)),"\\192.168.0.4\Produtos\PRODUTO_PRONTA_ENTREGA\static\IMAGENS_PRODUTOS\SEM IMAGEM.jpg")</f>
        <v>\\192.168.0.4\Produtos\PRODUTO_PRONTA_ENTREGA\static\IMAGENS_PRODUTOS\SEM IMAGEM.jpg</v>
      </c>
      <c r="V198" t="str">
        <f>IFERROR((VLOOKUP(A198,Planilha1!A:B,2,0)),"\\192.168.0.4\Produtos\PRODUTO_PRONTA_ENTREGA\static\IMAGENS_PRODUTOS\SEM IMAGEM.jpg")</f>
        <v>\\192.168.0.4\Produtos\PRODUTO_PRONTA_ENTREGA\static\IMAGENS_PRODUTOS\SEM IMAGEM.jpg</v>
      </c>
    </row>
    <row r="199" spans="1:22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 t="shared" si="9"/>
        <v>550.37</v>
      </c>
      <c r="L199" s="7" t="str">
        <f>IF(VLOOKUP(A199,'[1]LISTA ETIQUETAS'!O:AB,14,0)="","",(VLOOKUP(A199,'[1]LISTA ETIQUETAS'!O:AB,14,0)))</f>
        <v/>
      </c>
      <c r="M199" s="8"/>
      <c r="N199" s="9">
        <f t="shared" si="10"/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 t="shared" si="11"/>
        <v>2</v>
      </c>
      <c r="U199" s="10" t="str">
        <f>IFERROR((VLOOKUP(A199,Planilha1!A:B,2,0)),"\\192.168.0.4\Produtos\PRODUTO_PRONTA_ENTREGA\static\IMAGENS_PRODUTOS\SEM IMAGEM.jpg")</f>
        <v>\\192.168.0.4\Produtos\PRODUTO_PRONTA_ENTREGA\static\IMAGENS_PRODUTOS\SEM IMAGEM.jpg</v>
      </c>
      <c r="V199" t="str">
        <f>IFERROR((VLOOKUP(A199,Planilha1!A:B,2,0)),"\\192.168.0.4\Produtos\PRODUTO_PRONTA_ENTREGA\static\IMAGENS_PRODUTOS\SEM IMAGEM.jpg")</f>
        <v>\\192.168.0.4\Produtos\PRODUTO_PRONTA_ENTREGA\static\IMAGENS_PRODUTOS\SEM IMAGEM.jpg</v>
      </c>
    </row>
    <row r="200" spans="1:22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 t="shared" si="9"/>
        <v>440.29</v>
      </c>
      <c r="L200" s="7" t="str">
        <f>IF(VLOOKUP(A200,'[1]LISTA ETIQUETAS'!O:AB,14,0)="","",(VLOOKUP(A200,'[1]LISTA ETIQUETAS'!O:AB,14,0)))</f>
        <v/>
      </c>
      <c r="M200" s="8"/>
      <c r="N200" s="9">
        <f t="shared" si="10"/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 t="shared" si="11"/>
        <v>2</v>
      </c>
      <c r="U200" s="10" t="str">
        <f>IFERROR((VLOOKUP(A200,Planilha1!A:B,2,0)),"\\192.168.0.4\Produtos\PRODUTO_PRONTA_ENTREGA\static\IMAGENS_PRODUTOS\SEM IMAGEM.jpg")</f>
        <v>\\192.168.0.4\Produtos\PRODUTO_PRONTA_ENTREGA\static\IMAGENS_PRODUTOS\SEM IMAGEM.jpg</v>
      </c>
      <c r="V200" t="str">
        <f>IFERROR((VLOOKUP(A200,Planilha1!A:B,2,0)),"\\192.168.0.4\Produtos\PRODUTO_PRONTA_ENTREGA\static\IMAGENS_PRODUTOS\SEM IMAGEM.jpg")</f>
        <v>\\192.168.0.4\Produtos\PRODUTO_PRONTA_ENTREGA\static\IMAGENS_PRODUTOS\SEM IMAGEM.jpg</v>
      </c>
    </row>
    <row r="201" spans="1:22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 t="shared" si="9"/>
        <v>642.12</v>
      </c>
      <c r="L201" s="7" t="str">
        <f>IF(VLOOKUP(A201,'[1]LISTA ETIQUETAS'!O:AB,14,0)="","",(VLOOKUP(A201,'[1]LISTA ETIQUETAS'!O:AB,14,0)))</f>
        <v/>
      </c>
      <c r="M201" s="8"/>
      <c r="N201" s="9">
        <f t="shared" si="10"/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 t="shared" si="11"/>
        <v>2</v>
      </c>
      <c r="U201" s="10" t="str">
        <f>IFERROR((VLOOKUP(A201,Planilha1!A:B,2,0)),"\\192.168.0.4\Produtos\PRODUTO_PRONTA_ENTREGA\static\IMAGENS_PRODUTOS\SEM IMAGEM.jpg")</f>
        <v>\\192.168.0.4\Produtos\PRODUTO_PRONTA_ENTREGA\static\IMAGENS_PRODUTOS\SEM IMAGEM.jpg</v>
      </c>
      <c r="V201" t="str">
        <f>IFERROR((VLOOKUP(A201,Planilha1!A:B,2,0)),"\\192.168.0.4\Produtos\PRODUTO_PRONTA_ENTREGA\static\IMAGENS_PRODUTOS\SEM IMAGEM.jpg")</f>
        <v>\\192.168.0.4\Produtos\PRODUTO_PRONTA_ENTREGA\static\IMAGENS_PRODUTOS\SEM IMAGEM.jpg</v>
      </c>
    </row>
    <row r="202" spans="1:22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 t="shared" si="9"/>
        <v>550.37</v>
      </c>
      <c r="L202" s="7" t="str">
        <f>IF(VLOOKUP(A202,'[1]LISTA ETIQUETAS'!O:AB,14,0)="","",(VLOOKUP(A202,'[1]LISTA ETIQUETAS'!O:AB,14,0)))</f>
        <v/>
      </c>
      <c r="M202" s="8"/>
      <c r="N202" s="9">
        <f t="shared" si="10"/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 t="shared" si="11"/>
        <v>2</v>
      </c>
      <c r="U202" s="10" t="str">
        <f>IFERROR((VLOOKUP(A202,Planilha1!A:B,2,0)),"\\192.168.0.4\Produtos\PRODUTO_PRONTA_ENTREGA\static\IMAGENS_PRODUTOS\SEM IMAGEM.jpg")</f>
        <v>\\192.168.0.4\Produtos\PRODUTO_PRONTA_ENTREGA\static\IMAGENS_PRODUTOS\SEM IMAGEM.jpg</v>
      </c>
      <c r="V202" t="str">
        <f>IFERROR((VLOOKUP(A202,Planilha1!A:B,2,0)),"\\192.168.0.4\Produtos\PRODUTO_PRONTA_ENTREGA\static\IMAGENS_PRODUTOS\SEM IMAGEM.jpg")</f>
        <v>\\192.168.0.4\Produtos\PRODUTO_PRONTA_ENTREGA\static\IMAGENS_PRODUTOS\SEM IMAGEM.jpg</v>
      </c>
    </row>
    <row r="203" spans="1:22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 t="shared" si="9"/>
        <v>770.52</v>
      </c>
      <c r="L203" s="7" t="str">
        <f>IF(VLOOKUP(A203,'[1]LISTA ETIQUETAS'!O:AB,14,0)="","",(VLOOKUP(A203,'[1]LISTA ETIQUETAS'!O:AB,14,0)))</f>
        <v/>
      </c>
      <c r="M203" s="8"/>
      <c r="N203" s="9">
        <f t="shared" si="10"/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 t="shared" si="11"/>
        <v>1</v>
      </c>
      <c r="U203" s="10" t="str">
        <f>IFERROR((VLOOKUP(A203,Planilha1!A:B,2,0)),"\\192.168.0.4\Produtos\PRODUTO_PRONTA_ENTREGA\static\IMAGENS_PRODUTOS\SEM IMAGEM.jpg")</f>
        <v>\\192.168.0.4\Produtos\PRODUTO_PRONTA_ENTREGA\static\IMAGENS_PRODUTOS\SEM IMAGEM.jpg</v>
      </c>
      <c r="V203" t="str">
        <f>IFERROR((VLOOKUP(A203,Planilha1!A:B,2,0)),"\\192.168.0.4\Produtos\PRODUTO_PRONTA_ENTREGA\static\IMAGENS_PRODUTOS\SEM IMAGEM.jpg")</f>
        <v>\\192.168.0.4\Produtos\PRODUTO_PRONTA_ENTREGA\static\IMAGENS_PRODUTOS\SEM IMAGEM.jpg</v>
      </c>
    </row>
    <row r="204" spans="1:22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 t="shared" si="9"/>
        <v>440.29</v>
      </c>
      <c r="L204" s="7" t="str">
        <f>IF(VLOOKUP(A204,'[1]LISTA ETIQUETAS'!O:AB,14,0)="","",(VLOOKUP(A204,'[1]LISTA ETIQUETAS'!O:AB,14,0)))</f>
        <v/>
      </c>
      <c r="M204" s="8"/>
      <c r="N204" s="9">
        <f t="shared" si="10"/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 t="shared" si="11"/>
        <v>2</v>
      </c>
      <c r="U204" s="10" t="str">
        <f>IFERROR((VLOOKUP(A204,Planilha1!A:B,2,0)),"\\192.168.0.4\Produtos\PRODUTO_PRONTA_ENTREGA\static\IMAGENS_PRODUTOS\SEM IMAGEM.jpg")</f>
        <v>\\192.168.0.4\Produtos\PRODUTO_PRONTA_ENTREGA\static\IMAGENS_PRODUTOS\SEM IMAGEM.jpg</v>
      </c>
      <c r="V204" t="str">
        <f>IFERROR((VLOOKUP(A204,Planilha1!A:B,2,0)),"\\192.168.0.4\Produtos\PRODUTO_PRONTA_ENTREGA\static\IMAGENS_PRODUTOS\SEM IMAGEM.jpg")</f>
        <v>\\192.168.0.4\Produtos\PRODUTO_PRONTA_ENTREGA\static\IMAGENS_PRODUTOS\SEM IMAGEM.jpg</v>
      </c>
    </row>
    <row r="205" spans="1:22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 t="shared" si="9"/>
        <v>642.12</v>
      </c>
      <c r="L205" s="7" t="str">
        <f>IF(VLOOKUP(A205,'[1]LISTA ETIQUETAS'!O:AB,14,0)="","",(VLOOKUP(A205,'[1]LISTA ETIQUETAS'!O:AB,14,0)))</f>
        <v/>
      </c>
      <c r="M205" s="8"/>
      <c r="N205" s="9">
        <f t="shared" si="10"/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 t="shared" si="11"/>
        <v>2</v>
      </c>
      <c r="U205" s="10" t="str">
        <f>IFERROR((VLOOKUP(A205,Planilha1!A:B,2,0)),"\\192.168.0.4\Produtos\PRODUTO_PRONTA_ENTREGA\static\IMAGENS_PRODUTOS\SEM IMAGEM.jpg")</f>
        <v>\\192.168.0.4\Produtos\PRODUTO_PRONTA_ENTREGA\static\IMAGENS_PRODUTOS\SEM IMAGEM.jpg</v>
      </c>
      <c r="V205" t="str">
        <f>IFERROR((VLOOKUP(A205,Planilha1!A:B,2,0)),"\\192.168.0.4\Produtos\PRODUTO_PRONTA_ENTREGA\static\IMAGENS_PRODUTOS\SEM IMAGEM.jpg")</f>
        <v>\\192.168.0.4\Produtos\PRODUTO_PRONTA_ENTREGA\static\IMAGENS_PRODUTOS\SEM IMAGEM.jpg</v>
      </c>
    </row>
    <row r="206" spans="1:22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 t="shared" si="9"/>
        <v>550.37</v>
      </c>
      <c r="L206" s="7" t="str">
        <f>IF(VLOOKUP(A206,'[1]LISTA ETIQUETAS'!O:AB,14,0)="","",(VLOOKUP(A206,'[1]LISTA ETIQUETAS'!O:AB,14,0)))</f>
        <v/>
      </c>
      <c r="M206" s="8"/>
      <c r="N206" s="9">
        <f t="shared" si="10"/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 t="shared" si="11"/>
        <v>2</v>
      </c>
      <c r="U206" s="10" t="str">
        <f>IFERROR((VLOOKUP(A206,Planilha1!A:B,2,0)),"\\192.168.0.4\Produtos\PRODUTO_PRONTA_ENTREGA\static\IMAGENS_PRODUTOS\SEM IMAGEM.jpg")</f>
        <v>\\192.168.0.4\Produtos\PRODUTO_PRONTA_ENTREGA\static\IMAGENS_PRODUTOS\SEM IMAGEM.jpg</v>
      </c>
      <c r="V206" t="str">
        <f>IFERROR((VLOOKUP(A206,Planilha1!A:B,2,0)),"\\192.168.0.4\Produtos\PRODUTO_PRONTA_ENTREGA\static\IMAGENS_PRODUTOS\SEM IMAGEM.jpg")</f>
        <v>\\192.168.0.4\Produtos\PRODUTO_PRONTA_ENTREGA\static\IMAGENS_PRODUTOS\SEM IMAGEM.jpg</v>
      </c>
    </row>
    <row r="207" spans="1:22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 t="shared" si="9"/>
        <v>440.29</v>
      </c>
      <c r="L207" s="7" t="str">
        <f>IF(VLOOKUP(A207,'[1]LISTA ETIQUETAS'!O:AB,14,0)="","",(VLOOKUP(A207,'[1]LISTA ETIQUETAS'!O:AB,14,0)))</f>
        <v/>
      </c>
      <c r="M207" s="8"/>
      <c r="N207" s="9">
        <f t="shared" si="10"/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 t="shared" si="11"/>
        <v>1</v>
      </c>
      <c r="U207" s="10" t="str">
        <f>IFERROR((VLOOKUP(A207,Planilha1!A:B,2,0)),"\\192.168.0.4\Produtos\PRODUTO_PRONTA_ENTREGA\static\IMAGENS_PRODUTOS\SEM IMAGEM.jpg")</f>
        <v>\\192.168.0.4\Produtos\PRODUTO_PRONTA_ENTREGA\static\IMAGENS_PRODUTOS\SEM IMAGEM.jpg</v>
      </c>
      <c r="V207" t="str">
        <f>IFERROR((VLOOKUP(A207,Planilha1!A:B,2,0)),"\\192.168.0.4\Produtos\PRODUTO_PRONTA_ENTREGA\static\IMAGENS_PRODUTOS\SEM IMAGEM.jpg")</f>
        <v>\\192.168.0.4\Produtos\PRODUTO_PRONTA_ENTREGA\static\IMAGENS_PRODUTOS\SEM IMAGEM.jpg</v>
      </c>
    </row>
    <row r="208" spans="1:22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 t="shared" si="9"/>
        <v>642.12</v>
      </c>
      <c r="L208" s="7" t="str">
        <f>IF(VLOOKUP(A208,'[1]LISTA ETIQUETAS'!O:AB,14,0)="","",(VLOOKUP(A208,'[1]LISTA ETIQUETAS'!O:AB,14,0)))</f>
        <v/>
      </c>
      <c r="M208" s="8"/>
      <c r="N208" s="9">
        <f t="shared" si="10"/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 t="shared" si="11"/>
        <v>1</v>
      </c>
      <c r="U208" s="10" t="str">
        <f>IFERROR((VLOOKUP(A208,Planilha1!A:B,2,0)),"\\192.168.0.4\Produtos\PRODUTO_PRONTA_ENTREGA\static\IMAGENS_PRODUTOS\SEM IMAGEM.jpg")</f>
        <v>\\192.168.0.4\Produtos\PRODUTO_PRONTA_ENTREGA\static\IMAGENS_PRODUTOS\SEM IMAGEM.jpg</v>
      </c>
      <c r="V208" t="str">
        <f>IFERROR((VLOOKUP(A208,Planilha1!A:B,2,0)),"\\192.168.0.4\Produtos\PRODUTO_PRONTA_ENTREGA\static\IMAGENS_PRODUTOS\SEM IMAGEM.jpg")</f>
        <v>\\192.168.0.4\Produtos\PRODUTO_PRONTA_ENTREGA\static\IMAGENS_PRODUTOS\SEM IMAGEM.jpg</v>
      </c>
    </row>
    <row r="209" spans="1:22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 t="shared" si="9"/>
        <v>550.37</v>
      </c>
      <c r="L209" s="7" t="str">
        <f>IF(VLOOKUP(A209,'[1]LISTA ETIQUETAS'!O:AB,14,0)="","",(VLOOKUP(A209,'[1]LISTA ETIQUETAS'!O:AB,14,0)))</f>
        <v/>
      </c>
      <c r="M209" s="8"/>
      <c r="N209" s="9">
        <f t="shared" si="10"/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 t="shared" si="11"/>
        <v>1</v>
      </c>
      <c r="U209" s="10" t="str">
        <f>IFERROR((VLOOKUP(A209,Planilha1!A:B,2,0)),"\\192.168.0.4\Produtos\PRODUTO_PRONTA_ENTREGA\static\IMAGENS_PRODUTOS\SEM IMAGEM.jpg")</f>
        <v>\\192.168.0.4\Produtos\PRODUTO_PRONTA_ENTREGA\static\IMAGENS_PRODUTOS\SEM IMAGEM.jpg</v>
      </c>
      <c r="V209" t="str">
        <f>IFERROR((VLOOKUP(A209,Planilha1!A:B,2,0)),"\\192.168.0.4\Produtos\PRODUTO_PRONTA_ENTREGA\static\IMAGENS_PRODUTOS\SEM IMAGEM.jpg")</f>
        <v>\\192.168.0.4\Produtos\PRODUTO_PRONTA_ENTREGA\static\IMAGENS_PRODUTOS\SEM IMAGEM.jpg</v>
      </c>
    </row>
    <row r="210" spans="1:22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 t="shared" si="9"/>
        <v>770.52</v>
      </c>
      <c r="L210" s="7" t="str">
        <f>IF(VLOOKUP(A210,'[1]LISTA ETIQUETAS'!O:AB,14,0)="","",(VLOOKUP(A210,'[1]LISTA ETIQUETAS'!O:AB,14,0)))</f>
        <v/>
      </c>
      <c r="M210" s="8"/>
      <c r="N210" s="9">
        <f t="shared" si="10"/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 t="shared" si="11"/>
        <v>1</v>
      </c>
      <c r="U210" s="10" t="str">
        <f>IFERROR((VLOOKUP(A210,Planilha1!A:B,2,0)),"\\192.168.0.4\Produtos\PRODUTO_PRONTA_ENTREGA\static\IMAGENS_PRODUTOS\SEM IMAGEM.jpg")</f>
        <v>\\192.168.0.4\Produtos\PRODUTO_PRONTA_ENTREGA\static\IMAGENS_PRODUTOS\SEM IMAGEM.jpg</v>
      </c>
      <c r="V210" t="str">
        <f>IFERROR((VLOOKUP(A210,Planilha1!A:B,2,0)),"\\192.168.0.4\Produtos\PRODUTO_PRONTA_ENTREGA\static\IMAGENS_PRODUTOS\SEM IMAGEM.jpg")</f>
        <v>\\192.168.0.4\Produtos\PRODUTO_PRONTA_ENTREGA\static\IMAGENS_PRODUTOS\SEM IMAGEM.jpg</v>
      </c>
    </row>
    <row r="211" spans="1:22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 t="shared" si="9"/>
        <v>642.12</v>
      </c>
      <c r="L211" s="7" t="str">
        <f>IF(VLOOKUP(A211,'[1]LISTA ETIQUETAS'!O:AB,14,0)="","",(VLOOKUP(A211,'[1]LISTA ETIQUETAS'!O:AB,14,0)))</f>
        <v/>
      </c>
      <c r="M211" s="8"/>
      <c r="N211" s="9">
        <f t="shared" si="10"/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 t="shared" si="11"/>
        <v>2</v>
      </c>
      <c r="U211" s="10" t="str">
        <f>IFERROR((VLOOKUP(A211,Planilha1!A:B,2,0)),"\\192.168.0.4\Produtos\PRODUTO_PRONTA_ENTREGA\static\IMAGENS_PRODUTOS\SEM IMAGEM.jpg")</f>
        <v>\\192.168.0.4\Produtos\PRODUTO_PRONTA_ENTREGA\static\IMAGENS_PRODUTOS\SEM IMAGEM.jpg</v>
      </c>
      <c r="V211" t="str">
        <f>IFERROR((VLOOKUP(A211,Planilha1!A:B,2,0)),"\\192.168.0.4\Produtos\PRODUTO_PRONTA_ENTREGA\static\IMAGENS_PRODUTOS\SEM IMAGEM.jpg")</f>
        <v>\\192.168.0.4\Produtos\PRODUTO_PRONTA_ENTREGA\static\IMAGENS_PRODUTOS\SEM IMAGEM.jpg</v>
      </c>
    </row>
    <row r="212" spans="1:22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 t="shared" si="9"/>
        <v>550.37</v>
      </c>
      <c r="L212" s="7" t="str">
        <f>IF(VLOOKUP(A212,'[1]LISTA ETIQUETAS'!O:AB,14,0)="","",(VLOOKUP(A212,'[1]LISTA ETIQUETAS'!O:AB,14,0)))</f>
        <v/>
      </c>
      <c r="M212" s="8"/>
      <c r="N212" s="9">
        <f t="shared" si="10"/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 t="shared" si="11"/>
        <v>2</v>
      </c>
      <c r="U212" s="10" t="str">
        <f>IFERROR((VLOOKUP(A212,Planilha1!A:B,2,0)),"\\192.168.0.4\Produtos\PRODUTO_PRONTA_ENTREGA\static\IMAGENS_PRODUTOS\SEM IMAGEM.jpg")</f>
        <v>\\192.168.0.4\Produtos\PRODUTO_PRONTA_ENTREGA\static\IMAGENS_PRODUTOS\SEM IMAGEM.jpg</v>
      </c>
      <c r="V212" t="str">
        <f>IFERROR((VLOOKUP(A212,Planilha1!A:B,2,0)),"\\192.168.0.4\Produtos\PRODUTO_PRONTA_ENTREGA\static\IMAGENS_PRODUTOS\SEM IMAGEM.jpg")</f>
        <v>\\192.168.0.4\Produtos\PRODUTO_PRONTA_ENTREGA\static\IMAGENS_PRODUTOS\SEM IMAGEM.jpg</v>
      </c>
    </row>
    <row r="213" spans="1:22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 t="shared" si="9"/>
        <v>440.29</v>
      </c>
      <c r="L213" s="7" t="str">
        <f>IF(VLOOKUP(A213,'[1]LISTA ETIQUETAS'!O:AB,14,0)="","",(VLOOKUP(A213,'[1]LISTA ETIQUETAS'!O:AB,14,0)))</f>
        <v/>
      </c>
      <c r="M213" s="8"/>
      <c r="N213" s="9">
        <f t="shared" si="10"/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 t="shared" si="11"/>
        <v>2</v>
      </c>
      <c r="U213" s="10" t="str">
        <f>IFERROR((VLOOKUP(A213,Planilha1!A:B,2,0)),"\\192.168.0.4\Produtos\PRODUTO_PRONTA_ENTREGA\static\IMAGENS_PRODUTOS\SEM IMAGEM.jpg")</f>
        <v>\\192.168.0.4\Produtos\PRODUTO_PRONTA_ENTREGA\static\IMAGENS_PRODUTOS\SEM IMAGEM.jpg</v>
      </c>
      <c r="V213" t="str">
        <f>IFERROR((VLOOKUP(A213,Planilha1!A:B,2,0)),"\\192.168.0.4\Produtos\PRODUTO_PRONTA_ENTREGA\static\IMAGENS_PRODUTOS\SEM IMAGEM.jpg")</f>
        <v>\\192.168.0.4\Produtos\PRODUTO_PRONTA_ENTREGA\static\IMAGENS_PRODUTOS\SEM IMAGEM.jpg</v>
      </c>
    </row>
    <row r="214" spans="1:22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 t="shared" si="9"/>
        <v>550.37</v>
      </c>
      <c r="L214" s="7" t="str">
        <f>IF(VLOOKUP(A214,'[1]LISTA ETIQUETAS'!O:AB,14,0)="","",(VLOOKUP(A214,'[1]LISTA ETIQUETAS'!O:AB,14,0)))</f>
        <v/>
      </c>
      <c r="M214" s="8"/>
      <c r="N214" s="9">
        <f t="shared" si="10"/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 t="shared" si="11"/>
        <v>2</v>
      </c>
      <c r="U214" s="10" t="str">
        <f>IFERROR((VLOOKUP(A214,Planilha1!A:B,2,0)),"\\192.168.0.4\Produtos\PRODUTO_PRONTA_ENTREGA\static\IMAGENS_PRODUTOS\SEM IMAGEM.jpg")</f>
        <v>\\192.168.0.4\Produtos\PRODUTO_PRONTA_ENTREGA\static\IMAGENS_PRODUTOS\SEM IMAGEM.jpg</v>
      </c>
      <c r="V214" t="str">
        <f>IFERROR((VLOOKUP(A214,Planilha1!A:B,2,0)),"\\192.168.0.4\Produtos\PRODUTO_PRONTA_ENTREGA\static\IMAGENS_PRODUTOS\SEM IMAGEM.jpg")</f>
        <v>\\192.168.0.4\Produtos\PRODUTO_PRONTA_ENTREGA\static\IMAGENS_PRODUTOS\SEM IMAGEM.jpg</v>
      </c>
    </row>
    <row r="215" spans="1:22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 t="shared" ref="K215:K278" si="12">IFERROR(I215-I215*J215,"")</f>
        <v>550.37</v>
      </c>
      <c r="L215" s="7" t="str">
        <f>IF(VLOOKUP(A215,'[1]LISTA ETIQUETAS'!O:AB,14,0)="","",(VLOOKUP(A215,'[1]LISTA ETIQUETAS'!O:AB,14,0)))</f>
        <v/>
      </c>
      <c r="M215" s="8"/>
      <c r="N215" s="9">
        <f t="shared" ref="N215:N278" si="13">IF(M215="",A215,M215)</f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 t="shared" ref="T215:T278" si="14">SUM(O215:S215)</f>
        <v>1</v>
      </c>
      <c r="U215" s="10" t="str">
        <f>IFERROR((VLOOKUP(A215,Planilha1!A:B,2,0)),"\\192.168.0.4\Produtos\PRODUTO_PRONTA_ENTREGA\static\IMAGENS_PRODUTOS\SEM IMAGEM.jpg")</f>
        <v>\\192.168.0.4\Produtos\PRODUTO_PRONTA_ENTREGA\static\IMAGENS_PRODUTOS\SEM IMAGEM.jpg</v>
      </c>
      <c r="V215" t="str">
        <f>IFERROR((VLOOKUP(A215,Planilha1!A:B,2,0)),"\\192.168.0.4\Produtos\PRODUTO_PRONTA_ENTREGA\static\IMAGENS_PRODUTOS\SEM IMAGEM.jpg")</f>
        <v>\\192.168.0.4\Produtos\PRODUTO_PRONTA_ENTREGA\static\IMAGENS_PRODUTOS\SEM IMAGEM.jpg</v>
      </c>
    </row>
    <row r="216" spans="1:22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 t="shared" si="12"/>
        <v>770.52</v>
      </c>
      <c r="L216" s="7" t="str">
        <f>IF(VLOOKUP(A216,'[1]LISTA ETIQUETAS'!O:AB,14,0)="","",(VLOOKUP(A216,'[1]LISTA ETIQUETAS'!O:AB,14,0)))</f>
        <v/>
      </c>
      <c r="M216" s="8"/>
      <c r="N216" s="9">
        <f t="shared" si="13"/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 t="shared" si="14"/>
        <v>1</v>
      </c>
      <c r="U216" s="10" t="str">
        <f>IFERROR((VLOOKUP(A216,Planilha1!A:B,2,0)),"\\192.168.0.4\Produtos\PRODUTO_PRONTA_ENTREGA\static\IMAGENS_PRODUTOS\SEM IMAGEM.jpg")</f>
        <v>\\192.168.0.4\Produtos\PRODUTO_PRONTA_ENTREGA\static\IMAGENS_PRODUTOS\SEM IMAGEM.jpg</v>
      </c>
      <c r="V216" t="str">
        <f>IFERROR((VLOOKUP(A216,Planilha1!A:B,2,0)),"\\192.168.0.4\Produtos\PRODUTO_PRONTA_ENTREGA\static\IMAGENS_PRODUTOS\SEM IMAGEM.jpg")</f>
        <v>\\192.168.0.4\Produtos\PRODUTO_PRONTA_ENTREGA\static\IMAGENS_PRODUTOS\SEM IMAGEM.jpg</v>
      </c>
    </row>
    <row r="217" spans="1:22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 t="shared" si="12"/>
        <v>550.37</v>
      </c>
      <c r="L217" s="7" t="str">
        <f>IF(VLOOKUP(A217,'[1]LISTA ETIQUETAS'!O:AB,14,0)="","",(VLOOKUP(A217,'[1]LISTA ETIQUETAS'!O:AB,14,0)))</f>
        <v/>
      </c>
      <c r="M217" s="8"/>
      <c r="N217" s="9">
        <f t="shared" si="13"/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 t="shared" si="14"/>
        <v>1</v>
      </c>
      <c r="U217" s="10" t="str">
        <f>IFERROR((VLOOKUP(A217,Planilha1!A:B,2,0)),"\\192.168.0.4\Produtos\PRODUTO_PRONTA_ENTREGA\static\IMAGENS_PRODUTOS\SEM IMAGEM.jpg")</f>
        <v>\\192.168.0.4\Produtos\PRODUTO_PRONTA_ENTREGA\static\IMAGENS_PRODUTOS\SEM IMAGEM.jpg</v>
      </c>
      <c r="V217" t="str">
        <f>IFERROR((VLOOKUP(A217,Planilha1!A:B,2,0)),"\\192.168.0.4\Produtos\PRODUTO_PRONTA_ENTREGA\static\IMAGENS_PRODUTOS\SEM IMAGEM.jpg")</f>
        <v>\\192.168.0.4\Produtos\PRODUTO_PRONTA_ENTREGA\static\IMAGENS_PRODUTOS\SEM IMAGEM.jpg</v>
      </c>
    </row>
    <row r="218" spans="1:22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 t="shared" si="12"/>
        <v>443.52</v>
      </c>
      <c r="L218" s="7" t="str">
        <f>IF(VLOOKUP(A218,'[1]LISTA ETIQUETAS'!O:AB,14,0)="","",(VLOOKUP(A218,'[1]LISTA ETIQUETAS'!O:AB,14,0)))</f>
        <v/>
      </c>
      <c r="M218" s="8"/>
      <c r="N218" s="9">
        <f t="shared" si="13"/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 t="shared" si="14"/>
        <v>8</v>
      </c>
      <c r="U218" s="10" t="str">
        <f>IFERROR((VLOOKUP(A218,Planilha1!A:B,2,0)),"\\192.168.0.4\Produtos\PRODUTO_PRONTA_ENTREGA\static\IMAGENS_PRODUTOS\SEM IMAGEM.jpg")</f>
        <v>\\192.168.0.4\Produtos\PRODUTO_PRONTA_ENTREGA\static\IMAGENS_PRODUTOS\SEM IMAGEM.jpg</v>
      </c>
      <c r="V218" t="str">
        <f>IFERROR((VLOOKUP(A218,Planilha1!A:B,2,0)),"\\192.168.0.4\Produtos\PRODUTO_PRONTA_ENTREGA\static\IMAGENS_PRODUTOS\SEM IMAGEM.jpg")</f>
        <v>\\192.168.0.4\Produtos\PRODUTO_PRONTA_ENTREGA\static\IMAGENS_PRODUTOS\SEM IMAGEM.jpg</v>
      </c>
    </row>
    <row r="219" spans="1:22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 t="shared" si="12"/>
        <v/>
      </c>
      <c r="L219" s="7" t="str">
        <f>IF(VLOOKUP(A219,'[1]LISTA ETIQUETAS'!O:AB,14,0)="","",(VLOOKUP(A219,'[1]LISTA ETIQUETAS'!O:AB,14,0)))</f>
        <v/>
      </c>
      <c r="M219" s="8"/>
      <c r="N219" s="9">
        <f t="shared" si="13"/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 t="shared" si="14"/>
        <v>4</v>
      </c>
      <c r="U219" s="10" t="str">
        <f>IFERROR((VLOOKUP(A219,Planilha1!A:B,2,0)),"\\192.168.0.4\Produtos\PRODUTO_PRONTA_ENTREGA\static\IMAGENS_PRODUTOS\SEM IMAGEM.jpg")</f>
        <v>\\192.168.0.4\Produtos\PRODUTO_PRONTA_ENTREGA\static\IMAGENS_PRODUTOS\SEM IMAGEM.jpg</v>
      </c>
      <c r="V219" t="str">
        <f>IFERROR((VLOOKUP(A219,Planilha1!A:B,2,0)),"\\192.168.0.4\Produtos\PRODUTO_PRONTA_ENTREGA\static\IMAGENS_PRODUTOS\SEM IMAGEM.jpg")</f>
        <v>\\192.168.0.4\Produtos\PRODUTO_PRONTA_ENTREGA\static\IMAGENS_PRODUTOS\SEM IMAGEM.jpg</v>
      </c>
    </row>
    <row r="220" spans="1:22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 t="shared" si="12"/>
        <v/>
      </c>
      <c r="L220" s="7" t="str">
        <f>IF(VLOOKUP(A220,'[1]LISTA ETIQUETAS'!O:AB,14,0)="","",(VLOOKUP(A220,'[1]LISTA ETIQUETAS'!O:AB,14,0)))</f>
        <v/>
      </c>
      <c r="M220" s="8"/>
      <c r="N220" s="9">
        <f t="shared" si="13"/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 t="shared" si="14"/>
        <v>5</v>
      </c>
      <c r="U220" s="10" t="str">
        <f>IFERROR((VLOOKUP(A220,Planilha1!A:B,2,0)),"\\192.168.0.4\Produtos\PRODUTO_PRONTA_ENTREGA\static\IMAGENS_PRODUTOS\SEM IMAGEM.jpg")</f>
        <v>\\192.168.0.4\Produtos\PRODUTO_PRONTA_ENTREGA\static\IMAGENS_PRODUTOS\SEM IMAGEM.jpg</v>
      </c>
      <c r="V220" t="str">
        <f>IFERROR((VLOOKUP(A220,Planilha1!A:B,2,0)),"\\192.168.0.4\Produtos\PRODUTO_PRONTA_ENTREGA\static\IMAGENS_PRODUTOS\SEM IMAGEM.jpg")</f>
        <v>\\192.168.0.4\Produtos\PRODUTO_PRONTA_ENTREGA\static\IMAGENS_PRODUTOS\SEM IMAGEM.jpg</v>
      </c>
    </row>
    <row r="221" spans="1:22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 t="shared" si="12"/>
        <v>37230.19</v>
      </c>
      <c r="L221" s="7" t="str">
        <f>IF(VLOOKUP(A221,'[1]LISTA ETIQUETAS'!O:AB,14,0)="","",(VLOOKUP(A221,'[1]LISTA ETIQUETAS'!O:AB,14,0)))</f>
        <v/>
      </c>
      <c r="M221" s="8"/>
      <c r="N221" s="9">
        <f t="shared" si="13"/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 t="shared" si="14"/>
        <v>1</v>
      </c>
      <c r="U221" s="10" t="str">
        <f>IFERROR((VLOOKUP(A221,Planilha1!A:B,2,0)),"\\192.168.0.4\Produtos\PRODUTO_PRONTA_ENTREGA\static\IMAGENS_PRODUTOS\SEM IMAGEM.jpg")</f>
        <v>\\192.168.0.4\Produtos\PRODUTO_PRONTA_ENTREGA\static\IMAGENS_PRODUTOS\APARADOR REGIA_299531.jpg</v>
      </c>
      <c r="V221" t="str">
        <f>IFERROR((VLOOKUP(A221,Planilha1!A:B,2,0)),"\\192.168.0.4\Produtos\PRODUTO_PRONTA_ENTREGA\static\IMAGENS_PRODUTOS\SEM IMAGEM.jpg")</f>
        <v>\\192.168.0.4\Produtos\PRODUTO_PRONTA_ENTREGA\static\IMAGENS_PRODUTOS\APARADOR REGIA_299531.jpg</v>
      </c>
    </row>
    <row r="222" spans="1:22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 t="shared" si="12"/>
        <v>54996.57</v>
      </c>
      <c r="L222" s="7" t="str">
        <f>IF(VLOOKUP(A222,'[1]LISTA ETIQUETAS'!O:AB,14,0)="","",(VLOOKUP(A222,'[1]LISTA ETIQUETAS'!O:AB,14,0)))</f>
        <v/>
      </c>
      <c r="M222" s="8"/>
      <c r="N222" s="9">
        <f t="shared" si="13"/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 t="shared" si="14"/>
        <v>1</v>
      </c>
      <c r="U222" s="10" t="str">
        <f>IFERROR((VLOOKUP(A222,Planilha1!A:B,2,0)),"\\192.168.0.4\Produtos\PRODUTO_PRONTA_ENTREGA\static\IMAGENS_PRODUTOS\SEM IMAGEM.jpg")</f>
        <v>\\192.168.0.4\Produtos\PRODUTO_PRONTA_ENTREGA\static\IMAGENS_PRODUTOS\APARADOR UNI_253860.jpg</v>
      </c>
      <c r="V222" t="str">
        <f>IFERROR((VLOOKUP(A222,Planilha1!A:B,2,0)),"\\192.168.0.4\Produtos\PRODUTO_PRONTA_ENTREGA\static\IMAGENS_PRODUTOS\SEM IMAGEM.jpg")</f>
        <v>\\192.168.0.4\Produtos\PRODUTO_PRONTA_ENTREGA\static\IMAGENS_PRODUTOS\APARADOR UNI_253860.jpg</v>
      </c>
    </row>
    <row r="223" spans="1:22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 t="shared" si="12"/>
        <v>26879.42</v>
      </c>
      <c r="L223" s="7" t="str">
        <f>IF(VLOOKUP(A223,'[1]LISTA ETIQUETAS'!O:AB,14,0)="","",(VLOOKUP(A223,'[1]LISTA ETIQUETAS'!O:AB,14,0)))</f>
        <v/>
      </c>
      <c r="M223" s="8"/>
      <c r="N223" s="9">
        <f t="shared" si="13"/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 t="shared" si="14"/>
        <v>1</v>
      </c>
      <c r="U223" s="10" t="str">
        <f>IFERROR((VLOOKUP(A223,Planilha1!A:B,2,0)),"\\192.168.0.4\Produtos\PRODUTO_PRONTA_ENTREGA\static\IMAGENS_PRODUTOS\SEM IMAGEM.jpg")</f>
        <v>\\192.168.0.4\Produtos\PRODUTO_PRONTA_ENTREGA\static\IMAGENS_PRODUTOS\APARADOR ZINA_329025.jpg</v>
      </c>
      <c r="V223" t="str">
        <f>IFERROR((VLOOKUP(A223,Planilha1!A:B,2,0)),"\\192.168.0.4\Produtos\PRODUTO_PRONTA_ENTREGA\static\IMAGENS_PRODUTOS\SEM IMAGEM.jpg")</f>
        <v>\\192.168.0.4\Produtos\PRODUTO_PRONTA_ENTREGA\static\IMAGENS_PRODUTOS\APARADOR ZINA_329025.jpg</v>
      </c>
    </row>
    <row r="224" spans="1:22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 t="shared" si="12"/>
        <v>29795.05</v>
      </c>
      <c r="L224" s="7" t="str">
        <f>IF(VLOOKUP(A224,'[1]LISTA ETIQUETAS'!O:AB,14,0)="","",(VLOOKUP(A224,'[1]LISTA ETIQUETAS'!O:AB,14,0)))</f>
        <v/>
      </c>
      <c r="M224" s="8"/>
      <c r="N224" s="9">
        <f t="shared" si="13"/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 t="shared" si="14"/>
        <v>1</v>
      </c>
      <c r="U224" s="10" t="str">
        <f>IFERROR((VLOOKUP(A224,Planilha1!A:B,2,0)),"\\192.168.0.4\Produtos\PRODUTO_PRONTA_ENTREGA\static\IMAGENS_PRODUTOS\SEM IMAGEM.jpg")</f>
        <v>\\192.168.0.4\Produtos\PRODUTO_PRONTA_ENTREGA\static\IMAGENS_PRODUTOS\APARADOR MAR ADENTRO_336616.jpg</v>
      </c>
      <c r="V224" t="str">
        <f>IFERROR((VLOOKUP(A224,Planilha1!A:B,2,0)),"\\192.168.0.4\Produtos\PRODUTO_PRONTA_ENTREGA\static\IMAGENS_PRODUTOS\SEM IMAGEM.jpg")</f>
        <v>\\192.168.0.4\Produtos\PRODUTO_PRONTA_ENTREGA\static\IMAGENS_PRODUTOS\APARADOR MAR ADENTRO_336616.jpg</v>
      </c>
    </row>
    <row r="225" spans="1:22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 t="shared" si="12"/>
        <v>15997.5</v>
      </c>
      <c r="L225" s="7" t="str">
        <f>IF(VLOOKUP(A225,'[1]LISTA ETIQUETAS'!O:AB,14,0)="","",(VLOOKUP(A225,'[1]LISTA ETIQUETAS'!O:AB,14,0)))</f>
        <v/>
      </c>
      <c r="M225" s="8"/>
      <c r="N225" s="9">
        <f t="shared" si="13"/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 t="shared" si="14"/>
        <v>1</v>
      </c>
      <c r="U225" s="10" t="str">
        <f>IFERROR((VLOOKUP(A225,Planilha1!A:B,2,0)),"\\192.168.0.4\Produtos\PRODUTO_PRONTA_ENTREGA\static\IMAGENS_PRODUTOS\SEM IMAGEM.jpg")</f>
        <v>\\192.168.0.4\Produtos\PRODUTO_PRONTA_ENTREGA\static\IMAGENS_PRODUTOS\SEM IMAGEM.jpg</v>
      </c>
      <c r="V225" t="str">
        <f>IFERROR((VLOOKUP(A225,Planilha1!A:B,2,0)),"\\192.168.0.4\Produtos\PRODUTO_PRONTA_ENTREGA\static\IMAGENS_PRODUTOS\SEM IMAGEM.jpg")</f>
        <v>\\192.168.0.4\Produtos\PRODUTO_PRONTA_ENTREGA\static\IMAGENS_PRODUTOS\SEM IMAGEM.jpg</v>
      </c>
    </row>
    <row r="226" spans="1:22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 t="shared" si="12"/>
        <v>15023.81</v>
      </c>
      <c r="L226" s="7" t="str">
        <f>IF(VLOOKUP(A226,'[1]LISTA ETIQUETAS'!O:AB,14,0)="","",(VLOOKUP(A226,'[1]LISTA ETIQUETAS'!O:AB,14,0)))</f>
        <v/>
      </c>
      <c r="M226" s="8"/>
      <c r="N226" s="9">
        <f t="shared" si="13"/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 t="shared" si="14"/>
        <v>1</v>
      </c>
      <c r="U226" s="10" t="str">
        <f>IFERROR((VLOOKUP(A226,Planilha1!A:B,2,0)),"\\192.168.0.4\Produtos\PRODUTO_PRONTA_ENTREGA\static\IMAGENS_PRODUTOS\SEM IMAGEM.jpg")</f>
        <v>\\192.168.0.4\Produtos\PRODUTO_PRONTA_ENTREGA\static\IMAGENS_PRODUTOS\APARADOR PHOENIX_152614.jpg</v>
      </c>
      <c r="V226" t="str">
        <f>IFERROR((VLOOKUP(A226,Planilha1!A:B,2,0)),"\\192.168.0.4\Produtos\PRODUTO_PRONTA_ENTREGA\static\IMAGENS_PRODUTOS\SEM IMAGEM.jpg")</f>
        <v>\\192.168.0.4\Produtos\PRODUTO_PRONTA_ENTREGA\static\IMAGENS_PRODUTOS\APARADOR PHOENIX_152614.jpg</v>
      </c>
    </row>
    <row r="227" spans="1:22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 t="shared" si="12"/>
        <v>34630.71</v>
      </c>
      <c r="L227" s="7" t="str">
        <f>IF(VLOOKUP(A227,'[1]LISTA ETIQUETAS'!O:AB,14,0)="","",(VLOOKUP(A227,'[1]LISTA ETIQUETAS'!O:AB,14,0)))</f>
        <v/>
      </c>
      <c r="M227" s="8"/>
      <c r="N227" s="9">
        <f t="shared" si="13"/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 t="shared" si="14"/>
        <v>1</v>
      </c>
      <c r="U227" s="10" t="str">
        <f>IFERROR((VLOOKUP(A227,Planilha1!A:B,2,0)),"\\192.168.0.4\Produtos\PRODUTO_PRONTA_ENTREGA\static\IMAGENS_PRODUTOS\SEM IMAGEM.jpg")</f>
        <v>\\192.168.0.4\Produtos\PRODUTO_PRONTA_ENTREGA\static\IMAGENS_PRODUTOS\APARADOR VELL 1_336641.jpg</v>
      </c>
      <c r="V227" t="str">
        <f>IFERROR((VLOOKUP(A227,Planilha1!A:B,2,0)),"\\192.168.0.4\Produtos\PRODUTO_PRONTA_ENTREGA\static\IMAGENS_PRODUTOS\SEM IMAGEM.jpg")</f>
        <v>\\192.168.0.4\Produtos\PRODUTO_PRONTA_ENTREGA\static\IMAGENS_PRODUTOS\APARADOR VELL 1_336641.jpg</v>
      </c>
    </row>
    <row r="228" spans="1:22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 t="shared" si="12"/>
        <v>29653.97</v>
      </c>
      <c r="L228" s="7" t="str">
        <f>IF(VLOOKUP(A228,'[1]LISTA ETIQUETAS'!O:AB,14,0)="","",(VLOOKUP(A228,'[1]LISTA ETIQUETAS'!O:AB,14,0)))</f>
        <v/>
      </c>
      <c r="M228" s="8"/>
      <c r="N228" s="9">
        <f t="shared" si="13"/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 t="shared" si="14"/>
        <v>1</v>
      </c>
      <c r="U228" s="10" t="str">
        <f>IFERROR((VLOOKUP(A228,Planilha1!A:B,2,0)),"\\192.168.0.4\Produtos\PRODUTO_PRONTA_ENTREGA\static\IMAGENS_PRODUTOS\SEM IMAGEM.jpg")</f>
        <v>\\192.168.0.4\Produtos\PRODUTO_PRONTA_ENTREGA\static\IMAGENS_PRODUTOS\APARADOR VELL _336715.jpg</v>
      </c>
      <c r="V228" t="str">
        <f>IFERROR((VLOOKUP(A228,Planilha1!A:B,2,0)),"\\192.168.0.4\Produtos\PRODUTO_PRONTA_ENTREGA\static\IMAGENS_PRODUTOS\SEM IMAGEM.jpg")</f>
        <v>\\192.168.0.4\Produtos\PRODUTO_PRONTA_ENTREGA\static\IMAGENS_PRODUTOS\APARADOR VELL _336715.jpg</v>
      </c>
    </row>
    <row r="229" spans="1:22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 t="shared" si="12"/>
        <v/>
      </c>
      <c r="L229" s="7" t="str">
        <f>IF(VLOOKUP(A229,'[1]LISTA ETIQUETAS'!O:AB,14,0)="","",(VLOOKUP(A229,'[1]LISTA ETIQUETAS'!O:AB,14,0)))</f>
        <v/>
      </c>
      <c r="M229" s="8"/>
      <c r="N229" s="9">
        <f t="shared" si="13"/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 t="shared" si="14"/>
        <v>1</v>
      </c>
      <c r="U229" s="10" t="str">
        <f>IFERROR((VLOOKUP(A229,Planilha1!A:B,2,0)),"\\192.168.0.4\Produtos\PRODUTO_PRONTA_ENTREGA\static\IMAGENS_PRODUTOS\SEM IMAGEM.jpg")</f>
        <v>\\192.168.0.4\Produtos\PRODUTO_PRONTA_ENTREGA\static\IMAGENS_PRODUTOS\APARADOR ELLE_127041.jpg</v>
      </c>
      <c r="V229" t="str">
        <f>IFERROR((VLOOKUP(A229,Planilha1!A:B,2,0)),"\\192.168.0.4\Produtos\PRODUTO_PRONTA_ENTREGA\static\IMAGENS_PRODUTOS\SEM IMAGEM.jpg")</f>
        <v>\\192.168.0.4\Produtos\PRODUTO_PRONTA_ENTREGA\static\IMAGENS_PRODUTOS\APARADOR ELLE_127041.jpg</v>
      </c>
    </row>
    <row r="230" spans="1:22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 t="shared" si="12"/>
        <v>0</v>
      </c>
      <c r="L230" s="7" t="str">
        <f>IF(VLOOKUP(A230,'[1]LISTA ETIQUETAS'!O:AB,14,0)="","",(VLOOKUP(A230,'[1]LISTA ETIQUETAS'!O:AB,14,0)))</f>
        <v/>
      </c>
      <c r="M230" s="8"/>
      <c r="N230" s="9">
        <f t="shared" si="13"/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 t="shared" si="14"/>
        <v>2</v>
      </c>
      <c r="U230" s="10" t="str">
        <f>IFERROR((VLOOKUP(A230,Planilha1!A:B,2,0)),"\\192.168.0.4\Produtos\PRODUTO_PRONTA_ENTREGA\static\IMAGENS_PRODUTOS\SEM IMAGEM.jpg")</f>
        <v>\\192.168.0.4\Produtos\PRODUTO_PRONTA_ENTREGA\static\IMAGENS_PRODUTOS\SEM IMAGEM.jpg</v>
      </c>
      <c r="V230" t="str">
        <f>IFERROR((VLOOKUP(A230,Planilha1!A:B,2,0)),"\\192.168.0.4\Produtos\PRODUTO_PRONTA_ENTREGA\static\IMAGENS_PRODUTOS\SEM IMAGEM.jpg")</f>
        <v>\\192.168.0.4\Produtos\PRODUTO_PRONTA_ENTREGA\static\IMAGENS_PRODUTOS\SEM IMAGEM.jpg</v>
      </c>
    </row>
    <row r="231" spans="1:22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 t="shared" si="12"/>
        <v>0</v>
      </c>
      <c r="L231" s="7" t="str">
        <f>IF(VLOOKUP(A231,'[1]LISTA ETIQUETAS'!O:AB,14,0)="","",(VLOOKUP(A231,'[1]LISTA ETIQUETAS'!O:AB,14,0)))</f>
        <v/>
      </c>
      <c r="M231" s="8"/>
      <c r="N231" s="9">
        <f t="shared" si="13"/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 t="shared" si="14"/>
        <v>1</v>
      </c>
      <c r="U231" s="10" t="str">
        <f>IFERROR((VLOOKUP(A231,Planilha1!A:B,2,0)),"\\192.168.0.4\Produtos\PRODUTO_PRONTA_ENTREGA\static\IMAGENS_PRODUTOS\SEM IMAGEM.jpg")</f>
        <v>\\192.168.0.4\Produtos\PRODUTO_PRONTA_ENTREGA\static\IMAGENS_PRODUTOS\APARADOR BALI_151597.jpg</v>
      </c>
      <c r="V231" t="str">
        <f>IFERROR((VLOOKUP(A231,Planilha1!A:B,2,0)),"\\192.168.0.4\Produtos\PRODUTO_PRONTA_ENTREGA\static\IMAGENS_PRODUTOS\SEM IMAGEM.jpg")</f>
        <v>\\192.168.0.4\Produtos\PRODUTO_PRONTA_ENTREGA\static\IMAGENS_PRODUTOS\APARADOR BALI_151597.jpg</v>
      </c>
    </row>
    <row r="232" spans="1:22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 t="shared" si="12"/>
        <v>0</v>
      </c>
      <c r="L232" s="7" t="str">
        <f>IF(VLOOKUP(A232,'[1]LISTA ETIQUETAS'!O:AB,14,0)="","",(VLOOKUP(A232,'[1]LISTA ETIQUETAS'!O:AB,14,0)))</f>
        <v/>
      </c>
      <c r="M232" s="8"/>
      <c r="N232" s="9">
        <f t="shared" si="13"/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 t="shared" si="14"/>
        <v>1</v>
      </c>
      <c r="U232" s="10" t="str">
        <f>IFERROR((VLOOKUP(A232,Planilha1!A:B,2,0)),"\\192.168.0.4\Produtos\PRODUTO_PRONTA_ENTREGA\static\IMAGENS_PRODUTOS\SEM IMAGEM.jpg")</f>
        <v>\\192.168.0.4\Produtos\PRODUTO_PRONTA_ENTREGA\static\IMAGENS_PRODUTOS\APARADOR VIVALBA_151719.jpg</v>
      </c>
      <c r="V232" t="str">
        <f>IFERROR((VLOOKUP(A232,Planilha1!A:B,2,0)),"\\192.168.0.4\Produtos\PRODUTO_PRONTA_ENTREGA\static\IMAGENS_PRODUTOS\SEM IMAGEM.jpg")</f>
        <v>\\192.168.0.4\Produtos\PRODUTO_PRONTA_ENTREGA\static\IMAGENS_PRODUTOS\APARADOR VIVALBA_151719.jpg</v>
      </c>
    </row>
    <row r="233" spans="1:22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 t="shared" si="12"/>
        <v>20721.12</v>
      </c>
      <c r="L233" s="7" t="str">
        <f>IF(VLOOKUP(A233,'[1]LISTA ETIQUETAS'!O:AB,14,0)="","",(VLOOKUP(A233,'[1]LISTA ETIQUETAS'!O:AB,14,0)))</f>
        <v/>
      </c>
      <c r="M233" s="8"/>
      <c r="N233" s="9">
        <f t="shared" si="13"/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 t="shared" si="14"/>
        <v>1</v>
      </c>
      <c r="U233" s="10" t="str">
        <f>IFERROR((VLOOKUP(A233,Planilha1!A:B,2,0)),"\\192.168.0.4\Produtos\PRODUTO_PRONTA_ENTREGA\static\IMAGENS_PRODUTOS\SEM IMAGEM.jpg")</f>
        <v>\\192.168.0.4\Produtos\PRODUTO_PRONTA_ENTREGA\static\IMAGENS_PRODUTOS\APARADOR CARAJAS_151450.jpg</v>
      </c>
      <c r="V233" t="str">
        <f>IFERROR((VLOOKUP(A233,Planilha1!A:B,2,0)),"\\192.168.0.4\Produtos\PRODUTO_PRONTA_ENTREGA\static\IMAGENS_PRODUTOS\SEM IMAGEM.jpg")</f>
        <v>\\192.168.0.4\Produtos\PRODUTO_PRONTA_ENTREGA\static\IMAGENS_PRODUTOS\APARADOR CARAJAS_151450.jpg</v>
      </c>
    </row>
    <row r="234" spans="1:22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 t="shared" si="12"/>
        <v>13022.91</v>
      </c>
      <c r="L234" s="7" t="str">
        <f>IF(VLOOKUP(A234,'[1]LISTA ETIQUETAS'!O:AB,14,0)="","",(VLOOKUP(A234,'[1]LISTA ETIQUETAS'!O:AB,14,0)))</f>
        <v/>
      </c>
      <c r="M234" s="8"/>
      <c r="N234" s="9">
        <f t="shared" si="13"/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 t="shared" si="14"/>
        <v>1</v>
      </c>
      <c r="U234" s="10" t="str">
        <f>IFERROR((VLOOKUP(A234,Planilha1!A:B,2,0)),"\\192.168.0.4\Produtos\PRODUTO_PRONTA_ENTREGA\static\IMAGENS_PRODUTOS\SEM IMAGEM.jpg")</f>
        <v>\\192.168.0.4\Produtos\PRODUTO_PRONTA_ENTREGA\static\IMAGENS_PRODUTOS\APARADOR NEST_151366.jpg</v>
      </c>
      <c r="V234" t="str">
        <f>IFERROR((VLOOKUP(A234,Planilha1!A:B,2,0)),"\\192.168.0.4\Produtos\PRODUTO_PRONTA_ENTREGA\static\IMAGENS_PRODUTOS\SEM IMAGEM.jpg")</f>
        <v>\\192.168.0.4\Produtos\PRODUTO_PRONTA_ENTREGA\static\IMAGENS_PRODUTOS\APARADOR NEST_151366.jpg</v>
      </c>
    </row>
    <row r="235" spans="1:22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 t="shared" si="12"/>
        <v>0</v>
      </c>
      <c r="L235" s="7" t="str">
        <f>IF(VLOOKUP(A235,'[1]LISTA ETIQUETAS'!O:AB,14,0)="","",(VLOOKUP(A235,'[1]LISTA ETIQUETAS'!O:AB,14,0)))</f>
        <v/>
      </c>
      <c r="M235" s="8"/>
      <c r="N235" s="9">
        <f t="shared" si="13"/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 t="shared" si="14"/>
        <v>1</v>
      </c>
      <c r="U235" s="10" t="str">
        <f>IFERROR((VLOOKUP(A235,Planilha1!A:B,2,0)),"\\192.168.0.4\Produtos\PRODUTO_PRONTA_ENTREGA\static\IMAGENS_PRODUTOS\SEM IMAGEM.jpg")</f>
        <v>\\192.168.0.4\Produtos\PRODUTO_PRONTA_ENTREGA\static\IMAGENS_PRODUTOS\SEM IMAGEM.jpg</v>
      </c>
      <c r="V235" t="str">
        <f>IFERROR((VLOOKUP(A235,Planilha1!A:B,2,0)),"\\192.168.0.4\Produtos\PRODUTO_PRONTA_ENTREGA\static\IMAGENS_PRODUTOS\SEM IMAGEM.jpg")</f>
        <v>\\192.168.0.4\Produtos\PRODUTO_PRONTA_ENTREGA\static\IMAGENS_PRODUTOS\SEM IMAGEM.jpg</v>
      </c>
    </row>
    <row r="236" spans="1:22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 t="shared" si="12"/>
        <v>19173.5</v>
      </c>
      <c r="L236" s="7" t="str">
        <f>IF(VLOOKUP(A236,'[1]LISTA ETIQUETAS'!O:AB,14,0)="","",(VLOOKUP(A236,'[1]LISTA ETIQUETAS'!O:AB,14,0)))</f>
        <v/>
      </c>
      <c r="M236" s="8"/>
      <c r="N236" s="9">
        <f t="shared" si="13"/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 t="shared" si="14"/>
        <v>1</v>
      </c>
      <c r="U236" s="10" t="str">
        <f>IFERROR((VLOOKUP(A236,Planilha1!A:B,2,0)),"\\192.168.0.4\Produtos\PRODUTO_PRONTA_ENTREGA\static\IMAGENS_PRODUTOS\SEM IMAGEM.jpg")</f>
        <v>\\192.168.0.4\Produtos\PRODUTO_PRONTA_ENTREGA\static\IMAGENS_PRODUTOS\APARADOR AMALFI_182711.jpg</v>
      </c>
      <c r="V236" t="str">
        <f>IFERROR((VLOOKUP(A236,Planilha1!A:B,2,0)),"\\192.168.0.4\Produtos\PRODUTO_PRONTA_ENTREGA\static\IMAGENS_PRODUTOS\SEM IMAGEM.jpg")</f>
        <v>\\192.168.0.4\Produtos\PRODUTO_PRONTA_ENTREGA\static\IMAGENS_PRODUTOS\APARADOR AMALFI_182711.jpg</v>
      </c>
    </row>
    <row r="237" spans="1:22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 t="shared" si="12"/>
        <v>15680</v>
      </c>
      <c r="L237" s="7" t="str">
        <f>IF(VLOOKUP(A237,'[1]LISTA ETIQUETAS'!O:AB,14,0)="","",(VLOOKUP(A237,'[1]LISTA ETIQUETAS'!O:AB,14,0)))</f>
        <v/>
      </c>
      <c r="M237" s="8"/>
      <c r="N237" s="9">
        <f t="shared" si="13"/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 t="shared" si="14"/>
        <v>1</v>
      </c>
      <c r="U237" s="10" t="str">
        <f>IFERROR((VLOOKUP(A237,Planilha1!A:B,2,0)),"\\192.168.0.4\Produtos\PRODUTO_PRONTA_ENTREGA\static\IMAGENS_PRODUTOS\SEM IMAGEM.jpg")</f>
        <v>\\192.168.0.4\Produtos\PRODUTO_PRONTA_ENTREGA\static\IMAGENS_PRODUTOS\APARADOR REDENTOR_180739.jpg</v>
      </c>
      <c r="V237" t="str">
        <f>IFERROR((VLOOKUP(A237,Planilha1!A:B,2,0)),"\\192.168.0.4\Produtos\PRODUTO_PRONTA_ENTREGA\static\IMAGENS_PRODUTOS\SEM IMAGEM.jpg")</f>
        <v>\\192.168.0.4\Produtos\PRODUTO_PRONTA_ENTREGA\static\IMAGENS_PRODUTOS\APARADOR REDENTOR_180739.jpg</v>
      </c>
    </row>
    <row r="238" spans="1:22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 t="shared" si="12"/>
        <v>0</v>
      </c>
      <c r="L238" s="7" t="str">
        <f>IF(VLOOKUP(A238,'[1]LISTA ETIQUETAS'!O:AB,14,0)="","",(VLOOKUP(A238,'[1]LISTA ETIQUETAS'!O:AB,14,0)))</f>
        <v/>
      </c>
      <c r="M238" s="8"/>
      <c r="N238" s="9">
        <f t="shared" si="13"/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 t="shared" si="14"/>
        <v>1</v>
      </c>
      <c r="U238" s="10" t="str">
        <f>IFERROR((VLOOKUP(A238,Planilha1!A:B,2,0)),"\\192.168.0.4\Produtos\PRODUTO_PRONTA_ENTREGA\static\IMAGENS_PRODUTOS\SEM IMAGEM.jpg")</f>
        <v>\\192.168.0.4\Produtos\PRODUTO_PRONTA_ENTREGA\static\IMAGENS_PRODUTOS\APARADOR NEST_203827.jpg</v>
      </c>
      <c r="V238" t="str">
        <f>IFERROR((VLOOKUP(A238,Planilha1!A:B,2,0)),"\\192.168.0.4\Produtos\PRODUTO_PRONTA_ENTREGA\static\IMAGENS_PRODUTOS\SEM IMAGEM.jpg")</f>
        <v>\\192.168.0.4\Produtos\PRODUTO_PRONTA_ENTREGA\static\IMAGENS_PRODUTOS\APARADOR NEST_203827.jpg</v>
      </c>
    </row>
    <row r="239" spans="1:22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 t="shared" si="12"/>
        <v>21389.45</v>
      </c>
      <c r="L239" s="7" t="str">
        <f>IF(VLOOKUP(A239,'[1]LISTA ETIQUETAS'!O:AB,14,0)="","",(VLOOKUP(A239,'[1]LISTA ETIQUETAS'!O:AB,14,0)))</f>
        <v/>
      </c>
      <c r="M239" s="8"/>
      <c r="N239" s="9">
        <f t="shared" si="13"/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 t="shared" si="14"/>
        <v>2</v>
      </c>
      <c r="U239" s="10" t="str">
        <f>IFERROR((VLOOKUP(A239,Planilha1!A:B,2,0)),"\\192.168.0.4\Produtos\PRODUTO_PRONTA_ENTREGA\static\IMAGENS_PRODUTOS\SEM IMAGEM.jpg")</f>
        <v>\\192.168.0.4\Produtos\PRODUTO_PRONTA_ENTREGA\static\IMAGENS_PRODUTOS\APARADOR BARBENA_210381.jpg</v>
      </c>
      <c r="V239" t="str">
        <f>IFERROR((VLOOKUP(A239,Planilha1!A:B,2,0)),"\\192.168.0.4\Produtos\PRODUTO_PRONTA_ENTREGA\static\IMAGENS_PRODUTOS\SEM IMAGEM.jpg")</f>
        <v>\\192.168.0.4\Produtos\PRODUTO_PRONTA_ENTREGA\static\IMAGENS_PRODUTOS\APARADOR BARBENA_210381.jpg</v>
      </c>
    </row>
    <row r="240" spans="1:22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 t="shared" si="12"/>
        <v>7526.4</v>
      </c>
      <c r="L240" s="7" t="str">
        <f>IF(VLOOKUP(A240,'[1]LISTA ETIQUETAS'!O:AB,14,0)="","",(VLOOKUP(A240,'[1]LISTA ETIQUETAS'!O:AB,14,0)))</f>
        <v/>
      </c>
      <c r="M240" s="8"/>
      <c r="N240" s="9">
        <f t="shared" si="13"/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 t="shared" si="14"/>
        <v>1</v>
      </c>
      <c r="U240" s="10" t="str">
        <f>IFERROR((VLOOKUP(A240,Planilha1!A:B,2,0)),"\\192.168.0.4\Produtos\PRODUTO_PRONTA_ENTREGA\static\IMAGENS_PRODUTOS\SEM IMAGEM.jpg")</f>
        <v>\\192.168.0.4\Produtos\PRODUTO_PRONTA_ENTREGA\static\IMAGENS_PRODUTOS\APARADOR LISA_210409.jpg</v>
      </c>
      <c r="V240" t="str">
        <f>IFERROR((VLOOKUP(A240,Planilha1!A:B,2,0)),"\\192.168.0.4\Produtos\PRODUTO_PRONTA_ENTREGA\static\IMAGENS_PRODUTOS\SEM IMAGEM.jpg")</f>
        <v>\\192.168.0.4\Produtos\PRODUTO_PRONTA_ENTREGA\static\IMAGENS_PRODUTOS\APARADOR LISA_210409.jpg</v>
      </c>
    </row>
    <row r="241" spans="1:22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 t="shared" si="12"/>
        <v>0</v>
      </c>
      <c r="L241" s="7" t="str">
        <f>IF(VLOOKUP(A241,'[1]LISTA ETIQUETAS'!O:AB,14,0)="","",(VLOOKUP(A241,'[1]LISTA ETIQUETAS'!O:AB,14,0)))</f>
        <v/>
      </c>
      <c r="M241" s="8"/>
      <c r="N241" s="9">
        <f t="shared" si="13"/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 t="shared" si="14"/>
        <v>1</v>
      </c>
      <c r="U241" s="10" t="str">
        <f>IFERROR((VLOOKUP(A241,Planilha1!A:B,2,0)),"\\192.168.0.4\Produtos\PRODUTO_PRONTA_ENTREGA\static\IMAGENS_PRODUTOS\SEM IMAGEM.jpg")</f>
        <v>\\192.168.0.4\Produtos\PRODUTO_PRONTA_ENTREGA\static\IMAGENS_PRODUTOS\SEM IMAGEM.jpg</v>
      </c>
      <c r="V241" t="str">
        <f>IFERROR((VLOOKUP(A241,Planilha1!A:B,2,0)),"\\192.168.0.4\Produtos\PRODUTO_PRONTA_ENTREGA\static\IMAGENS_PRODUTOS\SEM IMAGEM.jpg")</f>
        <v>\\192.168.0.4\Produtos\PRODUTO_PRONTA_ENTREGA\static\IMAGENS_PRODUTOS\SEM IMAGEM.jpg</v>
      </c>
    </row>
    <row r="242" spans="1:22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 t="shared" si="12"/>
        <v/>
      </c>
      <c r="L242" s="7" t="str">
        <f>IF(VLOOKUP(A242,'[1]LISTA ETIQUETAS'!O:AB,14,0)="","",(VLOOKUP(A242,'[1]LISTA ETIQUETAS'!O:AB,14,0)))</f>
        <v/>
      </c>
      <c r="M242" s="8"/>
      <c r="N242" s="9">
        <f t="shared" si="13"/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 t="shared" si="14"/>
        <v>1</v>
      </c>
      <c r="U242" s="10" t="str">
        <f>IFERROR((VLOOKUP(A242,Planilha1!A:B,2,0)),"\\192.168.0.4\Produtos\PRODUTO_PRONTA_ENTREGA\static\IMAGENS_PRODUTOS\SEM IMAGEM.jpg")</f>
        <v>\\192.168.0.4\Produtos\PRODUTO_PRONTA_ENTREGA\static\IMAGENS_PRODUTOS\APARADOR TRINTA_224044.jpg</v>
      </c>
      <c r="V242" t="str">
        <f>IFERROR((VLOOKUP(A242,Planilha1!A:B,2,0)),"\\192.168.0.4\Produtos\PRODUTO_PRONTA_ENTREGA\static\IMAGENS_PRODUTOS\SEM IMAGEM.jpg")</f>
        <v>\\192.168.0.4\Produtos\PRODUTO_PRONTA_ENTREGA\static\IMAGENS_PRODUTOS\APARADOR TRINTA_224044.jpg</v>
      </c>
    </row>
    <row r="243" spans="1:22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 t="shared" si="12"/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 t="shared" si="13"/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 t="shared" si="14"/>
        <v>1</v>
      </c>
      <c r="U243" s="10" t="str">
        <f>IFERROR((VLOOKUP(A243,Planilha1!A:B,2,0)),"\\192.168.0.4\Produtos\PRODUTO_PRONTA_ENTREGA\static\IMAGENS_PRODUTOS\SEM IMAGEM.jpg")</f>
        <v>\\192.168.0.4\Produtos\PRODUTO_PRONTA_ENTREGA\static\IMAGENS_PRODUTOS\APARADOR TAY II_223338.jpg</v>
      </c>
      <c r="V243" t="str">
        <f>IFERROR((VLOOKUP(A243,Planilha1!A:B,2,0)),"\\192.168.0.4\Produtos\PRODUTO_PRONTA_ENTREGA\static\IMAGENS_PRODUTOS\SEM IMAGEM.jpg")</f>
        <v>\\192.168.0.4\Produtos\PRODUTO_PRONTA_ENTREGA\static\IMAGENS_PRODUTOS\APARADOR TAY II_223338.jpg</v>
      </c>
    </row>
    <row r="244" spans="1:22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 t="shared" si="12"/>
        <v>0</v>
      </c>
      <c r="L244" s="7" t="str">
        <f>IF(VLOOKUP(A244,'[1]LISTA ETIQUETAS'!O:AB,14,0)="","",(VLOOKUP(A244,'[1]LISTA ETIQUETAS'!O:AB,14,0)))</f>
        <v/>
      </c>
      <c r="M244" s="8"/>
      <c r="N244" s="9">
        <f t="shared" si="13"/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 t="shared" si="14"/>
        <v>1</v>
      </c>
      <c r="U244" s="10" t="str">
        <f>IFERROR((VLOOKUP(A244,Planilha1!A:B,2,0)),"\\192.168.0.4\Produtos\PRODUTO_PRONTA_ENTREGA\static\IMAGENS_PRODUTOS\SEM IMAGEM.jpg")</f>
        <v>\\192.168.0.4\Produtos\PRODUTO_PRONTA_ENTREGA\static\IMAGENS_PRODUTOS\APARADOR JOVE_63439.jpg</v>
      </c>
      <c r="V244" t="str">
        <f>IFERROR((VLOOKUP(A244,Planilha1!A:B,2,0)),"\\192.168.0.4\Produtos\PRODUTO_PRONTA_ENTREGA\static\IMAGENS_PRODUTOS\SEM IMAGEM.jpg")</f>
        <v>\\192.168.0.4\Produtos\PRODUTO_PRONTA_ENTREGA\static\IMAGENS_PRODUTOS\APARADOR JOVE_63439.jpg</v>
      </c>
    </row>
    <row r="245" spans="1:22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 t="shared" si="12"/>
        <v>16329.51</v>
      </c>
      <c r="L245" s="7" t="str">
        <f>IF(VLOOKUP(A245,'[1]LISTA ETIQUETAS'!O:AB,14,0)="","",(VLOOKUP(A245,'[1]LISTA ETIQUETAS'!O:AB,14,0)))</f>
        <v/>
      </c>
      <c r="M245" s="8"/>
      <c r="N245" s="9">
        <f t="shared" si="13"/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 t="shared" si="14"/>
        <v>1</v>
      </c>
      <c r="U245" s="10" t="str">
        <f>IFERROR((VLOOKUP(A245,Planilha1!A:B,2,0)),"\\192.168.0.4\Produtos\PRODUTO_PRONTA_ENTREGA\static\IMAGENS_PRODUTOS\SEM IMAGEM.jpg")</f>
        <v>\\192.168.0.4\Produtos\PRODUTO_PRONTA_ENTREGA\static\IMAGENS_PRODUTOS\SEM IMAGEM.jpg</v>
      </c>
      <c r="V245" t="str">
        <f>IFERROR((VLOOKUP(A245,Planilha1!A:B,2,0)),"\\192.168.0.4\Produtos\PRODUTO_PRONTA_ENTREGA\static\IMAGENS_PRODUTOS\SEM IMAGEM.jpg")</f>
        <v>\\192.168.0.4\Produtos\PRODUTO_PRONTA_ENTREGA\static\IMAGENS_PRODUTOS\SEM IMAGEM.jpg</v>
      </c>
    </row>
    <row r="246" spans="1:22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 t="shared" si="12"/>
        <v>14950.88</v>
      </c>
      <c r="L246" s="7" t="str">
        <f>IF(VLOOKUP(A246,'[1]LISTA ETIQUETAS'!O:AB,14,0)="","",(VLOOKUP(A246,'[1]LISTA ETIQUETAS'!O:AB,14,0)))</f>
        <v/>
      </c>
      <c r="M246" s="8"/>
      <c r="N246" s="9">
        <f t="shared" si="13"/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 t="shared" si="14"/>
        <v>1</v>
      </c>
      <c r="U246" s="10" t="str">
        <f>IFERROR((VLOOKUP(A246,Planilha1!A:B,2,0)),"\\192.168.0.4\Produtos\PRODUTO_PRONTA_ENTREGA\static\IMAGENS_PRODUTOS\SEM IMAGEM.jpg")</f>
        <v>\\192.168.0.4\Produtos\PRODUTO_PRONTA_ENTREGA\static\IMAGENS_PRODUTOS\APARADOR RENE_231134.jpg</v>
      </c>
      <c r="V246" t="str">
        <f>IFERROR((VLOOKUP(A246,Planilha1!A:B,2,0)),"\\192.168.0.4\Produtos\PRODUTO_PRONTA_ENTREGA\static\IMAGENS_PRODUTOS\SEM IMAGEM.jpg")</f>
        <v>\\192.168.0.4\Produtos\PRODUTO_PRONTA_ENTREGA\static\IMAGENS_PRODUTOS\APARADOR RENE_231134.jpg</v>
      </c>
    </row>
    <row r="247" spans="1:22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 t="shared" si="12"/>
        <v>15464.74</v>
      </c>
      <c r="L247" s="7" t="str">
        <f>IF(VLOOKUP(A247,'[1]LISTA ETIQUETAS'!O:AB,14,0)="","",(VLOOKUP(A247,'[1]LISTA ETIQUETAS'!O:AB,14,0)))</f>
        <v/>
      </c>
      <c r="M247" s="8"/>
      <c r="N247" s="9">
        <f t="shared" si="13"/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 t="shared" si="14"/>
        <v>1</v>
      </c>
      <c r="U247" s="10" t="str">
        <f>IFERROR((VLOOKUP(A247,Planilha1!A:B,2,0)),"\\192.168.0.4\Produtos\PRODUTO_PRONTA_ENTREGA\static\IMAGENS_PRODUTOS\SEM IMAGEM.jpg")</f>
        <v>\\192.168.0.4\Produtos\PRODUTO_PRONTA_ENTREGA\static\IMAGENS_PRODUTOS\SEM IMAGEM.jpg</v>
      </c>
      <c r="V247" t="str">
        <f>IFERROR((VLOOKUP(A247,Planilha1!A:B,2,0)),"\\192.168.0.4\Produtos\PRODUTO_PRONTA_ENTREGA\static\IMAGENS_PRODUTOS\SEM IMAGEM.jpg")</f>
        <v>\\192.168.0.4\Produtos\PRODUTO_PRONTA_ENTREGA\static\IMAGENS_PRODUTOS\SEM IMAGEM.jpg</v>
      </c>
    </row>
    <row r="248" spans="1:22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 t="shared" si="12"/>
        <v>13869.32</v>
      </c>
      <c r="L248" s="7" t="str">
        <f>IF(VLOOKUP(A248,'[1]LISTA ETIQUETAS'!O:AB,14,0)="","",(VLOOKUP(A248,'[1]LISTA ETIQUETAS'!O:AB,14,0)))</f>
        <v/>
      </c>
      <c r="M248" s="8"/>
      <c r="N248" s="9">
        <f t="shared" si="13"/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 t="shared" si="14"/>
        <v>1</v>
      </c>
      <c r="U248" s="10" t="str">
        <f>IFERROR((VLOOKUP(A248,Planilha1!A:B,2,0)),"\\192.168.0.4\Produtos\PRODUTO_PRONTA_ENTREGA\static\IMAGENS_PRODUTOS\SEM IMAGEM.jpg")</f>
        <v>\\192.168.0.4\Produtos\PRODUTO_PRONTA_ENTREGA\static\IMAGENS_PRODUTOS\APARADOR RENE_334167.jpg</v>
      </c>
      <c r="V248" t="str">
        <f>IFERROR((VLOOKUP(A248,Planilha1!A:B,2,0)),"\\192.168.0.4\Produtos\PRODUTO_PRONTA_ENTREGA\static\IMAGENS_PRODUTOS\SEM IMAGEM.jpg")</f>
        <v>\\192.168.0.4\Produtos\PRODUTO_PRONTA_ENTREGA\static\IMAGENS_PRODUTOS\APARADOR RENE_334167.jpg</v>
      </c>
    </row>
    <row r="249" spans="1:22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 t="shared" si="12"/>
        <v>30533.4</v>
      </c>
      <c r="L249" s="7" t="str">
        <f>IF(VLOOKUP(A249,'[1]LISTA ETIQUETAS'!O:AB,14,0)="","",(VLOOKUP(A249,'[1]LISTA ETIQUETAS'!O:AB,14,0)))</f>
        <v/>
      </c>
      <c r="M249" s="8"/>
      <c r="N249" s="9">
        <f t="shared" si="13"/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 t="shared" si="14"/>
        <v>1</v>
      </c>
      <c r="U249" s="10" t="str">
        <f>IFERROR((VLOOKUP(A249,Planilha1!A:B,2,0)),"\\192.168.0.4\Produtos\PRODUTO_PRONTA_ENTREGA\static\IMAGENS_PRODUTOS\SEM IMAGEM.jpg")</f>
        <v>\\192.168.0.4\Produtos\PRODUTO_PRONTA_ENTREGA\static\IMAGENS_PRODUTOS\APARADOR X (FREIJO EBANIZADO)_334176.jpg</v>
      </c>
      <c r="V249" t="str">
        <f>IFERROR((VLOOKUP(A249,Planilha1!A:B,2,0)),"\\192.168.0.4\Produtos\PRODUTO_PRONTA_ENTREGA\static\IMAGENS_PRODUTOS\SEM IMAGEM.jpg")</f>
        <v>\\192.168.0.4\Produtos\PRODUTO_PRONTA_ENTREGA\static\IMAGENS_PRODUTOS\APARADOR X (FREIJO EBANIZADO)_334176.jpg</v>
      </c>
    </row>
    <row r="250" spans="1:22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ref="K250:K258" si="15">IFERROR(I250-I250*J250,"")</f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ref="N250:N259" si="16">IF(M250="",A250,M250)</f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ref="T250:T259" si="17">SUM(O250:S250)</f>
        <v>2</v>
      </c>
      <c r="U250" s="10" t="str">
        <f>IFERROR((VLOOKUP(A250,Planilha1!A:B,2,0)),"\\192.168.0.4\Produtos\PRODUTO_PRONTA_ENTREGA\static\IMAGENS_PRODUTOS\SEM IMAGEM.jpg")</f>
        <v>\\192.168.0.4\Produtos\PRODUTO_PRONTA_ENTREGA\static\IMAGENS_PRODUTOS\SEM IMAGEM.jpg</v>
      </c>
      <c r="V250" t="str">
        <f>IFERROR((VLOOKUP(A250,Planilha1!A:B,2,0)),"\\192.168.0.4\Produtos\PRODUTO_PRONTA_ENTREGA\static\IMAGENS_PRODUTOS\SEM IMAGEM.jpg")</f>
        <v>\\192.168.0.4\Produtos\PRODUTO_PRONTA_ENTREGA\static\IMAGENS_PRODUTOS\SEM IMAGEM.jpg</v>
      </c>
    </row>
    <row r="251" spans="1:22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15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16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17"/>
        <v>3</v>
      </c>
      <c r="U251" s="10" t="str">
        <f>IFERROR((VLOOKUP(A251,Planilha1!A:B,2,0)),"\\192.168.0.4\Produtos\PRODUTO_PRONTA_ENTREGA\static\IMAGENS_PRODUTOS\SEM IMAGEM.jpg")</f>
        <v>\\192.168.0.4\Produtos\PRODUTO_PRONTA_ENTREGA\static\IMAGENS_PRODUTOS\SEM IMAGEM.jpg</v>
      </c>
      <c r="V251" t="str">
        <f>IFERROR((VLOOKUP(A251,Planilha1!A:B,2,0)),"\\192.168.0.4\Produtos\PRODUTO_PRONTA_ENTREGA\static\IMAGENS_PRODUTOS\SEM IMAGEM.jpg")</f>
        <v>\\192.168.0.4\Produtos\PRODUTO_PRONTA_ENTREGA\static\IMAGENS_PRODUTOS\SEM IMAGEM.jpg</v>
      </c>
    </row>
    <row r="252" spans="1:22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15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16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17"/>
        <v>4</v>
      </c>
      <c r="U252" s="10" t="str">
        <f>IFERROR((VLOOKUP(A252,Planilha1!A:B,2,0)),"\\192.168.0.4\Produtos\PRODUTO_PRONTA_ENTREGA\static\IMAGENS_PRODUTOS\SEM IMAGEM.jpg")</f>
        <v>\\192.168.0.4\Produtos\PRODUTO_PRONTA_ENTREGA\static\IMAGENS_PRODUTOS\SEM IMAGEM.jpg</v>
      </c>
      <c r="V252" t="str">
        <f>IFERROR((VLOOKUP(A252,Planilha1!A:B,2,0)),"\\192.168.0.4\Produtos\PRODUTO_PRONTA_ENTREGA\static\IMAGENS_PRODUTOS\SEM IMAGEM.jpg")</f>
        <v>\\192.168.0.4\Produtos\PRODUTO_PRONTA_ENTREGA\static\IMAGENS_PRODUTOS\SEM IMAGEM.jpg</v>
      </c>
    </row>
    <row r="253" spans="1:22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15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16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17"/>
        <v>3</v>
      </c>
      <c r="U253" s="10" t="str">
        <f>IFERROR((VLOOKUP(A253,Planilha1!A:B,2,0)),"\\192.168.0.4\Produtos\PRODUTO_PRONTA_ENTREGA\static\IMAGENS_PRODUTOS\SEM IMAGEM.jpg")</f>
        <v>\\192.168.0.4\Produtos\PRODUTO_PRONTA_ENTREGA\static\IMAGENS_PRODUTOS\SEM IMAGEM.jpg</v>
      </c>
      <c r="V253" t="str">
        <f>IFERROR((VLOOKUP(A253,Planilha1!A:B,2,0)),"\\192.168.0.4\Produtos\PRODUTO_PRONTA_ENTREGA\static\IMAGENS_PRODUTOS\SEM IMAGEM.jpg")</f>
        <v>\\192.168.0.4\Produtos\PRODUTO_PRONTA_ENTREGA\static\IMAGENS_PRODUTOS\SEM IMAGEM.jpg</v>
      </c>
    </row>
    <row r="254" spans="1:22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15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16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17"/>
        <v>1</v>
      </c>
      <c r="U254" s="10" t="str">
        <f>IFERROR((VLOOKUP(A254,Planilha1!A:B,2,0)),"\\192.168.0.4\Produtos\PRODUTO_PRONTA_ENTREGA\static\IMAGENS_PRODUTOS\SEM IMAGEM.jpg")</f>
        <v>\\192.168.0.4\Produtos\PRODUTO_PRONTA_ENTREGA\static\IMAGENS_PRODUTOS\SEM IMAGEM.jpg</v>
      </c>
      <c r="V254" t="str">
        <f>IFERROR((VLOOKUP(A254,Planilha1!A:B,2,0)),"\\192.168.0.4\Produtos\PRODUTO_PRONTA_ENTREGA\static\IMAGENS_PRODUTOS\SEM IMAGEM.jpg")</f>
        <v>\\192.168.0.4\Produtos\PRODUTO_PRONTA_ENTREGA\static\IMAGENS_PRODUTOS\SEM IMAGEM.jpg</v>
      </c>
    </row>
    <row r="255" spans="1:22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15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16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17"/>
        <v>2</v>
      </c>
      <c r="U255" s="10" t="str">
        <f>IFERROR((VLOOKUP(A255,Planilha1!A:B,2,0)),"\\192.168.0.4\Produtos\PRODUTO_PRONTA_ENTREGA\static\IMAGENS_PRODUTOS\SEM IMAGEM.jpg")</f>
        <v>\\192.168.0.4\Produtos\PRODUTO_PRONTA_ENTREGA\static\IMAGENS_PRODUTOS\SEM IMAGEM.jpg</v>
      </c>
      <c r="V255" t="str">
        <f>IFERROR((VLOOKUP(A255,Planilha1!A:B,2,0)),"\\192.168.0.4\Produtos\PRODUTO_PRONTA_ENTREGA\static\IMAGENS_PRODUTOS\SEM IMAGEM.jpg")</f>
        <v>\\192.168.0.4\Produtos\PRODUTO_PRONTA_ENTREGA\static\IMAGENS_PRODUTOS\SEM IMAGEM.jpg</v>
      </c>
    </row>
    <row r="256" spans="1:22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15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16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17"/>
        <v>1</v>
      </c>
      <c r="U256" s="10" t="str">
        <f>IFERROR((VLOOKUP(A256,Planilha1!A:B,2,0)),"\\192.168.0.4\Produtos\PRODUTO_PRONTA_ENTREGA\static\IMAGENS_PRODUTOS\SEM IMAGEM.jpg")</f>
        <v>\\192.168.0.4\Produtos\PRODUTO_PRONTA_ENTREGA\static\IMAGENS_PRODUTOS\MESA CENTRO ALECRIM_182609.jpg</v>
      </c>
      <c r="V256" t="str">
        <f>IFERROR((VLOOKUP(A256,Planilha1!A:B,2,0)),"\\192.168.0.4\Produtos\PRODUTO_PRONTA_ENTREGA\static\IMAGENS_PRODUTOS\SEM IMAGEM.jpg")</f>
        <v>\\192.168.0.4\Produtos\PRODUTO_PRONTA_ENTREGA\static\IMAGENS_PRODUTOS\MESA CENTRO ALECRIM_182609.jpg</v>
      </c>
    </row>
    <row r="257" spans="1:22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15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16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17"/>
        <v>1</v>
      </c>
      <c r="U257" s="10" t="str">
        <f>IFERROR((VLOOKUP(A257,Planilha1!A:B,2,0)),"\\192.168.0.4\Produtos\PRODUTO_PRONTA_ENTREGA\static\IMAGENS_PRODUTOS\SEM IMAGEM.jpg")</f>
        <v>\\192.168.0.4\Produtos\PRODUTO_PRONTA_ENTREGA\static\IMAGENS_PRODUTOS\MESA CENTRO LUMINA_182608.jpg</v>
      </c>
      <c r="V257" t="str">
        <f>IFERROR((VLOOKUP(A257,Planilha1!A:B,2,0)),"\\192.168.0.4\Produtos\PRODUTO_PRONTA_ENTREGA\static\IMAGENS_PRODUTOS\SEM IMAGEM.jpg")</f>
        <v>\\192.168.0.4\Produtos\PRODUTO_PRONTA_ENTREGA\static\IMAGENS_PRODUTOS\MESA CENTRO LUMINA_182608.jpg</v>
      </c>
    </row>
    <row r="258" spans="1:22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15"/>
        <v/>
      </c>
      <c r="L258" s="7" t="str">
        <f>IF(VLOOKUP(A258,'[1]LISTA ETIQUETAS'!O:AB,14,0)="","",(VLOOKUP(A258,'[1]LISTA ETIQUETAS'!O:AB,14,0)))</f>
        <v/>
      </c>
      <c r="M258" s="8"/>
      <c r="N258" s="9">
        <f t="shared" si="16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17"/>
        <v>1</v>
      </c>
      <c r="U258" s="10" t="str">
        <f>IFERROR((VLOOKUP(A258,Planilha1!A:B,2,0)),"\\192.168.0.4\Produtos\PRODUTO_PRONTA_ENTREGA\static\IMAGENS_PRODUTOS\SEM IMAGEM.jpg")</f>
        <v>\\192.168.0.4\Produtos\PRODUTO_PRONTA_ENTREGA\static\IMAGENS_PRODUTOS\SEM IMAGEM.jpg</v>
      </c>
      <c r="V258" t="str">
        <f>IFERROR((VLOOKUP(A258,Planilha1!A:B,2,0)),"\\192.168.0.4\Produtos\PRODUTO_PRONTA_ENTREGA\static\IMAGENS_PRODUTOS\SEM IMAGEM.jpg")</f>
        <v>\\192.168.0.4\Produtos\PRODUTO_PRONTA_ENTREGA\static\IMAGENS_PRODUTOS\SEM IMAGEM.jpg</v>
      </c>
    </row>
    <row r="259" spans="1:22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18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16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17"/>
        <v>1</v>
      </c>
      <c r="U259" s="10" t="str">
        <f>IFERROR((VLOOKUP(A259,Planilha1!A:B,2,0)),"\\192.168.0.4\Produtos\PRODUTO_PRONTA_ENTREGA\static\IMAGENS_PRODUTOS\SEM IMAGEM.jpg")</f>
        <v>\\192.168.0.4\Produtos\PRODUTO_PRONTA_ENTREGA\static\IMAGENS_PRODUTOS\MESA CENTRO BERTALHA_196057.jpg</v>
      </c>
      <c r="V259" t="str">
        <f>IFERROR((VLOOKUP(A259,Planilha1!A:B,2,0)),"\\192.168.0.4\Produtos\PRODUTO_PRONTA_ENTREGA\static\IMAGENS_PRODUTOS\SEM IMAGEM.jpg")</f>
        <v>\\192.168.0.4\Produtos\PRODUTO_PRONTA_ENTREGA\static\IMAGENS_PRODUTOS\MESA CENTRO BERTALHA_196057.jpg</v>
      </c>
    </row>
    <row r="260" spans="1:22" x14ac:dyDescent="0.25">
      <c r="A260" s="5">
        <v>270795</v>
      </c>
      <c r="B260" t="str">
        <f>IFERROR((VLOOKUP(A260,'[1]LISTA ETIQUETAS'!O:X,3,0)),"PRODUTO SEM ESTOQUE")</f>
        <v>EST BANCO DALI (ALUMINIO POLIDO)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18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19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20">SUM(O260:S260)</f>
        <v>1</v>
      </c>
      <c r="U260" s="10" t="str">
        <f>IFERROR((VLOOKUP(A260,Planilha1!A:B,2,0)),"\\192.168.0.4\Produtos\PRODUTO_PRONTA_ENTREGA\static\IMAGENS_PRODUTOS\SEM IMAGEM.jpg")</f>
        <v>\\192.168.0.4\Produtos\PRODUTO_PRONTA_ENTREGA\static\IMAGENS_PRODUTOS\SEM IMAGEM.jpg</v>
      </c>
      <c r="V260" t="str">
        <f>IFERROR((VLOOKUP(A260,Planilha1!A:B,2,0)),"\\192.168.0.4\Produtos\PRODUTO_PRONTA_ENTREGA\static\IMAGENS_PRODUTOS\SEM IMAGEM.jpg")</f>
        <v>\\192.168.0.4\Produtos\PRODUTO_PRONTA_ENTREGA\static\IMAGENS_PRODUTOS\SEM IMAGEM.jpg</v>
      </c>
    </row>
    <row r="261" spans="1:22" x14ac:dyDescent="0.25">
      <c r="A261" s="5">
        <v>319905</v>
      </c>
      <c r="B261" t="str">
        <f>IFERROR((VLOOKUP(A261,'[1]LISTA ETIQUETAS'!O:X,3,0)),"PRODUTO SEM ESTOQUE")</f>
        <v>EST BANCO DALI (ALUMINIO POLIDO) FX D4163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18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19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20"/>
        <v>1</v>
      </c>
      <c r="U261" s="10" t="str">
        <f>IFERROR((VLOOKUP(A261,Planilha1!A:B,2,0)),"\\192.168.0.4\Produtos\PRODUTO_PRONTA_ENTREGA\static\IMAGENS_PRODUTOS\SEM IMAGEM.jpg")</f>
        <v>\\192.168.0.4\Produtos\PRODUTO_PRONTA_ENTREGA\static\IMAGENS_PRODUTOS\BANCO DALI_319905.jpg</v>
      </c>
      <c r="V261" t="str">
        <f>IFERROR((VLOOKUP(A261,Planilha1!A:B,2,0)),"\\192.168.0.4\Produtos\PRODUTO_PRONTA_ENTREGA\static\IMAGENS_PRODUTOS\SEM IMAGEM.jpg")</f>
        <v>\\192.168.0.4\Produtos\PRODUTO_PRONTA_ENTREGA\static\IMAGENS_PRODUTOS\BANCO DALI_319905.jpg</v>
      </c>
    </row>
    <row r="262" spans="1:22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18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19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20"/>
        <v>1</v>
      </c>
      <c r="U262" s="10" t="str">
        <f>IFERROR((VLOOKUP(A262,Planilha1!A:B,2,0)),"\\192.168.0.4\Produtos\PRODUTO_PRONTA_ENTREGA\static\IMAGENS_PRODUTOS\SEM IMAGEM.jpg")</f>
        <v>\\192.168.0.4\Produtos\PRODUTO_PRONTA_ENTREGA\static\IMAGENS_PRODUTOS\BANCO CROCCO_80189.jpg</v>
      </c>
      <c r="V262" t="str">
        <f>IFERROR((VLOOKUP(A262,Planilha1!A:B,2,0)),"\\192.168.0.4\Produtos\PRODUTO_PRONTA_ENTREGA\static\IMAGENS_PRODUTOS\SEM IMAGEM.jpg")</f>
        <v>\\192.168.0.4\Produtos\PRODUTO_PRONTA_ENTREGA\static\IMAGENS_PRODUTOS\BANCO CROCCO_80189.jpg</v>
      </c>
    </row>
    <row r="263" spans="1:22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18"/>
        <v/>
      </c>
      <c r="L263" s="7" t="str">
        <f>IF(VLOOKUP(A263,'[1]LISTA ETIQUETAS'!O:AB,14,0)="","",(VLOOKUP(A263,'[1]LISTA ETIQUETAS'!O:AB,14,0)))</f>
        <v/>
      </c>
      <c r="M263" s="8"/>
      <c r="N263" s="9">
        <f t="shared" si="19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20"/>
        <v>1</v>
      </c>
      <c r="U263" s="10" t="str">
        <f>IFERROR((VLOOKUP(A263,Planilha1!A:B,2,0)),"\\192.168.0.4\Produtos\PRODUTO_PRONTA_ENTREGA\static\IMAGENS_PRODUTOS\SEM IMAGEM.jpg")</f>
        <v>\\192.168.0.4\Produtos\PRODUTO_PRONTA_ENTREGA\static\IMAGENS_PRODUTOS\BANCO PINO_77883.jpg</v>
      </c>
      <c r="V263" t="str">
        <f>IFERROR((VLOOKUP(A263,Planilha1!A:B,2,0)),"\\192.168.0.4\Produtos\PRODUTO_PRONTA_ENTREGA\static\IMAGENS_PRODUTOS\SEM IMAGEM.jpg")</f>
        <v>\\192.168.0.4\Produtos\PRODUTO_PRONTA_ENTREGA\static\IMAGENS_PRODUTOS\BANCO PINO_77883.jpg</v>
      </c>
    </row>
    <row r="264" spans="1:22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18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19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20"/>
        <v>1</v>
      </c>
      <c r="U264" s="10" t="str">
        <f>IFERROR((VLOOKUP(A264,Planilha1!A:B,2,0)),"\\192.168.0.4\Produtos\PRODUTO_PRONTA_ENTREGA\static\IMAGENS_PRODUTOS\SEM IMAGEM.jpg")</f>
        <v>\\192.168.0.4\Produtos\PRODUTO_PRONTA_ENTREGA\static\IMAGENS_PRODUTOS\BANCO WOOD_102495.jpg</v>
      </c>
      <c r="V264" t="str">
        <f>IFERROR((VLOOKUP(A264,Planilha1!A:B,2,0)),"\\192.168.0.4\Produtos\PRODUTO_PRONTA_ENTREGA\static\IMAGENS_PRODUTOS\SEM IMAGEM.jpg")</f>
        <v>\\192.168.0.4\Produtos\PRODUTO_PRONTA_ENTREGA\static\IMAGENS_PRODUTOS\BANCO WOOD_102495.jpg</v>
      </c>
    </row>
    <row r="265" spans="1:22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18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19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20"/>
        <v>2</v>
      </c>
      <c r="U265" s="10" t="str">
        <f>IFERROR((VLOOKUP(A265,Planilha1!A:B,2,0)),"\\192.168.0.4\Produtos\PRODUTO_PRONTA_ENTREGA\static\IMAGENS_PRODUTOS\SEM IMAGEM.jpg")</f>
        <v>\\192.168.0.4\Produtos\PRODUTO_PRONTA_ENTREGA\static\IMAGENS_PRODUTOS\BANCO LILLY II_86812.jpg</v>
      </c>
      <c r="V265" t="str">
        <f>IFERROR((VLOOKUP(A265,Planilha1!A:B,2,0)),"\\192.168.0.4\Produtos\PRODUTO_PRONTA_ENTREGA\static\IMAGENS_PRODUTOS\SEM IMAGEM.jpg")</f>
        <v>\\192.168.0.4\Produtos\PRODUTO_PRONTA_ENTREGA\static\IMAGENS_PRODUTOS\BANCO LILLY II_86812.jpg</v>
      </c>
    </row>
    <row r="266" spans="1:22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18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19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20"/>
        <v>1</v>
      </c>
      <c r="U266" s="10" t="str">
        <f>IFERROR((VLOOKUP(A266,Planilha1!A:B,2,0)),"\\192.168.0.4\Produtos\PRODUTO_PRONTA_ENTREGA\static\IMAGENS_PRODUTOS\SEM IMAGEM.jpg")</f>
        <v>\\192.168.0.4\Produtos\PRODUTO_PRONTA_ENTREGA\static\IMAGENS_PRODUTOS\BANCO PI_63998.jpg</v>
      </c>
      <c r="V266" t="str">
        <f>IFERROR((VLOOKUP(A266,Planilha1!A:B,2,0)),"\\192.168.0.4\Produtos\PRODUTO_PRONTA_ENTREGA\static\IMAGENS_PRODUTOS\SEM IMAGEM.jpg")</f>
        <v>\\192.168.0.4\Produtos\PRODUTO_PRONTA_ENTREGA\static\IMAGENS_PRODUTOS\BANCO PI_63998.jpg</v>
      </c>
    </row>
    <row r="267" spans="1:22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18"/>
        <v/>
      </c>
      <c r="L267" s="7" t="str">
        <f>IF(VLOOKUP(A267,'[1]LISTA ETIQUETAS'!O:AB,14,0)="","",(VLOOKUP(A267,'[1]LISTA ETIQUETAS'!O:AB,14,0)))</f>
        <v/>
      </c>
      <c r="M267" s="8"/>
      <c r="N267" s="9">
        <f t="shared" si="19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20"/>
        <v>1</v>
      </c>
      <c r="U267" s="10" t="str">
        <f>IFERROR((VLOOKUP(A267,Planilha1!A:B,2,0)),"\\192.168.0.4\Produtos\PRODUTO_PRONTA_ENTREGA\static\IMAGENS_PRODUTOS\SEM IMAGEM.jpg")</f>
        <v>\\192.168.0.4\Produtos\PRODUTO_PRONTA_ENTREGA\static\IMAGENS_PRODUTOS\BANCO JULIA_129391.jpg</v>
      </c>
      <c r="V267" t="str">
        <f>IFERROR((VLOOKUP(A267,Planilha1!A:B,2,0)),"\\192.168.0.4\Produtos\PRODUTO_PRONTA_ENTREGA\static\IMAGENS_PRODUTOS\SEM IMAGEM.jpg")</f>
        <v>\\192.168.0.4\Produtos\PRODUTO_PRONTA_ENTREGA\static\IMAGENS_PRODUTOS\BANCO JULIA_129391.jpg</v>
      </c>
    </row>
    <row r="268" spans="1:22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18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19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20"/>
        <v>2</v>
      </c>
      <c r="U268" s="10" t="str">
        <f>IFERROR((VLOOKUP(A268,Planilha1!A:B,2,0)),"\\192.168.0.4\Produtos\PRODUTO_PRONTA_ENTREGA\static\IMAGENS_PRODUTOS\SEM IMAGEM.jpg")</f>
        <v>\\192.168.0.4\Produtos\PRODUTO_PRONTA_ENTREGA\static\IMAGENS_PRODUTOS\BANCO KEI_142198.jpg</v>
      </c>
      <c r="V268" t="str">
        <f>IFERROR((VLOOKUP(A268,Planilha1!A:B,2,0)),"\\192.168.0.4\Produtos\PRODUTO_PRONTA_ENTREGA\static\IMAGENS_PRODUTOS\SEM IMAGEM.jpg")</f>
        <v>\\192.168.0.4\Produtos\PRODUTO_PRONTA_ENTREGA\static\IMAGENS_PRODUTOS\BANCO KEI_142198.jpg</v>
      </c>
    </row>
    <row r="269" spans="1:22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18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19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20"/>
        <v>2</v>
      </c>
      <c r="U269" s="10" t="str">
        <f>IFERROR((VLOOKUP(A269,Planilha1!A:B,2,0)),"\\192.168.0.4\Produtos\PRODUTO_PRONTA_ENTREGA\static\IMAGENS_PRODUTOS\SEM IMAGEM.jpg")</f>
        <v>\\192.168.0.4\Produtos\PRODUTO_PRONTA_ENTREGA\static\IMAGENS_PRODUTOS\BANCO BETA _142219.jpg</v>
      </c>
      <c r="V269" t="str">
        <f>IFERROR((VLOOKUP(A269,Planilha1!A:B,2,0)),"\\192.168.0.4\Produtos\PRODUTO_PRONTA_ENTREGA\static\IMAGENS_PRODUTOS\SEM IMAGEM.jpg")</f>
        <v>\\192.168.0.4\Produtos\PRODUTO_PRONTA_ENTREGA\static\IMAGENS_PRODUTOS\BANCO BETA _142219.jpg</v>
      </c>
    </row>
    <row r="270" spans="1:22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18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19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20"/>
        <v>1</v>
      </c>
      <c r="U270" s="10" t="str">
        <f>IFERROR((VLOOKUP(A270,Planilha1!A:B,2,0)),"\\192.168.0.4\Produtos\PRODUTO_PRONTA_ENTREGA\static\IMAGENS_PRODUTOS\SEM IMAGEM.jpg")</f>
        <v>\\192.168.0.4\Produtos\PRODUTO_PRONTA_ENTREGA\static\IMAGENS_PRODUTOS\BANCO BETA_142210.jpg</v>
      </c>
      <c r="V270" t="str">
        <f>IFERROR((VLOOKUP(A270,Planilha1!A:B,2,0)),"\\192.168.0.4\Produtos\PRODUTO_PRONTA_ENTREGA\static\IMAGENS_PRODUTOS\SEM IMAGEM.jpg")</f>
        <v>\\192.168.0.4\Produtos\PRODUTO_PRONTA_ENTREGA\static\IMAGENS_PRODUTOS\BANCO BETA_142210.jpg</v>
      </c>
    </row>
    <row r="271" spans="1:22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18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19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20"/>
        <v>2</v>
      </c>
      <c r="U271" s="10" t="str">
        <f>IFERROR((VLOOKUP(A271,Planilha1!A:B,2,0)),"\\192.168.0.4\Produtos\PRODUTO_PRONTA_ENTREGA\static\IMAGENS_PRODUTOS\SEM IMAGEM.jpg")</f>
        <v>\\192.168.0.4\Produtos\PRODUTO_PRONTA_ENTREGA\static\IMAGENS_PRODUTOS\BANCO BRASILIS_151452.jpg</v>
      </c>
      <c r="V271" t="str">
        <f>IFERROR((VLOOKUP(A271,Planilha1!A:B,2,0)),"\\192.168.0.4\Produtos\PRODUTO_PRONTA_ENTREGA\static\IMAGENS_PRODUTOS\SEM IMAGEM.jpg")</f>
        <v>\\192.168.0.4\Produtos\PRODUTO_PRONTA_ENTREGA\static\IMAGENS_PRODUTOS\BANCO BRASILIS_151452.jpg</v>
      </c>
    </row>
    <row r="272" spans="1:22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18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19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20"/>
        <v>1</v>
      </c>
      <c r="U272" s="10" t="str">
        <f>IFERROR((VLOOKUP(A272,Planilha1!A:B,2,0)),"\\192.168.0.4\Produtos\PRODUTO_PRONTA_ENTREGA\static\IMAGENS_PRODUTOS\SEM IMAGEM.jpg")</f>
        <v>\\192.168.0.4\Produtos\PRODUTO_PRONTA_ENTREGA\static\IMAGENS_PRODUTOS\BANCO GOMILADA DOURADA_147571.jpg</v>
      </c>
      <c r="V272" t="str">
        <f>IFERROR((VLOOKUP(A272,Planilha1!A:B,2,0)),"\\192.168.0.4\Produtos\PRODUTO_PRONTA_ENTREGA\static\IMAGENS_PRODUTOS\SEM IMAGEM.jpg")</f>
        <v>\\192.168.0.4\Produtos\PRODUTO_PRONTA_ENTREGA\static\IMAGENS_PRODUTOS\BANCO GOMILADA DOURADA_147571.jpg</v>
      </c>
    </row>
    <row r="273" spans="1:22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18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19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20"/>
        <v>2</v>
      </c>
      <c r="U273" s="10" t="str">
        <f>IFERROR((VLOOKUP(A273,Planilha1!A:B,2,0)),"\\192.168.0.4\Produtos\PRODUTO_PRONTA_ENTREGA\static\IMAGENS_PRODUTOS\SEM IMAGEM.jpg")</f>
        <v>\\192.168.0.4\Produtos\PRODUTO_PRONTA_ENTREGA\static\IMAGENS_PRODUTOS\BANCO GARDEN_151376.jpg</v>
      </c>
      <c r="V273" t="str">
        <f>IFERROR((VLOOKUP(A273,Planilha1!A:B,2,0)),"\\192.168.0.4\Produtos\PRODUTO_PRONTA_ENTREGA\static\IMAGENS_PRODUTOS\SEM IMAGEM.jpg")</f>
        <v>\\192.168.0.4\Produtos\PRODUTO_PRONTA_ENTREGA\static\IMAGENS_PRODUTOS\BANCO GARDEN_151376.jpg</v>
      </c>
    </row>
    <row r="274" spans="1:22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18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19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20"/>
        <v>2</v>
      </c>
      <c r="U274" s="10" t="str">
        <f>IFERROR((VLOOKUP(A274,Planilha1!A:B,2,0)),"\\192.168.0.4\Produtos\PRODUTO_PRONTA_ENTREGA\static\IMAGENS_PRODUTOS\SEM IMAGEM.jpg")</f>
        <v>\\192.168.0.4\Produtos\PRODUTO_PRONTA_ENTREGA\static\IMAGENS_PRODUTOS\BANCO VITE_163874.jpg</v>
      </c>
      <c r="V274" t="str">
        <f>IFERROR((VLOOKUP(A274,Planilha1!A:B,2,0)),"\\192.168.0.4\Produtos\PRODUTO_PRONTA_ENTREGA\static\IMAGENS_PRODUTOS\SEM IMAGEM.jpg")</f>
        <v>\\192.168.0.4\Produtos\PRODUTO_PRONTA_ENTREGA\static\IMAGENS_PRODUTOS\BANCO VITE_163874.jpg</v>
      </c>
    </row>
    <row r="275" spans="1:22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18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19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20"/>
        <v>1</v>
      </c>
      <c r="U275" s="10" t="str">
        <f>IFERROR((VLOOKUP(A275,Planilha1!A:B,2,0)),"\\192.168.0.4\Produtos\PRODUTO_PRONTA_ENTREGA\static\IMAGENS_PRODUTOS\SEM IMAGEM.jpg")</f>
        <v>\\192.168.0.4\Produtos\PRODUTO_PRONTA_ENTREGA\static\IMAGENS_PRODUTOS\BANCO CLARICE_183815_183816.jpg</v>
      </c>
      <c r="V275" t="str">
        <f>IFERROR((VLOOKUP(A275,Planilha1!A:B,2,0)),"\\192.168.0.4\Produtos\PRODUTO_PRONTA_ENTREGA\static\IMAGENS_PRODUTOS\SEM IMAGEM.jpg")</f>
        <v>\\192.168.0.4\Produtos\PRODUTO_PRONTA_ENTREGA\static\IMAGENS_PRODUTOS\BANCO CLARICE_183815_183816.jpg</v>
      </c>
    </row>
    <row r="276" spans="1:22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18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19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20"/>
        <v>7</v>
      </c>
      <c r="U276" s="10" t="str">
        <f>IFERROR((VLOOKUP(A276,Planilha1!A:B,2,0)),"\\192.168.0.4\Produtos\PRODUTO_PRONTA_ENTREGA\static\IMAGENS_PRODUTOS\SEM IMAGEM.jpg")</f>
        <v>\\192.168.0.4\Produtos\PRODUTO_PRONTA_ENTREGA\static\IMAGENS_PRODUTOS\BANCO BETA_179057.jpg</v>
      </c>
      <c r="V276" t="str">
        <f>IFERROR((VLOOKUP(A276,Planilha1!A:B,2,0)),"\\192.168.0.4\Produtos\PRODUTO_PRONTA_ENTREGA\static\IMAGENS_PRODUTOS\SEM IMAGEM.jpg")</f>
        <v>\\192.168.0.4\Produtos\PRODUTO_PRONTA_ENTREGA\static\IMAGENS_PRODUTOS\BANCO BETA_179057.jpg</v>
      </c>
    </row>
    <row r="277" spans="1:22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18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19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20"/>
        <v>2</v>
      </c>
      <c r="U277" s="10" t="str">
        <f>IFERROR((VLOOKUP(A277,Planilha1!A:B,2,0)),"\\192.168.0.4\Produtos\PRODUTO_PRONTA_ENTREGA\static\IMAGENS_PRODUTOS\SEM IMAGEM.jpg")</f>
        <v>\\192.168.0.4\Produtos\PRODUTO_PRONTA_ENTREGA\static\IMAGENS_PRODUTOS\BANCO SALOMI_178054.jpg</v>
      </c>
      <c r="V277" t="str">
        <f>IFERROR((VLOOKUP(A277,Planilha1!A:B,2,0)),"\\192.168.0.4\Produtos\PRODUTO_PRONTA_ENTREGA\static\IMAGENS_PRODUTOS\SEM IMAGEM.jpg")</f>
        <v>\\192.168.0.4\Produtos\PRODUTO_PRONTA_ENTREGA\static\IMAGENS_PRODUTOS\BANCO SALOMI_178054.jpg</v>
      </c>
    </row>
    <row r="278" spans="1:22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18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19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20"/>
        <v>1</v>
      </c>
      <c r="U278" s="10" t="str">
        <f>IFERROR((VLOOKUP(A278,Planilha1!A:B,2,0)),"\\192.168.0.4\Produtos\PRODUTO_PRONTA_ENTREGA\static\IMAGENS_PRODUTOS\SEM IMAGEM.jpg")</f>
        <v>\\192.168.0.4\Produtos\PRODUTO_PRONTA_ENTREGA\static\IMAGENS_PRODUTOS\BANCO CHINO_178893.jpg</v>
      </c>
      <c r="V278" t="str">
        <f>IFERROR((VLOOKUP(A278,Planilha1!A:B,2,0)),"\\192.168.0.4\Produtos\PRODUTO_PRONTA_ENTREGA\static\IMAGENS_PRODUTOS\SEM IMAGEM.jpg")</f>
        <v>\\192.168.0.4\Produtos\PRODUTO_PRONTA_ENTREGA\static\IMAGENS_PRODUTOS\BANCO CHINO_178893.jpg</v>
      </c>
    </row>
    <row r="279" spans="1:22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18"/>
        <v/>
      </c>
      <c r="L279" s="7" t="str">
        <f>IF(VLOOKUP(A279,'[1]LISTA ETIQUETAS'!O:AB,14,0)="","",(VLOOKUP(A279,'[1]LISTA ETIQUETAS'!O:AB,14,0)))</f>
        <v/>
      </c>
      <c r="M279" s="8"/>
      <c r="N279" s="9">
        <f t="shared" si="19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20"/>
        <v>2</v>
      </c>
      <c r="U279" s="10" t="str">
        <f>IFERROR((VLOOKUP(A279,Planilha1!A:B,2,0)),"\\192.168.0.4\Produtos\PRODUTO_PRONTA_ENTREGA\static\IMAGENS_PRODUTOS\SEM IMAGEM.jpg")</f>
        <v>\\192.168.0.4\Produtos\PRODUTO_PRONTA_ENTREGA\static\IMAGENS_PRODUTOS\BANCO JULIA_191298.jpg</v>
      </c>
      <c r="V279" t="str">
        <f>IFERROR((VLOOKUP(A279,Planilha1!A:B,2,0)),"\\192.168.0.4\Produtos\PRODUTO_PRONTA_ENTREGA\static\IMAGENS_PRODUTOS\SEM IMAGEM.jpg")</f>
        <v>\\192.168.0.4\Produtos\PRODUTO_PRONTA_ENTREGA\static\IMAGENS_PRODUTOS\BANCO JULIA_191298.jpg</v>
      </c>
    </row>
    <row r="280" spans="1:22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18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19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20"/>
        <v>1</v>
      </c>
      <c r="U280" s="10" t="str">
        <f>IFERROR((VLOOKUP(A280,Planilha1!A:B,2,0)),"\\192.168.0.4\Produtos\PRODUTO_PRONTA_ENTREGA\static\IMAGENS_PRODUTOS\SEM IMAGEM.jpg")</f>
        <v>\\192.168.0.4\Produtos\PRODUTO_PRONTA_ENTREGA\static\IMAGENS_PRODUTOS\SEM IMAGEM.jpg</v>
      </c>
      <c r="V280" t="str">
        <f>IFERROR((VLOOKUP(A280,Planilha1!A:B,2,0)),"\\192.168.0.4\Produtos\PRODUTO_PRONTA_ENTREGA\static\IMAGENS_PRODUTOS\SEM IMAGEM.jpg")</f>
        <v>\\192.168.0.4\Produtos\PRODUTO_PRONTA_ENTREGA\static\IMAGENS_PRODUTOS\SEM IMAGEM.jpg</v>
      </c>
    </row>
    <row r="281" spans="1:22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18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19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20"/>
        <v>1</v>
      </c>
      <c r="U281" s="10" t="str">
        <f>IFERROR((VLOOKUP(A281,Planilha1!A:B,2,0)),"\\192.168.0.4\Produtos\PRODUTO_PRONTA_ENTREGA\static\IMAGENS_PRODUTOS\SEM IMAGEM.jpg")</f>
        <v>\\192.168.0.4\Produtos\PRODUTO_PRONTA_ENTREGA\static\IMAGENS_PRODUTOS\BANCO STRONGER_210423.jpg</v>
      </c>
      <c r="V281" t="str">
        <f>IFERROR((VLOOKUP(A281,Planilha1!A:B,2,0)),"\\192.168.0.4\Produtos\PRODUTO_PRONTA_ENTREGA\static\IMAGENS_PRODUTOS\SEM IMAGEM.jpg")</f>
        <v>\\192.168.0.4\Produtos\PRODUTO_PRONTA_ENTREGA\static\IMAGENS_PRODUTOS\BANCO STRONGER_210423.jpg</v>
      </c>
    </row>
    <row r="282" spans="1:22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18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19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20"/>
        <v>2</v>
      </c>
      <c r="U282" s="10" t="str">
        <f>IFERROR((VLOOKUP(A282,Planilha1!A:B,2,0)),"\\192.168.0.4\Produtos\PRODUTO_PRONTA_ENTREGA\static\IMAGENS_PRODUTOS\SEM IMAGEM.jpg")</f>
        <v>\\192.168.0.4\Produtos\PRODUTO_PRONTA_ENTREGA\static\IMAGENS_PRODUTOS\BANCO GAL_210359.jpg</v>
      </c>
      <c r="V282" t="str">
        <f>IFERROR((VLOOKUP(A282,Planilha1!A:B,2,0)),"\\192.168.0.4\Produtos\PRODUTO_PRONTA_ENTREGA\static\IMAGENS_PRODUTOS\SEM IMAGEM.jpg")</f>
        <v>\\192.168.0.4\Produtos\PRODUTO_PRONTA_ENTREGA\static\IMAGENS_PRODUTOS\BANCO GAL_210359.jpg</v>
      </c>
    </row>
    <row r="283" spans="1:22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18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19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20"/>
        <v>2</v>
      </c>
      <c r="U283" s="10" t="str">
        <f>IFERROR((VLOOKUP(A283,Planilha1!A:B,2,0)),"\\192.168.0.4\Produtos\PRODUTO_PRONTA_ENTREGA\static\IMAGENS_PRODUTOS\SEM IMAGEM.jpg")</f>
        <v>\\192.168.0.4\Produtos\PRODUTO_PRONTA_ENTREGA\static\IMAGENS_PRODUTOS\BANCO PHILIPS_230075.jpg</v>
      </c>
      <c r="V283" t="str">
        <f>IFERROR((VLOOKUP(A283,Planilha1!A:B,2,0)),"\\192.168.0.4\Produtos\PRODUTO_PRONTA_ENTREGA\static\IMAGENS_PRODUTOS\SEM IMAGEM.jpg")</f>
        <v>\\192.168.0.4\Produtos\PRODUTO_PRONTA_ENTREGA\static\IMAGENS_PRODUTOS\BANCO PHILIPS_230075.jpg</v>
      </c>
    </row>
    <row r="284" spans="1:22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18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19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20"/>
        <v>1</v>
      </c>
      <c r="U284" s="10" t="str">
        <f>IFERROR((VLOOKUP(A284,Planilha1!A:B,2,0)),"\\192.168.0.4\Produtos\PRODUTO_PRONTA_ENTREGA\static\IMAGENS_PRODUTOS\SEM IMAGEM.jpg")</f>
        <v>\\192.168.0.4\Produtos\PRODUTO_PRONTA_ENTREGA\static\IMAGENS_PRODUTOS\BANCO EVO_254163.jpg</v>
      </c>
      <c r="V284" t="str">
        <f>IFERROR((VLOOKUP(A284,Planilha1!A:B,2,0)),"\\192.168.0.4\Produtos\PRODUTO_PRONTA_ENTREGA\static\IMAGENS_PRODUTOS\SEM IMAGEM.jpg")</f>
        <v>\\192.168.0.4\Produtos\PRODUTO_PRONTA_ENTREGA\static\IMAGENS_PRODUTOS\BANCO EVO_254163.jpg</v>
      </c>
    </row>
    <row r="285" spans="1:22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18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19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20"/>
        <v>2</v>
      </c>
      <c r="U285" s="10" t="str">
        <f>IFERROR((VLOOKUP(A285,Planilha1!A:B,2,0)),"\\192.168.0.4\Produtos\PRODUTO_PRONTA_ENTREGA\static\IMAGENS_PRODUTOS\SEM IMAGEM.jpg")</f>
        <v>\\192.168.0.4\Produtos\PRODUTO_PRONTA_ENTREGA\static\IMAGENS_PRODUTOS\SEM IMAGEM.jpg</v>
      </c>
      <c r="V285" t="str">
        <f>IFERROR((VLOOKUP(A285,Planilha1!A:B,2,0)),"\\192.168.0.4\Produtos\PRODUTO_PRONTA_ENTREGA\static\IMAGENS_PRODUTOS\SEM IMAGEM.jpg")</f>
        <v>\\192.168.0.4\Produtos\PRODUTO_PRONTA_ENTREGA\static\IMAGENS_PRODUTOS\SEM IMAGEM.jpg</v>
      </c>
    </row>
    <row r="286" spans="1:22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18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19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20"/>
        <v>2</v>
      </c>
      <c r="U286" s="10" t="str">
        <f>IFERROR((VLOOKUP(A286,Planilha1!A:B,2,0)),"\\192.168.0.4\Produtos\PRODUTO_PRONTA_ENTREGA\static\IMAGENS_PRODUTOS\SEM IMAGEM.jpg")</f>
        <v>\\192.168.0.4\Produtos\PRODUTO_PRONTA_ENTREGA\static\IMAGENS_PRODUTOS\BANCO GARDEN_147559.jpg</v>
      </c>
      <c r="V286" t="str">
        <f>IFERROR((VLOOKUP(A286,Planilha1!A:B,2,0)),"\\192.168.0.4\Produtos\PRODUTO_PRONTA_ENTREGA\static\IMAGENS_PRODUTOS\SEM IMAGEM.jpg")</f>
        <v>\\192.168.0.4\Produtos\PRODUTO_PRONTA_ENTREGA\static\IMAGENS_PRODUTOS\BANCO GARDEN_147559.jpg</v>
      </c>
    </row>
    <row r="287" spans="1:22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18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19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20"/>
        <v>1</v>
      </c>
      <c r="U287" s="10" t="str">
        <f>IFERROR((VLOOKUP(A287,Planilha1!A:B,2,0)),"\\192.168.0.4\Produtos\PRODUTO_PRONTA_ENTREGA\static\IMAGENS_PRODUTOS\SEM IMAGEM.jpg")</f>
        <v>\\192.168.0.4\Produtos\PRODUTO_PRONTA_ENTREGA\static\IMAGENS_PRODUTOS\BANCO FLOR _82236.jpg</v>
      </c>
      <c r="V287" t="str">
        <f>IFERROR((VLOOKUP(A287,Planilha1!A:B,2,0)),"\\192.168.0.4\Produtos\PRODUTO_PRONTA_ENTREGA\static\IMAGENS_PRODUTOS\SEM IMAGEM.jpg")</f>
        <v>\\192.168.0.4\Produtos\PRODUTO_PRONTA_ENTREGA\static\IMAGENS_PRODUTOS\BANCO FLOR _82236.jpg</v>
      </c>
    </row>
    <row r="288" spans="1:22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18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19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20"/>
        <v>1</v>
      </c>
      <c r="U288" s="10" t="str">
        <f>IFERROR((VLOOKUP(A288,Planilha1!A:B,2,0)),"\\192.168.0.4\Produtos\PRODUTO_PRONTA_ENTREGA\static\IMAGENS_PRODUTOS\SEM IMAGEM.jpg")</f>
        <v>\\192.168.0.4\Produtos\PRODUTO_PRONTA_ENTREGA\static\IMAGENS_PRODUTOS\BANCO ROCCO_216681.jpg</v>
      </c>
      <c r="V288" t="str">
        <f>IFERROR((VLOOKUP(A288,Planilha1!A:B,2,0)),"\\192.168.0.4\Produtos\PRODUTO_PRONTA_ENTREGA\static\IMAGENS_PRODUTOS\SEM IMAGEM.jpg")</f>
        <v>\\192.168.0.4\Produtos\PRODUTO_PRONTA_ENTREGA\static\IMAGENS_PRODUTOS\BANCO ROCCO_216681.jpg</v>
      </c>
    </row>
    <row r="289" spans="1:22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18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19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20"/>
        <v>1</v>
      </c>
      <c r="U289" s="10" t="str">
        <f>IFERROR((VLOOKUP(A289,Planilha1!A:B,2,0)),"\\192.168.0.4\Produtos\PRODUTO_PRONTA_ENTREGA\static\IMAGENS_PRODUTOS\SEM IMAGEM.jpg")</f>
        <v>\\192.168.0.4\Produtos\PRODUTO_PRONTA_ENTREGA\static\IMAGENS_PRODUTOS\BANCO EOS_336654.jpg</v>
      </c>
      <c r="V289" t="str">
        <f>IFERROR((VLOOKUP(A289,Planilha1!A:B,2,0)),"\\192.168.0.4\Produtos\PRODUTO_PRONTA_ENTREGA\static\IMAGENS_PRODUTOS\SEM IMAGEM.jpg")</f>
        <v>\\192.168.0.4\Produtos\PRODUTO_PRONTA_ENTREGA\static\IMAGENS_PRODUTOS\BANCO EOS_336654.jpg</v>
      </c>
    </row>
    <row r="290" spans="1:22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18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19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20"/>
        <v>1</v>
      </c>
      <c r="U290" s="10" t="str">
        <f>IFERROR((VLOOKUP(A290,Planilha1!A:B,2,0)),"\\192.168.0.4\Produtos\PRODUTO_PRONTA_ENTREGA\static\IMAGENS_PRODUTOS\SEM IMAGEM.jpg")</f>
        <v>\\192.168.0.4\Produtos\PRODUTO_PRONTA_ENTREGA\static\IMAGENS_PRODUTOS\SEM IMAGEM.jpg</v>
      </c>
      <c r="V290" t="str">
        <f>IFERROR((VLOOKUP(A290,Planilha1!A:B,2,0)),"\\192.168.0.4\Produtos\PRODUTO_PRONTA_ENTREGA\static\IMAGENS_PRODUTOS\SEM IMAGEM.jpg")</f>
        <v>\\192.168.0.4\Produtos\PRODUTO_PRONTA_ENTREGA\static\IMAGENS_PRODUTOS\SEM IMAGEM.jpg</v>
      </c>
    </row>
    <row r="291" spans="1:22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18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19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20"/>
        <v>1</v>
      </c>
      <c r="U291" s="10" t="str">
        <f>IFERROR((VLOOKUP(A291,Planilha1!A:B,2,0)),"\\192.168.0.4\Produtos\PRODUTO_PRONTA_ENTREGA\static\IMAGENS_PRODUTOS\SEM IMAGEM.jpg")</f>
        <v>\\192.168.0.4\Produtos\PRODUTO_PRONTA_ENTREGA\static\IMAGENS_PRODUTOS\SEM IMAGEM.jpg</v>
      </c>
      <c r="V291" t="str">
        <f>IFERROR((VLOOKUP(A291,Planilha1!A:B,2,0)),"\\192.168.0.4\Produtos\PRODUTO_PRONTA_ENTREGA\static\IMAGENS_PRODUTOS\SEM IMAGEM.jpg")</f>
        <v>\\192.168.0.4\Produtos\PRODUTO_PRONTA_ENTREGA\static\IMAGENS_PRODUTOS\SEM IMAGEM.jpg</v>
      </c>
    </row>
    <row r="292" spans="1:22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18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19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20"/>
        <v>1</v>
      </c>
      <c r="U292" s="10" t="str">
        <f>IFERROR((VLOOKUP(A292,Planilha1!A:B,2,0)),"\\192.168.0.4\Produtos\PRODUTO_PRONTA_ENTREGA\static\IMAGENS_PRODUTOS\SEM IMAGEM.jpg")</f>
        <v>\\192.168.0.4\Produtos\PRODUTO_PRONTA_ENTREGA\static\IMAGENS_PRODUTOS\POLTRONA_BANQUETA CACAU_308175_308176.jpg</v>
      </c>
      <c r="V292" t="str">
        <f>IFERROR((VLOOKUP(A292,Planilha1!A:B,2,0)),"\\192.168.0.4\Produtos\PRODUTO_PRONTA_ENTREGA\static\IMAGENS_PRODUTOS\SEM IMAGEM.jpg")</f>
        <v>\\192.168.0.4\Produtos\PRODUTO_PRONTA_ENTREGA\static\IMAGENS_PRODUTOS\POLTRONA_BANQUETA CACAU_308175_308176.jpg</v>
      </c>
    </row>
    <row r="293" spans="1:22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18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19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20"/>
        <v>1</v>
      </c>
      <c r="U293" s="10" t="str">
        <f>IFERROR((VLOOKUP(A293,Planilha1!A:B,2,0)),"\\192.168.0.4\Produtos\PRODUTO_PRONTA_ENTREGA\static\IMAGENS_PRODUTOS\SEM IMAGEM.jpg")</f>
        <v>\\192.168.0.4\Produtos\PRODUTO_PRONTA_ENTREGA\static\IMAGENS_PRODUTOS\POLTRONA_BANQUETA CACAU_308171_308172.jpg</v>
      </c>
      <c r="V293" t="str">
        <f>IFERROR((VLOOKUP(A293,Planilha1!A:B,2,0)),"\\192.168.0.4\Produtos\PRODUTO_PRONTA_ENTREGA\static\IMAGENS_PRODUTOS\SEM IMAGEM.jpg")</f>
        <v>\\192.168.0.4\Produtos\PRODUTO_PRONTA_ENTREGA\static\IMAGENS_PRODUTOS\POLTRONA_BANQUETA CACAU_308171_308172.jpg</v>
      </c>
    </row>
    <row r="294" spans="1:22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18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19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20"/>
        <v>3</v>
      </c>
      <c r="U294" s="10" t="str">
        <f>IFERROR((VLOOKUP(A294,Planilha1!A:B,2,0)),"\\192.168.0.4\Produtos\PRODUTO_PRONTA_ENTREGA\static\IMAGENS_PRODUTOS\SEM IMAGEM.jpg")</f>
        <v>\\192.168.0.4\Produtos\PRODUTO_PRONTA_ENTREGA\static\IMAGENS_PRODUTOS\BANQUETA KAZZ_250460.jpg</v>
      </c>
      <c r="V294" t="str">
        <f>IFERROR((VLOOKUP(A294,Planilha1!A:B,2,0)),"\\192.168.0.4\Produtos\PRODUTO_PRONTA_ENTREGA\static\IMAGENS_PRODUTOS\SEM IMAGEM.jpg")</f>
        <v>\\192.168.0.4\Produtos\PRODUTO_PRONTA_ENTREGA\static\IMAGENS_PRODUTOS\BANQUETA KAZZ_250460.jpg</v>
      </c>
    </row>
    <row r="295" spans="1:22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18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19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20"/>
        <v>2</v>
      </c>
      <c r="U295" s="10" t="str">
        <f>IFERROR((VLOOKUP(A295,Planilha1!A:B,2,0)),"\\192.168.0.4\Produtos\PRODUTO_PRONTA_ENTREGA\static\IMAGENS_PRODUTOS\SEM IMAGEM.jpg")</f>
        <v>\\192.168.0.4\Produtos\PRODUTO_PRONTA_ENTREGA\static\IMAGENS_PRODUTOS\SEM IMAGEM.jpg</v>
      </c>
      <c r="V295" t="str">
        <f>IFERROR((VLOOKUP(A295,Planilha1!A:B,2,0)),"\\192.168.0.4\Produtos\PRODUTO_PRONTA_ENTREGA\static\IMAGENS_PRODUTOS\SEM IMAGEM.jpg")</f>
        <v>\\192.168.0.4\Produtos\PRODUTO_PRONTA_ENTREGA\static\IMAGENS_PRODUTOS\SEM IMAGEM.jpg</v>
      </c>
    </row>
    <row r="296" spans="1:22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18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19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20"/>
        <v>2</v>
      </c>
      <c r="U296" s="10" t="str">
        <f>IFERROR((VLOOKUP(A296,Planilha1!A:B,2,0)),"\\192.168.0.4\Produtos\PRODUTO_PRONTA_ENTREGA\static\IMAGENS_PRODUTOS\SEM IMAGEM.jpg")</f>
        <v>\\192.168.0.4\Produtos\PRODUTO_PRONTA_ENTREGA\static\IMAGENS_PRODUTOS\SEM IMAGEM.jpg</v>
      </c>
      <c r="V296" t="str">
        <f>IFERROR((VLOOKUP(A296,Planilha1!A:B,2,0)),"\\192.168.0.4\Produtos\PRODUTO_PRONTA_ENTREGA\static\IMAGENS_PRODUTOS\SEM IMAGEM.jpg")</f>
        <v>\\192.168.0.4\Produtos\PRODUTO_PRONTA_ENTREGA\static\IMAGENS_PRODUTOS\SEM IMAGEM.jpg</v>
      </c>
    </row>
    <row r="297" spans="1:22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18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19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20"/>
        <v>2</v>
      </c>
      <c r="U297" s="10" t="str">
        <f>IFERROR((VLOOKUP(A297,Planilha1!A:B,2,0)),"\\192.168.0.4\Produtos\PRODUTO_PRONTA_ENTREGA\static\IMAGENS_PRODUTOS\SEM IMAGEM.jpg")</f>
        <v>\\192.168.0.4\Produtos\PRODUTO_PRONTA_ENTREGA\static\IMAGENS_PRODUTOS\POLTRONA_BANQUETA POMME_363865_363875.jpg</v>
      </c>
      <c r="V297" t="str">
        <f>IFERROR((VLOOKUP(A297,Planilha1!A:B,2,0)),"\\192.168.0.4\Produtos\PRODUTO_PRONTA_ENTREGA\static\IMAGENS_PRODUTOS\SEM IMAGEM.jpg")</f>
        <v>\\192.168.0.4\Produtos\PRODUTO_PRONTA_ENTREGA\static\IMAGENS_PRODUTOS\POLTRONA_BANQUETA POMME_363865_363875.jpg</v>
      </c>
    </row>
    <row r="298" spans="1:22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18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19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20"/>
        <v>1</v>
      </c>
      <c r="U298" s="10" t="str">
        <f>IFERROR((VLOOKUP(A298,Planilha1!A:B,2,0)),"\\192.168.0.4\Produtos\PRODUTO_PRONTA_ENTREGA\static\IMAGENS_PRODUTOS\SEM IMAGEM.jpg")</f>
        <v>\\192.168.0.4\Produtos\PRODUTO_PRONTA_ENTREGA\static\IMAGENS_PRODUTOS\POLTRONA_BANQUETA CACAU_330635_330637.jpg</v>
      </c>
      <c r="V298" t="str">
        <f>IFERROR((VLOOKUP(A298,Planilha1!A:B,2,0)),"\\192.168.0.4\Produtos\PRODUTO_PRONTA_ENTREGA\static\IMAGENS_PRODUTOS\SEM IMAGEM.jpg")</f>
        <v>\\192.168.0.4\Produtos\PRODUTO_PRONTA_ENTREGA\static\IMAGENS_PRODUTOS\POLTRONA_BANQUETA CACAU_330635_330637.jpg</v>
      </c>
    </row>
    <row r="299" spans="1:22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18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19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20"/>
        <v>1</v>
      </c>
      <c r="U299" s="10" t="str">
        <f>IFERROR((VLOOKUP(A299,Planilha1!A:B,2,0)),"\\192.168.0.4\Produtos\PRODUTO_PRONTA_ENTREGA\static\IMAGENS_PRODUTOS\SEM IMAGEM.jpg")</f>
        <v>\\192.168.0.4\Produtos\PRODUTO_PRONTA_ENTREGA\static\IMAGENS_PRODUTOS\SEM IMAGEM.jpg</v>
      </c>
      <c r="V299" t="str">
        <f>IFERROR((VLOOKUP(A299,Planilha1!A:B,2,0)),"\\192.168.0.4\Produtos\PRODUTO_PRONTA_ENTREGA\static\IMAGENS_PRODUTOS\SEM IMAGEM.jpg")</f>
        <v>\\192.168.0.4\Produtos\PRODUTO_PRONTA_ENTREGA\static\IMAGENS_PRODUTOS\SEM IMAGEM.jpg</v>
      </c>
    </row>
    <row r="300" spans="1:22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18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19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20"/>
        <v>2</v>
      </c>
      <c r="U300" s="10" t="str">
        <f>IFERROR((VLOOKUP(A300,Planilha1!A:B,2,0)),"\\192.168.0.4\Produtos\PRODUTO_PRONTA_ENTREGA\static\IMAGENS_PRODUTOS\SEM IMAGEM.jpg")</f>
        <v>\\192.168.0.4\Produtos\PRODUTO_PRONTA_ENTREGA\static\IMAGENS_PRODUTOS\SEM IMAGEM.jpg</v>
      </c>
      <c r="V300" t="str">
        <f>IFERROR((VLOOKUP(A300,Planilha1!A:B,2,0)),"\\192.168.0.4\Produtos\PRODUTO_PRONTA_ENTREGA\static\IMAGENS_PRODUTOS\SEM IMAGEM.jpg")</f>
        <v>\\192.168.0.4\Produtos\PRODUTO_PRONTA_ENTREGA\static\IMAGENS_PRODUTOS\SEM IMAGEM.jpg</v>
      </c>
    </row>
    <row r="301" spans="1:22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18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19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20"/>
        <v>1</v>
      </c>
      <c r="U301" s="10" t="str">
        <f>IFERROR((VLOOKUP(A301,Planilha1!A:B,2,0)),"\\192.168.0.4\Produtos\PRODUTO_PRONTA_ENTREGA\static\IMAGENS_PRODUTOS\SEM IMAGEM.jpg")</f>
        <v>\\192.168.0.4\Produtos\PRODUTO_PRONTA_ENTREGA\static\IMAGENS_PRODUTOS\POLTRONA_BANQUETA PATER_320759_337717.jpg</v>
      </c>
      <c r="V301" t="str">
        <f>IFERROR((VLOOKUP(A301,Planilha1!A:B,2,0)),"\\192.168.0.4\Produtos\PRODUTO_PRONTA_ENTREGA\static\IMAGENS_PRODUTOS\SEM IMAGEM.jpg")</f>
        <v>\\192.168.0.4\Produtos\PRODUTO_PRONTA_ENTREGA\static\IMAGENS_PRODUTOS\POLTRONA_BANQUETA PATER_320759_337717.jpg</v>
      </c>
    </row>
    <row r="302" spans="1:22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18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19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20"/>
        <v>1</v>
      </c>
      <c r="U302" s="10" t="str">
        <f>IFERROR((VLOOKUP(A302,Planilha1!A:B,2,0)),"\\192.168.0.4\Produtos\PRODUTO_PRONTA_ENTREGA\static\IMAGENS_PRODUTOS\SEM IMAGEM.jpg")</f>
        <v>\\192.168.0.4\Produtos\PRODUTO_PRONTA_ENTREGA\static\IMAGENS_PRODUTOS\POLTRONA_BANQUETA PATER_334175_334465.jpg</v>
      </c>
      <c r="V302" t="str">
        <f>IFERROR((VLOOKUP(A302,Planilha1!A:B,2,0)),"\\192.168.0.4\Produtos\PRODUTO_PRONTA_ENTREGA\static\IMAGENS_PRODUTOS\SEM IMAGEM.jpg")</f>
        <v>\\192.168.0.4\Produtos\PRODUTO_PRONTA_ENTREGA\static\IMAGENS_PRODUTOS\POLTRONA_BANQUETA PATER_334175_334465.jpg</v>
      </c>
    </row>
    <row r="303" spans="1:22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18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19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20"/>
        <v>1</v>
      </c>
      <c r="U303" s="10" t="str">
        <f>IFERROR((VLOOKUP(A303,Planilha1!A:B,2,0)),"\\192.168.0.4\Produtos\PRODUTO_PRONTA_ENTREGA\static\IMAGENS_PRODUTOS\SEM IMAGEM.jpg")</f>
        <v>\\192.168.0.4\Produtos\PRODUTO_PRONTA_ENTREGA\static\IMAGENS_PRODUTOS\POLTRONA_BANQUETA CACAU_334189_334190.jpg</v>
      </c>
      <c r="V303" t="str">
        <f>IFERROR((VLOOKUP(A303,Planilha1!A:B,2,0)),"\\192.168.0.4\Produtos\PRODUTO_PRONTA_ENTREGA\static\IMAGENS_PRODUTOS\SEM IMAGEM.jpg")</f>
        <v>\\192.168.0.4\Produtos\PRODUTO_PRONTA_ENTREGA\static\IMAGENS_PRODUTOS\POLTRONA_BANQUETA CACAU_334189_334190.jpg</v>
      </c>
    </row>
    <row r="304" spans="1:22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18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19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20"/>
        <v>3</v>
      </c>
      <c r="U304" s="10" t="str">
        <f>IFERROR((VLOOKUP(A304,Planilha1!A:B,2,0)),"\\192.168.0.4\Produtos\PRODUTO_PRONTA_ENTREGA\static\IMAGENS_PRODUTOS\SEM IMAGEM.jpg")</f>
        <v>\\192.168.0.4\Produtos\PRODUTO_PRONTA_ENTREGA\static\IMAGENS_PRODUTOS\POLTRONA JOBS_117364_117365.jpg</v>
      </c>
      <c r="V304" t="str">
        <f>IFERROR((VLOOKUP(A304,Planilha1!A:B,2,0)),"\\192.168.0.4\Produtos\PRODUTO_PRONTA_ENTREGA\static\IMAGENS_PRODUTOS\SEM IMAGEM.jpg")</f>
        <v>\\192.168.0.4\Produtos\PRODUTO_PRONTA_ENTREGA\static\IMAGENS_PRODUTOS\POLTRONA JOBS_117364_117365.jpg</v>
      </c>
    </row>
    <row r="305" spans="1:22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18"/>
        <v/>
      </c>
      <c r="L305" s="7" t="str">
        <f>IF(VLOOKUP(A305,'[1]LISTA ETIQUETAS'!O:AB,14,0)="","",(VLOOKUP(A305,'[1]LISTA ETIQUETAS'!O:AB,14,0)))</f>
        <v/>
      </c>
      <c r="M305" s="8"/>
      <c r="N305" s="9">
        <f t="shared" si="19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20"/>
        <v>1</v>
      </c>
      <c r="U305" s="10" t="str">
        <f>IFERROR((VLOOKUP(A305,Planilha1!A:B,2,0)),"\\192.168.0.4\Produtos\PRODUTO_PRONTA_ENTREGA\static\IMAGENS_PRODUTOS\SEM IMAGEM.jpg")</f>
        <v>\\192.168.0.4\Produtos\PRODUTO_PRONTA_ENTREGA\static\IMAGENS_PRODUTOS\PUFF DORA_176801.jpg</v>
      </c>
      <c r="V305" t="str">
        <f>IFERROR((VLOOKUP(A305,Planilha1!A:B,2,0)),"\\192.168.0.4\Produtos\PRODUTO_PRONTA_ENTREGA\static\IMAGENS_PRODUTOS\SEM IMAGEM.jpg")</f>
        <v>\\192.168.0.4\Produtos\PRODUTO_PRONTA_ENTREGA\static\IMAGENS_PRODUTOS\PUFF DORA_176801.jpg</v>
      </c>
    </row>
    <row r="306" spans="1:22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18"/>
        <v/>
      </c>
      <c r="L306" s="7" t="str">
        <f>IF(VLOOKUP(A306,'[1]LISTA ETIQUETAS'!O:AB,14,0)="","",(VLOOKUP(A306,'[1]LISTA ETIQUETAS'!O:AB,14,0)))</f>
        <v/>
      </c>
      <c r="M306" s="8"/>
      <c r="N306" s="9">
        <f t="shared" si="19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20"/>
        <v>1</v>
      </c>
      <c r="U306" s="10" t="str">
        <f>IFERROR((VLOOKUP(A306,Planilha1!A:B,2,0)),"\\192.168.0.4\Produtos\PRODUTO_PRONTA_ENTREGA\static\IMAGENS_PRODUTOS\SEM IMAGEM.jpg")</f>
        <v>\\192.168.0.4\Produtos\PRODUTO_PRONTA_ENTREGA\static\IMAGENS_PRODUTOS\PUFF 150_191237.jpg</v>
      </c>
      <c r="V306" t="str">
        <f>IFERROR((VLOOKUP(A306,Planilha1!A:B,2,0)),"\\192.168.0.4\Produtos\PRODUTO_PRONTA_ENTREGA\static\IMAGENS_PRODUTOS\SEM IMAGEM.jpg")</f>
        <v>\\192.168.0.4\Produtos\PRODUTO_PRONTA_ENTREGA\static\IMAGENS_PRODUTOS\PUFF 150_191237.jpg</v>
      </c>
    </row>
    <row r="307" spans="1:22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18"/>
        <v/>
      </c>
      <c r="L307" s="7" t="str">
        <f>IF(VLOOKUP(A307,'[1]LISTA ETIQUETAS'!O:AB,14,0)="","",(VLOOKUP(A307,'[1]LISTA ETIQUETAS'!O:AB,14,0)))</f>
        <v/>
      </c>
      <c r="M307" s="8"/>
      <c r="N307" s="9">
        <f t="shared" si="19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20"/>
        <v>1</v>
      </c>
      <c r="U307" s="10" t="str">
        <f>IFERROR((VLOOKUP(A307,Planilha1!A:B,2,0)),"\\192.168.0.4\Produtos\PRODUTO_PRONTA_ENTREGA\static\IMAGENS_PRODUTOS\SEM IMAGEM.jpg")</f>
        <v>\\192.168.0.4\Produtos\PRODUTO_PRONTA_ENTREGA\static\IMAGENS_PRODUTOS\SEM IMAGEM.jpg</v>
      </c>
      <c r="V307" t="str">
        <f>IFERROR((VLOOKUP(A307,Planilha1!A:B,2,0)),"\\192.168.0.4\Produtos\PRODUTO_PRONTA_ENTREGA\static\IMAGENS_PRODUTOS\SEM IMAGEM.jpg")</f>
        <v>\\192.168.0.4\Produtos\PRODUTO_PRONTA_ENTREGA\static\IMAGENS_PRODUTOS\SEM IMAGEM.jpg</v>
      </c>
    </row>
    <row r="308" spans="1:22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18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19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20"/>
        <v>1</v>
      </c>
      <c r="U308" s="10" t="str">
        <f>IFERROR((VLOOKUP(A308,Planilha1!A:B,2,0)),"\\192.168.0.4\Produtos\PRODUTO_PRONTA_ENTREGA\static\IMAGENS_PRODUTOS\SEM IMAGEM.jpg")</f>
        <v>\\192.168.0.4\Produtos\PRODUTO_PRONTA_ENTREGA\static\IMAGENS_PRODUTOS\POLTRONA_BANQUETA MARE_277923_277920.jpg</v>
      </c>
      <c r="V308" t="str">
        <f>IFERROR((VLOOKUP(A308,Planilha1!A:B,2,0)),"\\192.168.0.4\Produtos\PRODUTO_PRONTA_ENTREGA\static\IMAGENS_PRODUTOS\SEM IMAGEM.jpg")</f>
        <v>\\192.168.0.4\Produtos\PRODUTO_PRONTA_ENTREGA\static\IMAGENS_PRODUTOS\POLTRONA_BANQUETA MARE_277923_277920.jpg</v>
      </c>
    </row>
    <row r="309" spans="1:22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18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19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20"/>
        <v>1</v>
      </c>
      <c r="U309" s="10" t="str">
        <f>IFERROR((VLOOKUP(A309,Planilha1!A:B,2,0)),"\\192.168.0.4\Produtos\PRODUTO_PRONTA_ENTREGA\static\IMAGENS_PRODUTOS\SEM IMAGEM.jpg")</f>
        <v>\\192.168.0.4\Produtos\PRODUTO_PRONTA_ENTREGA\static\IMAGENS_PRODUTOS\POLTRONA_BANQUETA MARE_277919_277922.jpg</v>
      </c>
      <c r="V309" t="str">
        <f>IFERROR((VLOOKUP(A309,Planilha1!A:B,2,0)),"\\192.168.0.4\Produtos\PRODUTO_PRONTA_ENTREGA\static\IMAGENS_PRODUTOS\SEM IMAGEM.jpg")</f>
        <v>\\192.168.0.4\Produtos\PRODUTO_PRONTA_ENTREGA\static\IMAGENS_PRODUTOS\POLTRONA_BANQUETA MARE_277919_277922.jpg</v>
      </c>
    </row>
    <row r="310" spans="1:22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18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19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20"/>
        <v>2</v>
      </c>
      <c r="U310" s="10" t="str">
        <f>IFERROR((VLOOKUP(A310,Planilha1!A:B,2,0)),"\\192.168.0.4\Produtos\PRODUTO_PRONTA_ENTREGA\static\IMAGENS_PRODUTOS\SEM IMAGEM.jpg")</f>
        <v>\\192.168.0.4\Produtos\PRODUTO_PRONTA_ENTREGA\static\IMAGENS_PRODUTOS\BANQUETA MAKALU_292636.jpg</v>
      </c>
      <c r="V310" t="str">
        <f>IFERROR((VLOOKUP(A310,Planilha1!A:B,2,0)),"\\192.168.0.4\Produtos\PRODUTO_PRONTA_ENTREGA\static\IMAGENS_PRODUTOS\SEM IMAGEM.jpg")</f>
        <v>\\192.168.0.4\Produtos\PRODUTO_PRONTA_ENTREGA\static\IMAGENS_PRODUTOS\BANQUETA MAKALU_292636.jpg</v>
      </c>
    </row>
    <row r="311" spans="1:22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18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19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20"/>
        <v>1</v>
      </c>
      <c r="U311" s="10" t="str">
        <f>IFERROR((VLOOKUP(A311,Planilha1!A:B,2,0)),"\\192.168.0.4\Produtos\PRODUTO_PRONTA_ENTREGA\static\IMAGENS_PRODUTOS\SEM IMAGEM.jpg")</f>
        <v>\\192.168.0.4\Produtos\PRODUTO_PRONTA_ENTREGA\static\IMAGENS_PRODUTOS\POLTRONA_BANQUETA ONDA_344048_344045.jpg</v>
      </c>
      <c r="V311" t="str">
        <f>IFERROR((VLOOKUP(A311,Planilha1!A:B,2,0)),"\\192.168.0.4\Produtos\PRODUTO_PRONTA_ENTREGA\static\IMAGENS_PRODUTOS\SEM IMAGEM.jpg")</f>
        <v>\\192.168.0.4\Produtos\PRODUTO_PRONTA_ENTREGA\static\IMAGENS_PRODUTOS\POLTRONA_BANQUETA ONDA_344048_344045.jpg</v>
      </c>
    </row>
    <row r="312" spans="1:22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18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19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20"/>
        <v>1</v>
      </c>
      <c r="U312" s="10" t="str">
        <f>IFERROR((VLOOKUP(A312,Planilha1!A:B,2,0)),"\\192.168.0.4\Produtos\PRODUTO_PRONTA_ENTREGA\static\IMAGENS_PRODUTOS\SEM IMAGEM.jpg")</f>
        <v>\\192.168.0.4\Produtos\PRODUTO_PRONTA_ENTREGA\static\IMAGENS_PRODUTOS\SEM IMAGEM.jpg</v>
      </c>
      <c r="V312" t="str">
        <f>IFERROR((VLOOKUP(A312,Planilha1!A:B,2,0)),"\\192.168.0.4\Produtos\PRODUTO_PRONTA_ENTREGA\static\IMAGENS_PRODUTOS\SEM IMAGEM.jpg")</f>
        <v>\\192.168.0.4\Produtos\PRODUTO_PRONTA_ENTREGA\static\IMAGENS_PRODUTOS\SEM IMAGEM.jpg</v>
      </c>
    </row>
    <row r="313" spans="1:22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18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19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20"/>
        <v>1</v>
      </c>
      <c r="U313" s="10" t="str">
        <f>IFERROR((VLOOKUP(A313,Planilha1!A:B,2,0)),"\\192.168.0.4\Produtos\PRODUTO_PRONTA_ENTREGA\static\IMAGENS_PRODUTOS\SEM IMAGEM.jpg")</f>
        <v>\\192.168.0.4\Produtos\PRODUTO_PRONTA_ENTREGA\static\IMAGENS_PRODUTOS\SEM IMAGEM.jpg</v>
      </c>
      <c r="V313" t="str">
        <f>IFERROR((VLOOKUP(A313,Planilha1!A:B,2,0)),"\\192.168.0.4\Produtos\PRODUTO_PRONTA_ENTREGA\static\IMAGENS_PRODUTOS\SEM IMAGEM.jpg")</f>
        <v>\\192.168.0.4\Produtos\PRODUTO_PRONTA_ENTREGA\static\IMAGENS_PRODUTOS\SEM IMAGEM.jpg</v>
      </c>
    </row>
    <row r="314" spans="1:22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18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19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20"/>
        <v>1</v>
      </c>
      <c r="U314" s="10" t="str">
        <f>IFERROR((VLOOKUP(A314,Planilha1!A:B,2,0)),"\\192.168.0.4\Produtos\PRODUTO_PRONTA_ENTREGA\static\IMAGENS_PRODUTOS\SEM IMAGEM.jpg")</f>
        <v>\\192.168.0.4\Produtos\PRODUTO_PRONTA_ENTREGA\static\IMAGENS_PRODUTOS\POLTRONA_BANQUETA MARE_334447_334446.jpg</v>
      </c>
      <c r="V314" t="str">
        <f>IFERROR((VLOOKUP(A314,Planilha1!A:B,2,0)),"\\192.168.0.4\Produtos\PRODUTO_PRONTA_ENTREGA\static\IMAGENS_PRODUTOS\SEM IMAGEM.jpg")</f>
        <v>\\192.168.0.4\Produtos\PRODUTO_PRONTA_ENTREGA\static\IMAGENS_PRODUTOS\POLTRONA_BANQUETA MARE_334447_334446.jpg</v>
      </c>
    </row>
    <row r="315" spans="1:22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18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19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20"/>
        <v>2</v>
      </c>
      <c r="U315" s="10" t="str">
        <f>IFERROR((VLOOKUP(A315,Planilha1!A:B,2,0)),"\\192.168.0.4\Produtos\PRODUTO_PRONTA_ENTREGA\static\IMAGENS_PRODUTOS\SEM IMAGEM.jpg")</f>
        <v>\\192.168.0.4\Produtos\PRODUTO_PRONTA_ENTREGA\static\IMAGENS_PRODUTOS\BANQUETA BAR HIMALAYA_374368.jpg</v>
      </c>
      <c r="V315" t="str">
        <f>IFERROR((VLOOKUP(A315,Planilha1!A:B,2,0)),"\\192.168.0.4\Produtos\PRODUTO_PRONTA_ENTREGA\static\IMAGENS_PRODUTOS\SEM IMAGEM.jpg")</f>
        <v>\\192.168.0.4\Produtos\PRODUTO_PRONTA_ENTREGA\static\IMAGENS_PRODUTOS\BANQUETA BAR HIMALAYA_374368.jpg</v>
      </c>
    </row>
    <row r="316" spans="1:22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18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19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20"/>
        <v>4</v>
      </c>
      <c r="U316" s="10" t="str">
        <f>IFERROR((VLOOKUP(A316,Planilha1!A:B,2,0)),"\\192.168.0.4\Produtos\PRODUTO_PRONTA_ENTREGA\static\IMAGENS_PRODUTOS\SEM IMAGEM.jpg")</f>
        <v>\\192.168.0.4\Produtos\PRODUTO_PRONTA_ENTREGA\static\IMAGENS_PRODUTOS\BANQUETA BAR MOI_385723.jpg</v>
      </c>
      <c r="V316" t="str">
        <f>IFERROR((VLOOKUP(A316,Planilha1!A:B,2,0)),"\\192.168.0.4\Produtos\PRODUTO_PRONTA_ENTREGA\static\IMAGENS_PRODUTOS\SEM IMAGEM.jpg")</f>
        <v>\\192.168.0.4\Produtos\PRODUTO_PRONTA_ENTREGA\static\IMAGENS_PRODUTOS\BANQUETA BAR MOI_385723.jpg</v>
      </c>
    </row>
    <row r="317" spans="1:22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18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19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20"/>
        <v>4</v>
      </c>
      <c r="U317" s="10" t="str">
        <f>IFERROR((VLOOKUP(A317,Planilha1!A:B,2,0)),"\\192.168.0.4\Produtos\PRODUTO_PRONTA_ENTREGA\static\IMAGENS_PRODUTOS\SEM IMAGEM.jpg")</f>
        <v>\\192.168.0.4\Produtos\PRODUTO_PRONTA_ENTREGA\static\IMAGENS_PRODUTOS\SEM IMAGEM.jpg</v>
      </c>
      <c r="V317" t="str">
        <f>IFERROR((VLOOKUP(A317,Planilha1!A:B,2,0)),"\\192.168.0.4\Produtos\PRODUTO_PRONTA_ENTREGA\static\IMAGENS_PRODUTOS\SEM IMAGEM.jpg")</f>
        <v>\\192.168.0.4\Produtos\PRODUTO_PRONTA_ENTREGA\static\IMAGENS_PRODUTOS\SEM IMAGEM.jpg</v>
      </c>
    </row>
    <row r="318" spans="1:22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18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19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20"/>
        <v>3</v>
      </c>
      <c r="U318" s="10" t="str">
        <f>IFERROR((VLOOKUP(A318,Planilha1!A:B,2,0)),"\\192.168.0.4\Produtos\PRODUTO_PRONTA_ENTREGA\static\IMAGENS_PRODUTOS\SEM IMAGEM.jpg")</f>
        <v>\\192.168.0.4\Produtos\PRODUTO_PRONTA_ENTREGA\static\IMAGENS_PRODUTOS\SEM IMAGEM.jpg</v>
      </c>
      <c r="V318" t="str">
        <f>IFERROR((VLOOKUP(A318,Planilha1!A:B,2,0)),"\\192.168.0.4\Produtos\PRODUTO_PRONTA_ENTREGA\static\IMAGENS_PRODUTOS\SEM IMAGEM.jpg")</f>
        <v>\\192.168.0.4\Produtos\PRODUTO_PRONTA_ENTREGA\static\IMAGENS_PRODUTOS\SEM IMAGEM.jpg</v>
      </c>
    </row>
    <row r="319" spans="1:22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18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19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20"/>
        <v>1</v>
      </c>
      <c r="U319" s="10" t="str">
        <f>IFERROR((VLOOKUP(A319,Planilha1!A:B,2,0)),"\\192.168.0.4\Produtos\PRODUTO_PRONTA_ENTREGA\static\IMAGENS_PRODUTOS\SEM IMAGEM.jpg")</f>
        <v>\\192.168.0.4\Produtos\PRODUTO_PRONTA_ENTREGA\static\IMAGENS_PRODUTOS\BANQUETA BAR MEDALHINHA_386949.jpg</v>
      </c>
      <c r="V319" t="str">
        <f>IFERROR((VLOOKUP(A319,Planilha1!A:B,2,0)),"\\192.168.0.4\Produtos\PRODUTO_PRONTA_ENTREGA\static\IMAGENS_PRODUTOS\SEM IMAGEM.jpg")</f>
        <v>\\192.168.0.4\Produtos\PRODUTO_PRONTA_ENTREGA\static\IMAGENS_PRODUTOS\BANQUETA BAR MEDALHINHA_386949.jpg</v>
      </c>
    </row>
    <row r="320" spans="1:22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18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19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20"/>
        <v>4</v>
      </c>
      <c r="U320" s="10" t="str">
        <f>IFERROR((VLOOKUP(A320,Planilha1!A:B,2,0)),"\\192.168.0.4\Produtos\PRODUTO_PRONTA_ENTREGA\static\IMAGENS_PRODUTOS\SEM IMAGEM.jpg")</f>
        <v>\\192.168.0.4\Produtos\PRODUTO_PRONTA_ENTREGA\static\IMAGENS_PRODUTOS\SEM IMAGEM.jpg</v>
      </c>
      <c r="V320" t="str">
        <f>IFERROR((VLOOKUP(A320,Planilha1!A:B,2,0)),"\\192.168.0.4\Produtos\PRODUTO_PRONTA_ENTREGA\static\IMAGENS_PRODUTOS\SEM IMAGEM.jpg")</f>
        <v>\\192.168.0.4\Produtos\PRODUTO_PRONTA_ENTREGA\static\IMAGENS_PRODUTOS\SEM IMAGEM.jpg</v>
      </c>
    </row>
    <row r="321" spans="1:22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18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19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20"/>
        <v>3</v>
      </c>
      <c r="U321" s="10" t="str">
        <f>IFERROR((VLOOKUP(A321,Planilha1!A:B,2,0)),"\\192.168.0.4\Produtos\PRODUTO_PRONTA_ENTREGA\static\IMAGENS_PRODUTOS\SEM IMAGEM.jpg")</f>
        <v>\\192.168.0.4\Produtos\PRODUTO_PRONTA_ENTREGA\static\IMAGENS_PRODUTOS\BANQUETA BAR APOLO_270552.jpg</v>
      </c>
      <c r="V321" t="str">
        <f>IFERROR((VLOOKUP(A321,Planilha1!A:B,2,0)),"\\192.168.0.4\Produtos\PRODUTO_PRONTA_ENTREGA\static\IMAGENS_PRODUTOS\SEM IMAGEM.jpg")</f>
        <v>\\192.168.0.4\Produtos\PRODUTO_PRONTA_ENTREGA\static\IMAGENS_PRODUTOS\BANQUETA BAR APOLO_270552.jpg</v>
      </c>
    </row>
    <row r="322" spans="1:22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18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19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20"/>
        <v>1</v>
      </c>
      <c r="U322" s="10" t="str">
        <f>IFERROR((VLOOKUP(A322,Planilha1!A:B,2,0)),"\\192.168.0.4\Produtos\PRODUTO_PRONTA_ENTREGA\static\IMAGENS_PRODUTOS\SEM IMAGEM.jpg")</f>
        <v>\\192.168.0.4\Produtos\PRODUTO_PRONTA_ENTREGA\static\IMAGENS_PRODUTOS\SEM IMAGEM.jpg</v>
      </c>
      <c r="V322" t="str">
        <f>IFERROR((VLOOKUP(A322,Planilha1!A:B,2,0)),"\\192.168.0.4\Produtos\PRODUTO_PRONTA_ENTREGA\static\IMAGENS_PRODUTOS\SEM IMAGEM.jpg")</f>
        <v>\\192.168.0.4\Produtos\PRODUTO_PRONTA_ENTREGA\static\IMAGENS_PRODUTOS\SEM IMAGEM.jpg</v>
      </c>
    </row>
    <row r="323" spans="1:22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21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19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20"/>
        <v>1</v>
      </c>
      <c r="U323" s="10" t="str">
        <f>IFERROR((VLOOKUP(A323,Planilha1!A:B,2,0)),"\\192.168.0.4\Produtos\PRODUTO_PRONTA_ENTREGA\static\IMAGENS_PRODUTOS\SEM IMAGEM.jpg")</f>
        <v>\\192.168.0.4\Produtos\PRODUTO_PRONTA_ENTREGA\static\IMAGENS_PRODUTOS\BANQUETA BAR BOSSA_82483.jpg</v>
      </c>
      <c r="V323" t="str">
        <f>IFERROR((VLOOKUP(A323,Planilha1!A:B,2,0)),"\\192.168.0.4\Produtos\PRODUTO_PRONTA_ENTREGA\static\IMAGENS_PRODUTOS\SEM IMAGEM.jpg")</f>
        <v>\\192.168.0.4\Produtos\PRODUTO_PRONTA_ENTREGA\static\IMAGENS_PRODUTOS\BANQUETA BAR BOSSA_82483.jpg</v>
      </c>
    </row>
    <row r="324" spans="1:22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21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22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23">SUM(O324:S324)</f>
        <v>1</v>
      </c>
      <c r="U324" s="10" t="str">
        <f>IFERROR((VLOOKUP(A324,Planilha1!A:B,2,0)),"\\192.168.0.4\Produtos\PRODUTO_PRONTA_ENTREGA\static\IMAGENS_PRODUTOS\SEM IMAGEM.jpg")</f>
        <v>\\192.168.0.4\Produtos\PRODUTO_PRONTA_ENTREGA\static\IMAGENS_PRODUTOS\BANQUETA BAR GIO_98952.jpg</v>
      </c>
      <c r="V324" t="str">
        <f>IFERROR((VLOOKUP(A324,Planilha1!A:B,2,0)),"\\192.168.0.4\Produtos\PRODUTO_PRONTA_ENTREGA\static\IMAGENS_PRODUTOS\SEM IMAGEM.jpg")</f>
        <v>\\192.168.0.4\Produtos\PRODUTO_PRONTA_ENTREGA\static\IMAGENS_PRODUTOS\BANQUETA BAR GIO_98952.jpg</v>
      </c>
    </row>
    <row r="325" spans="1:22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21"/>
        <v/>
      </c>
      <c r="L325" s="7" t="str">
        <f>IF(VLOOKUP(A325,'[1]LISTA ETIQUETAS'!O:AB,14,0)="","",(VLOOKUP(A325,'[1]LISTA ETIQUETAS'!O:AB,14,0)))</f>
        <v/>
      </c>
      <c r="M325" s="8"/>
      <c r="N325" s="9">
        <f t="shared" si="22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23"/>
        <v>1</v>
      </c>
      <c r="U325" s="10" t="str">
        <f>IFERROR((VLOOKUP(A325,Planilha1!A:B,2,0)),"\\192.168.0.4\Produtos\PRODUTO_PRONTA_ENTREGA\static\IMAGENS_PRODUTOS\SEM IMAGEM.jpg")</f>
        <v>\\192.168.0.4\Produtos\PRODUTO_PRONTA_ENTREGA\static\IMAGENS_PRODUTOS\BANQUETA BAR FINN_112408.jpg</v>
      </c>
      <c r="V325" t="str">
        <f>IFERROR((VLOOKUP(A325,Planilha1!A:B,2,0)),"\\192.168.0.4\Produtos\PRODUTO_PRONTA_ENTREGA\static\IMAGENS_PRODUTOS\SEM IMAGEM.jpg")</f>
        <v>\\192.168.0.4\Produtos\PRODUTO_PRONTA_ENTREGA\static\IMAGENS_PRODUTOS\BANQUETA BAR FINN_112408.jpg</v>
      </c>
    </row>
    <row r="326" spans="1:22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21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22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23"/>
        <v>1</v>
      </c>
      <c r="U326" s="10" t="str">
        <f>IFERROR((VLOOKUP(A326,Planilha1!A:B,2,0)),"\\192.168.0.4\Produtos\PRODUTO_PRONTA_ENTREGA\static\IMAGENS_PRODUTOS\SEM IMAGEM.jpg")</f>
        <v>\\192.168.0.4\Produtos\PRODUTO_PRONTA_ENTREGA\static\IMAGENS_PRODUTOS\BANQUETA BAR PHILIPS_112239.jpg</v>
      </c>
      <c r="V326" t="str">
        <f>IFERROR((VLOOKUP(A326,Planilha1!A:B,2,0)),"\\192.168.0.4\Produtos\PRODUTO_PRONTA_ENTREGA\static\IMAGENS_PRODUTOS\SEM IMAGEM.jpg")</f>
        <v>\\192.168.0.4\Produtos\PRODUTO_PRONTA_ENTREGA\static\IMAGENS_PRODUTOS\BANQUETA BAR PHILIPS_112239.jpg</v>
      </c>
    </row>
    <row r="327" spans="1:22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21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22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23"/>
        <v>3</v>
      </c>
      <c r="U327" s="10" t="str">
        <f>IFERROR((VLOOKUP(A327,Planilha1!A:B,2,0)),"\\192.168.0.4\Produtos\PRODUTO_PRONTA_ENTREGA\static\IMAGENS_PRODUTOS\SEM IMAGEM.jpg")</f>
        <v>\\192.168.0.4\Produtos\PRODUTO_PRONTA_ENTREGA\static\IMAGENS_PRODUTOS\BANQUETA BAR CHICAGO_120741.jpg</v>
      </c>
      <c r="V327" t="str">
        <f>IFERROR((VLOOKUP(A327,Planilha1!A:B,2,0)),"\\192.168.0.4\Produtos\PRODUTO_PRONTA_ENTREGA\static\IMAGENS_PRODUTOS\SEM IMAGEM.jpg")</f>
        <v>\\192.168.0.4\Produtos\PRODUTO_PRONTA_ENTREGA\static\IMAGENS_PRODUTOS\BANQUETA BAR CHICAGO_120741.jpg</v>
      </c>
    </row>
    <row r="328" spans="1:22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21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22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23"/>
        <v>1</v>
      </c>
      <c r="U328" s="10" t="str">
        <f>IFERROR((VLOOKUP(A328,Planilha1!A:B,2,0)),"\\192.168.0.4\Produtos\PRODUTO_PRONTA_ENTREGA\static\IMAGENS_PRODUTOS\SEM IMAGEM.jpg")</f>
        <v>\\192.168.0.4\Produtos\PRODUTO_PRONTA_ENTREGA\static\IMAGENS_PRODUTOS\BANCO ELDORADO_113388.jpg</v>
      </c>
      <c r="V328" t="str">
        <f>IFERROR((VLOOKUP(A328,Planilha1!A:B,2,0)),"\\192.168.0.4\Produtos\PRODUTO_PRONTA_ENTREGA\static\IMAGENS_PRODUTOS\SEM IMAGEM.jpg")</f>
        <v>\\192.168.0.4\Produtos\PRODUTO_PRONTA_ENTREGA\static\IMAGENS_PRODUTOS\BANCO ELDORADO_113388.jpg</v>
      </c>
    </row>
    <row r="329" spans="1:22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21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22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23"/>
        <v>1</v>
      </c>
      <c r="U329" s="10" t="str">
        <f>IFERROR((VLOOKUP(A329,Planilha1!A:B,2,0)),"\\192.168.0.4\Produtos\PRODUTO_PRONTA_ENTREGA\static\IMAGENS_PRODUTOS\SEM IMAGEM.jpg")</f>
        <v>\\192.168.0.4\Produtos\PRODUTO_PRONTA_ENTREGA\static\IMAGENS_PRODUTOS\BANQUETA BAR FINN_129593.jpg</v>
      </c>
      <c r="V329" t="str">
        <f>IFERROR((VLOOKUP(A329,Planilha1!A:B,2,0)),"\\192.168.0.4\Produtos\PRODUTO_PRONTA_ENTREGA\static\IMAGENS_PRODUTOS\SEM IMAGEM.jpg")</f>
        <v>\\192.168.0.4\Produtos\PRODUTO_PRONTA_ENTREGA\static\IMAGENS_PRODUTOS\BANQUETA BAR FINN_129593.jpg</v>
      </c>
    </row>
    <row r="330" spans="1:22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21"/>
        <v/>
      </c>
      <c r="L330" s="7" t="str">
        <f>IF(VLOOKUP(A330,'[1]LISTA ETIQUETAS'!O:AB,14,0)="","",(VLOOKUP(A330,'[1]LISTA ETIQUETAS'!O:AB,14,0)))</f>
        <v/>
      </c>
      <c r="M330" s="8"/>
      <c r="N330" s="9">
        <f t="shared" si="22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23"/>
        <v>1</v>
      </c>
      <c r="U330" s="10" t="str">
        <f>IFERROR((VLOOKUP(A330,Planilha1!A:B,2,0)),"\\192.168.0.4\Produtos\PRODUTO_PRONTA_ENTREGA\static\IMAGENS_PRODUTOS\SEM IMAGEM.jpg")</f>
        <v>\\192.168.0.4\Produtos\PRODUTO_PRONTA_ENTREGA\static\IMAGENS_PRODUTOS\BANQUETA BAR MASS_62482.jpg</v>
      </c>
      <c r="V330" t="str">
        <f>IFERROR((VLOOKUP(A330,Planilha1!A:B,2,0)),"\\192.168.0.4\Produtos\PRODUTO_PRONTA_ENTREGA\static\IMAGENS_PRODUTOS\SEM IMAGEM.jpg")</f>
        <v>\\192.168.0.4\Produtos\PRODUTO_PRONTA_ENTREGA\static\IMAGENS_PRODUTOS\BANQUETA BAR MASS_62482.jpg</v>
      </c>
    </row>
    <row r="331" spans="1:22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21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22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23"/>
        <v>1</v>
      </c>
      <c r="U331" s="10" t="str">
        <f>IFERROR((VLOOKUP(A331,Planilha1!A:B,2,0)),"\\192.168.0.4\Produtos\PRODUTO_PRONTA_ENTREGA\static\IMAGENS_PRODUTOS\SEM IMAGEM.jpg")</f>
        <v>\\192.168.0.4\Produtos\PRODUTO_PRONTA_ENTREGA\static\IMAGENS_PRODUTOS\BANQUETA BAR PHILIPS_157538.jpg</v>
      </c>
      <c r="V331" t="str">
        <f>IFERROR((VLOOKUP(A331,Planilha1!A:B,2,0)),"\\192.168.0.4\Produtos\PRODUTO_PRONTA_ENTREGA\static\IMAGENS_PRODUTOS\SEM IMAGEM.jpg")</f>
        <v>\\192.168.0.4\Produtos\PRODUTO_PRONTA_ENTREGA\static\IMAGENS_PRODUTOS\BANQUETA BAR PHILIPS_157538.jpg</v>
      </c>
    </row>
    <row r="332" spans="1:22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21"/>
        <v/>
      </c>
      <c r="L332" s="7" t="str">
        <f>IF(VLOOKUP(A332,'[1]LISTA ETIQUETAS'!O:AB,14,0)="","",(VLOOKUP(A332,'[1]LISTA ETIQUETAS'!O:AB,14,0)))</f>
        <v/>
      </c>
      <c r="M332" s="8"/>
      <c r="N332" s="9">
        <f t="shared" si="22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23"/>
        <v>1</v>
      </c>
      <c r="U332" s="10" t="str">
        <f>IFERROR((VLOOKUP(A332,Planilha1!A:B,2,0)),"\\192.168.0.4\Produtos\PRODUTO_PRONTA_ENTREGA\static\IMAGENS_PRODUTOS\SEM IMAGEM.jpg")</f>
        <v>\\192.168.0.4\Produtos\PRODUTO_PRONTA_ENTREGA\static\IMAGENS_PRODUTOS\BANQUETA BAR 102_176086.jpg</v>
      </c>
      <c r="V332" t="str">
        <f>IFERROR((VLOOKUP(A332,Planilha1!A:B,2,0)),"\\192.168.0.4\Produtos\PRODUTO_PRONTA_ENTREGA\static\IMAGENS_PRODUTOS\SEM IMAGEM.jpg")</f>
        <v>\\192.168.0.4\Produtos\PRODUTO_PRONTA_ENTREGA\static\IMAGENS_PRODUTOS\BANQUETA BAR 102_176086.jpg</v>
      </c>
    </row>
    <row r="333" spans="1:22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21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22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23"/>
        <v>1</v>
      </c>
      <c r="U333" s="10" t="str">
        <f>IFERROR((VLOOKUP(A333,Planilha1!A:B,2,0)),"\\192.168.0.4\Produtos\PRODUTO_PRONTA_ENTREGA\static\IMAGENS_PRODUTOS\SEM IMAGEM.jpg")</f>
        <v>\\192.168.0.4\Produtos\PRODUTO_PRONTA_ENTREGA\static\IMAGENS_PRODUTOS\BANQUETA BAR BOSSA_204057.jpg</v>
      </c>
      <c r="V333" t="str">
        <f>IFERROR((VLOOKUP(A333,Planilha1!A:B,2,0)),"\\192.168.0.4\Produtos\PRODUTO_PRONTA_ENTREGA\static\IMAGENS_PRODUTOS\SEM IMAGEM.jpg")</f>
        <v>\\192.168.0.4\Produtos\PRODUTO_PRONTA_ENTREGA\static\IMAGENS_PRODUTOS\BANQUETA BAR BOSSA_204057.jpg</v>
      </c>
    </row>
    <row r="334" spans="1:22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21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22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23"/>
        <v>2</v>
      </c>
      <c r="U334" s="10" t="str">
        <f>IFERROR((VLOOKUP(A334,Planilha1!A:B,2,0)),"\\192.168.0.4\Produtos\PRODUTO_PRONTA_ENTREGA\static\IMAGENS_PRODUTOS\SEM IMAGEM.jpg")</f>
        <v>\\192.168.0.4\Produtos\PRODUTO_PRONTA_ENTREGA\static\IMAGENS_PRODUTOS\BANQUETA BAR BOSSA_181321.jpg</v>
      </c>
      <c r="V334" t="str">
        <f>IFERROR((VLOOKUP(A334,Planilha1!A:B,2,0)),"\\192.168.0.4\Produtos\PRODUTO_PRONTA_ENTREGA\static\IMAGENS_PRODUTOS\SEM IMAGEM.jpg")</f>
        <v>\\192.168.0.4\Produtos\PRODUTO_PRONTA_ENTREGA\static\IMAGENS_PRODUTOS\BANQUETA BAR BOSSA_181321.jpg</v>
      </c>
    </row>
    <row r="335" spans="1:22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21"/>
        <v/>
      </c>
      <c r="L335" s="7" t="str">
        <f>IF(VLOOKUP(A335,'[1]LISTA ETIQUETAS'!O:AB,14,0)="","",(VLOOKUP(A335,'[1]LISTA ETIQUETAS'!O:AB,14,0)))</f>
        <v/>
      </c>
      <c r="M335" s="8"/>
      <c r="N335" s="9">
        <f t="shared" si="22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23"/>
        <v>1</v>
      </c>
      <c r="U335" s="10" t="str">
        <f>IFERROR((VLOOKUP(A335,Planilha1!A:B,2,0)),"\\192.168.0.4\Produtos\PRODUTO_PRONTA_ENTREGA\static\IMAGENS_PRODUTOS\SEM IMAGEM.jpg")</f>
        <v>\\192.168.0.4\Produtos\PRODUTO_PRONTA_ENTREGA\static\IMAGENS_PRODUTOS\BANQUETA BAR PHILLIPS_219312.jpg</v>
      </c>
      <c r="V335" t="str">
        <f>IFERROR((VLOOKUP(A335,Planilha1!A:B,2,0)),"\\192.168.0.4\Produtos\PRODUTO_PRONTA_ENTREGA\static\IMAGENS_PRODUTOS\SEM IMAGEM.jpg")</f>
        <v>\\192.168.0.4\Produtos\PRODUTO_PRONTA_ENTREGA\static\IMAGENS_PRODUTOS\BANQUETA BAR PHILLIPS_219312.jpg</v>
      </c>
    </row>
    <row r="336" spans="1:22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21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22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23"/>
        <v>1</v>
      </c>
      <c r="U336" s="10" t="str">
        <f>IFERROR((VLOOKUP(A336,Planilha1!A:B,2,0)),"\\192.168.0.4\Produtos\PRODUTO_PRONTA_ENTREGA\static\IMAGENS_PRODUTOS\SEM IMAGEM.jpg")</f>
        <v>\\192.168.0.4\Produtos\PRODUTO_PRONTA_ENTREGA\static\IMAGENS_PRODUTOS\BANQUETA BAR PHILLIPS_212975.jpg</v>
      </c>
      <c r="V336" t="str">
        <f>IFERROR((VLOOKUP(A336,Planilha1!A:B,2,0)),"\\192.168.0.4\Produtos\PRODUTO_PRONTA_ENTREGA\static\IMAGENS_PRODUTOS\SEM IMAGEM.jpg")</f>
        <v>\\192.168.0.4\Produtos\PRODUTO_PRONTA_ENTREGA\static\IMAGENS_PRODUTOS\BANQUETA BAR PHILLIPS_212975.jpg</v>
      </c>
    </row>
    <row r="337" spans="1:22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21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22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23"/>
        <v>1</v>
      </c>
      <c r="U337" s="10" t="str">
        <f>IFERROR((VLOOKUP(A337,Planilha1!A:B,2,0)),"\\192.168.0.4\Produtos\PRODUTO_PRONTA_ENTREGA\static\IMAGENS_PRODUTOS\SEM IMAGEM.jpg")</f>
        <v>\\192.168.0.4\Produtos\PRODUTO_PRONTA_ENTREGA\static\IMAGENS_PRODUTOS\BANQUETA BAR PLATTA_212974.jpg</v>
      </c>
      <c r="V337" t="str">
        <f>IFERROR((VLOOKUP(A337,Planilha1!A:B,2,0)),"\\192.168.0.4\Produtos\PRODUTO_PRONTA_ENTREGA\static\IMAGENS_PRODUTOS\SEM IMAGEM.jpg")</f>
        <v>\\192.168.0.4\Produtos\PRODUTO_PRONTA_ENTREGA\static\IMAGENS_PRODUTOS\BANQUETA BAR PLATTA_212974.jpg</v>
      </c>
    </row>
    <row r="338" spans="1:22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21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22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23"/>
        <v>1</v>
      </c>
      <c r="U338" s="10" t="str">
        <f>IFERROR((VLOOKUP(A338,Planilha1!A:B,2,0)),"\\192.168.0.4\Produtos\PRODUTO_PRONTA_ENTREGA\static\IMAGENS_PRODUTOS\SEM IMAGEM.jpg")</f>
        <v>\\192.168.0.4\Produtos\PRODUTO_PRONTA_ENTREGA\static\IMAGENS_PRODUTOS\BANQUETA BAR PRIMA_214577.jpg</v>
      </c>
      <c r="V338" t="str">
        <f>IFERROR((VLOOKUP(A338,Planilha1!A:B,2,0)),"\\192.168.0.4\Produtos\PRODUTO_PRONTA_ENTREGA\static\IMAGENS_PRODUTOS\SEM IMAGEM.jpg")</f>
        <v>\\192.168.0.4\Produtos\PRODUTO_PRONTA_ENTREGA\static\IMAGENS_PRODUTOS\BANQUETA BAR PRIMA_214577.jpg</v>
      </c>
    </row>
    <row r="339" spans="1:22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21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22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23"/>
        <v>1</v>
      </c>
      <c r="U339" s="10" t="str">
        <f>IFERROR((VLOOKUP(A339,Planilha1!A:B,2,0)),"\\192.168.0.4\Produtos\PRODUTO_PRONTA_ENTREGA\static\IMAGENS_PRODUTOS\SEM IMAGEM.jpg")</f>
        <v>\\192.168.0.4\Produtos\PRODUTO_PRONTA_ENTREGA\static\IMAGENS_PRODUTOS\BANQUETA BAR PAULISTA REAL_217682.jpg</v>
      </c>
      <c r="V339" t="str">
        <f>IFERROR((VLOOKUP(A339,Planilha1!A:B,2,0)),"\\192.168.0.4\Produtos\PRODUTO_PRONTA_ENTREGA\static\IMAGENS_PRODUTOS\SEM IMAGEM.jpg")</f>
        <v>\\192.168.0.4\Produtos\PRODUTO_PRONTA_ENTREGA\static\IMAGENS_PRODUTOS\BANQUETA BAR PAULISTA REAL_217682.jpg</v>
      </c>
    </row>
    <row r="340" spans="1:22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21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22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23"/>
        <v>1</v>
      </c>
      <c r="U340" s="10" t="str">
        <f>IFERROR((VLOOKUP(A340,Planilha1!A:B,2,0)),"\\192.168.0.4\Produtos\PRODUTO_PRONTA_ENTREGA\static\IMAGENS_PRODUTOS\SEM IMAGEM.jpg")</f>
        <v>\\192.168.0.4\Produtos\PRODUTO_PRONTA_ENTREGA\static\IMAGENS_PRODUTOS\BANQUETA BAR AYLA_214530.jpg</v>
      </c>
      <c r="V340" t="str">
        <f>IFERROR((VLOOKUP(A340,Planilha1!A:B,2,0)),"\\192.168.0.4\Produtos\PRODUTO_PRONTA_ENTREGA\static\IMAGENS_PRODUTOS\SEM IMAGEM.jpg")</f>
        <v>\\192.168.0.4\Produtos\PRODUTO_PRONTA_ENTREGA\static\IMAGENS_PRODUTOS\BANQUETA BAR AYLA_214530.jpg</v>
      </c>
    </row>
    <row r="341" spans="1:22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21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22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23"/>
        <v>1</v>
      </c>
      <c r="U341" s="10" t="str">
        <f>IFERROR((VLOOKUP(A341,Planilha1!A:B,2,0)),"\\192.168.0.4\Produtos\PRODUTO_PRONTA_ENTREGA\static\IMAGENS_PRODUTOS\SEM IMAGEM.jpg")</f>
        <v>\\192.168.0.4\Produtos\PRODUTO_PRONTA_ENTREGA\static\IMAGENS_PRODUTOS\BANQUETA BAR AYLA_210555.jpg</v>
      </c>
      <c r="V341" t="str">
        <f>IFERROR((VLOOKUP(A341,Planilha1!A:B,2,0)),"\\192.168.0.4\Produtos\PRODUTO_PRONTA_ENTREGA\static\IMAGENS_PRODUTOS\SEM IMAGEM.jpg")</f>
        <v>\\192.168.0.4\Produtos\PRODUTO_PRONTA_ENTREGA\static\IMAGENS_PRODUTOS\BANQUETA BAR AYLA_210555.jpg</v>
      </c>
    </row>
    <row r="342" spans="1:22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21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22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23"/>
        <v>1</v>
      </c>
      <c r="U342" s="10" t="str">
        <f>IFERROR((VLOOKUP(A342,Planilha1!A:B,2,0)),"\\192.168.0.4\Produtos\PRODUTO_PRONTA_ENTREGA\static\IMAGENS_PRODUTOS\SEM IMAGEM.jpg")</f>
        <v>\\192.168.0.4\Produtos\PRODUTO_PRONTA_ENTREGA\static\IMAGENS_PRODUTOS\BANQUETA BAR ZIG_210389.jpg</v>
      </c>
      <c r="V342" t="str">
        <f>IFERROR((VLOOKUP(A342,Planilha1!A:B,2,0)),"\\192.168.0.4\Produtos\PRODUTO_PRONTA_ENTREGA\static\IMAGENS_PRODUTOS\SEM IMAGEM.jpg")</f>
        <v>\\192.168.0.4\Produtos\PRODUTO_PRONTA_ENTREGA\static\IMAGENS_PRODUTOS\BANQUETA BAR ZIG_210389.jpg</v>
      </c>
    </row>
    <row r="343" spans="1:22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21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22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23"/>
        <v>1</v>
      </c>
      <c r="U343" s="10" t="str">
        <f>IFERROR((VLOOKUP(A343,Planilha1!A:B,2,0)),"\\192.168.0.4\Produtos\PRODUTO_PRONTA_ENTREGA\static\IMAGENS_PRODUTOS\SEM IMAGEM.jpg")</f>
        <v>\\192.168.0.4\Produtos\PRODUTO_PRONTA_ENTREGA\static\IMAGENS_PRODUTOS\BANQUETA BAR GIU _210370.jpg</v>
      </c>
      <c r="V343" t="str">
        <f>IFERROR((VLOOKUP(A343,Planilha1!A:B,2,0)),"\\192.168.0.4\Produtos\PRODUTO_PRONTA_ENTREGA\static\IMAGENS_PRODUTOS\SEM IMAGEM.jpg")</f>
        <v>\\192.168.0.4\Produtos\PRODUTO_PRONTA_ENTREGA\static\IMAGENS_PRODUTOS\BANQUETA BAR GIU _210370.jpg</v>
      </c>
    </row>
    <row r="344" spans="1:22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21"/>
        <v/>
      </c>
      <c r="L344" s="7" t="str">
        <f>IF(VLOOKUP(A344,'[1]LISTA ETIQUETAS'!O:AB,14,0)="","",(VLOOKUP(A344,'[1]LISTA ETIQUETAS'!O:AB,14,0)))</f>
        <v/>
      </c>
      <c r="M344" s="8"/>
      <c r="N344" s="9">
        <f t="shared" si="22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23"/>
        <v>1</v>
      </c>
      <c r="U344" s="10" t="str">
        <f>IFERROR((VLOOKUP(A344,Planilha1!A:B,2,0)),"\\192.168.0.4\Produtos\PRODUTO_PRONTA_ENTREGA\static\IMAGENS_PRODUTOS\SEM IMAGEM.jpg")</f>
        <v>\\192.168.0.4\Produtos\PRODUTO_PRONTA_ENTREGA\static\IMAGENS_PRODUTOS\BANQUETA BAR 102_230856.jpg</v>
      </c>
      <c r="V344" t="str">
        <f>IFERROR((VLOOKUP(A344,Planilha1!A:B,2,0)),"\\192.168.0.4\Produtos\PRODUTO_PRONTA_ENTREGA\static\IMAGENS_PRODUTOS\SEM IMAGEM.jpg")</f>
        <v>\\192.168.0.4\Produtos\PRODUTO_PRONTA_ENTREGA\static\IMAGENS_PRODUTOS\BANQUETA BAR 102_230856.jpg</v>
      </c>
    </row>
    <row r="345" spans="1:22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21"/>
        <v/>
      </c>
      <c r="L345" s="7" t="str">
        <f>IF(VLOOKUP(A345,'[1]LISTA ETIQUETAS'!O:AB,14,0)="","",(VLOOKUP(A345,'[1]LISTA ETIQUETAS'!O:AB,14,0)))</f>
        <v/>
      </c>
      <c r="M345" s="8"/>
      <c r="N345" s="9">
        <f t="shared" si="22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23"/>
        <v>2</v>
      </c>
      <c r="U345" s="10" t="str">
        <f>IFERROR((VLOOKUP(A345,Planilha1!A:B,2,0)),"\\192.168.0.4\Produtos\PRODUTO_PRONTA_ENTREGA\static\IMAGENS_PRODUTOS\SEM IMAGEM.jpg")</f>
        <v>\\192.168.0.4\Produtos\PRODUTO_PRONTA_ENTREGA\static\IMAGENS_PRODUTOS\BANQUETA BAR EASY_230260.jpg</v>
      </c>
      <c r="V345" t="str">
        <f>IFERROR((VLOOKUP(A345,Planilha1!A:B,2,0)),"\\192.168.0.4\Produtos\PRODUTO_PRONTA_ENTREGA\static\IMAGENS_PRODUTOS\SEM IMAGEM.jpg")</f>
        <v>\\192.168.0.4\Produtos\PRODUTO_PRONTA_ENTREGA\static\IMAGENS_PRODUTOS\BANQUETA BAR EASY_230260.jpg</v>
      </c>
    </row>
    <row r="346" spans="1:22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21"/>
        <v/>
      </c>
      <c r="L346" s="7" t="str">
        <f>IF(VLOOKUP(A346,'[1]LISTA ETIQUETAS'!O:AB,14,0)="","",(VLOOKUP(A346,'[1]LISTA ETIQUETAS'!O:AB,14,0)))</f>
        <v/>
      </c>
      <c r="M346" s="8"/>
      <c r="N346" s="9">
        <f t="shared" si="22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23"/>
        <v>1</v>
      </c>
      <c r="U346" s="10" t="str">
        <f>IFERROR((VLOOKUP(A346,Planilha1!A:B,2,0)),"\\192.168.0.4\Produtos\PRODUTO_PRONTA_ENTREGA\static\IMAGENS_PRODUTOS\SEM IMAGEM.jpg")</f>
        <v>\\192.168.0.4\Produtos\PRODUTO_PRONTA_ENTREGA\static\IMAGENS_PRODUTOS\BANQUETA BAR 102_219523.jpg</v>
      </c>
      <c r="V346" t="str">
        <f>IFERROR((VLOOKUP(A346,Planilha1!A:B,2,0)),"\\192.168.0.4\Produtos\PRODUTO_PRONTA_ENTREGA\static\IMAGENS_PRODUTOS\SEM IMAGEM.jpg")</f>
        <v>\\192.168.0.4\Produtos\PRODUTO_PRONTA_ENTREGA\static\IMAGENS_PRODUTOS\BANQUETA BAR 102_219523.jpg</v>
      </c>
    </row>
    <row r="347" spans="1:22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21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22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23"/>
        <v>1</v>
      </c>
      <c r="U347" s="10" t="str">
        <f>IFERROR((VLOOKUP(A347,Planilha1!A:B,2,0)),"\\192.168.0.4\Produtos\PRODUTO_PRONTA_ENTREGA\static\IMAGENS_PRODUTOS\SEM IMAGEM.jpg")</f>
        <v>\\192.168.0.4\Produtos\PRODUTO_PRONTA_ENTREGA\static\IMAGENS_PRODUTOS\BANQUETA BAR EVO_250026.jpg</v>
      </c>
      <c r="V347" t="str">
        <f>IFERROR((VLOOKUP(A347,Planilha1!A:B,2,0)),"\\192.168.0.4\Produtos\PRODUTO_PRONTA_ENTREGA\static\IMAGENS_PRODUTOS\SEM IMAGEM.jpg")</f>
        <v>\\192.168.0.4\Produtos\PRODUTO_PRONTA_ENTREGA\static\IMAGENS_PRODUTOS\BANQUETA BAR EVO_250026.jpg</v>
      </c>
    </row>
    <row r="348" spans="1:22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21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22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23"/>
        <v>1</v>
      </c>
      <c r="U348" s="10" t="str">
        <f>IFERROR((VLOOKUP(A348,Planilha1!A:B,2,0)),"\\192.168.0.4\Produtos\PRODUTO_PRONTA_ENTREGA\static\IMAGENS_PRODUTOS\SEM IMAGEM.jpg")</f>
        <v>\\192.168.0.4\Produtos\PRODUTO_PRONTA_ENTREGA\static\IMAGENS_PRODUTOS\BANQUETA BAR EVO_250027.jpg</v>
      </c>
      <c r="V348" t="str">
        <f>IFERROR((VLOOKUP(A348,Planilha1!A:B,2,0)),"\\192.168.0.4\Produtos\PRODUTO_PRONTA_ENTREGA\static\IMAGENS_PRODUTOS\SEM IMAGEM.jpg")</f>
        <v>\\192.168.0.4\Produtos\PRODUTO_PRONTA_ENTREGA\static\IMAGENS_PRODUTOS\BANQUETA BAR EVO_250027.jpg</v>
      </c>
    </row>
    <row r="349" spans="1:22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21"/>
        <v/>
      </c>
      <c r="L349" s="7" t="str">
        <f>IF(VLOOKUP(A349,'[1]LISTA ETIQUETAS'!O:AB,14,0)="","",(VLOOKUP(A349,'[1]LISTA ETIQUETAS'!O:AB,14,0)))</f>
        <v/>
      </c>
      <c r="M349" s="8"/>
      <c r="N349" s="9">
        <f t="shared" si="22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23"/>
        <v>1</v>
      </c>
      <c r="U349" s="10" t="str">
        <f>IFERROR((VLOOKUP(A349,Planilha1!A:B,2,0)),"\\192.168.0.4\Produtos\PRODUTO_PRONTA_ENTREGA\static\IMAGENS_PRODUTOS\SEM IMAGEM.jpg")</f>
        <v>\\192.168.0.4\Produtos\PRODUTO_PRONTA_ENTREGA\static\IMAGENS_PRODUTOS\BANQUETA BAR ANNA_268060.jpg</v>
      </c>
      <c r="V349" t="str">
        <f>IFERROR((VLOOKUP(A349,Planilha1!A:B,2,0)),"\\192.168.0.4\Produtos\PRODUTO_PRONTA_ENTREGA\static\IMAGENS_PRODUTOS\SEM IMAGEM.jpg")</f>
        <v>\\192.168.0.4\Produtos\PRODUTO_PRONTA_ENTREGA\static\IMAGENS_PRODUTOS\BANQUETA BAR ANNA_268060.jpg</v>
      </c>
    </row>
    <row r="350" spans="1:22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21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22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23"/>
        <v>3</v>
      </c>
      <c r="U350" s="10" t="str">
        <f>IFERROR((VLOOKUP(A350,Planilha1!A:B,2,0)),"\\192.168.0.4\Produtos\PRODUTO_PRONTA_ENTREGA\static\IMAGENS_PRODUTOS\SEM IMAGEM.jpg")</f>
        <v>\\192.168.0.4\Produtos\PRODUTO_PRONTA_ENTREGA\static\IMAGENS_PRODUTOS\BANQUETA BAR LISBOA_270551.jpg</v>
      </c>
      <c r="V350" t="str">
        <f>IFERROR((VLOOKUP(A350,Planilha1!A:B,2,0)),"\\192.168.0.4\Produtos\PRODUTO_PRONTA_ENTREGA\static\IMAGENS_PRODUTOS\SEM IMAGEM.jpg")</f>
        <v>\\192.168.0.4\Produtos\PRODUTO_PRONTA_ENTREGA\static\IMAGENS_PRODUTOS\BANQUETA BAR LISBOA_270551.jpg</v>
      </c>
    </row>
    <row r="351" spans="1:22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21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22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23"/>
        <v>1</v>
      </c>
      <c r="U351" s="10" t="str">
        <f>IFERROR((VLOOKUP(A351,Planilha1!A:B,2,0)),"\\192.168.0.4\Produtos\PRODUTO_PRONTA_ENTREGA\static\IMAGENS_PRODUTOS\SEM IMAGEM.jpg")</f>
        <v>\\192.168.0.4\Produtos\PRODUTO_PRONTA_ENTREGA\static\IMAGENS_PRODUTOS\BUFFET CROCO_80036.jpg</v>
      </c>
      <c r="V351" t="str">
        <f>IFERROR((VLOOKUP(A351,Planilha1!A:B,2,0)),"\\192.168.0.4\Produtos\PRODUTO_PRONTA_ENTREGA\static\IMAGENS_PRODUTOS\SEM IMAGEM.jpg")</f>
        <v>\\192.168.0.4\Produtos\PRODUTO_PRONTA_ENTREGA\static\IMAGENS_PRODUTOS\BUFFET CROCO_80036.jpg</v>
      </c>
    </row>
    <row r="352" spans="1:22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21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22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23"/>
        <v>1</v>
      </c>
      <c r="U352" s="10" t="str">
        <f>IFERROR((VLOOKUP(A352,Planilha1!A:B,2,0)),"\\192.168.0.4\Produtos\PRODUTO_PRONTA_ENTREGA\static\IMAGENS_PRODUTOS\SEM IMAGEM.jpg")</f>
        <v>\\192.168.0.4\Produtos\PRODUTO_PRONTA_ENTREGA\static\IMAGENS_PRODUTOS\BUFFET THETYS_128597.jpg</v>
      </c>
      <c r="V352" t="str">
        <f>IFERROR((VLOOKUP(A352,Planilha1!A:B,2,0)),"\\192.168.0.4\Produtos\PRODUTO_PRONTA_ENTREGA\static\IMAGENS_PRODUTOS\SEM IMAGEM.jpg")</f>
        <v>\\192.168.0.4\Produtos\PRODUTO_PRONTA_ENTREGA\static\IMAGENS_PRODUTOS\BUFFET THETYS_128597.jpg</v>
      </c>
    </row>
    <row r="353" spans="1:22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21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22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23"/>
        <v>1</v>
      </c>
      <c r="U353" s="10" t="str">
        <f>IFERROR((VLOOKUP(A353,Planilha1!A:B,2,0)),"\\192.168.0.4\Produtos\PRODUTO_PRONTA_ENTREGA\static\IMAGENS_PRODUTOS\SEM IMAGEM.jpg")</f>
        <v>\\192.168.0.4\Produtos\PRODUTO_PRONTA_ENTREGA\static\IMAGENS_PRODUTOS\SEM IMAGEM.jpg</v>
      </c>
      <c r="V353" t="str">
        <f>IFERROR((VLOOKUP(A353,Planilha1!A:B,2,0)),"\\192.168.0.4\Produtos\PRODUTO_PRONTA_ENTREGA\static\IMAGENS_PRODUTOS\SEM IMAGEM.jpg")</f>
        <v>\\192.168.0.4\Produtos\PRODUTO_PRONTA_ENTREGA\static\IMAGENS_PRODUTOS\SEM IMAGEM.jpg</v>
      </c>
    </row>
    <row r="354" spans="1:22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21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22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23"/>
        <v>2</v>
      </c>
      <c r="U354" s="10" t="str">
        <f>IFERROR((VLOOKUP(A354,Planilha1!A:B,2,0)),"\\192.168.0.4\Produtos\PRODUTO_PRONTA_ENTREGA\static\IMAGENS_PRODUTOS\SEM IMAGEM.jpg")</f>
        <v>\\192.168.0.4\Produtos\PRODUTO_PRONTA_ENTREGA\static\IMAGENS_PRODUTOS\BUFFET CURVO_163826.jpg</v>
      </c>
      <c r="V354" t="str">
        <f>IFERROR((VLOOKUP(A354,Planilha1!A:B,2,0)),"\\192.168.0.4\Produtos\PRODUTO_PRONTA_ENTREGA\static\IMAGENS_PRODUTOS\SEM IMAGEM.jpg")</f>
        <v>\\192.168.0.4\Produtos\PRODUTO_PRONTA_ENTREGA\static\IMAGENS_PRODUTOS\BUFFET CURVO_163826.jpg</v>
      </c>
    </row>
    <row r="355" spans="1:22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21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22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23"/>
        <v>2</v>
      </c>
      <c r="U355" s="10" t="str">
        <f>IFERROR((VLOOKUP(A355,Planilha1!A:B,2,0)),"\\192.168.0.4\Produtos\PRODUTO_PRONTA_ENTREGA\static\IMAGENS_PRODUTOS\SEM IMAGEM.jpg")</f>
        <v>\\192.168.0.4\Produtos\PRODUTO_PRONTA_ENTREGA\static\IMAGENS_PRODUTOS\BUFFET TOKYO_224531.jpg</v>
      </c>
      <c r="V355" t="str">
        <f>IFERROR((VLOOKUP(A355,Planilha1!A:B,2,0)),"\\192.168.0.4\Produtos\PRODUTO_PRONTA_ENTREGA\static\IMAGENS_PRODUTOS\SEM IMAGEM.jpg")</f>
        <v>\\192.168.0.4\Produtos\PRODUTO_PRONTA_ENTREGA\static\IMAGENS_PRODUTOS\BUFFET TOKYO_224531.jpg</v>
      </c>
    </row>
    <row r="356" spans="1:22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21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22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23"/>
        <v>1</v>
      </c>
      <c r="U356" s="10" t="str">
        <f>IFERROR((VLOOKUP(A356,Planilha1!A:B,2,0)),"\\192.168.0.4\Produtos\PRODUTO_PRONTA_ENTREGA\static\IMAGENS_PRODUTOS\SEM IMAGEM.jpg")</f>
        <v>\\192.168.0.4\Produtos\PRODUTO_PRONTA_ENTREGA\static\IMAGENS_PRODUTOS\BUFFET AD_255749.jpg</v>
      </c>
      <c r="V356" t="str">
        <f>IFERROR((VLOOKUP(A356,Planilha1!A:B,2,0)),"\\192.168.0.4\Produtos\PRODUTO_PRONTA_ENTREGA\static\IMAGENS_PRODUTOS\SEM IMAGEM.jpg")</f>
        <v>\\192.168.0.4\Produtos\PRODUTO_PRONTA_ENTREGA\static\IMAGENS_PRODUTOS\BUFFET AD_255749.jpg</v>
      </c>
    </row>
    <row r="357" spans="1:22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21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22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23"/>
        <v>1</v>
      </c>
      <c r="U357" s="10" t="str">
        <f>IFERROR((VLOOKUP(A357,Planilha1!A:B,2,0)),"\\192.168.0.4\Produtos\PRODUTO_PRONTA_ENTREGA\static\IMAGENS_PRODUTOS\SEM IMAGEM.jpg")</f>
        <v>\\192.168.0.4\Produtos\PRODUTO_PRONTA_ENTREGA\static\IMAGENS_PRODUTOS\BUFFET MICHELLE_175157.jpg</v>
      </c>
      <c r="V357" t="str">
        <f>IFERROR((VLOOKUP(A357,Planilha1!A:B,2,0)),"\\192.168.0.4\Produtos\PRODUTO_PRONTA_ENTREGA\static\IMAGENS_PRODUTOS\SEM IMAGEM.jpg")</f>
        <v>\\192.168.0.4\Produtos\PRODUTO_PRONTA_ENTREGA\static\IMAGENS_PRODUTOS\BUFFET MICHELLE_175157.jpg</v>
      </c>
    </row>
    <row r="358" spans="1:22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21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22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23"/>
        <v>1</v>
      </c>
      <c r="U358" s="10" t="str">
        <f>IFERROR((VLOOKUP(A358,Planilha1!A:B,2,0)),"\\192.168.0.4\Produtos\PRODUTO_PRONTA_ENTREGA\static\IMAGENS_PRODUTOS\SEM IMAGEM.jpg")</f>
        <v>\\192.168.0.4\Produtos\PRODUTO_PRONTA_ENTREGA\static\IMAGENS_PRODUTOS\SEM IMAGEM.jpg</v>
      </c>
      <c r="V358" t="str">
        <f>IFERROR((VLOOKUP(A358,Planilha1!A:B,2,0)),"\\192.168.0.4\Produtos\PRODUTO_PRONTA_ENTREGA\static\IMAGENS_PRODUTOS\SEM IMAGEM.jpg")</f>
        <v>\\192.168.0.4\Produtos\PRODUTO_PRONTA_ENTREGA\static\IMAGENS_PRODUTOS\SEM IMAGEM.jpg</v>
      </c>
    </row>
    <row r="359" spans="1:22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21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22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23"/>
        <v>1</v>
      </c>
      <c r="U359" s="10" t="str">
        <f>IFERROR((VLOOKUP(A359,Planilha1!A:B,2,0)),"\\192.168.0.4\Produtos\PRODUTO_PRONTA_ENTREGA\static\IMAGENS_PRODUTOS\SEM IMAGEM.jpg")</f>
        <v>\\192.168.0.4\Produtos\PRODUTO_PRONTA_ENTREGA\static\IMAGENS_PRODUTOS\BUFFET DIXIE_308716.jpg</v>
      </c>
      <c r="V359" t="str">
        <f>IFERROR((VLOOKUP(A359,Planilha1!A:B,2,0)),"\\192.168.0.4\Produtos\PRODUTO_PRONTA_ENTREGA\static\IMAGENS_PRODUTOS\SEM IMAGEM.jpg")</f>
        <v>\\192.168.0.4\Produtos\PRODUTO_PRONTA_ENTREGA\static\IMAGENS_PRODUTOS\BUFFET DIXIE_308716.jpg</v>
      </c>
    </row>
    <row r="360" spans="1:22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21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22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23"/>
        <v>2</v>
      </c>
      <c r="U360" s="10" t="str">
        <f>IFERROR((VLOOKUP(A360,Planilha1!A:B,2,0)),"\\192.168.0.4\Produtos\PRODUTO_PRONTA_ENTREGA\static\IMAGENS_PRODUTOS\SEM IMAGEM.jpg")</f>
        <v>\\192.168.0.4\Produtos\PRODUTO_PRONTA_ENTREGA\static\IMAGENS_PRODUTOS\BUFFET BREL_275006.jpg</v>
      </c>
      <c r="V360" t="str">
        <f>IFERROR((VLOOKUP(A360,Planilha1!A:B,2,0)),"\\192.168.0.4\Produtos\PRODUTO_PRONTA_ENTREGA\static\IMAGENS_PRODUTOS\SEM IMAGEM.jpg")</f>
        <v>\\192.168.0.4\Produtos\PRODUTO_PRONTA_ENTREGA\static\IMAGENS_PRODUTOS\BUFFET BREL_275006.jpg</v>
      </c>
    </row>
    <row r="361" spans="1:22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21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22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23"/>
        <v>1</v>
      </c>
      <c r="U361" s="10" t="str">
        <f>IFERROR((VLOOKUP(A361,Planilha1!A:B,2,0)),"\\192.168.0.4\Produtos\PRODUTO_PRONTA_ENTREGA\static\IMAGENS_PRODUTOS\SEM IMAGEM.jpg")</f>
        <v>\\192.168.0.4\Produtos\PRODUTO_PRONTA_ENTREGA\static\IMAGENS_PRODUTOS\BUFFET DIXIE_275024.jpg</v>
      </c>
      <c r="V361" t="str">
        <f>IFERROR((VLOOKUP(A361,Planilha1!A:B,2,0)),"\\192.168.0.4\Produtos\PRODUTO_PRONTA_ENTREGA\static\IMAGENS_PRODUTOS\SEM IMAGEM.jpg")</f>
        <v>\\192.168.0.4\Produtos\PRODUTO_PRONTA_ENTREGA\static\IMAGENS_PRODUTOS\BUFFET DIXIE_275024.jpg</v>
      </c>
    </row>
    <row r="362" spans="1:22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21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22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23"/>
        <v>1</v>
      </c>
      <c r="U362" s="10" t="str">
        <f>IFERROR((VLOOKUP(A362,Planilha1!A:B,2,0)),"\\192.168.0.4\Produtos\PRODUTO_PRONTA_ENTREGA\static\IMAGENS_PRODUTOS\SEM IMAGEM.jpg")</f>
        <v>\\192.168.0.4\Produtos\PRODUTO_PRONTA_ENTREGA\static\IMAGENS_PRODUTOS\SEM IMAGEM.jpg</v>
      </c>
      <c r="V362" t="str">
        <f>IFERROR((VLOOKUP(A362,Planilha1!A:B,2,0)),"\\192.168.0.4\Produtos\PRODUTO_PRONTA_ENTREGA\static\IMAGENS_PRODUTOS\SEM IMAGEM.jpg")</f>
        <v>\\192.168.0.4\Produtos\PRODUTO_PRONTA_ENTREGA\static\IMAGENS_PRODUTOS\SEM IMAGEM.jpg</v>
      </c>
    </row>
    <row r="363" spans="1:22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21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22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23"/>
        <v>2</v>
      </c>
      <c r="U363" s="10" t="str">
        <f>IFERROR((VLOOKUP(A363,Planilha1!A:B,2,0)),"\\192.168.0.4\Produtos\PRODUTO_PRONTA_ENTREGA\static\IMAGENS_PRODUTOS\SEM IMAGEM.jpg")</f>
        <v>\\192.168.0.4\Produtos\PRODUTO_PRONTA_ENTREGA\static\IMAGENS_PRODUTOS\CADEIRA RENDEIRA_278062.jpg</v>
      </c>
      <c r="V363" t="str">
        <f>IFERROR((VLOOKUP(A363,Planilha1!A:B,2,0)),"\\192.168.0.4\Produtos\PRODUTO_PRONTA_ENTREGA\static\IMAGENS_PRODUTOS\SEM IMAGEM.jpg")</f>
        <v>\\192.168.0.4\Produtos\PRODUTO_PRONTA_ENTREGA\static\IMAGENS_PRODUTOS\CADEIRA RENDEIRA_278062.jpg</v>
      </c>
    </row>
    <row r="364" spans="1:22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21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22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4</v>
      </c>
      <c r="T364" s="9">
        <f t="shared" si="23"/>
        <v>4</v>
      </c>
      <c r="U364" s="10" t="str">
        <f>IFERROR((VLOOKUP(A364,Planilha1!A:B,2,0)),"\\192.168.0.4\Produtos\PRODUTO_PRONTA_ENTREGA\static\IMAGENS_PRODUTOS\SEM IMAGEM.jpg")</f>
        <v>\\192.168.0.4\Produtos\PRODUTO_PRONTA_ENTREGA\static\IMAGENS_PRODUTOS\CADEIRA 60 CB_308800.jpg</v>
      </c>
      <c r="V364" t="str">
        <f>IFERROR((VLOOKUP(A364,Planilha1!A:B,2,0)),"\\192.168.0.4\Produtos\PRODUTO_PRONTA_ENTREGA\static\IMAGENS_PRODUTOS\SEM IMAGEM.jpg")</f>
        <v>\\192.168.0.4\Produtos\PRODUTO_PRONTA_ENTREGA\static\IMAGENS_PRODUTOS\CADEIRA 60 CB_308800.jpg</v>
      </c>
    </row>
    <row r="365" spans="1:22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21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22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23"/>
        <v>8</v>
      </c>
      <c r="U365" s="10" t="str">
        <f>IFERROR((VLOOKUP(A365,Planilha1!A:B,2,0)),"\\192.168.0.4\Produtos\PRODUTO_PRONTA_ENTREGA\static\IMAGENS_PRODUTOS\SEM IMAGEM.jpg")</f>
        <v>\\192.168.0.4\Produtos\PRODUTO_PRONTA_ENTREGA\static\IMAGENS_PRODUTOS\CADEIRA 60 CB_308799.jpg</v>
      </c>
      <c r="V365" t="str">
        <f>IFERROR((VLOOKUP(A365,Planilha1!A:B,2,0)),"\\192.168.0.4\Produtos\PRODUTO_PRONTA_ENTREGA\static\IMAGENS_PRODUTOS\SEM IMAGEM.jpg")</f>
        <v>\\192.168.0.4\Produtos\PRODUTO_PRONTA_ENTREGA\static\IMAGENS_PRODUTOS\CADEIRA 60 CB_308799.jpg</v>
      </c>
    </row>
    <row r="366" spans="1:22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21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22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23"/>
        <v>2</v>
      </c>
      <c r="U366" s="10" t="str">
        <f>IFERROR((VLOOKUP(A366,Planilha1!A:B,2,0)),"\\192.168.0.4\Produtos\PRODUTO_PRONTA_ENTREGA\static\IMAGENS_PRODUTOS\SEM IMAGEM.jpg")</f>
        <v>\\192.168.0.4\Produtos\PRODUTO_PRONTA_ENTREGA\static\IMAGENS_PRODUTOS\CADEIRA FINA CB_270428.jpg</v>
      </c>
      <c r="V366" t="str">
        <f>IFERROR((VLOOKUP(A366,Planilha1!A:B,2,0)),"\\192.168.0.4\Produtos\PRODUTO_PRONTA_ENTREGA\static\IMAGENS_PRODUTOS\SEM IMAGEM.jpg")</f>
        <v>\\192.168.0.4\Produtos\PRODUTO_PRONTA_ENTREGA\static\IMAGENS_PRODUTOS\CADEIRA FINA CB_270428.jpg</v>
      </c>
    </row>
    <row r="367" spans="1:22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21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22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23"/>
        <v>5</v>
      </c>
      <c r="U367" s="10" t="str">
        <f>IFERROR((VLOOKUP(A367,Planilha1!A:B,2,0)),"\\192.168.0.4\Produtos\PRODUTO_PRONTA_ENTREGA\static\IMAGENS_PRODUTOS\SEM IMAGEM.jpg")</f>
        <v>\\192.168.0.4\Produtos\PRODUTO_PRONTA_ENTREGA\static\IMAGENS_PRODUTOS\CADEIRA RAMONA_273338.jpg</v>
      </c>
      <c r="V367" t="str">
        <f>IFERROR((VLOOKUP(A367,Planilha1!A:B,2,0)),"\\192.168.0.4\Produtos\PRODUTO_PRONTA_ENTREGA\static\IMAGENS_PRODUTOS\SEM IMAGEM.jpg")</f>
        <v>\\192.168.0.4\Produtos\PRODUTO_PRONTA_ENTREGA\static\IMAGENS_PRODUTOS\CADEIRA RAMONA_273338.jpg</v>
      </c>
    </row>
    <row r="368" spans="1:22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21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22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23"/>
        <v>16</v>
      </c>
      <c r="U368" s="10" t="str">
        <f>IFERROR((VLOOKUP(A368,Planilha1!A:B,2,0)),"\\192.168.0.4\Produtos\PRODUTO_PRONTA_ENTREGA\static\IMAGENS_PRODUTOS\SEM IMAGEM.jpg")</f>
        <v>\\192.168.0.4\Produtos\PRODUTO_PRONTA_ENTREGA\static\IMAGENS_PRODUTOS\CADEIRA MEDALHINHA_262565.jpg</v>
      </c>
      <c r="V368" t="str">
        <f>IFERROR((VLOOKUP(A368,Planilha1!A:B,2,0)),"\\192.168.0.4\Produtos\PRODUTO_PRONTA_ENTREGA\static\IMAGENS_PRODUTOS\SEM IMAGEM.jpg")</f>
        <v>\\192.168.0.4\Produtos\PRODUTO_PRONTA_ENTREGA\static\IMAGENS_PRODUTOS\CADEIRA MEDALHINHA_262565.jpg</v>
      </c>
    </row>
    <row r="369" spans="1:22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21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22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23"/>
        <v>2</v>
      </c>
      <c r="U369" s="10" t="str">
        <f>IFERROR((VLOOKUP(A369,Planilha1!A:B,2,0)),"\\192.168.0.4\Produtos\PRODUTO_PRONTA_ENTREGA\static\IMAGENS_PRODUTOS\SEM IMAGEM.jpg")</f>
        <v>\\192.168.0.4\Produtos\PRODUTO_PRONTA_ENTREGA\static\IMAGENS_PRODUTOS\SEM IMAGEM.jpg</v>
      </c>
      <c r="V369" t="str">
        <f>IFERROR((VLOOKUP(A369,Planilha1!A:B,2,0)),"\\192.168.0.4\Produtos\PRODUTO_PRONTA_ENTREGA\static\IMAGENS_PRODUTOS\SEM IMAGEM.jpg")</f>
        <v>\\192.168.0.4\Produtos\PRODUTO_PRONTA_ENTREGA\static\IMAGENS_PRODUTOS\SEM IMAGEM.jpg</v>
      </c>
    </row>
    <row r="370" spans="1:22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21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22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23"/>
        <v>1</v>
      </c>
      <c r="U370" s="10" t="str">
        <f>IFERROR((VLOOKUP(A370,Planilha1!A:B,2,0)),"\\192.168.0.4\Produtos\PRODUTO_PRONTA_ENTREGA\static\IMAGENS_PRODUTOS\SEM IMAGEM.jpg")</f>
        <v>\\192.168.0.4\Produtos\PRODUTO_PRONTA_ENTREGA\static\IMAGENS_PRODUTOS\SEM IMAGEM.jpg</v>
      </c>
      <c r="V370" t="str">
        <f>IFERROR((VLOOKUP(A370,Planilha1!A:B,2,0)),"\\192.168.0.4\Produtos\PRODUTO_PRONTA_ENTREGA\static\IMAGENS_PRODUTOS\SEM IMAGEM.jpg")</f>
        <v>\\192.168.0.4\Produtos\PRODUTO_PRONTA_ENTREGA\static\IMAGENS_PRODUTOS\SEM IMAGEM.jpg</v>
      </c>
    </row>
    <row r="371" spans="1:22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21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22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23"/>
        <v>6</v>
      </c>
      <c r="U371" s="10" t="str">
        <f>IFERROR((VLOOKUP(A371,Planilha1!A:B,2,0)),"\\192.168.0.4\Produtos\PRODUTO_PRONTA_ENTREGA\static\IMAGENS_PRODUTOS\SEM IMAGEM.jpg")</f>
        <v>\\192.168.0.4\Produtos\PRODUTO_PRONTA_ENTREGA\static\IMAGENS_PRODUTOS\SEM IMAGEM.jpg</v>
      </c>
      <c r="V371" t="str">
        <f>IFERROR((VLOOKUP(A371,Planilha1!A:B,2,0)),"\\192.168.0.4\Produtos\PRODUTO_PRONTA_ENTREGA\static\IMAGENS_PRODUTOS\SEM IMAGEM.jpg")</f>
        <v>\\192.168.0.4\Produtos\PRODUTO_PRONTA_ENTREGA\static\IMAGENS_PRODUTOS\SEM IMAGEM.jpg</v>
      </c>
    </row>
    <row r="372" spans="1:22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21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22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23"/>
        <v>6</v>
      </c>
      <c r="U372" s="10" t="str">
        <f>IFERROR((VLOOKUP(A372,Planilha1!A:B,2,0)),"\\192.168.0.4\Produtos\PRODUTO_PRONTA_ENTREGA\static\IMAGENS_PRODUTOS\SEM IMAGEM.jpg")</f>
        <v>\\192.168.0.4\Produtos\PRODUTO_PRONTA_ENTREGA\static\IMAGENS_PRODUTOS\SEM IMAGEM.jpg</v>
      </c>
      <c r="V372" t="str">
        <f>IFERROR((VLOOKUP(A372,Planilha1!A:B,2,0)),"\\192.168.0.4\Produtos\PRODUTO_PRONTA_ENTREGA\static\IMAGENS_PRODUTOS\SEM IMAGEM.jpg")</f>
        <v>\\192.168.0.4\Produtos\PRODUTO_PRONTA_ENTREGA\static\IMAGENS_PRODUTOS\SEM IMAGEM.jpg</v>
      </c>
    </row>
    <row r="373" spans="1:22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21"/>
        <v/>
      </c>
      <c r="L373" s="7" t="str">
        <f>IF(VLOOKUP(A373,'[1]LISTA ETIQUETAS'!O:AB,14,0)="","",(VLOOKUP(A373,'[1]LISTA ETIQUETAS'!O:AB,14,0)))</f>
        <v/>
      </c>
      <c r="M373" s="8"/>
      <c r="N373" s="9">
        <f t="shared" si="22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23"/>
        <v>1</v>
      </c>
      <c r="U373" s="10" t="str">
        <f>IFERROR((VLOOKUP(A373,Planilha1!A:B,2,0)),"\\192.168.0.4\Produtos\PRODUTO_PRONTA_ENTREGA\static\IMAGENS_PRODUTOS\SEM IMAGEM.jpg")</f>
        <v>\\192.168.0.4\Produtos\PRODUTO_PRONTA_ENTREGA\static\IMAGENS_PRODUTOS\CADEIRA JULIETA_399204.jpg</v>
      </c>
      <c r="V373" t="str">
        <f>IFERROR((VLOOKUP(A373,Planilha1!A:B,2,0)),"\\192.168.0.4\Produtos\PRODUTO_PRONTA_ENTREGA\static\IMAGENS_PRODUTOS\SEM IMAGEM.jpg")</f>
        <v>\\192.168.0.4\Produtos\PRODUTO_PRONTA_ENTREGA\static\IMAGENS_PRODUTOS\CADEIRA JULIETA_399204.jpg</v>
      </c>
    </row>
    <row r="374" spans="1:22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21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22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23"/>
        <v>8</v>
      </c>
      <c r="U374" s="10" t="str">
        <f>IFERROR((VLOOKUP(A374,Planilha1!A:B,2,0)),"\\192.168.0.4\Produtos\PRODUTO_PRONTA_ENTREGA\static\IMAGENS_PRODUTOS\SEM IMAGEM.jpg")</f>
        <v>\\192.168.0.4\Produtos\PRODUTO_PRONTA_ENTREGA\static\IMAGENS_PRODUTOS\SEM IMAGEM.jpg</v>
      </c>
      <c r="V374" t="str">
        <f>IFERROR((VLOOKUP(A374,Planilha1!A:B,2,0)),"\\192.168.0.4\Produtos\PRODUTO_PRONTA_ENTREGA\static\IMAGENS_PRODUTOS\SEM IMAGEM.jpg")</f>
        <v>\\192.168.0.4\Produtos\PRODUTO_PRONTA_ENTREGA\static\IMAGENS_PRODUTOS\SEM IMAGEM.jpg</v>
      </c>
    </row>
    <row r="375" spans="1:22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10102.219999999999</v>
      </c>
      <c r="J375" s="6">
        <v>0</v>
      </c>
      <c r="K375" s="12">
        <f t="shared" si="21"/>
        <v>10102.219999999999</v>
      </c>
      <c r="L375" s="7" t="str">
        <f>IF(VLOOKUP(A375,'[1]LISTA ETIQUETAS'!O:AB,14,0)="","",(VLOOKUP(A375,'[1]LISTA ETIQUETAS'!O:AB,14,0)))</f>
        <v/>
      </c>
      <c r="M375" s="8"/>
      <c r="N375" s="9">
        <f t="shared" si="22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23"/>
        <v>6</v>
      </c>
      <c r="U375" s="10" t="str">
        <f>IFERROR((VLOOKUP(A375,Planilha1!A:B,2,0)),"\\192.168.0.4\Produtos\PRODUTO_PRONTA_ENTREGA\static\IMAGENS_PRODUTOS\SEM IMAGEM.jpg")</f>
        <v>\\192.168.0.4\Produtos\PRODUTO_PRONTA_ENTREGA\static\IMAGENS_PRODUTOS\CADEIRA PI _378286.jpg</v>
      </c>
      <c r="V375" t="str">
        <f>IFERROR((VLOOKUP(A375,Planilha1!A:B,2,0)),"\\192.168.0.4\Produtos\PRODUTO_PRONTA_ENTREGA\static\IMAGENS_PRODUTOS\SEM IMAGEM.jpg")</f>
        <v>\\192.168.0.4\Produtos\PRODUTO_PRONTA_ENTREGA\static\IMAGENS_PRODUTOS\CADEIRA PI _378286.jpg</v>
      </c>
    </row>
    <row r="376" spans="1:22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21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22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23"/>
        <v>8</v>
      </c>
      <c r="U376" s="10" t="str">
        <f>IFERROR((VLOOKUP(A376,Planilha1!A:B,2,0)),"\\192.168.0.4\Produtos\PRODUTO_PRONTA_ENTREGA\static\IMAGENS_PRODUTOS\SEM IMAGEM.jpg")</f>
        <v>\\192.168.0.4\Produtos\PRODUTO_PRONTA_ENTREGA\static\IMAGENS_PRODUTOS\SEM IMAGEM.jpg</v>
      </c>
      <c r="V376" t="str">
        <f>IFERROR((VLOOKUP(A376,Planilha1!A:B,2,0)),"\\192.168.0.4\Produtos\PRODUTO_PRONTA_ENTREGA\static\IMAGENS_PRODUTOS\SEM IMAGEM.jpg")</f>
        <v>\\192.168.0.4\Produtos\PRODUTO_PRONTA_ENTREGA\static\IMAGENS_PRODUTOS\SEM IMAGEM.jpg</v>
      </c>
    </row>
    <row r="377" spans="1:22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21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22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6</v>
      </c>
      <c r="T377" s="9">
        <f t="shared" si="23"/>
        <v>6</v>
      </c>
      <c r="U377" s="10" t="str">
        <f>IFERROR((VLOOKUP(A377,Planilha1!A:B,2,0)),"\\192.168.0.4\Produtos\PRODUTO_PRONTA_ENTREGA\static\IMAGENS_PRODUTOS\SEM IMAGEM.jpg")</f>
        <v>\\192.168.0.4\Produtos\PRODUTO_PRONTA_ENTREGA\static\IMAGENS_PRODUTOS\SEM IMAGEM.jpg</v>
      </c>
      <c r="V377" t="str">
        <f>IFERROR((VLOOKUP(A377,Planilha1!A:B,2,0)),"\\192.168.0.4\Produtos\PRODUTO_PRONTA_ENTREGA\static\IMAGENS_PRODUTOS\SEM IMAGEM.jpg")</f>
        <v>\\192.168.0.4\Produtos\PRODUTO_PRONTA_ENTREGA\static\IMAGENS_PRODUTOS\SEM IMAGEM.jpg</v>
      </c>
    </row>
    <row r="378" spans="1:22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21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22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23"/>
        <v>2</v>
      </c>
      <c r="U378" s="10" t="str">
        <f>IFERROR((VLOOKUP(A378,Planilha1!A:B,2,0)),"\\192.168.0.4\Produtos\PRODUTO_PRONTA_ENTREGA\static\IMAGENS_PRODUTOS\SEM IMAGEM.jpg")</f>
        <v>\\192.168.0.4\Produtos\PRODUTO_PRONTA_ENTREGA\static\IMAGENS_PRODUTOS\SEM IMAGEM.jpg</v>
      </c>
      <c r="V378" t="str">
        <f>IFERROR((VLOOKUP(A378,Planilha1!A:B,2,0)),"\\192.168.0.4\Produtos\PRODUTO_PRONTA_ENTREGA\static\IMAGENS_PRODUTOS\SEM IMAGEM.jpg")</f>
        <v>\\192.168.0.4\Produtos\PRODUTO_PRONTA_ENTREGA\static\IMAGENS_PRODUTOS\SEM IMAGEM.jpg</v>
      </c>
    </row>
    <row r="379" spans="1:22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21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22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23"/>
        <v>6</v>
      </c>
      <c r="U379" s="10" t="str">
        <f>IFERROR((VLOOKUP(A379,Planilha1!A:B,2,0)),"\\192.168.0.4\Produtos\PRODUTO_PRONTA_ENTREGA\static\IMAGENS_PRODUTOS\SEM IMAGEM.jpg")</f>
        <v>\\192.168.0.4\Produtos\PRODUTO_PRONTA_ENTREGA\static\IMAGENS_PRODUTOS\SEM IMAGEM.jpg</v>
      </c>
      <c r="V379" t="str">
        <f>IFERROR((VLOOKUP(A379,Planilha1!A:B,2,0)),"\\192.168.0.4\Produtos\PRODUTO_PRONTA_ENTREGA\static\IMAGENS_PRODUTOS\SEM IMAGEM.jpg")</f>
        <v>\\192.168.0.4\Produtos\PRODUTO_PRONTA_ENTREGA\static\IMAGENS_PRODUTOS\SEM IMAGEM.jpg</v>
      </c>
    </row>
    <row r="380" spans="1:22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21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22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23"/>
        <v>2</v>
      </c>
      <c r="U380" s="10" t="str">
        <f>IFERROR((VLOOKUP(A380,Planilha1!A:B,2,0)),"\\192.168.0.4\Produtos\PRODUTO_PRONTA_ENTREGA\static\IMAGENS_PRODUTOS\SEM IMAGEM.jpg")</f>
        <v>\\192.168.0.4\Produtos\PRODUTO_PRONTA_ENTREGA\static\IMAGENS_PRODUTOS\SEM IMAGEM.jpg</v>
      </c>
      <c r="V380" t="str">
        <f>IFERROR((VLOOKUP(A380,Planilha1!A:B,2,0)),"\\192.168.0.4\Produtos\PRODUTO_PRONTA_ENTREGA\static\IMAGENS_PRODUTOS\SEM IMAGEM.jpg")</f>
        <v>\\192.168.0.4\Produtos\PRODUTO_PRONTA_ENTREGA\static\IMAGENS_PRODUTOS\SEM IMAGEM.jpg</v>
      </c>
    </row>
    <row r="381" spans="1:22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21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22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23"/>
        <v>6</v>
      </c>
      <c r="U381" s="10" t="str">
        <f>IFERROR((VLOOKUP(A381,Planilha1!A:B,2,0)),"\\192.168.0.4\Produtos\PRODUTO_PRONTA_ENTREGA\static\IMAGENS_PRODUTOS\SEM IMAGEM.jpg")</f>
        <v>\\192.168.0.4\Produtos\PRODUTO_PRONTA_ENTREGA\static\IMAGENS_PRODUTOS\SEM IMAGEM.jpg</v>
      </c>
      <c r="V381" t="str">
        <f>IFERROR((VLOOKUP(A381,Planilha1!A:B,2,0)),"\\192.168.0.4\Produtos\PRODUTO_PRONTA_ENTREGA\static\IMAGENS_PRODUTOS\SEM IMAGEM.jpg")</f>
        <v>\\192.168.0.4\Produtos\PRODUTO_PRONTA_ENTREGA\static\IMAGENS_PRODUTOS\SEM IMAGEM.jpg</v>
      </c>
    </row>
    <row r="382" spans="1:22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21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22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2</v>
      </c>
      <c r="T382" s="9">
        <f t="shared" si="23"/>
        <v>2</v>
      </c>
      <c r="U382" s="10" t="str">
        <f>IFERROR((VLOOKUP(A382,Planilha1!A:B,2,0)),"\\192.168.0.4\Produtos\PRODUTO_PRONTA_ENTREGA\static\IMAGENS_PRODUTOS\SEM IMAGEM.jpg")</f>
        <v>\\192.168.0.4\Produtos\PRODUTO_PRONTA_ENTREGA\static\IMAGENS_PRODUTOS\SEM IMAGEM.jpg</v>
      </c>
      <c r="V382" t="str">
        <f>IFERROR((VLOOKUP(A382,Planilha1!A:B,2,0)),"\\192.168.0.4\Produtos\PRODUTO_PRONTA_ENTREGA\static\IMAGENS_PRODUTOS\SEM IMAGEM.jpg")</f>
        <v>\\192.168.0.4\Produtos\PRODUTO_PRONTA_ENTREGA\static\IMAGENS_PRODUTOS\SEM IMAGEM.jpg</v>
      </c>
    </row>
    <row r="383" spans="1:22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21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22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23"/>
        <v>2</v>
      </c>
      <c r="U383" s="10" t="str">
        <f>IFERROR((VLOOKUP(A383,Planilha1!A:B,2,0)),"\\192.168.0.4\Produtos\PRODUTO_PRONTA_ENTREGA\static\IMAGENS_PRODUTOS\SEM IMAGEM.jpg")</f>
        <v>\\192.168.0.4\Produtos\PRODUTO_PRONTA_ENTREGA\static\IMAGENS_PRODUTOS\SEM IMAGEM.jpg</v>
      </c>
      <c r="V383" t="str">
        <f>IFERROR((VLOOKUP(A383,Planilha1!A:B,2,0)),"\\192.168.0.4\Produtos\PRODUTO_PRONTA_ENTREGA\static\IMAGENS_PRODUTOS\SEM IMAGEM.jpg")</f>
        <v>\\192.168.0.4\Produtos\PRODUTO_PRONTA_ENTREGA\static\IMAGENS_PRODUTOS\SEM IMAGEM.jpg</v>
      </c>
    </row>
    <row r="384" spans="1:22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21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22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23"/>
        <v>10</v>
      </c>
      <c r="U384" s="10" t="str">
        <f>IFERROR((VLOOKUP(A384,Planilha1!A:B,2,0)),"\\192.168.0.4\Produtos\PRODUTO_PRONTA_ENTREGA\static\IMAGENS_PRODUTOS\SEM IMAGEM.jpg")</f>
        <v>\\192.168.0.4\Produtos\PRODUTO_PRONTA_ENTREGA\static\IMAGENS_PRODUTOS\CADEIRA LUIZA_371710.jpg</v>
      </c>
      <c r="V384" t="str">
        <f>IFERROR((VLOOKUP(A384,Planilha1!A:B,2,0)),"\\192.168.0.4\Produtos\PRODUTO_PRONTA_ENTREGA\static\IMAGENS_PRODUTOS\SEM IMAGEM.jpg")</f>
        <v>\\192.168.0.4\Produtos\PRODUTO_PRONTA_ENTREGA\static\IMAGENS_PRODUTOS\CADEIRA LUIZA_371710.jpg</v>
      </c>
    </row>
    <row r="385" spans="1:22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21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22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23"/>
        <v>10</v>
      </c>
      <c r="U385" s="10" t="str">
        <f>IFERROR((VLOOKUP(A385,Planilha1!A:B,2,0)),"\\192.168.0.4\Produtos\PRODUTO_PRONTA_ENTREGA\static\IMAGENS_PRODUTOS\SEM IMAGEM.jpg")</f>
        <v>\\192.168.0.4\Produtos\PRODUTO_PRONTA_ENTREGA\static\IMAGENS_PRODUTOS\SEM IMAGEM.jpg</v>
      </c>
      <c r="V385" t="str">
        <f>IFERROR((VLOOKUP(A385,Planilha1!A:B,2,0)),"\\192.168.0.4\Produtos\PRODUTO_PRONTA_ENTREGA\static\IMAGENS_PRODUTOS\SEM IMAGEM.jpg")</f>
        <v>\\192.168.0.4\Produtos\PRODUTO_PRONTA_ENTREGA\static\IMAGENS_PRODUTOS\SEM IMAGEM.jpg</v>
      </c>
    </row>
    <row r="386" spans="1:22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21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22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23"/>
        <v>2</v>
      </c>
      <c r="U386" s="10" t="str">
        <f>IFERROR((VLOOKUP(A386,Planilha1!A:B,2,0)),"\\192.168.0.4\Produtos\PRODUTO_PRONTA_ENTREGA\static\IMAGENS_PRODUTOS\SEM IMAGEM.jpg")</f>
        <v>\\192.168.0.4\Produtos\PRODUTO_PRONTA_ENTREGA\static\IMAGENS_PRODUTOS\CADEIRA CACAU COM BRAÇO_364310.jpg</v>
      </c>
      <c r="V386" t="str">
        <f>IFERROR((VLOOKUP(A386,Planilha1!A:B,2,0)),"\\192.168.0.4\Produtos\PRODUTO_PRONTA_ENTREGA\static\IMAGENS_PRODUTOS\SEM IMAGEM.jpg")</f>
        <v>\\192.168.0.4\Produtos\PRODUTO_PRONTA_ENTREGA\static\IMAGENS_PRODUTOS\CADEIRA CACAU COM BRAÇO_364310.jpg</v>
      </c>
    </row>
    <row r="387" spans="1:22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24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22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6</v>
      </c>
      <c r="T387" s="9">
        <f t="shared" si="23"/>
        <v>6</v>
      </c>
      <c r="U387" s="10" t="str">
        <f>IFERROR((VLOOKUP(A387,Planilha1!A:B,2,0)),"\\192.168.0.4\Produtos\PRODUTO_PRONTA_ENTREGA\static\IMAGENS_PRODUTOS\SEM IMAGEM.jpg")</f>
        <v>\\192.168.0.4\Produtos\PRODUTO_PRONTA_ENTREGA\static\IMAGENS_PRODUTOS\CADEIRA CACAU_364289.jpg</v>
      </c>
      <c r="V387" t="str">
        <f>IFERROR((VLOOKUP(A387,Planilha1!A:B,2,0)),"\\192.168.0.4\Produtos\PRODUTO_PRONTA_ENTREGA\static\IMAGENS_PRODUTOS\SEM IMAGEM.jpg")</f>
        <v>\\192.168.0.4\Produtos\PRODUTO_PRONTA_ENTREGA\static\IMAGENS_PRODUTOS\CADEIRA CACAU_364289.jpg</v>
      </c>
    </row>
    <row r="388" spans="1:22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24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25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26">SUM(O388:S388)</f>
        <v>10</v>
      </c>
      <c r="U388" s="10" t="str">
        <f>IFERROR((VLOOKUP(A388,Planilha1!A:B,2,0)),"\\192.168.0.4\Produtos\PRODUTO_PRONTA_ENTREGA\static\IMAGENS_PRODUTOS\SEM IMAGEM.jpg")</f>
        <v>\\192.168.0.4\Produtos\PRODUTO_PRONTA_ENTREGA\static\IMAGENS_PRODUTOS\CADEIRA CLARA_362675_7701.jpg</v>
      </c>
      <c r="V388" t="str">
        <f>IFERROR((VLOOKUP(A388,Planilha1!A:B,2,0)),"\\192.168.0.4\Produtos\PRODUTO_PRONTA_ENTREGA\static\IMAGENS_PRODUTOS\SEM IMAGEM.jpg")</f>
        <v>\\192.168.0.4\Produtos\PRODUTO_PRONTA_ENTREGA\static\IMAGENS_PRODUTOS\CADEIRA CLARA_362675_7701.jpg</v>
      </c>
    </row>
    <row r="389" spans="1:22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24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25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26"/>
        <v>3</v>
      </c>
      <c r="U389" s="10" t="str">
        <f>IFERROR((VLOOKUP(A389,Planilha1!A:B,2,0)),"\\192.168.0.4\Produtos\PRODUTO_PRONTA_ENTREGA\static\IMAGENS_PRODUTOS\SEM IMAGEM.jpg")</f>
        <v>\\192.168.0.4\Produtos\PRODUTO_PRONTA_ENTREGA\static\IMAGENS_PRODUTOS\SEM IMAGEM.jpg</v>
      </c>
      <c r="V389" t="str">
        <f>IFERROR((VLOOKUP(A389,Planilha1!A:B,2,0)),"\\192.168.0.4\Produtos\PRODUTO_PRONTA_ENTREGA\static\IMAGENS_PRODUTOS\SEM IMAGEM.jpg")</f>
        <v>\\192.168.0.4\Produtos\PRODUTO_PRONTA_ENTREGA\static\IMAGENS_PRODUTOS\SEM IMAGEM.jpg</v>
      </c>
    </row>
    <row r="390" spans="1:22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24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25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26"/>
        <v>10</v>
      </c>
      <c r="U390" s="10" t="str">
        <f>IFERROR((VLOOKUP(A390,Planilha1!A:B,2,0)),"\\192.168.0.4\Produtos\PRODUTO_PRONTA_ENTREGA\static\IMAGENS_PRODUTOS\SEM IMAGEM.jpg")</f>
        <v>\\192.168.0.4\Produtos\PRODUTO_PRONTA_ENTREGA\static\IMAGENS_PRODUTOS\CADEIRA CLARA_336720.jpg</v>
      </c>
      <c r="V390" t="str">
        <f>IFERROR((VLOOKUP(A390,Planilha1!A:B,2,0)),"\\192.168.0.4\Produtos\PRODUTO_PRONTA_ENTREGA\static\IMAGENS_PRODUTOS\SEM IMAGEM.jpg")</f>
        <v>\\192.168.0.4\Produtos\PRODUTO_PRONTA_ENTREGA\static\IMAGENS_PRODUTOS\CADEIRA CLARA_336720.jpg</v>
      </c>
    </row>
    <row r="391" spans="1:22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24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25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26"/>
        <v>5</v>
      </c>
      <c r="U391" s="10" t="str">
        <f>IFERROR((VLOOKUP(A391,Planilha1!A:B,2,0)),"\\192.168.0.4\Produtos\PRODUTO_PRONTA_ENTREGA\static\IMAGENS_PRODUTOS\SEM IMAGEM.jpg")</f>
        <v>\\192.168.0.4\Produtos\PRODUTO_PRONTA_ENTREGA\static\IMAGENS_PRODUTOS\CADEIRA ALE_334238.jpg</v>
      </c>
      <c r="V391" t="str">
        <f>IFERROR((VLOOKUP(A391,Planilha1!A:B,2,0)),"\\192.168.0.4\Produtos\PRODUTO_PRONTA_ENTREGA\static\IMAGENS_PRODUTOS\SEM IMAGEM.jpg")</f>
        <v>\\192.168.0.4\Produtos\PRODUTO_PRONTA_ENTREGA\static\IMAGENS_PRODUTOS\CADEIRA ALE_334238.jpg</v>
      </c>
    </row>
    <row r="392" spans="1:22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24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25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26"/>
        <v>8</v>
      </c>
      <c r="U392" s="10" t="str">
        <f>IFERROR((VLOOKUP(A392,Planilha1!A:B,2,0)),"\\192.168.0.4\Produtos\PRODUTO_PRONTA_ENTREGA\static\IMAGENS_PRODUTOS\SEM IMAGEM.jpg")</f>
        <v>\\192.168.0.4\Produtos\PRODUTO_PRONTA_ENTREGA\static\IMAGENS_PRODUTOS\CADEIRA MOI_334219.jpg</v>
      </c>
      <c r="V392" t="str">
        <f>IFERROR((VLOOKUP(A392,Planilha1!A:B,2,0)),"\\192.168.0.4\Produtos\PRODUTO_PRONTA_ENTREGA\static\IMAGENS_PRODUTOS\SEM IMAGEM.jpg")</f>
        <v>\\192.168.0.4\Produtos\PRODUTO_PRONTA_ENTREGA\static\IMAGENS_PRODUTOS\CADEIRA MOI_334219.jpg</v>
      </c>
    </row>
    <row r="393" spans="1:22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24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25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26"/>
        <v>10</v>
      </c>
      <c r="U393" s="10" t="str">
        <f>IFERROR((VLOOKUP(A393,Planilha1!A:B,2,0)),"\\192.168.0.4\Produtos\PRODUTO_PRONTA_ENTREGA\static\IMAGENS_PRODUTOS\SEM IMAGEM.jpg")</f>
        <v>\\192.168.0.4\Produtos\PRODUTO_PRONTA_ENTREGA\static\IMAGENS_PRODUTOS\CADEIRA CLARA_335331.jpg</v>
      </c>
      <c r="V393" t="str">
        <f>IFERROR((VLOOKUP(A393,Planilha1!A:B,2,0)),"\\192.168.0.4\Produtos\PRODUTO_PRONTA_ENTREGA\static\IMAGENS_PRODUTOS\SEM IMAGEM.jpg")</f>
        <v>\\192.168.0.4\Produtos\PRODUTO_PRONTA_ENTREGA\static\IMAGENS_PRODUTOS\CADEIRA CLARA_335331.jpg</v>
      </c>
    </row>
    <row r="394" spans="1:22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24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25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26"/>
        <v>8</v>
      </c>
      <c r="U394" s="10" t="str">
        <f>IFERROR((VLOOKUP(A394,Planilha1!A:B,2,0)),"\\192.168.0.4\Produtos\PRODUTO_PRONTA_ENTREGA\static\IMAGENS_PRODUTOS\SEM IMAGEM.jpg")</f>
        <v>\\192.168.0.4\Produtos\PRODUTO_PRONTA_ENTREGA\static\IMAGENS_PRODUTOS\CADEIRA KEEF CB_334629.jpg</v>
      </c>
      <c r="V394" t="str">
        <f>IFERROR((VLOOKUP(A394,Planilha1!A:B,2,0)),"\\192.168.0.4\Produtos\PRODUTO_PRONTA_ENTREGA\static\IMAGENS_PRODUTOS\SEM IMAGEM.jpg")</f>
        <v>\\192.168.0.4\Produtos\PRODUTO_PRONTA_ENTREGA\static\IMAGENS_PRODUTOS\CADEIRA KEEF CB_334629.jpg</v>
      </c>
    </row>
    <row r="395" spans="1:22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24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25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26"/>
        <v>8</v>
      </c>
      <c r="U395" s="10" t="str">
        <f>IFERROR((VLOOKUP(A395,Planilha1!A:B,2,0)),"\\192.168.0.4\Produtos\PRODUTO_PRONTA_ENTREGA\static\IMAGENS_PRODUTOS\SEM IMAGEM.jpg")</f>
        <v>\\192.168.0.4\Produtos\PRODUTO_PRONTA_ENTREGA\static\IMAGENS_PRODUTOS\CADEIRA JULIA_335230.jpg</v>
      </c>
      <c r="V395" t="str">
        <f>IFERROR((VLOOKUP(A395,Planilha1!A:B,2,0)),"\\192.168.0.4\Produtos\PRODUTO_PRONTA_ENTREGA\static\IMAGENS_PRODUTOS\SEM IMAGEM.jpg")</f>
        <v>\\192.168.0.4\Produtos\PRODUTO_PRONTA_ENTREGA\static\IMAGENS_PRODUTOS\CADEIRA JULIA_335230.jpg</v>
      </c>
    </row>
    <row r="396" spans="1:22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24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25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26"/>
        <v>6</v>
      </c>
      <c r="U396" s="10" t="str">
        <f>IFERROR((VLOOKUP(A396,Planilha1!A:B,2,0)),"\\192.168.0.4\Produtos\PRODUTO_PRONTA_ENTREGA\static\IMAGENS_PRODUTOS\SEM IMAGEM.jpg")</f>
        <v>\\192.168.0.4\Produtos\PRODUTO_PRONTA_ENTREGA\static\IMAGENS_PRODUTOS\SEM IMAGEM.jpg</v>
      </c>
      <c r="V396" t="str">
        <f>IFERROR((VLOOKUP(A396,Planilha1!A:B,2,0)),"\\192.168.0.4\Produtos\PRODUTO_PRONTA_ENTREGA\static\IMAGENS_PRODUTOS\SEM IMAGEM.jpg")</f>
        <v>\\192.168.0.4\Produtos\PRODUTO_PRONTA_ENTREGA\static\IMAGENS_PRODUTOS\SEM IMAGEM.jpg</v>
      </c>
    </row>
    <row r="397" spans="1:22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24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25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26"/>
        <v>6</v>
      </c>
      <c r="U397" s="10" t="str">
        <f>IFERROR((VLOOKUP(A397,Planilha1!A:B,2,0)),"\\192.168.0.4\Produtos\PRODUTO_PRONTA_ENTREGA\static\IMAGENS_PRODUTOS\SEM IMAGEM.jpg")</f>
        <v>\\192.168.0.4\Produtos\PRODUTO_PRONTA_ENTREGA\static\IMAGENS_PRODUTOS\SEM IMAGEM.jpg</v>
      </c>
      <c r="V397" t="str">
        <f>IFERROR((VLOOKUP(A397,Planilha1!A:B,2,0)),"\\192.168.0.4\Produtos\PRODUTO_PRONTA_ENTREGA\static\IMAGENS_PRODUTOS\SEM IMAGEM.jpg")</f>
        <v>\\192.168.0.4\Produtos\PRODUTO_PRONTA_ENTREGA\static\IMAGENS_PRODUTOS\SEM IMAGEM.jpg</v>
      </c>
    </row>
    <row r="398" spans="1:22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24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25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26"/>
        <v>8</v>
      </c>
      <c r="U398" s="10" t="str">
        <f>IFERROR((VLOOKUP(A398,Planilha1!A:B,2,0)),"\\192.168.0.4\Produtos\PRODUTO_PRONTA_ENTREGA\static\IMAGENS_PRODUTOS\SEM IMAGEM.jpg")</f>
        <v>\\192.168.0.4\Produtos\PRODUTO_PRONTA_ENTREGA\static\IMAGENS_PRODUTOS\CADEIRA MEDALHINHA_334198.jpg</v>
      </c>
      <c r="V398" t="str">
        <f>IFERROR((VLOOKUP(A398,Planilha1!A:B,2,0)),"\\192.168.0.4\Produtos\PRODUTO_PRONTA_ENTREGA\static\IMAGENS_PRODUTOS\SEM IMAGEM.jpg")</f>
        <v>\\192.168.0.4\Produtos\PRODUTO_PRONTA_ENTREGA\static\IMAGENS_PRODUTOS\CADEIRA MEDALHINHA_334198.jpg</v>
      </c>
    </row>
    <row r="399" spans="1:22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24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25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26"/>
        <v>2</v>
      </c>
      <c r="U399" s="10" t="str">
        <f>IFERROR((VLOOKUP(A399,Planilha1!A:B,2,0)),"\\192.168.0.4\Produtos\PRODUTO_PRONTA_ENTREGA\static\IMAGENS_PRODUTOS\SEM IMAGEM.jpg")</f>
        <v>\\192.168.0.4\Produtos\PRODUTO_PRONTA_ENTREGA\static\IMAGENS_PRODUTOS\CADEIRA 60 CB_334160.jpg</v>
      </c>
      <c r="V399" t="str">
        <f>IFERROR((VLOOKUP(A399,Planilha1!A:B,2,0)),"\\192.168.0.4\Produtos\PRODUTO_PRONTA_ENTREGA\static\IMAGENS_PRODUTOS\SEM IMAGEM.jpg")</f>
        <v>\\192.168.0.4\Produtos\PRODUTO_PRONTA_ENTREGA\static\IMAGENS_PRODUTOS\CADEIRA 60 CB_334160.jpg</v>
      </c>
    </row>
    <row r="400" spans="1:22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24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25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26"/>
        <v>8</v>
      </c>
      <c r="U400" s="10" t="str">
        <f>IFERROR((VLOOKUP(A400,Planilha1!A:B,2,0)),"\\192.168.0.4\Produtos\PRODUTO_PRONTA_ENTREGA\static\IMAGENS_PRODUTOS\SEM IMAGEM.jpg")</f>
        <v>\\192.168.0.4\Produtos\PRODUTO_PRONTA_ENTREGA\static\IMAGENS_PRODUTOS\CADEIRA MELIZA (GIR)_328721.jpg</v>
      </c>
      <c r="V400" t="str">
        <f>IFERROR((VLOOKUP(A400,Planilha1!A:B,2,0)),"\\192.168.0.4\Produtos\PRODUTO_PRONTA_ENTREGA\static\IMAGENS_PRODUTOS\SEM IMAGEM.jpg")</f>
        <v>\\192.168.0.4\Produtos\PRODUTO_PRONTA_ENTREGA\static\IMAGENS_PRODUTOS\CADEIRA MELIZA (GIR)_328721.jpg</v>
      </c>
    </row>
    <row r="401" spans="1:22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24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25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26"/>
        <v>8</v>
      </c>
      <c r="U401" s="10" t="str">
        <f>IFERROR((VLOOKUP(A401,Planilha1!A:B,2,0)),"\\192.168.0.4\Produtos\PRODUTO_PRONTA_ENTREGA\static\IMAGENS_PRODUTOS\SEM IMAGEM.jpg")</f>
        <v>\\192.168.0.4\Produtos\PRODUTO_PRONTA_ENTREGA\static\IMAGENS_PRODUTOS\CADEIRA JULIA_320671.jpg</v>
      </c>
      <c r="V401" t="str">
        <f>IFERROR((VLOOKUP(A401,Planilha1!A:B,2,0)),"\\192.168.0.4\Produtos\PRODUTO_PRONTA_ENTREGA\static\IMAGENS_PRODUTOS\SEM IMAGEM.jpg")</f>
        <v>\\192.168.0.4\Produtos\PRODUTO_PRONTA_ENTREGA\static\IMAGENS_PRODUTOS\CADEIRA JULIA_320671.jpg</v>
      </c>
    </row>
    <row r="402" spans="1:22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24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25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26"/>
        <v>8</v>
      </c>
      <c r="U402" s="10" t="str">
        <f>IFERROR((VLOOKUP(A402,Planilha1!A:B,2,0)),"\\192.168.0.4\Produtos\PRODUTO_PRONTA_ENTREGA\static\IMAGENS_PRODUTOS\SEM IMAGEM.jpg")</f>
        <v>\\192.168.0.4\Produtos\PRODUTO_PRONTA_ENTREGA\static\IMAGENS_PRODUTOS\SEM IMAGEM.jpg</v>
      </c>
      <c r="V402" t="str">
        <f>IFERROR((VLOOKUP(A402,Planilha1!A:B,2,0)),"\\192.168.0.4\Produtos\PRODUTO_PRONTA_ENTREGA\static\IMAGENS_PRODUTOS\SEM IMAGEM.jpg")</f>
        <v>\\192.168.0.4\Produtos\PRODUTO_PRONTA_ENTREGA\static\IMAGENS_PRODUTOS\SEM IMAGEM.jpg</v>
      </c>
    </row>
    <row r="403" spans="1:22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24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25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26"/>
        <v>2</v>
      </c>
      <c r="U403" s="10" t="str">
        <f>IFERROR((VLOOKUP(A403,Planilha1!A:B,2,0)),"\\192.168.0.4\Produtos\PRODUTO_PRONTA_ENTREGA\static\IMAGENS_PRODUTOS\SEM IMAGEM.jpg")</f>
        <v>\\192.168.0.4\Produtos\PRODUTO_PRONTA_ENTREGA\static\IMAGENS_PRODUTOS\CADEIRA ALE_234734.jpg</v>
      </c>
      <c r="V403" t="str">
        <f>IFERROR((VLOOKUP(A403,Planilha1!A:B,2,0)),"\\192.168.0.4\Produtos\PRODUTO_PRONTA_ENTREGA\static\IMAGENS_PRODUTOS\SEM IMAGEM.jpg")</f>
        <v>\\192.168.0.4\Produtos\PRODUTO_PRONTA_ENTREGA\static\IMAGENS_PRODUTOS\CADEIRA ALE_234734.jpg</v>
      </c>
    </row>
    <row r="404" spans="1:22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24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25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26"/>
        <v>2</v>
      </c>
      <c r="U404" s="10" t="str">
        <f>IFERROR((VLOOKUP(A404,Planilha1!A:B,2,0)),"\\192.168.0.4\Produtos\PRODUTO_PRONTA_ENTREGA\static\IMAGENS_PRODUTOS\SEM IMAGEM.jpg")</f>
        <v>\\192.168.0.4\Produtos\PRODUTO_PRONTA_ENTREGA\static\IMAGENS_PRODUTOS\CADEIRA MOI_223322.jpg</v>
      </c>
      <c r="V404" t="str">
        <f>IFERROR((VLOOKUP(A404,Planilha1!A:B,2,0)),"\\192.168.0.4\Produtos\PRODUTO_PRONTA_ENTREGA\static\IMAGENS_PRODUTOS\SEM IMAGEM.jpg")</f>
        <v>\\192.168.0.4\Produtos\PRODUTO_PRONTA_ENTREGA\static\IMAGENS_PRODUTOS\CADEIRA MOI_223322.jpg</v>
      </c>
    </row>
    <row r="405" spans="1:22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24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25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26"/>
        <v>8</v>
      </c>
      <c r="U405" s="10" t="str">
        <f>IFERROR((VLOOKUP(A405,Planilha1!A:B,2,0)),"\\192.168.0.4\Produtos\PRODUTO_PRONTA_ENTREGA\static\IMAGENS_PRODUTOS\SEM IMAGEM.jpg")</f>
        <v>\\192.168.0.4\Produtos\PRODUTO_PRONTA_ENTREGA\static\IMAGENS_PRODUTOS\CADEIRA 60 CB_372730.jpg</v>
      </c>
      <c r="V405" t="str">
        <f>IFERROR((VLOOKUP(A405,Planilha1!A:B,2,0)),"\\192.168.0.4\Produtos\PRODUTO_PRONTA_ENTREGA\static\IMAGENS_PRODUTOS\SEM IMAGEM.jpg")</f>
        <v>\\192.168.0.4\Produtos\PRODUTO_PRONTA_ENTREGA\static\IMAGENS_PRODUTOS\CADEIRA 60 CB_372730.jpg</v>
      </c>
    </row>
    <row r="406" spans="1:22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24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25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26"/>
        <v>8</v>
      </c>
      <c r="U406" s="10" t="str">
        <f>IFERROR((VLOOKUP(A406,Planilha1!A:B,2,0)),"\\192.168.0.4\Produtos\PRODUTO_PRONTA_ENTREGA\static\IMAGENS_PRODUTOS\SEM IMAGEM.jpg")</f>
        <v>\\192.168.0.4\Produtos\PRODUTO_PRONTA_ENTREGA\static\IMAGENS_PRODUTOS\CADEIRA LUIZA_270562.jpg</v>
      </c>
      <c r="V406" t="str">
        <f>IFERROR((VLOOKUP(A406,Planilha1!A:B,2,0)),"\\192.168.0.4\Produtos\PRODUTO_PRONTA_ENTREGA\static\IMAGENS_PRODUTOS\SEM IMAGEM.jpg")</f>
        <v>\\192.168.0.4\Produtos\PRODUTO_PRONTA_ENTREGA\static\IMAGENS_PRODUTOS\CADEIRA LUIZA_270562.jpg</v>
      </c>
    </row>
    <row r="407" spans="1:22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24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25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26"/>
        <v>8</v>
      </c>
      <c r="U407" s="10" t="str">
        <f>IFERROR((VLOOKUP(A407,Planilha1!A:B,2,0)),"\\192.168.0.4\Produtos\PRODUTO_PRONTA_ENTREGA\static\IMAGENS_PRODUTOS\SEM IMAGEM.jpg")</f>
        <v>\\192.168.0.4\Produtos\PRODUTO_PRONTA_ENTREGA\static\IMAGENS_PRODUTOS\CADEIRA KEEF_307831.jpg</v>
      </c>
      <c r="V407" t="str">
        <f>IFERROR((VLOOKUP(A407,Planilha1!A:B,2,0)),"\\192.168.0.4\Produtos\PRODUTO_PRONTA_ENTREGA\static\IMAGENS_PRODUTOS\SEM IMAGEM.jpg")</f>
        <v>\\192.168.0.4\Produtos\PRODUTO_PRONTA_ENTREGA\static\IMAGENS_PRODUTOS\CADEIRA KEEF_307831.jpg</v>
      </c>
    </row>
    <row r="408" spans="1:22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24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25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26"/>
        <v>8</v>
      </c>
      <c r="U408" s="10" t="str">
        <f>IFERROR((VLOOKUP(A408,Planilha1!A:B,2,0)),"\\192.168.0.4\Produtos\PRODUTO_PRONTA_ENTREGA\static\IMAGENS_PRODUTOS\SEM IMAGEM.jpg")</f>
        <v>\\192.168.0.4\Produtos\PRODUTO_PRONTA_ENTREGA\static\IMAGENS_PRODUTOS\CADEIRA KEEF_307826.jpg</v>
      </c>
      <c r="V408" t="str">
        <f>IFERROR((VLOOKUP(A408,Planilha1!A:B,2,0)),"\\192.168.0.4\Produtos\PRODUTO_PRONTA_ENTREGA\static\IMAGENS_PRODUTOS\SEM IMAGEM.jpg")</f>
        <v>\\192.168.0.4\Produtos\PRODUTO_PRONTA_ENTREGA\static\IMAGENS_PRODUTOS\CADEIRA KEEF_307826.jpg</v>
      </c>
    </row>
    <row r="409" spans="1:22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24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25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26"/>
        <v>1</v>
      </c>
      <c r="U409" s="10" t="str">
        <f>IFERROR((VLOOKUP(A409,Planilha1!A:B,2,0)),"\\192.168.0.4\Produtos\PRODUTO_PRONTA_ENTREGA\static\IMAGENS_PRODUTOS\SEM IMAGEM.jpg")</f>
        <v>\\192.168.0.4\Produtos\PRODUTO_PRONTA_ENTREGA\static\IMAGENS_PRODUTOS\CADEIRA DYLAN_270550.jpg</v>
      </c>
      <c r="V409" t="str">
        <f>IFERROR((VLOOKUP(A409,Planilha1!A:B,2,0)),"\\192.168.0.4\Produtos\PRODUTO_PRONTA_ENTREGA\static\IMAGENS_PRODUTOS\SEM IMAGEM.jpg")</f>
        <v>\\192.168.0.4\Produtos\PRODUTO_PRONTA_ENTREGA\static\IMAGENS_PRODUTOS\CADEIRA DYLAN_270550.jpg</v>
      </c>
    </row>
    <row r="410" spans="1:22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24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25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26"/>
        <v>2</v>
      </c>
      <c r="U410" s="10" t="str">
        <f>IFERROR((VLOOKUP(A410,Planilha1!A:B,2,0)),"\\192.168.0.4\Produtos\PRODUTO_PRONTA_ENTREGA\static\IMAGENS_PRODUTOS\SEM IMAGEM.jpg")</f>
        <v>\\192.168.0.4\Produtos\PRODUTO_PRONTA_ENTREGA\static\IMAGENS_PRODUTOS\CADEIRA MEG CB_270548.jpg</v>
      </c>
      <c r="V410" t="str">
        <f>IFERROR((VLOOKUP(A410,Planilha1!A:B,2,0)),"\\192.168.0.4\Produtos\PRODUTO_PRONTA_ENTREGA\static\IMAGENS_PRODUTOS\SEM IMAGEM.jpg")</f>
        <v>\\192.168.0.4\Produtos\PRODUTO_PRONTA_ENTREGA\static\IMAGENS_PRODUTOS\CADEIRA MEG CB_270548.jpg</v>
      </c>
    </row>
    <row r="411" spans="1:22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24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25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26"/>
        <v>2</v>
      </c>
      <c r="U411" s="10" t="str">
        <f>IFERROR((VLOOKUP(A411,Planilha1!A:B,2,0)),"\\192.168.0.4\Produtos\PRODUTO_PRONTA_ENTREGA\static\IMAGENS_PRODUTOS\SEM IMAGEM.jpg")</f>
        <v>\\192.168.0.4\Produtos\PRODUTO_PRONTA_ENTREGA\static\IMAGENS_PRODUTOS\SEM IMAGEM.jpg</v>
      </c>
      <c r="V411" t="str">
        <f>IFERROR((VLOOKUP(A411,Planilha1!A:B,2,0)),"\\192.168.0.4\Produtos\PRODUTO_PRONTA_ENTREGA\static\IMAGENS_PRODUTOS\SEM IMAGEM.jpg")</f>
        <v>\\192.168.0.4\Produtos\PRODUTO_PRONTA_ENTREGA\static\IMAGENS_PRODUTOS\SEM IMAGEM.jpg</v>
      </c>
    </row>
    <row r="412" spans="1:22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24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25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26"/>
        <v>8</v>
      </c>
      <c r="U412" s="10" t="str">
        <f>IFERROR((VLOOKUP(A412,Planilha1!A:B,2,0)),"\\192.168.0.4\Produtos\PRODUTO_PRONTA_ENTREGA\static\IMAGENS_PRODUTOS\SEM IMAGEM.jpg")</f>
        <v>\\192.168.0.4\Produtos\PRODUTO_PRONTA_ENTREGA\static\IMAGENS_PRODUTOS\SEM IMAGEM.jpg</v>
      </c>
      <c r="V412" t="str">
        <f>IFERROR((VLOOKUP(A412,Planilha1!A:B,2,0)),"\\192.168.0.4\Produtos\PRODUTO_PRONTA_ENTREGA\static\IMAGENS_PRODUTOS\SEM IMAGEM.jpg")</f>
        <v>\\192.168.0.4\Produtos\PRODUTO_PRONTA_ENTREGA\static\IMAGENS_PRODUTOS\SEM IMAGEM.jpg</v>
      </c>
    </row>
    <row r="413" spans="1:22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24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25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26"/>
        <v>2</v>
      </c>
      <c r="U413" s="10" t="str">
        <f>IFERROR((VLOOKUP(A413,Planilha1!A:B,2,0)),"\\192.168.0.4\Produtos\PRODUTO_PRONTA_ENTREGA\static\IMAGENS_PRODUTOS\SEM IMAGEM.jpg")</f>
        <v>\\192.168.0.4\Produtos\PRODUTO_PRONTA_ENTREGA\static\IMAGENS_PRODUTOS\SEM IMAGEM.jpg</v>
      </c>
      <c r="V413" t="str">
        <f>IFERROR((VLOOKUP(A413,Planilha1!A:B,2,0)),"\\192.168.0.4\Produtos\PRODUTO_PRONTA_ENTREGA\static\IMAGENS_PRODUTOS\SEM IMAGEM.jpg")</f>
        <v>\\192.168.0.4\Produtos\PRODUTO_PRONTA_ENTREGA\static\IMAGENS_PRODUTOS\SEM IMAGEM.jpg</v>
      </c>
    </row>
    <row r="414" spans="1:22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24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25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26"/>
        <v>8</v>
      </c>
      <c r="U414" s="10" t="str">
        <f>IFERROR((VLOOKUP(A414,Planilha1!A:B,2,0)),"\\192.168.0.4\Produtos\PRODUTO_PRONTA_ENTREGA\static\IMAGENS_PRODUTOS\SEM IMAGEM.jpg")</f>
        <v>\\192.168.0.4\Produtos\PRODUTO_PRONTA_ENTREGA\static\IMAGENS_PRODUTOS\SEM IMAGEM.jpg</v>
      </c>
      <c r="V414" t="str">
        <f>IFERROR((VLOOKUP(A414,Planilha1!A:B,2,0)),"\\192.168.0.4\Produtos\PRODUTO_PRONTA_ENTREGA\static\IMAGENS_PRODUTOS\SEM IMAGEM.jpg")</f>
        <v>\\192.168.0.4\Produtos\PRODUTO_PRONTA_ENTREGA\static\IMAGENS_PRODUTOS\SEM IMAGEM.jpg</v>
      </c>
    </row>
    <row r="415" spans="1:22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24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25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26"/>
        <v>4</v>
      </c>
      <c r="U415" s="10" t="str">
        <f>IFERROR((VLOOKUP(A415,Planilha1!A:B,2,0)),"\\192.168.0.4\Produtos\PRODUTO_PRONTA_ENTREGA\static\IMAGENS_PRODUTOS\SEM IMAGEM.jpg")</f>
        <v>\\192.168.0.4\Produtos\PRODUTO_PRONTA_ENTREGA\static\IMAGENS_PRODUTOS\CADEIRA MOI_234733.jpg</v>
      </c>
      <c r="V415" t="str">
        <f>IFERROR((VLOOKUP(A415,Planilha1!A:B,2,0)),"\\192.168.0.4\Produtos\PRODUTO_PRONTA_ENTREGA\static\IMAGENS_PRODUTOS\SEM IMAGEM.jpg")</f>
        <v>\\192.168.0.4\Produtos\PRODUTO_PRONTA_ENTREGA\static\IMAGENS_PRODUTOS\CADEIRA MOI_234733.jpg</v>
      </c>
    </row>
    <row r="416" spans="1:22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24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25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26"/>
        <v>10</v>
      </c>
      <c r="U416" s="10" t="str">
        <f>IFERROR((VLOOKUP(A416,Planilha1!A:B,2,0)),"\\192.168.0.4\Produtos\PRODUTO_PRONTA_ENTREGA\static\IMAGENS_PRODUTOS\SEM IMAGEM.jpg")</f>
        <v>\\192.168.0.4\Produtos\PRODUTO_PRONTA_ENTREGA\static\IMAGENS_PRODUTOS\CADEIRA MOI_223323.jpg</v>
      </c>
      <c r="V416" t="str">
        <f>IFERROR((VLOOKUP(A416,Planilha1!A:B,2,0)),"\\192.168.0.4\Produtos\PRODUTO_PRONTA_ENTREGA\static\IMAGENS_PRODUTOS\SEM IMAGEM.jpg")</f>
        <v>\\192.168.0.4\Produtos\PRODUTO_PRONTA_ENTREGA\static\IMAGENS_PRODUTOS\CADEIRA MOI_223323.jpg</v>
      </c>
    </row>
    <row r="417" spans="1:22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24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25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26"/>
        <v>2</v>
      </c>
      <c r="U417" s="10" t="str">
        <f>IFERROR((VLOOKUP(A417,Planilha1!A:B,2,0)),"\\192.168.0.4\Produtos\PRODUTO_PRONTA_ENTREGA\static\IMAGENS_PRODUTOS\SEM IMAGEM.jpg")</f>
        <v>\\192.168.0.4\Produtos\PRODUTO_PRONTA_ENTREGA\static\IMAGENS_PRODUTOS\CADEIRA BOSSA_65221.jpg</v>
      </c>
      <c r="V417" t="str">
        <f>IFERROR((VLOOKUP(A417,Planilha1!A:B,2,0)),"\\192.168.0.4\Produtos\PRODUTO_PRONTA_ENTREGA\static\IMAGENS_PRODUTOS\SEM IMAGEM.jpg")</f>
        <v>\\192.168.0.4\Produtos\PRODUTO_PRONTA_ENTREGA\static\IMAGENS_PRODUTOS\CADEIRA BOSSA_65221.jpg</v>
      </c>
    </row>
    <row r="418" spans="1:22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24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25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26"/>
        <v>7</v>
      </c>
      <c r="U418" s="10" t="str">
        <f>IFERROR((VLOOKUP(A418,Planilha1!A:B,2,0)),"\\192.168.0.4\Produtos\PRODUTO_PRONTA_ENTREGA\static\IMAGENS_PRODUTOS\SEM IMAGEM.jpg")</f>
        <v>\\192.168.0.4\Produtos\PRODUTO_PRONTA_ENTREGA\static\IMAGENS_PRODUTOS\CADEIRA TEKA_64068.jpg</v>
      </c>
      <c r="V418" t="str">
        <f>IFERROR((VLOOKUP(A418,Planilha1!A:B,2,0)),"\\192.168.0.4\Produtos\PRODUTO_PRONTA_ENTREGA\static\IMAGENS_PRODUTOS\SEM IMAGEM.jpg")</f>
        <v>\\192.168.0.4\Produtos\PRODUTO_PRONTA_ENTREGA\static\IMAGENS_PRODUTOS\CADEIRA TEKA_64068.jpg</v>
      </c>
    </row>
    <row r="419" spans="1:22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24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25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26"/>
        <v>1</v>
      </c>
      <c r="U419" s="10" t="str">
        <f>IFERROR((VLOOKUP(A419,Planilha1!A:B,2,0)),"\\192.168.0.4\Produtos\PRODUTO_PRONTA_ENTREGA\static\IMAGENS_PRODUTOS\SEM IMAGEM.jpg")</f>
        <v>\\192.168.0.4\Produtos\PRODUTO_PRONTA_ENTREGA\static\IMAGENS_PRODUTOS\CADEIRA JOSEFINA_86814.jpg</v>
      </c>
      <c r="V419" t="str">
        <f>IFERROR((VLOOKUP(A419,Planilha1!A:B,2,0)),"\\192.168.0.4\Produtos\PRODUTO_PRONTA_ENTREGA\static\IMAGENS_PRODUTOS\SEM IMAGEM.jpg")</f>
        <v>\\192.168.0.4\Produtos\PRODUTO_PRONTA_ENTREGA\static\IMAGENS_PRODUTOS\CADEIRA JOSEFINA_86814.jpg</v>
      </c>
    </row>
    <row r="420" spans="1:22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24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25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26"/>
        <v>1</v>
      </c>
      <c r="U420" s="10" t="str">
        <f>IFERROR((VLOOKUP(A420,Planilha1!A:B,2,0)),"\\192.168.0.4\Produtos\PRODUTO_PRONTA_ENTREGA\static\IMAGENS_PRODUTOS\SEM IMAGEM.jpg")</f>
        <v>\\192.168.0.4\Produtos\PRODUTO_PRONTA_ENTREGA\static\IMAGENS_PRODUTOS\CADEIRA JET_90497.jpg</v>
      </c>
      <c r="V420" t="str">
        <f>IFERROR((VLOOKUP(A420,Planilha1!A:B,2,0)),"\\192.168.0.4\Produtos\PRODUTO_PRONTA_ENTREGA\static\IMAGENS_PRODUTOS\SEM IMAGEM.jpg")</f>
        <v>\\192.168.0.4\Produtos\PRODUTO_PRONTA_ENTREGA\static\IMAGENS_PRODUTOS\CADEIRA JET_90497.jpg</v>
      </c>
    </row>
    <row r="421" spans="1:22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24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25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26"/>
        <v>1</v>
      </c>
      <c r="U421" s="10" t="str">
        <f>IFERROR((VLOOKUP(A421,Planilha1!A:B,2,0)),"\\192.168.0.4\Produtos\PRODUTO_PRONTA_ENTREGA\static\IMAGENS_PRODUTOS\SEM IMAGEM.jpg")</f>
        <v>\\192.168.0.4\Produtos\PRODUTO_PRONTA_ENTREGA\static\IMAGENS_PRODUTOS\CADEIRA MIRA_94139.jpg</v>
      </c>
      <c r="V421" t="str">
        <f>IFERROR((VLOOKUP(A421,Planilha1!A:B,2,0)),"\\192.168.0.4\Produtos\PRODUTO_PRONTA_ENTREGA\static\IMAGENS_PRODUTOS\SEM IMAGEM.jpg")</f>
        <v>\\192.168.0.4\Produtos\PRODUTO_PRONTA_ENTREGA\static\IMAGENS_PRODUTOS\CADEIRA MIRA_94139.jpg</v>
      </c>
    </row>
    <row r="422" spans="1:22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24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25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26"/>
        <v>1</v>
      </c>
      <c r="U422" s="10" t="str">
        <f>IFERROR((VLOOKUP(A422,Planilha1!A:B,2,0)),"\\192.168.0.4\Produtos\PRODUTO_PRONTA_ENTREGA\static\IMAGENS_PRODUTOS\SEM IMAGEM.jpg")</f>
        <v>\\192.168.0.4\Produtos\PRODUTO_PRONTA_ENTREGA\static\IMAGENS_PRODUTOS\CADEIRA MARTA _90922.jpg</v>
      </c>
      <c r="V422" t="str">
        <f>IFERROR((VLOOKUP(A422,Planilha1!A:B,2,0)),"\\192.168.0.4\Produtos\PRODUTO_PRONTA_ENTREGA\static\IMAGENS_PRODUTOS\SEM IMAGEM.jpg")</f>
        <v>\\192.168.0.4\Produtos\PRODUTO_PRONTA_ENTREGA\static\IMAGENS_PRODUTOS\CADEIRA MARTA _90922.jpg</v>
      </c>
    </row>
    <row r="423" spans="1:22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24"/>
        <v/>
      </c>
      <c r="L423" s="7" t="str">
        <f>IF(VLOOKUP(A423,'[1]LISTA ETIQUETAS'!O:AB,14,0)="","",(VLOOKUP(A423,'[1]LISTA ETIQUETAS'!O:AB,14,0)))</f>
        <v/>
      </c>
      <c r="M423" s="8"/>
      <c r="N423" s="9">
        <f t="shared" si="25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26"/>
        <v>1</v>
      </c>
      <c r="U423" s="10" t="str">
        <f>IFERROR((VLOOKUP(A423,Planilha1!A:B,2,0)),"\\192.168.0.4\Produtos\PRODUTO_PRONTA_ENTREGA\static\IMAGENS_PRODUTOS\SEM IMAGEM.jpg")</f>
        <v>\\192.168.0.4\Produtos\PRODUTO_PRONTA_ENTREGA\static\IMAGENS_PRODUTOS\CADEIRA MILLA BAIXA CB_112451.jpg</v>
      </c>
      <c r="V423" t="str">
        <f>IFERROR((VLOOKUP(A423,Planilha1!A:B,2,0)),"\\192.168.0.4\Produtos\PRODUTO_PRONTA_ENTREGA\static\IMAGENS_PRODUTOS\SEM IMAGEM.jpg")</f>
        <v>\\192.168.0.4\Produtos\PRODUTO_PRONTA_ENTREGA\static\IMAGENS_PRODUTOS\CADEIRA MILLA BAIXA CB_112451.jpg</v>
      </c>
    </row>
    <row r="424" spans="1:22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24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25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26"/>
        <v>1</v>
      </c>
      <c r="U424" s="10" t="str">
        <f>IFERROR((VLOOKUP(A424,Planilha1!A:B,2,0)),"\\192.168.0.4\Produtos\PRODUTO_PRONTA_ENTREGA\static\IMAGENS_PRODUTOS\SEM IMAGEM.jpg")</f>
        <v>\\192.168.0.4\Produtos\PRODUTO_PRONTA_ENTREGA\static\IMAGENS_PRODUTOS\CADEIRA MR2_120826.jpg</v>
      </c>
      <c r="V424" t="str">
        <f>IFERROR((VLOOKUP(A424,Planilha1!A:B,2,0)),"\\192.168.0.4\Produtos\PRODUTO_PRONTA_ENTREGA\static\IMAGENS_PRODUTOS\SEM IMAGEM.jpg")</f>
        <v>\\192.168.0.4\Produtos\PRODUTO_PRONTA_ENTREGA\static\IMAGENS_PRODUTOS\CADEIRA MR2_120826.jpg</v>
      </c>
    </row>
    <row r="425" spans="1:22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24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25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26"/>
        <v>1</v>
      </c>
      <c r="U425" s="10" t="str">
        <f>IFERROR((VLOOKUP(A425,Planilha1!A:B,2,0)),"\\192.168.0.4\Produtos\PRODUTO_PRONTA_ENTREGA\static\IMAGENS_PRODUTOS\SEM IMAGEM.jpg")</f>
        <v>\\192.168.0.4\Produtos\PRODUTO_PRONTA_ENTREGA\static\IMAGENS_PRODUTOS\CADEIRA LUIZA_63204.jpg</v>
      </c>
      <c r="V425" t="str">
        <f>IFERROR((VLOOKUP(A425,Planilha1!A:B,2,0)),"\\192.168.0.4\Produtos\PRODUTO_PRONTA_ENTREGA\static\IMAGENS_PRODUTOS\SEM IMAGEM.jpg")</f>
        <v>\\192.168.0.4\Produtos\PRODUTO_PRONTA_ENTREGA\static\IMAGENS_PRODUTOS\CADEIRA LUIZA_63204.jpg</v>
      </c>
    </row>
    <row r="426" spans="1:22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24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25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26"/>
        <v>1</v>
      </c>
      <c r="U426" s="10" t="str">
        <f>IFERROR((VLOOKUP(A426,Planilha1!A:B,2,0)),"\\192.168.0.4\Produtos\PRODUTO_PRONTA_ENTREGA\static\IMAGENS_PRODUTOS\SEM IMAGEM.jpg")</f>
        <v>\\192.168.0.4\Produtos\PRODUTO_PRONTA_ENTREGA\static\IMAGENS_PRODUTOS\CADEIRA LUIZA_63203.jpg</v>
      </c>
      <c r="V426" t="str">
        <f>IFERROR((VLOOKUP(A426,Planilha1!A:B,2,0)),"\\192.168.0.4\Produtos\PRODUTO_PRONTA_ENTREGA\static\IMAGENS_PRODUTOS\SEM IMAGEM.jpg")</f>
        <v>\\192.168.0.4\Produtos\PRODUTO_PRONTA_ENTREGA\static\IMAGENS_PRODUTOS\CADEIRA LUIZA_63203.jpg</v>
      </c>
    </row>
    <row r="427" spans="1:22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24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25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26"/>
        <v>1</v>
      </c>
      <c r="U427" s="10" t="str">
        <f>IFERROR((VLOOKUP(A427,Planilha1!A:B,2,0)),"\\192.168.0.4\Produtos\PRODUTO_PRONTA_ENTREGA\static\IMAGENS_PRODUTOS\SEM IMAGEM.jpg")</f>
        <v>\\192.168.0.4\Produtos\PRODUTO_PRONTA_ENTREGA\static\IMAGENS_PRODUTOS\CADEIRA JULIANA_63798.jpg</v>
      </c>
      <c r="V427" t="str">
        <f>IFERROR((VLOOKUP(A427,Planilha1!A:B,2,0)),"\\192.168.0.4\Produtos\PRODUTO_PRONTA_ENTREGA\static\IMAGENS_PRODUTOS\SEM IMAGEM.jpg")</f>
        <v>\\192.168.0.4\Produtos\PRODUTO_PRONTA_ENTREGA\static\IMAGENS_PRODUTOS\CADEIRA JULIANA_63798.jpg</v>
      </c>
    </row>
    <row r="428" spans="1:22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24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25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26"/>
        <v>1</v>
      </c>
      <c r="U428" s="10" t="str">
        <f>IFERROR((VLOOKUP(A428,Planilha1!A:B,2,0)),"\\192.168.0.4\Produtos\PRODUTO_PRONTA_ENTREGA\static\IMAGENS_PRODUTOS\SEM IMAGEM.jpg")</f>
        <v>\\192.168.0.4\Produtos\PRODUTO_PRONTA_ENTREGA\static\IMAGENS_PRODUTOS\SEM IMAGEM.jpg</v>
      </c>
      <c r="V428" t="str">
        <f>IFERROR((VLOOKUP(A428,Planilha1!A:B,2,0)),"\\192.168.0.4\Produtos\PRODUTO_PRONTA_ENTREGA\static\IMAGENS_PRODUTOS\SEM IMAGEM.jpg")</f>
        <v>\\192.168.0.4\Produtos\PRODUTO_PRONTA_ENTREGA\static\IMAGENS_PRODUTOS\SEM IMAGEM.jpg</v>
      </c>
    </row>
    <row r="429" spans="1:22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24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25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26"/>
        <v>2</v>
      </c>
      <c r="U429" s="10" t="str">
        <f>IFERROR((VLOOKUP(A429,Planilha1!A:B,2,0)),"\\192.168.0.4\Produtos\PRODUTO_PRONTA_ENTREGA\static\IMAGENS_PRODUTOS\SEM IMAGEM.jpg")</f>
        <v>\\192.168.0.4\Produtos\PRODUTO_PRONTA_ENTREGA\static\IMAGENS_PRODUTOS\SEM IMAGEM.jpg</v>
      </c>
      <c r="V429" t="str">
        <f>IFERROR((VLOOKUP(A429,Planilha1!A:B,2,0)),"\\192.168.0.4\Produtos\PRODUTO_PRONTA_ENTREGA\static\IMAGENS_PRODUTOS\SEM IMAGEM.jpg")</f>
        <v>\\192.168.0.4\Produtos\PRODUTO_PRONTA_ENTREGA\static\IMAGENS_PRODUTOS\SEM IMAGEM.jpg</v>
      </c>
    </row>
    <row r="430" spans="1:22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24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25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26"/>
        <v>1</v>
      </c>
      <c r="U430" s="10" t="str">
        <f>IFERROR((VLOOKUP(A430,Planilha1!A:B,2,0)),"\\192.168.0.4\Produtos\PRODUTO_PRONTA_ENTREGA\static\IMAGENS_PRODUTOS\SEM IMAGEM.jpg")</f>
        <v>\\192.168.0.4\Produtos\PRODUTO_PRONTA_ENTREGA\static\IMAGENS_PRODUTOS\SEM IMAGEM.jpg</v>
      </c>
      <c r="V430" t="str">
        <f>IFERROR((VLOOKUP(A430,Planilha1!A:B,2,0)),"\\192.168.0.4\Produtos\PRODUTO_PRONTA_ENTREGA\static\IMAGENS_PRODUTOS\SEM IMAGEM.jpg")</f>
        <v>\\192.168.0.4\Produtos\PRODUTO_PRONTA_ENTREGA\static\IMAGENS_PRODUTOS\SEM IMAGEM.jpg</v>
      </c>
    </row>
    <row r="431" spans="1:22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24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25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26"/>
        <v>3</v>
      </c>
      <c r="U431" s="10" t="str">
        <f>IFERROR((VLOOKUP(A431,Planilha1!A:B,2,0)),"\\192.168.0.4\Produtos\PRODUTO_PRONTA_ENTREGA\static\IMAGENS_PRODUTOS\SEM IMAGEM.jpg")</f>
        <v>\\192.168.0.4\Produtos\PRODUTO_PRONTA_ENTREGA\static\IMAGENS_PRODUTOS\CADEIRA CHICAGO_139952.jpg</v>
      </c>
      <c r="V431" t="str">
        <f>IFERROR((VLOOKUP(A431,Planilha1!A:B,2,0)),"\\192.168.0.4\Produtos\PRODUTO_PRONTA_ENTREGA\static\IMAGENS_PRODUTOS\SEM IMAGEM.jpg")</f>
        <v>\\192.168.0.4\Produtos\PRODUTO_PRONTA_ENTREGA\static\IMAGENS_PRODUTOS\CADEIRA CHICAGO_139952.jpg</v>
      </c>
    </row>
    <row r="432" spans="1:22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24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25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26"/>
        <v>3</v>
      </c>
      <c r="U432" s="10" t="str">
        <f>IFERROR((VLOOKUP(A432,Planilha1!A:B,2,0)),"\\192.168.0.4\Produtos\PRODUTO_PRONTA_ENTREGA\static\IMAGENS_PRODUTOS\SEM IMAGEM.jpg")</f>
        <v>\\192.168.0.4\Produtos\PRODUTO_PRONTA_ENTREGA\static\IMAGENS_PRODUTOS\CADEIRA DIX_129724.jpg</v>
      </c>
      <c r="V432" t="str">
        <f>IFERROR((VLOOKUP(A432,Planilha1!A:B,2,0)),"\\192.168.0.4\Produtos\PRODUTO_PRONTA_ENTREGA\static\IMAGENS_PRODUTOS\SEM IMAGEM.jpg")</f>
        <v>\\192.168.0.4\Produtos\PRODUTO_PRONTA_ENTREGA\static\IMAGENS_PRODUTOS\CADEIRA DIX_129724.jpg</v>
      </c>
    </row>
    <row r="433" spans="1:22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24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25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26"/>
        <v>4</v>
      </c>
      <c r="U433" s="10" t="str">
        <f>IFERROR((VLOOKUP(A433,Planilha1!A:B,2,0)),"\\192.168.0.4\Produtos\PRODUTO_PRONTA_ENTREGA\static\IMAGENS_PRODUTOS\SEM IMAGEM.jpg")</f>
        <v>\\192.168.0.4\Produtos\PRODUTO_PRONTA_ENTREGA\static\IMAGENS_PRODUTOS\CADEIRA PLIS_128908.jpg</v>
      </c>
      <c r="V433" t="str">
        <f>IFERROR((VLOOKUP(A433,Planilha1!A:B,2,0)),"\\192.168.0.4\Produtos\PRODUTO_PRONTA_ENTREGA\static\IMAGENS_PRODUTOS\SEM IMAGEM.jpg")</f>
        <v>\\192.168.0.4\Produtos\PRODUTO_PRONTA_ENTREGA\static\IMAGENS_PRODUTOS\CADEIRA PLIS_128908.jpg</v>
      </c>
    </row>
    <row r="434" spans="1:22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24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25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26"/>
        <v>1</v>
      </c>
      <c r="U434" s="10" t="str">
        <f>IFERROR((VLOOKUP(A434,Planilha1!A:B,2,0)),"\\192.168.0.4\Produtos\PRODUTO_PRONTA_ENTREGA\static\IMAGENS_PRODUTOS\SEM IMAGEM.jpg")</f>
        <v>\\192.168.0.4\Produtos\PRODUTO_PRONTA_ENTREGA\static\IMAGENS_PRODUTOS\CADEIRA GIU _137163.jpg</v>
      </c>
      <c r="V434" t="str">
        <f>IFERROR((VLOOKUP(A434,Planilha1!A:B,2,0)),"\\192.168.0.4\Produtos\PRODUTO_PRONTA_ENTREGA\static\IMAGENS_PRODUTOS\SEM IMAGEM.jpg")</f>
        <v>\\192.168.0.4\Produtos\PRODUTO_PRONTA_ENTREGA\static\IMAGENS_PRODUTOS\CADEIRA GIU _137163.jpg</v>
      </c>
    </row>
    <row r="435" spans="1:22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24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25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26"/>
        <v>1</v>
      </c>
      <c r="U435" s="10" t="str">
        <f>IFERROR((VLOOKUP(A435,Planilha1!A:B,2,0)),"\\192.168.0.4\Produtos\PRODUTO_PRONTA_ENTREGA\static\IMAGENS_PRODUTOS\SEM IMAGEM.jpg")</f>
        <v>\\192.168.0.4\Produtos\PRODUTO_PRONTA_ENTREGA\static\IMAGENS_PRODUTOS\CADEIRA BASEL_128485.jpg</v>
      </c>
      <c r="V435" t="str">
        <f>IFERROR((VLOOKUP(A435,Planilha1!A:B,2,0)),"\\192.168.0.4\Produtos\PRODUTO_PRONTA_ENTREGA\static\IMAGENS_PRODUTOS\SEM IMAGEM.jpg")</f>
        <v>\\192.168.0.4\Produtos\PRODUTO_PRONTA_ENTREGA\static\IMAGENS_PRODUTOS\CADEIRA BASEL_128485.jpg</v>
      </c>
    </row>
    <row r="436" spans="1:22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24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25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26"/>
        <v>2</v>
      </c>
      <c r="U436" s="10" t="str">
        <f>IFERROR((VLOOKUP(A436,Planilha1!A:B,2,0)),"\\192.168.0.4\Produtos\PRODUTO_PRONTA_ENTREGA\static\IMAGENS_PRODUTOS\SEM IMAGEM.jpg")</f>
        <v>\\192.168.0.4\Produtos\PRODUTO_PRONTA_ENTREGA\static\IMAGENS_PRODUTOS\CADEIRA PRIMA_147891.jpg</v>
      </c>
      <c r="V436" t="str">
        <f>IFERROR((VLOOKUP(A436,Planilha1!A:B,2,0)),"\\192.168.0.4\Produtos\PRODUTO_PRONTA_ENTREGA\static\IMAGENS_PRODUTOS\SEM IMAGEM.jpg")</f>
        <v>\\192.168.0.4\Produtos\PRODUTO_PRONTA_ENTREGA\static\IMAGENS_PRODUTOS\CADEIRA PRIMA_147891.jpg</v>
      </c>
    </row>
    <row r="437" spans="1:22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24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25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26"/>
        <v>1</v>
      </c>
      <c r="U437" s="10" t="str">
        <f>IFERROR((VLOOKUP(A437,Planilha1!A:B,2,0)),"\\192.168.0.4\Produtos\PRODUTO_PRONTA_ENTREGA\static\IMAGENS_PRODUTOS\SEM IMAGEM.jpg")</f>
        <v>\\192.168.0.4\Produtos\PRODUTO_PRONTA_ENTREGA\static\IMAGENS_PRODUTOS\CADEIRA VANITY_147800.jpg</v>
      </c>
      <c r="V437" t="str">
        <f>IFERROR((VLOOKUP(A437,Planilha1!A:B,2,0)),"\\192.168.0.4\Produtos\PRODUTO_PRONTA_ENTREGA\static\IMAGENS_PRODUTOS\SEM IMAGEM.jpg")</f>
        <v>\\192.168.0.4\Produtos\PRODUTO_PRONTA_ENTREGA\static\IMAGENS_PRODUTOS\CADEIRA VANITY_147800.jpg</v>
      </c>
    </row>
    <row r="438" spans="1:22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24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25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26"/>
        <v>3</v>
      </c>
      <c r="U438" s="10" t="str">
        <f>IFERROR((VLOOKUP(A438,Planilha1!A:B,2,0)),"\\192.168.0.4\Produtos\PRODUTO_PRONTA_ENTREGA\static\IMAGENS_PRODUTOS\SEM IMAGEM.jpg")</f>
        <v>\\192.168.0.4\Produtos\PRODUTO_PRONTA_ENTREGA\static\IMAGENS_PRODUTOS\CADEIRA VANITY_147799.jpg</v>
      </c>
      <c r="V438" t="str">
        <f>IFERROR((VLOOKUP(A438,Planilha1!A:B,2,0)),"\\192.168.0.4\Produtos\PRODUTO_PRONTA_ENTREGA\static\IMAGENS_PRODUTOS\SEM IMAGEM.jpg")</f>
        <v>\\192.168.0.4\Produtos\PRODUTO_PRONTA_ENTREGA\static\IMAGENS_PRODUTOS\CADEIRA VANITY_147799.jpg</v>
      </c>
    </row>
    <row r="439" spans="1:22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24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25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26"/>
        <v>2</v>
      </c>
      <c r="U439" s="10" t="str">
        <f>IFERROR((VLOOKUP(A439,Planilha1!A:B,2,0)),"\\192.168.0.4\Produtos\PRODUTO_PRONTA_ENTREGA\static\IMAGENS_PRODUTOS\SEM IMAGEM.jpg")</f>
        <v>\\192.168.0.4\Produtos\PRODUTO_PRONTA_ENTREGA\static\IMAGENS_PRODUTOS\CADEIRA VANITY CB_147798.jpg</v>
      </c>
      <c r="V439" t="str">
        <f>IFERROR((VLOOKUP(A439,Planilha1!A:B,2,0)),"\\192.168.0.4\Produtos\PRODUTO_PRONTA_ENTREGA\static\IMAGENS_PRODUTOS\SEM IMAGEM.jpg")</f>
        <v>\\192.168.0.4\Produtos\PRODUTO_PRONTA_ENTREGA\static\IMAGENS_PRODUTOS\CADEIRA VANITY CB_147798.jpg</v>
      </c>
    </row>
    <row r="440" spans="1:22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24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25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26"/>
        <v>2</v>
      </c>
      <c r="U440" s="10" t="str">
        <f>IFERROR((VLOOKUP(A440,Planilha1!A:B,2,0)),"\\192.168.0.4\Produtos\PRODUTO_PRONTA_ENTREGA\static\IMAGENS_PRODUTOS\SEM IMAGEM.jpg")</f>
        <v>\\192.168.0.4\Produtos\PRODUTO_PRONTA_ENTREGA\static\IMAGENS_PRODUTOS\CADEIRA FEMME_147797.jpg</v>
      </c>
      <c r="V440" t="str">
        <f>IFERROR((VLOOKUP(A440,Planilha1!A:B,2,0)),"\\192.168.0.4\Produtos\PRODUTO_PRONTA_ENTREGA\static\IMAGENS_PRODUTOS\SEM IMAGEM.jpg")</f>
        <v>\\192.168.0.4\Produtos\PRODUTO_PRONTA_ENTREGA\static\IMAGENS_PRODUTOS\CADEIRA FEMME_147797.jpg</v>
      </c>
    </row>
    <row r="441" spans="1:22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24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25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26"/>
        <v>4</v>
      </c>
      <c r="U441" s="10" t="str">
        <f>IFERROR((VLOOKUP(A441,Planilha1!A:B,2,0)),"\\192.168.0.4\Produtos\PRODUTO_PRONTA_ENTREGA\static\IMAGENS_PRODUTOS\SEM IMAGEM.jpg")</f>
        <v>\\192.168.0.4\Produtos\PRODUTO_PRONTA_ENTREGA\static\IMAGENS_PRODUTOS\CADEIRA HELVETICA_151236.jpg</v>
      </c>
      <c r="V441" t="str">
        <f>IFERROR((VLOOKUP(A441,Planilha1!A:B,2,0)),"\\192.168.0.4\Produtos\PRODUTO_PRONTA_ENTREGA\static\IMAGENS_PRODUTOS\SEM IMAGEM.jpg")</f>
        <v>\\192.168.0.4\Produtos\PRODUTO_PRONTA_ENTREGA\static\IMAGENS_PRODUTOS\CADEIRA HELVETICA_151236.jpg</v>
      </c>
    </row>
    <row r="442" spans="1:22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24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25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26"/>
        <v>4</v>
      </c>
      <c r="U442" s="10" t="str">
        <f>IFERROR((VLOOKUP(A442,Planilha1!A:B,2,0)),"\\192.168.0.4\Produtos\PRODUTO_PRONTA_ENTREGA\static\IMAGENS_PRODUTOS\SEM IMAGEM.jpg")</f>
        <v>\\192.168.0.4\Produtos\PRODUTO_PRONTA_ENTREGA\static\IMAGENS_PRODUTOS\CADEIRA MR2_151210.jpg</v>
      </c>
      <c r="V442" t="str">
        <f>IFERROR((VLOOKUP(A442,Planilha1!A:B,2,0)),"\\192.168.0.4\Produtos\PRODUTO_PRONTA_ENTREGA\static\IMAGENS_PRODUTOS\SEM IMAGEM.jpg")</f>
        <v>\\192.168.0.4\Produtos\PRODUTO_PRONTA_ENTREGA\static\IMAGENS_PRODUTOS\CADEIRA MR2_151210.jpg</v>
      </c>
    </row>
    <row r="443" spans="1:22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24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25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26"/>
        <v>3</v>
      </c>
      <c r="U443" s="10" t="str">
        <f>IFERROR((VLOOKUP(A443,Planilha1!A:B,2,0)),"\\192.168.0.4\Produtos\PRODUTO_PRONTA_ENTREGA\static\IMAGENS_PRODUTOS\SEM IMAGEM.jpg")</f>
        <v>\\192.168.0.4\Produtos\PRODUTO_PRONTA_ENTREGA\static\IMAGENS_PRODUTOS\BANCO NINA_151242.jpg</v>
      </c>
      <c r="V443" t="str">
        <f>IFERROR((VLOOKUP(A443,Planilha1!A:B,2,0)),"\\192.168.0.4\Produtos\PRODUTO_PRONTA_ENTREGA\static\IMAGENS_PRODUTOS\SEM IMAGEM.jpg")</f>
        <v>\\192.168.0.4\Produtos\PRODUTO_PRONTA_ENTREGA\static\IMAGENS_PRODUTOS\BANCO NINA_151242.jpg</v>
      </c>
    </row>
    <row r="444" spans="1:22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24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25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26"/>
        <v>2</v>
      </c>
      <c r="U444" s="10" t="str">
        <f>IFERROR((VLOOKUP(A444,Planilha1!A:B,2,0)),"\\192.168.0.4\Produtos\PRODUTO_PRONTA_ENTREGA\static\IMAGENS_PRODUTOS\SEM IMAGEM.jpg")</f>
        <v>\\192.168.0.4\Produtos\PRODUTO_PRONTA_ENTREGA\static\IMAGENS_PRODUTOS\CADEIRA NICK CB_151602.jpg</v>
      </c>
      <c r="V444" t="str">
        <f>IFERROR((VLOOKUP(A444,Planilha1!A:B,2,0)),"\\192.168.0.4\Produtos\PRODUTO_PRONTA_ENTREGA\static\IMAGENS_PRODUTOS\SEM IMAGEM.jpg")</f>
        <v>\\192.168.0.4\Produtos\PRODUTO_PRONTA_ENTREGA\static\IMAGENS_PRODUTOS\CADEIRA NICK CB_151602.jpg</v>
      </c>
    </row>
    <row r="445" spans="1:22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24"/>
        <v/>
      </c>
      <c r="L445" s="7" t="str">
        <f>IF(VLOOKUP(A445,'[1]LISTA ETIQUETAS'!O:AB,14,0)="","",(VLOOKUP(A445,'[1]LISTA ETIQUETAS'!O:AB,14,0)))</f>
        <v/>
      </c>
      <c r="M445" s="8"/>
      <c r="N445" s="9">
        <f t="shared" si="25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26"/>
        <v>4</v>
      </c>
      <c r="U445" s="10" t="str">
        <f>IFERROR((VLOOKUP(A445,Planilha1!A:B,2,0)),"\\192.168.0.4\Produtos\PRODUTO_PRONTA_ENTREGA\static\IMAGENS_PRODUTOS\SEM IMAGEM.jpg")</f>
        <v>\\192.168.0.4\Produtos\PRODUTO_PRONTA_ENTREGA\static\IMAGENS_PRODUTOS\CADEIRA BALI CB_151598.jpg</v>
      </c>
      <c r="V445" t="str">
        <f>IFERROR((VLOOKUP(A445,Planilha1!A:B,2,0)),"\\192.168.0.4\Produtos\PRODUTO_PRONTA_ENTREGA\static\IMAGENS_PRODUTOS\SEM IMAGEM.jpg")</f>
        <v>\\192.168.0.4\Produtos\PRODUTO_PRONTA_ENTREGA\static\IMAGENS_PRODUTOS\CADEIRA BALI CB_151598.jpg</v>
      </c>
    </row>
    <row r="446" spans="1:22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24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25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26"/>
        <v>2</v>
      </c>
      <c r="U446" s="10" t="str">
        <f>IFERROR((VLOOKUP(A446,Planilha1!A:B,2,0)),"\\192.168.0.4\Produtos\PRODUTO_PRONTA_ENTREGA\static\IMAGENS_PRODUTOS\SEM IMAGEM.jpg")</f>
        <v>\\192.168.0.4\Produtos\PRODUTO_PRONTA_ENTREGA\static\IMAGENS_PRODUTOS\CADEIRA 213 CB_151438.jpg</v>
      </c>
      <c r="V446" t="str">
        <f>IFERROR((VLOOKUP(A446,Planilha1!A:B,2,0)),"\\192.168.0.4\Produtos\PRODUTO_PRONTA_ENTREGA\static\IMAGENS_PRODUTOS\SEM IMAGEM.jpg")</f>
        <v>\\192.168.0.4\Produtos\PRODUTO_PRONTA_ENTREGA\static\IMAGENS_PRODUTOS\CADEIRA 213 CB_151438.jpg</v>
      </c>
    </row>
    <row r="447" spans="1:22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24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25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26"/>
        <v>1</v>
      </c>
      <c r="U447" s="10" t="str">
        <f>IFERROR((VLOOKUP(A447,Planilha1!A:B,2,0)),"\\192.168.0.4\Produtos\PRODUTO_PRONTA_ENTREGA\static\IMAGENS_PRODUTOS\SEM IMAGEM.jpg")</f>
        <v>\\192.168.0.4\Produtos\PRODUTO_PRONTA_ENTREGA\static\IMAGENS_PRODUTOS\CADEIRA DIX_151436.jpg</v>
      </c>
      <c r="V447" t="str">
        <f>IFERROR((VLOOKUP(A447,Planilha1!A:B,2,0)),"\\192.168.0.4\Produtos\PRODUTO_PRONTA_ENTREGA\static\IMAGENS_PRODUTOS\SEM IMAGEM.jpg")</f>
        <v>\\192.168.0.4\Produtos\PRODUTO_PRONTA_ENTREGA\static\IMAGENS_PRODUTOS\CADEIRA DIX_151436.jpg</v>
      </c>
    </row>
    <row r="448" spans="1:22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24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25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26"/>
        <v>4</v>
      </c>
      <c r="U448" s="10" t="str">
        <f>IFERROR((VLOOKUP(A448,Planilha1!A:B,2,0)),"\\192.168.0.4\Produtos\PRODUTO_PRONTA_ENTREGA\static\IMAGENS_PRODUTOS\SEM IMAGEM.jpg")</f>
        <v>\\192.168.0.4\Produtos\PRODUTO_PRONTA_ENTREGA\static\IMAGENS_PRODUTOS\SEM IMAGEM.jpg</v>
      </c>
      <c r="V448" t="str">
        <f>IFERROR((VLOOKUP(A448,Planilha1!A:B,2,0)),"\\192.168.0.4\Produtos\PRODUTO_PRONTA_ENTREGA\static\IMAGENS_PRODUTOS\SEM IMAGEM.jpg")</f>
        <v>\\192.168.0.4\Produtos\PRODUTO_PRONTA_ENTREGA\static\IMAGENS_PRODUTOS\SEM IMAGEM.jpg</v>
      </c>
    </row>
    <row r="449" spans="1:22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24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25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26"/>
        <v>2</v>
      </c>
      <c r="U449" s="10" t="str">
        <f>IFERROR((VLOOKUP(A449,Planilha1!A:B,2,0)),"\\192.168.0.4\Produtos\PRODUTO_PRONTA_ENTREGA\static\IMAGENS_PRODUTOS\SEM IMAGEM.jpg")</f>
        <v>\\192.168.0.4\Produtos\PRODUTO_PRONTA_ENTREGA\static\IMAGENS_PRODUTOS\CADEIRA 213 CB_151433.jpg</v>
      </c>
      <c r="V449" t="str">
        <f>IFERROR((VLOOKUP(A449,Planilha1!A:B,2,0)),"\\192.168.0.4\Produtos\PRODUTO_PRONTA_ENTREGA\static\IMAGENS_PRODUTOS\SEM IMAGEM.jpg")</f>
        <v>\\192.168.0.4\Produtos\PRODUTO_PRONTA_ENTREGA\static\IMAGENS_PRODUTOS\CADEIRA 213 CB_151433.jpg</v>
      </c>
    </row>
    <row r="450" spans="1:22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24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25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26"/>
        <v>2</v>
      </c>
      <c r="U450" s="10" t="str">
        <f>IFERROR((VLOOKUP(A450,Planilha1!A:B,2,0)),"\\192.168.0.4\Produtos\PRODUTO_PRONTA_ENTREGA\static\IMAGENS_PRODUTOS\SEM IMAGEM.jpg")</f>
        <v>\\192.168.0.4\Produtos\PRODUTO_PRONTA_ENTREGA\static\IMAGENS_PRODUTOS\CADEIRA SMALL_145530.jpg</v>
      </c>
      <c r="V450" t="str">
        <f>IFERROR((VLOOKUP(A450,Planilha1!A:B,2,0)),"\\192.168.0.4\Produtos\PRODUTO_PRONTA_ENTREGA\static\IMAGENS_PRODUTOS\SEM IMAGEM.jpg")</f>
        <v>\\192.168.0.4\Produtos\PRODUTO_PRONTA_ENTREGA\static\IMAGENS_PRODUTOS\CADEIRA SMALL_145530.jpg</v>
      </c>
    </row>
    <row r="451" spans="1:22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27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25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26"/>
        <v>2</v>
      </c>
      <c r="U451" s="10" t="str">
        <f>IFERROR((VLOOKUP(A451,Planilha1!A:B,2,0)),"\\192.168.0.4\Produtos\PRODUTO_PRONTA_ENTREGA\static\IMAGENS_PRODUTOS\SEM IMAGEM.jpg")</f>
        <v>\\192.168.0.4\Produtos\PRODUTO_PRONTA_ENTREGA\static\IMAGENS_PRODUTOS\CADEIRA GIU_151533.jpg</v>
      </c>
      <c r="V451" t="str">
        <f>IFERROR((VLOOKUP(A451,Planilha1!A:B,2,0)),"\\192.168.0.4\Produtos\PRODUTO_PRONTA_ENTREGA\static\IMAGENS_PRODUTOS\SEM IMAGEM.jpg")</f>
        <v>\\192.168.0.4\Produtos\PRODUTO_PRONTA_ENTREGA\static\IMAGENS_PRODUTOS\CADEIRA GIU_151533.jpg</v>
      </c>
    </row>
    <row r="452" spans="1:22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27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28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29">SUM(O452:S452)</f>
        <v>4</v>
      </c>
      <c r="U452" s="10" t="str">
        <f>IFERROR((VLOOKUP(A452,Planilha1!A:B,2,0)),"\\192.168.0.4\Produtos\PRODUTO_PRONTA_ENTREGA\static\IMAGENS_PRODUTOS\SEM IMAGEM.jpg")</f>
        <v>\\192.168.0.4\Produtos\PRODUTO_PRONTA_ENTREGA\static\IMAGENS_PRODUTOS\CADEIRA CRIS_151454.jpg</v>
      </c>
      <c r="V452" t="str">
        <f>IFERROR((VLOOKUP(A452,Planilha1!A:B,2,0)),"\\192.168.0.4\Produtos\PRODUTO_PRONTA_ENTREGA\static\IMAGENS_PRODUTOS\SEM IMAGEM.jpg")</f>
        <v>\\192.168.0.4\Produtos\PRODUTO_PRONTA_ENTREGA\static\IMAGENS_PRODUTOS\CADEIRA CRIS_151454.jpg</v>
      </c>
    </row>
    <row r="453" spans="1:22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27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28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29"/>
        <v>2</v>
      </c>
      <c r="U453" s="10" t="str">
        <f>IFERROR((VLOOKUP(A453,Planilha1!A:B,2,0)),"\\192.168.0.4\Produtos\PRODUTO_PRONTA_ENTREGA\static\IMAGENS_PRODUTOS\SEM IMAGEM.jpg")</f>
        <v>\\192.168.0.4\Produtos\PRODUTO_PRONTA_ENTREGA\static\IMAGENS_PRODUTOS\SEM IMAGEM.jpg</v>
      </c>
      <c r="V453" t="str">
        <f>IFERROR((VLOOKUP(A453,Planilha1!A:B,2,0)),"\\192.168.0.4\Produtos\PRODUTO_PRONTA_ENTREGA\static\IMAGENS_PRODUTOS\SEM IMAGEM.jpg")</f>
        <v>\\192.168.0.4\Produtos\PRODUTO_PRONTA_ENTREGA\static\IMAGENS_PRODUTOS\SEM IMAGEM.jpg</v>
      </c>
    </row>
    <row r="454" spans="1:22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27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28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29"/>
        <v>1</v>
      </c>
      <c r="U454" s="10" t="str">
        <f>IFERROR((VLOOKUP(A454,Planilha1!A:B,2,0)),"\\192.168.0.4\Produtos\PRODUTO_PRONTA_ENTREGA\static\IMAGENS_PRODUTOS\SEM IMAGEM.jpg")</f>
        <v>\\192.168.0.4\Produtos\PRODUTO_PRONTA_ENTREGA\static\IMAGENS_PRODUTOS\SEM IMAGEM.jpg</v>
      </c>
      <c r="V454" t="str">
        <f>IFERROR((VLOOKUP(A454,Planilha1!A:B,2,0)),"\\192.168.0.4\Produtos\PRODUTO_PRONTA_ENTREGA\static\IMAGENS_PRODUTOS\SEM IMAGEM.jpg")</f>
        <v>\\192.168.0.4\Produtos\PRODUTO_PRONTA_ENTREGA\static\IMAGENS_PRODUTOS\SEM IMAGEM.jpg</v>
      </c>
    </row>
    <row r="455" spans="1:22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27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28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29"/>
        <v>2</v>
      </c>
      <c r="U455" s="10" t="str">
        <f>IFERROR((VLOOKUP(A455,Planilha1!A:B,2,0)),"\\192.168.0.4\Produtos\PRODUTO_PRONTA_ENTREGA\static\IMAGENS_PRODUTOS\SEM IMAGEM.jpg")</f>
        <v>\\192.168.0.4\Produtos\PRODUTO_PRONTA_ENTREGA\static\IMAGENS_PRODUTOS\SEM IMAGEM.jpg</v>
      </c>
      <c r="V455" t="str">
        <f>IFERROR((VLOOKUP(A455,Planilha1!A:B,2,0)),"\\192.168.0.4\Produtos\PRODUTO_PRONTA_ENTREGA\static\IMAGENS_PRODUTOS\SEM IMAGEM.jpg")</f>
        <v>\\192.168.0.4\Produtos\PRODUTO_PRONTA_ENTREGA\static\IMAGENS_PRODUTOS\SEM IMAGEM.jpg</v>
      </c>
    </row>
    <row r="456" spans="1:22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27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28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29"/>
        <v>4</v>
      </c>
      <c r="U456" s="10" t="str">
        <f>IFERROR((VLOOKUP(A456,Planilha1!A:B,2,0)),"\\192.168.0.4\Produtos\PRODUTO_PRONTA_ENTREGA\static\IMAGENS_PRODUTOS\SEM IMAGEM.jpg")</f>
        <v>\\192.168.0.4\Produtos\PRODUTO_PRONTA_ENTREGA\static\IMAGENS_PRODUTOS\CADEIRA MEDALHÃO_151638.jpg</v>
      </c>
      <c r="V456" t="str">
        <f>IFERROR((VLOOKUP(A456,Planilha1!A:B,2,0)),"\\192.168.0.4\Produtos\PRODUTO_PRONTA_ENTREGA\static\IMAGENS_PRODUTOS\SEM IMAGEM.jpg")</f>
        <v>\\192.168.0.4\Produtos\PRODUTO_PRONTA_ENTREGA\static\IMAGENS_PRODUTOS\CADEIRA MEDALHÃO_151638.jpg</v>
      </c>
    </row>
    <row r="457" spans="1:22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27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28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29"/>
        <v>1</v>
      </c>
      <c r="U457" s="10" t="str">
        <f>IFERROR((VLOOKUP(A457,Planilha1!A:B,2,0)),"\\192.168.0.4\Produtos\PRODUTO_PRONTA_ENTREGA\static\IMAGENS_PRODUTOS\SEM IMAGEM.jpg")</f>
        <v>\\192.168.0.4\Produtos\PRODUTO_PRONTA_ENTREGA\static\IMAGENS_PRODUTOS\CADEIRA SMALL_163757.jpg</v>
      </c>
      <c r="V457" t="str">
        <f>IFERROR((VLOOKUP(A457,Planilha1!A:B,2,0)),"\\192.168.0.4\Produtos\PRODUTO_PRONTA_ENTREGA\static\IMAGENS_PRODUTOS\SEM IMAGEM.jpg")</f>
        <v>\\192.168.0.4\Produtos\PRODUTO_PRONTA_ENTREGA\static\IMAGENS_PRODUTOS\CADEIRA SMALL_163757.jpg</v>
      </c>
    </row>
    <row r="458" spans="1:22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27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28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29"/>
        <v>1</v>
      </c>
      <c r="U458" s="10" t="str">
        <f>IFERROR((VLOOKUP(A458,Planilha1!A:B,2,0)),"\\192.168.0.4\Produtos\PRODUTO_PRONTA_ENTREGA\static\IMAGENS_PRODUTOS\SEM IMAGEM.jpg")</f>
        <v>\\192.168.0.4\Produtos\PRODUTO_PRONTA_ENTREGA\static\IMAGENS_PRODUTOS\SEM IMAGEM.jpg</v>
      </c>
      <c r="V458" t="str">
        <f>IFERROR((VLOOKUP(A458,Planilha1!A:B,2,0)),"\\192.168.0.4\Produtos\PRODUTO_PRONTA_ENTREGA\static\IMAGENS_PRODUTOS\SEM IMAGEM.jpg")</f>
        <v>\\192.168.0.4\Produtos\PRODUTO_PRONTA_ENTREGA\static\IMAGENS_PRODUTOS\SEM IMAGEM.jpg</v>
      </c>
    </row>
    <row r="459" spans="1:22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27"/>
        <v/>
      </c>
      <c r="L459" s="7" t="str">
        <f>IF(VLOOKUP(A459,'[1]LISTA ETIQUETAS'!O:AB,14,0)="","",(VLOOKUP(A459,'[1]LISTA ETIQUETAS'!O:AB,14,0)))</f>
        <v/>
      </c>
      <c r="M459" s="8"/>
      <c r="N459" s="9">
        <f t="shared" si="28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29"/>
        <v>1</v>
      </c>
      <c r="U459" s="10" t="str">
        <f>IFERROR((VLOOKUP(A459,Planilha1!A:B,2,0)),"\\192.168.0.4\Produtos\PRODUTO_PRONTA_ENTREGA\static\IMAGENS_PRODUTOS\SEM IMAGEM.jpg")</f>
        <v>\\192.168.0.4\Produtos\PRODUTO_PRONTA_ENTREGA\static\IMAGENS_PRODUTOS\CADEIRA JOY_176795.jpg</v>
      </c>
      <c r="V459" t="str">
        <f>IFERROR((VLOOKUP(A459,Planilha1!A:B,2,0)),"\\192.168.0.4\Produtos\PRODUTO_PRONTA_ENTREGA\static\IMAGENS_PRODUTOS\SEM IMAGEM.jpg")</f>
        <v>\\192.168.0.4\Produtos\PRODUTO_PRONTA_ENTREGA\static\IMAGENS_PRODUTOS\CADEIRA JOY_176795.jpg</v>
      </c>
    </row>
    <row r="460" spans="1:22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27"/>
        <v/>
      </c>
      <c r="L460" s="7" t="str">
        <f>IF(VLOOKUP(A460,'[1]LISTA ETIQUETAS'!O:AB,14,0)="","",(VLOOKUP(A460,'[1]LISTA ETIQUETAS'!O:AB,14,0)))</f>
        <v/>
      </c>
      <c r="M460" s="8"/>
      <c r="N460" s="9">
        <f t="shared" si="28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29"/>
        <v>1</v>
      </c>
      <c r="U460" s="10" t="str">
        <f>IFERROR((VLOOKUP(A460,Planilha1!A:B,2,0)),"\\192.168.0.4\Produtos\PRODUTO_PRONTA_ENTREGA\static\IMAGENS_PRODUTOS\SEM IMAGEM.jpg")</f>
        <v>\\192.168.0.4\Produtos\PRODUTO_PRONTA_ENTREGA\static\IMAGENS_PRODUTOS\CADEIRA MILLA_176793.jpg</v>
      </c>
      <c r="V460" t="str">
        <f>IFERROR((VLOOKUP(A460,Planilha1!A:B,2,0)),"\\192.168.0.4\Produtos\PRODUTO_PRONTA_ENTREGA\static\IMAGENS_PRODUTOS\SEM IMAGEM.jpg")</f>
        <v>\\192.168.0.4\Produtos\PRODUTO_PRONTA_ENTREGA\static\IMAGENS_PRODUTOS\CADEIRA MILLA_176793.jpg</v>
      </c>
    </row>
    <row r="461" spans="1:22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27"/>
        <v/>
      </c>
      <c r="L461" s="7" t="str">
        <f>IF(VLOOKUP(A461,'[1]LISTA ETIQUETAS'!O:AB,14,0)="","",(VLOOKUP(A461,'[1]LISTA ETIQUETAS'!O:AB,14,0)))</f>
        <v/>
      </c>
      <c r="M461" s="8"/>
      <c r="N461" s="9">
        <f t="shared" si="28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29"/>
        <v>1</v>
      </c>
      <c r="U461" s="10" t="str">
        <f>IFERROR((VLOOKUP(A461,Planilha1!A:B,2,0)),"\\192.168.0.4\Produtos\PRODUTO_PRONTA_ENTREGA\static\IMAGENS_PRODUTOS\SEM IMAGEM.jpg")</f>
        <v>\\192.168.0.4\Produtos\PRODUTO_PRONTA_ENTREGA\static\IMAGENS_PRODUTOS\CADEIRA MILLA 360_176791.jpg</v>
      </c>
      <c r="V461" t="str">
        <f>IFERROR((VLOOKUP(A461,Planilha1!A:B,2,0)),"\\192.168.0.4\Produtos\PRODUTO_PRONTA_ENTREGA\static\IMAGENS_PRODUTOS\SEM IMAGEM.jpg")</f>
        <v>\\192.168.0.4\Produtos\PRODUTO_PRONTA_ENTREGA\static\IMAGENS_PRODUTOS\CADEIRA MILLA 360_176791.jpg</v>
      </c>
    </row>
    <row r="462" spans="1:22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27"/>
        <v/>
      </c>
      <c r="L462" s="7" t="str">
        <f>IF(VLOOKUP(A462,'[1]LISTA ETIQUETAS'!O:AB,14,0)="","",(VLOOKUP(A462,'[1]LISTA ETIQUETAS'!O:AB,14,0)))</f>
        <v/>
      </c>
      <c r="M462" s="8"/>
      <c r="N462" s="9">
        <f t="shared" si="28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29"/>
        <v>1</v>
      </c>
      <c r="U462" s="10" t="str">
        <f>IFERROR((VLOOKUP(A462,Planilha1!A:B,2,0)),"\\192.168.0.4\Produtos\PRODUTO_PRONTA_ENTREGA\static\IMAGENS_PRODUTOS\SEM IMAGEM.jpg")</f>
        <v>\\192.168.0.4\Produtos\PRODUTO_PRONTA_ENTREGA\static\IMAGENS_PRODUTOS\CADEIRA MILLA 300_176790.jpg</v>
      </c>
      <c r="V462" t="str">
        <f>IFERROR((VLOOKUP(A462,Planilha1!A:B,2,0)),"\\192.168.0.4\Produtos\PRODUTO_PRONTA_ENTREGA\static\IMAGENS_PRODUTOS\SEM IMAGEM.jpg")</f>
        <v>\\192.168.0.4\Produtos\PRODUTO_PRONTA_ENTREGA\static\IMAGENS_PRODUTOS\CADEIRA MILLA 300_176790.jpg</v>
      </c>
    </row>
    <row r="463" spans="1:22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27"/>
        <v/>
      </c>
      <c r="L463" s="7" t="str">
        <f>IF(VLOOKUP(A463,'[1]LISTA ETIQUETAS'!O:AB,14,0)="","",(VLOOKUP(A463,'[1]LISTA ETIQUETAS'!O:AB,14,0)))</f>
        <v/>
      </c>
      <c r="M463" s="8"/>
      <c r="N463" s="9">
        <f t="shared" si="28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29"/>
        <v>1</v>
      </c>
      <c r="U463" s="10" t="str">
        <f>IFERROR((VLOOKUP(A463,Planilha1!A:B,2,0)),"\\192.168.0.4\Produtos\PRODUTO_PRONTA_ENTREGA\static\IMAGENS_PRODUTOS\SEM IMAGEM.jpg")</f>
        <v>\\192.168.0.4\Produtos\PRODUTO_PRONTA_ENTREGA\static\IMAGENS_PRODUTOS\CADEIRA MILLA 520_176789.jpg</v>
      </c>
      <c r="V463" t="str">
        <f>IFERROR((VLOOKUP(A463,Planilha1!A:B,2,0)),"\\192.168.0.4\Produtos\PRODUTO_PRONTA_ENTREGA\static\IMAGENS_PRODUTOS\SEM IMAGEM.jpg")</f>
        <v>\\192.168.0.4\Produtos\PRODUTO_PRONTA_ENTREGA\static\IMAGENS_PRODUTOS\CADEIRA MILLA 520_176789.jpg</v>
      </c>
    </row>
    <row r="464" spans="1:22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27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28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29"/>
        <v>2</v>
      </c>
      <c r="U464" s="10" t="str">
        <f>IFERROR((VLOOKUP(A464,Planilha1!A:B,2,0)),"\\192.168.0.4\Produtos\PRODUTO_PRONTA_ENTREGA\static\IMAGENS_PRODUTOS\SEM IMAGEM.jpg")</f>
        <v>\\192.168.0.4\Produtos\PRODUTO_PRONTA_ENTREGA\static\IMAGENS_PRODUTOS\CADEIRA GIO CB_174050.jpg</v>
      </c>
      <c r="V464" t="str">
        <f>IFERROR((VLOOKUP(A464,Planilha1!A:B,2,0)),"\\192.168.0.4\Produtos\PRODUTO_PRONTA_ENTREGA\static\IMAGENS_PRODUTOS\SEM IMAGEM.jpg")</f>
        <v>\\192.168.0.4\Produtos\PRODUTO_PRONTA_ENTREGA\static\IMAGENS_PRODUTOS\CADEIRA GIO CB_174050.jpg</v>
      </c>
    </row>
    <row r="465" spans="1:22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27"/>
        <v/>
      </c>
      <c r="L465" s="7" t="str">
        <f>IF(VLOOKUP(A465,'[1]LISTA ETIQUETAS'!O:AB,14,0)="","",(VLOOKUP(A465,'[1]LISTA ETIQUETAS'!O:AB,14,0)))</f>
        <v/>
      </c>
      <c r="M465" s="8"/>
      <c r="N465" s="9">
        <f t="shared" si="28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29"/>
        <v>1</v>
      </c>
      <c r="U465" s="10" t="str">
        <f>IFERROR((VLOOKUP(A465,Planilha1!A:B,2,0)),"\\192.168.0.4\Produtos\PRODUTO_PRONTA_ENTREGA\static\IMAGENS_PRODUTOS\SEM IMAGEM.jpg")</f>
        <v>\\192.168.0.4\Produtos\PRODUTO_PRONTA_ENTREGA\static\IMAGENS_PRODUTOS\CADEIRA JOY_174045.jpg</v>
      </c>
      <c r="V465" t="str">
        <f>IFERROR((VLOOKUP(A465,Planilha1!A:B,2,0)),"\\192.168.0.4\Produtos\PRODUTO_PRONTA_ENTREGA\static\IMAGENS_PRODUTOS\SEM IMAGEM.jpg")</f>
        <v>\\192.168.0.4\Produtos\PRODUTO_PRONTA_ENTREGA\static\IMAGENS_PRODUTOS\CADEIRA JOY_174045.jpg</v>
      </c>
    </row>
    <row r="466" spans="1:22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27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28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29"/>
        <v>3</v>
      </c>
      <c r="U466" s="10" t="str">
        <f>IFERROR((VLOOKUP(A466,Planilha1!A:B,2,0)),"\\192.168.0.4\Produtos\PRODUTO_PRONTA_ENTREGA\static\IMAGENS_PRODUTOS\SEM IMAGEM.jpg")</f>
        <v>\\192.168.0.4\Produtos\PRODUTO_PRONTA_ENTREGA\static\IMAGENS_PRODUTOS\CADEIRA PADAUNG_163876.jpg</v>
      </c>
      <c r="V466" t="str">
        <f>IFERROR((VLOOKUP(A466,Planilha1!A:B,2,0)),"\\192.168.0.4\Produtos\PRODUTO_PRONTA_ENTREGA\static\IMAGENS_PRODUTOS\SEM IMAGEM.jpg")</f>
        <v>\\192.168.0.4\Produtos\PRODUTO_PRONTA_ENTREGA\static\IMAGENS_PRODUTOS\CADEIRA PADAUNG_163876.jpg</v>
      </c>
    </row>
    <row r="467" spans="1:22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27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28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29"/>
        <v>2</v>
      </c>
      <c r="U467" s="10" t="str">
        <f>IFERROR((VLOOKUP(A467,Planilha1!A:B,2,0)),"\\192.168.0.4\Produtos\PRODUTO_PRONTA_ENTREGA\static\IMAGENS_PRODUTOS\SEM IMAGEM.jpg")</f>
        <v>\\192.168.0.4\Produtos\PRODUTO_PRONTA_ENTREGA\static\IMAGENS_PRODUTOS\CADEIRA MAIA_183797.jpg</v>
      </c>
      <c r="V467" t="str">
        <f>IFERROR((VLOOKUP(A467,Planilha1!A:B,2,0)),"\\192.168.0.4\Produtos\PRODUTO_PRONTA_ENTREGA\static\IMAGENS_PRODUTOS\SEM IMAGEM.jpg")</f>
        <v>\\192.168.0.4\Produtos\PRODUTO_PRONTA_ENTREGA\static\IMAGENS_PRODUTOS\CADEIRA MAIA_183797.jpg</v>
      </c>
    </row>
    <row r="468" spans="1:22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27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28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29"/>
        <v>1</v>
      </c>
      <c r="U468" s="10" t="str">
        <f>IFERROR((VLOOKUP(A468,Planilha1!A:B,2,0)),"\\192.168.0.4\Produtos\PRODUTO_PRONTA_ENTREGA\static\IMAGENS_PRODUTOS\SEM IMAGEM.jpg")</f>
        <v>\\192.168.0.4\Produtos\PRODUTO_PRONTA_ENTREGA\static\IMAGENS_PRODUTOS\CADEIRA MEDALHÃO_179261.jpg</v>
      </c>
      <c r="V468" t="str">
        <f>IFERROR((VLOOKUP(A468,Planilha1!A:B,2,0)),"\\192.168.0.4\Produtos\PRODUTO_PRONTA_ENTREGA\static\IMAGENS_PRODUTOS\SEM IMAGEM.jpg")</f>
        <v>\\192.168.0.4\Produtos\PRODUTO_PRONTA_ENTREGA\static\IMAGENS_PRODUTOS\CADEIRA MEDALHÃO_179261.jpg</v>
      </c>
    </row>
    <row r="469" spans="1:22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27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28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29"/>
        <v>2</v>
      </c>
      <c r="U469" s="10" t="str">
        <f>IFERROR((VLOOKUP(A469,Planilha1!A:B,2,0)),"\\192.168.0.4\Produtos\PRODUTO_PRONTA_ENTREGA\static\IMAGENS_PRODUTOS\SEM IMAGEM.jpg")</f>
        <v>\\192.168.0.4\Produtos\PRODUTO_PRONTA_ENTREGA\static\IMAGENS_PRODUTOS\SEM IMAGEM.jpg</v>
      </c>
      <c r="V469" t="str">
        <f>IFERROR((VLOOKUP(A469,Planilha1!A:B,2,0)),"\\192.168.0.4\Produtos\PRODUTO_PRONTA_ENTREGA\static\IMAGENS_PRODUTOS\SEM IMAGEM.jpg")</f>
        <v>\\192.168.0.4\Produtos\PRODUTO_PRONTA_ENTREGA\static\IMAGENS_PRODUTOS\SEM IMAGEM.jpg</v>
      </c>
    </row>
    <row r="470" spans="1:22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27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28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29"/>
        <v>1</v>
      </c>
      <c r="U470" s="10" t="str">
        <f>IFERROR((VLOOKUP(A470,Planilha1!A:B,2,0)),"\\192.168.0.4\Produtos\PRODUTO_PRONTA_ENTREGA\static\IMAGENS_PRODUTOS\SEM IMAGEM.jpg")</f>
        <v>\\192.168.0.4\Produtos\PRODUTO_PRONTA_ENTREGA\static\IMAGENS_PRODUTOS\CADEIRA MAIA SMALL_176833.jpg</v>
      </c>
      <c r="V470" t="str">
        <f>IFERROR((VLOOKUP(A470,Planilha1!A:B,2,0)),"\\192.168.0.4\Produtos\PRODUTO_PRONTA_ENTREGA\static\IMAGENS_PRODUTOS\SEM IMAGEM.jpg")</f>
        <v>\\192.168.0.4\Produtos\PRODUTO_PRONTA_ENTREGA\static\IMAGENS_PRODUTOS\CADEIRA MAIA SMALL_176833.jpg</v>
      </c>
    </row>
    <row r="471" spans="1:22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27"/>
        <v/>
      </c>
      <c r="L471" s="7" t="str">
        <f>IF(VLOOKUP(A471,'[1]LISTA ETIQUETAS'!O:AB,14,0)="","",(VLOOKUP(A471,'[1]LISTA ETIQUETAS'!O:AB,14,0)))</f>
        <v/>
      </c>
      <c r="M471" s="8"/>
      <c r="N471" s="9">
        <f t="shared" si="28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29"/>
        <v>2</v>
      </c>
      <c r="U471" s="10" t="str">
        <f>IFERROR((VLOOKUP(A471,Planilha1!A:B,2,0)),"\\192.168.0.4\Produtos\PRODUTO_PRONTA_ENTREGA\static\IMAGENS_PRODUTOS\SEM IMAGEM.jpg")</f>
        <v>\\192.168.0.4\Produtos\PRODUTO_PRONTA_ENTREGA\static\IMAGENS_PRODUTOS\CADEIRA MIA SB_194033.jpg</v>
      </c>
      <c r="V471" t="str">
        <f>IFERROR((VLOOKUP(A471,Planilha1!A:B,2,0)),"\\192.168.0.4\Produtos\PRODUTO_PRONTA_ENTREGA\static\IMAGENS_PRODUTOS\SEM IMAGEM.jpg")</f>
        <v>\\192.168.0.4\Produtos\PRODUTO_PRONTA_ENTREGA\static\IMAGENS_PRODUTOS\CADEIRA MIA SB_194033.jpg</v>
      </c>
    </row>
    <row r="472" spans="1:22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27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28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29"/>
        <v>1</v>
      </c>
      <c r="U472" s="10" t="str">
        <f>IFERROR((VLOOKUP(A472,Planilha1!A:B,2,0)),"\\192.168.0.4\Produtos\PRODUTO_PRONTA_ENTREGA\static\IMAGENS_PRODUTOS\SEM IMAGEM.jpg")</f>
        <v>\\192.168.0.4\Produtos\PRODUTO_PRONTA_ENTREGA\static\IMAGENS_PRODUTOS\CADEIRA ZARA_203135.jpg</v>
      </c>
      <c r="V472" t="str">
        <f>IFERROR((VLOOKUP(A472,Planilha1!A:B,2,0)),"\\192.168.0.4\Produtos\PRODUTO_PRONTA_ENTREGA\static\IMAGENS_PRODUTOS\SEM IMAGEM.jpg")</f>
        <v>\\192.168.0.4\Produtos\PRODUTO_PRONTA_ENTREGA\static\IMAGENS_PRODUTOS\CADEIRA ZARA_203135.jpg</v>
      </c>
    </row>
    <row r="473" spans="1:22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27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28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29"/>
        <v>2</v>
      </c>
      <c r="U473" s="10" t="str">
        <f>IFERROR((VLOOKUP(A473,Planilha1!A:B,2,0)),"\\192.168.0.4\Produtos\PRODUTO_PRONTA_ENTREGA\static\IMAGENS_PRODUTOS\SEM IMAGEM.jpg")</f>
        <v>\\192.168.0.4\Produtos\PRODUTO_PRONTA_ENTREGA\static\IMAGENS_PRODUTOS\CADEIRA PRADA_203138.jpg</v>
      </c>
      <c r="V473" t="str">
        <f>IFERROR((VLOOKUP(A473,Planilha1!A:B,2,0)),"\\192.168.0.4\Produtos\PRODUTO_PRONTA_ENTREGA\static\IMAGENS_PRODUTOS\SEM IMAGEM.jpg")</f>
        <v>\\192.168.0.4\Produtos\PRODUTO_PRONTA_ENTREGA\static\IMAGENS_PRODUTOS\CADEIRA PRADA_203138.jpg</v>
      </c>
    </row>
    <row r="474" spans="1:22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27"/>
        <v/>
      </c>
      <c r="L474" s="7" t="str">
        <f>IF(VLOOKUP(A474,'[1]LISTA ETIQUETAS'!O:AB,14,0)="","",(VLOOKUP(A474,'[1]LISTA ETIQUETAS'!O:AB,14,0)))</f>
        <v/>
      </c>
      <c r="M474" s="8"/>
      <c r="N474" s="9">
        <f t="shared" si="28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29"/>
        <v>2</v>
      </c>
      <c r="U474" s="10" t="str">
        <f>IFERROR((VLOOKUP(A474,Planilha1!A:B,2,0)),"\\192.168.0.4\Produtos\PRODUTO_PRONTA_ENTREGA\static\IMAGENS_PRODUTOS\SEM IMAGEM.jpg")</f>
        <v>\\192.168.0.4\Produtos\PRODUTO_PRONTA_ENTREGA\static\IMAGENS_PRODUTOS\CADEIRA PLIS_187636.jpg</v>
      </c>
      <c r="V474" t="str">
        <f>IFERROR((VLOOKUP(A474,Planilha1!A:B,2,0)),"\\192.168.0.4\Produtos\PRODUTO_PRONTA_ENTREGA\static\IMAGENS_PRODUTOS\SEM IMAGEM.jpg")</f>
        <v>\\192.168.0.4\Produtos\PRODUTO_PRONTA_ENTREGA\static\IMAGENS_PRODUTOS\CADEIRA PLIS_187636.jpg</v>
      </c>
    </row>
    <row r="475" spans="1:22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27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28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29"/>
        <v>1</v>
      </c>
      <c r="U475" s="10" t="str">
        <f>IFERROR((VLOOKUP(A475,Planilha1!A:B,2,0)),"\\192.168.0.4\Produtos\PRODUTO_PRONTA_ENTREGA\static\IMAGENS_PRODUTOS\SEM IMAGEM.jpg")</f>
        <v>\\192.168.0.4\Produtos\PRODUTO_PRONTA_ENTREGA\static\IMAGENS_PRODUTOS\CADEIRA BOSSA SB_218640.jpg</v>
      </c>
      <c r="V475" t="str">
        <f>IFERROR((VLOOKUP(A475,Planilha1!A:B,2,0)),"\\192.168.0.4\Produtos\PRODUTO_PRONTA_ENTREGA\static\IMAGENS_PRODUTOS\SEM IMAGEM.jpg")</f>
        <v>\\192.168.0.4\Produtos\PRODUTO_PRONTA_ENTREGA\static\IMAGENS_PRODUTOS\CADEIRA BOSSA SB_218640.jpg</v>
      </c>
    </row>
    <row r="476" spans="1:22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27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28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29"/>
        <v>2</v>
      </c>
      <c r="U476" s="10" t="str">
        <f>IFERROR((VLOOKUP(A476,Planilha1!A:B,2,0)),"\\192.168.0.4\Produtos\PRODUTO_PRONTA_ENTREGA\static\IMAGENS_PRODUTOS\SEM IMAGEM.jpg")</f>
        <v>\\192.168.0.4\Produtos\PRODUTO_PRONTA_ENTREGA\static\IMAGENS_PRODUTOS\CADEIRA 128_212906.jpg</v>
      </c>
      <c r="V476" t="str">
        <f>IFERROR((VLOOKUP(A476,Planilha1!A:B,2,0)),"\\192.168.0.4\Produtos\PRODUTO_PRONTA_ENTREGA\static\IMAGENS_PRODUTOS\SEM IMAGEM.jpg")</f>
        <v>\\192.168.0.4\Produtos\PRODUTO_PRONTA_ENTREGA\static\IMAGENS_PRODUTOS\CADEIRA 128_212906.jpg</v>
      </c>
    </row>
    <row r="477" spans="1:22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27"/>
        <v/>
      </c>
      <c r="L477" s="7" t="str">
        <f>IF(VLOOKUP(A477,'[1]LISTA ETIQUETAS'!O:AB,14,0)="","",(VLOOKUP(A477,'[1]LISTA ETIQUETAS'!O:AB,14,0)))</f>
        <v/>
      </c>
      <c r="M477" s="8"/>
      <c r="N477" s="9">
        <f t="shared" si="28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29"/>
        <v>1</v>
      </c>
      <c r="U477" s="10" t="str">
        <f>IFERROR((VLOOKUP(A477,Planilha1!A:B,2,0)),"\\192.168.0.4\Produtos\PRODUTO_PRONTA_ENTREGA\static\IMAGENS_PRODUTOS\SEM IMAGEM.jpg")</f>
        <v>\\192.168.0.4\Produtos\PRODUTO_PRONTA_ENTREGA\static\IMAGENS_PRODUTOS\SEM IMAGEM.jpg</v>
      </c>
      <c r="V477" t="str">
        <f>IFERROR((VLOOKUP(A477,Planilha1!A:B,2,0)),"\\192.168.0.4\Produtos\PRODUTO_PRONTA_ENTREGA\static\IMAGENS_PRODUTOS\SEM IMAGEM.jpg")</f>
        <v>\\192.168.0.4\Produtos\PRODUTO_PRONTA_ENTREGA\static\IMAGENS_PRODUTOS\SEM IMAGEM.jpg</v>
      </c>
    </row>
    <row r="478" spans="1:22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27"/>
        <v/>
      </c>
      <c r="L478" s="7" t="str">
        <f>IF(VLOOKUP(A478,'[1]LISTA ETIQUETAS'!O:AB,14,0)="","",(VLOOKUP(A478,'[1]LISTA ETIQUETAS'!O:AB,14,0)))</f>
        <v/>
      </c>
      <c r="M478" s="8"/>
      <c r="N478" s="9">
        <f t="shared" si="28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29"/>
        <v>1</v>
      </c>
      <c r="U478" s="10" t="str">
        <f>IFERROR((VLOOKUP(A478,Planilha1!A:B,2,0)),"\\192.168.0.4\Produtos\PRODUTO_PRONTA_ENTREGA\static\IMAGENS_PRODUTOS\SEM IMAGEM.jpg")</f>
        <v>\\192.168.0.4\Produtos\PRODUTO_PRONTA_ENTREGA\static\IMAGENS_PRODUTOS\CADEIRA MILLA_207167.jpg</v>
      </c>
      <c r="V478" t="str">
        <f>IFERROR((VLOOKUP(A478,Planilha1!A:B,2,0)),"\\192.168.0.4\Produtos\PRODUTO_PRONTA_ENTREGA\static\IMAGENS_PRODUTOS\SEM IMAGEM.jpg")</f>
        <v>\\192.168.0.4\Produtos\PRODUTO_PRONTA_ENTREGA\static\IMAGENS_PRODUTOS\CADEIRA MILLA_207167.jpg</v>
      </c>
    </row>
    <row r="479" spans="1:22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27"/>
        <v/>
      </c>
      <c r="L479" s="7" t="str">
        <f>IF(VLOOKUP(A479,'[1]LISTA ETIQUETAS'!O:AB,14,0)="","",(VLOOKUP(A479,'[1]LISTA ETIQUETAS'!O:AB,14,0)))</f>
        <v/>
      </c>
      <c r="M479" s="8"/>
      <c r="N479" s="9">
        <f t="shared" si="28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29"/>
        <v>1</v>
      </c>
      <c r="U479" s="10" t="str">
        <f>IFERROR((VLOOKUP(A479,Planilha1!A:B,2,0)),"\\192.168.0.4\Produtos\PRODUTO_PRONTA_ENTREGA\static\IMAGENS_PRODUTOS\SEM IMAGEM.jpg")</f>
        <v>\\192.168.0.4\Produtos\PRODUTO_PRONTA_ENTREGA\static\IMAGENS_PRODUTOS\SEM IMAGEM.jpg</v>
      </c>
      <c r="V479" t="str">
        <f>IFERROR((VLOOKUP(A479,Planilha1!A:B,2,0)),"\\192.168.0.4\Produtos\PRODUTO_PRONTA_ENTREGA\static\IMAGENS_PRODUTOS\SEM IMAGEM.jpg")</f>
        <v>\\192.168.0.4\Produtos\PRODUTO_PRONTA_ENTREGA\static\IMAGENS_PRODUTOS\SEM IMAGEM.jpg</v>
      </c>
    </row>
    <row r="480" spans="1:22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27"/>
        <v/>
      </c>
      <c r="L480" s="7" t="str">
        <f>IF(VLOOKUP(A480,'[1]LISTA ETIQUETAS'!O:AB,14,0)="","",(VLOOKUP(A480,'[1]LISTA ETIQUETAS'!O:AB,14,0)))</f>
        <v/>
      </c>
      <c r="M480" s="8"/>
      <c r="N480" s="9">
        <f t="shared" si="28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29"/>
        <v>2</v>
      </c>
      <c r="U480" s="10" t="str">
        <f>IFERROR((VLOOKUP(A480,Planilha1!A:B,2,0)),"\\192.168.0.4\Produtos\PRODUTO_PRONTA_ENTREGA\static\IMAGENS_PRODUTOS\SEM IMAGEM.jpg")</f>
        <v>\\192.168.0.4\Produtos\PRODUTO_PRONTA_ENTREGA\static\IMAGENS_PRODUTOS\SEM IMAGEM.jpg</v>
      </c>
      <c r="V480" t="str">
        <f>IFERROR((VLOOKUP(A480,Planilha1!A:B,2,0)),"\\192.168.0.4\Produtos\PRODUTO_PRONTA_ENTREGA\static\IMAGENS_PRODUTOS\SEM IMAGEM.jpg")</f>
        <v>\\192.168.0.4\Produtos\PRODUTO_PRONTA_ENTREGA\static\IMAGENS_PRODUTOS\SEM IMAGEM.jpg</v>
      </c>
    </row>
    <row r="481" spans="1:22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27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28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29"/>
        <v>1</v>
      </c>
      <c r="U481" s="10" t="str">
        <f>IFERROR((VLOOKUP(A481,Planilha1!A:B,2,0)),"\\192.168.0.4\Produtos\PRODUTO_PRONTA_ENTREGA\static\IMAGENS_PRODUTOS\SEM IMAGEM.jpg")</f>
        <v>\\192.168.0.4\Produtos\PRODUTO_PRONTA_ENTREGA\static\IMAGENS_PRODUTOS\CADEIRA DONNA_208851.jpg</v>
      </c>
      <c r="V481" t="str">
        <f>IFERROR((VLOOKUP(A481,Planilha1!A:B,2,0)),"\\192.168.0.4\Produtos\PRODUTO_PRONTA_ENTREGA\static\IMAGENS_PRODUTOS\SEM IMAGEM.jpg")</f>
        <v>\\192.168.0.4\Produtos\PRODUTO_PRONTA_ENTREGA\static\IMAGENS_PRODUTOS\CADEIRA DONNA_208851.jpg</v>
      </c>
    </row>
    <row r="482" spans="1:22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27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28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29"/>
        <v>1</v>
      </c>
      <c r="U482" s="10" t="str">
        <f>IFERROR((VLOOKUP(A482,Planilha1!A:B,2,0)),"\\192.168.0.4\Produtos\PRODUTO_PRONTA_ENTREGA\static\IMAGENS_PRODUTOS\SEM IMAGEM.jpg")</f>
        <v>\\192.168.0.4\Produtos\PRODUTO_PRONTA_ENTREGA\static\IMAGENS_PRODUTOS\CADEIRA MADDA_206588.jpg</v>
      </c>
      <c r="V482" t="str">
        <f>IFERROR((VLOOKUP(A482,Planilha1!A:B,2,0)),"\\192.168.0.4\Produtos\PRODUTO_PRONTA_ENTREGA\static\IMAGENS_PRODUTOS\SEM IMAGEM.jpg")</f>
        <v>\\192.168.0.4\Produtos\PRODUTO_PRONTA_ENTREGA\static\IMAGENS_PRODUTOS\CADEIRA MADDA_206588.jpg</v>
      </c>
    </row>
    <row r="483" spans="1:22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27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28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29"/>
        <v>1</v>
      </c>
      <c r="U483" s="10" t="str">
        <f>IFERROR((VLOOKUP(A483,Planilha1!A:B,2,0)),"\\192.168.0.4\Produtos\PRODUTO_PRONTA_ENTREGA\static\IMAGENS_PRODUTOS\SEM IMAGEM.jpg")</f>
        <v>\\192.168.0.4\Produtos\PRODUTO_PRONTA_ENTREGA\static\IMAGENS_PRODUTOS\CADEIRA GAVEA CB_210386.jpg</v>
      </c>
      <c r="V483" t="str">
        <f>IFERROR((VLOOKUP(A483,Planilha1!A:B,2,0)),"\\192.168.0.4\Produtos\PRODUTO_PRONTA_ENTREGA\static\IMAGENS_PRODUTOS\SEM IMAGEM.jpg")</f>
        <v>\\192.168.0.4\Produtos\PRODUTO_PRONTA_ENTREGA\static\IMAGENS_PRODUTOS\CADEIRA GAVEA CB_210386.jpg</v>
      </c>
    </row>
    <row r="484" spans="1:22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27"/>
        <v/>
      </c>
      <c r="L484" s="7" t="str">
        <f>IF(VLOOKUP(A484,'[1]LISTA ETIQUETAS'!O:AB,14,0)="","",(VLOOKUP(A484,'[1]LISTA ETIQUETAS'!O:AB,14,0)))</f>
        <v/>
      </c>
      <c r="M484" s="8"/>
      <c r="N484" s="9">
        <f t="shared" si="28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29"/>
        <v>4</v>
      </c>
      <c r="U484" s="10" t="str">
        <f>IFERROR((VLOOKUP(A484,Planilha1!A:B,2,0)),"\\192.168.0.4\Produtos\PRODUTO_PRONTA_ENTREGA\static\IMAGENS_PRODUTOS\SEM IMAGEM.jpg")</f>
        <v>\\192.168.0.4\Produtos\PRODUTO_PRONTA_ENTREGA\static\IMAGENS_PRODUTOS\CADEIRA FLORA_210373.jpg</v>
      </c>
      <c r="V484" t="str">
        <f>IFERROR((VLOOKUP(A484,Planilha1!A:B,2,0)),"\\192.168.0.4\Produtos\PRODUTO_PRONTA_ENTREGA\static\IMAGENS_PRODUTOS\SEM IMAGEM.jpg")</f>
        <v>\\192.168.0.4\Produtos\PRODUTO_PRONTA_ENTREGA\static\IMAGENS_PRODUTOS\CADEIRA FLORA_210373.jpg</v>
      </c>
    </row>
    <row r="485" spans="1:22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27"/>
        <v/>
      </c>
      <c r="L485" s="7" t="str">
        <f>IF(VLOOKUP(A485,'[1]LISTA ETIQUETAS'!O:AB,14,0)="","",(VLOOKUP(A485,'[1]LISTA ETIQUETAS'!O:AB,14,0)))</f>
        <v/>
      </c>
      <c r="M485" s="8"/>
      <c r="N485" s="9">
        <f t="shared" si="28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29"/>
        <v>1</v>
      </c>
      <c r="U485" s="10" t="str">
        <f>IFERROR((VLOOKUP(A485,Planilha1!A:B,2,0)),"\\192.168.0.4\Produtos\PRODUTO_PRONTA_ENTREGA\static\IMAGENS_PRODUTOS\SEM IMAGEM.jpg")</f>
        <v>\\192.168.0.4\Produtos\PRODUTO_PRONTA_ENTREGA\static\IMAGENS_PRODUTOS\CADEIRA DORA_224211.jpg</v>
      </c>
      <c r="V485" t="str">
        <f>IFERROR((VLOOKUP(A485,Planilha1!A:B,2,0)),"\\192.168.0.4\Produtos\PRODUTO_PRONTA_ENTREGA\static\IMAGENS_PRODUTOS\SEM IMAGEM.jpg")</f>
        <v>\\192.168.0.4\Produtos\PRODUTO_PRONTA_ENTREGA\static\IMAGENS_PRODUTOS\CADEIRA DORA_224211.jpg</v>
      </c>
    </row>
    <row r="486" spans="1:22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27"/>
        <v/>
      </c>
      <c r="L486" s="7" t="str">
        <f>IF(VLOOKUP(A486,'[1]LISTA ETIQUETAS'!O:AB,14,0)="","",(VLOOKUP(A486,'[1]LISTA ETIQUETAS'!O:AB,14,0)))</f>
        <v/>
      </c>
      <c r="M486" s="8"/>
      <c r="N486" s="9">
        <f t="shared" si="28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29"/>
        <v>2</v>
      </c>
      <c r="U486" s="10" t="str">
        <f>IFERROR((VLOOKUP(A486,Planilha1!A:B,2,0)),"\\192.168.0.4\Produtos\PRODUTO_PRONTA_ENTREGA\static\IMAGENS_PRODUTOS\SEM IMAGEM.jpg")</f>
        <v>\\192.168.0.4\Produtos\PRODUTO_PRONTA_ENTREGA\static\IMAGENS_PRODUTOS\CADEIRA FLORA CB_231017.jpg</v>
      </c>
      <c r="V486" t="str">
        <f>IFERROR((VLOOKUP(A486,Planilha1!A:B,2,0)),"\\192.168.0.4\Produtos\PRODUTO_PRONTA_ENTREGA\static\IMAGENS_PRODUTOS\SEM IMAGEM.jpg")</f>
        <v>\\192.168.0.4\Produtos\PRODUTO_PRONTA_ENTREGA\static\IMAGENS_PRODUTOS\CADEIRA FLORA CB_231017.jpg</v>
      </c>
    </row>
    <row r="487" spans="1:22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27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28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29"/>
        <v>1</v>
      </c>
      <c r="U487" s="10" t="str">
        <f>IFERROR((VLOOKUP(A487,Planilha1!A:B,2,0)),"\\192.168.0.4\Produtos\PRODUTO_PRONTA_ENTREGA\static\IMAGENS_PRODUTOS\SEM IMAGEM.jpg")</f>
        <v>\\192.168.0.4\Produtos\PRODUTO_PRONTA_ENTREGA\static\IMAGENS_PRODUTOS\CADEIRA EVO CB_226719.jpg</v>
      </c>
      <c r="V487" t="str">
        <f>IFERROR((VLOOKUP(A487,Planilha1!A:B,2,0)),"\\192.168.0.4\Produtos\PRODUTO_PRONTA_ENTREGA\static\IMAGENS_PRODUTOS\SEM IMAGEM.jpg")</f>
        <v>\\192.168.0.4\Produtos\PRODUTO_PRONTA_ENTREGA\static\IMAGENS_PRODUTOS\CADEIRA EVO CB_226719.jpg</v>
      </c>
    </row>
    <row r="488" spans="1:22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27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28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29"/>
        <v>2</v>
      </c>
      <c r="U488" s="10" t="str">
        <f>IFERROR((VLOOKUP(A488,Planilha1!A:B,2,0)),"\\192.168.0.4\Produtos\PRODUTO_PRONTA_ENTREGA\static\IMAGENS_PRODUTOS\SEM IMAGEM.jpg")</f>
        <v>\\192.168.0.4\Produtos\PRODUTO_PRONTA_ENTREGA\static\IMAGENS_PRODUTOS\CADEIRA DIOR_223318.jpg</v>
      </c>
      <c r="V488" t="str">
        <f>IFERROR((VLOOKUP(A488,Planilha1!A:B,2,0)),"\\192.168.0.4\Produtos\PRODUTO_PRONTA_ENTREGA\static\IMAGENS_PRODUTOS\SEM IMAGEM.jpg")</f>
        <v>\\192.168.0.4\Produtos\PRODUTO_PRONTA_ENTREGA\static\IMAGENS_PRODUTOS\CADEIRA DIOR_223318.jpg</v>
      </c>
    </row>
    <row r="489" spans="1:22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27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28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29"/>
        <v>4</v>
      </c>
      <c r="U489" s="10" t="str">
        <f>IFERROR((VLOOKUP(A489,Planilha1!A:B,2,0)),"\\192.168.0.4\Produtos\PRODUTO_PRONTA_ENTREGA\static\IMAGENS_PRODUTOS\SEM IMAGEM.jpg")</f>
        <v>\\192.168.0.4\Produtos\PRODUTO_PRONTA_ENTREGA\static\IMAGENS_PRODUTOS\CADEIRA GAVEA_224131.jpg</v>
      </c>
      <c r="V489" t="str">
        <f>IFERROR((VLOOKUP(A489,Planilha1!A:B,2,0)),"\\192.168.0.4\Produtos\PRODUTO_PRONTA_ENTREGA\static\IMAGENS_PRODUTOS\SEM IMAGEM.jpg")</f>
        <v>\\192.168.0.4\Produtos\PRODUTO_PRONTA_ENTREGA\static\IMAGENS_PRODUTOS\CADEIRA GAVEA_224131.jpg</v>
      </c>
    </row>
    <row r="490" spans="1:22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27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28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29"/>
        <v>2</v>
      </c>
      <c r="U490" s="10" t="str">
        <f>IFERROR((VLOOKUP(A490,Planilha1!A:B,2,0)),"\\192.168.0.4\Produtos\PRODUTO_PRONTA_ENTREGA\static\IMAGENS_PRODUTOS\SEM IMAGEM.jpg")</f>
        <v>\\192.168.0.4\Produtos\PRODUTO_PRONTA_ENTREGA\static\IMAGENS_PRODUTOS\CADEIRA WING MISTA _221148.jpg</v>
      </c>
      <c r="V490" t="str">
        <f>IFERROR((VLOOKUP(A490,Planilha1!A:B,2,0)),"\\192.168.0.4\Produtos\PRODUTO_PRONTA_ENTREGA\static\IMAGENS_PRODUTOS\SEM IMAGEM.jpg")</f>
        <v>\\192.168.0.4\Produtos\PRODUTO_PRONTA_ENTREGA\static\IMAGENS_PRODUTOS\CADEIRA WING MISTA _221148.jpg</v>
      </c>
    </row>
    <row r="491" spans="1:22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27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28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29"/>
        <v>4</v>
      </c>
      <c r="U491" s="10" t="str">
        <f>IFERROR((VLOOKUP(A491,Planilha1!A:B,2,0)),"\\192.168.0.4\Produtos\PRODUTO_PRONTA_ENTREGA\static\IMAGENS_PRODUTOS\SEM IMAGEM.jpg")</f>
        <v>\\192.168.0.4\Produtos\PRODUTO_PRONTA_ENTREGA\static\IMAGENS_PRODUTOS\CADEIRA JOY_221136.jpg</v>
      </c>
      <c r="V491" t="str">
        <f>IFERROR((VLOOKUP(A491,Planilha1!A:B,2,0)),"\\192.168.0.4\Produtos\PRODUTO_PRONTA_ENTREGA\static\IMAGENS_PRODUTOS\SEM IMAGEM.jpg")</f>
        <v>\\192.168.0.4\Produtos\PRODUTO_PRONTA_ENTREGA\static\IMAGENS_PRODUTOS\CADEIRA JOY_221136.jpg</v>
      </c>
    </row>
    <row r="492" spans="1:22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27"/>
        <v/>
      </c>
      <c r="L492" s="7" t="str">
        <f>IF(VLOOKUP(A492,'[1]LISTA ETIQUETAS'!O:AB,14,0)="","",(VLOOKUP(A492,'[1]LISTA ETIQUETAS'!O:AB,14,0)))</f>
        <v/>
      </c>
      <c r="M492" s="8"/>
      <c r="N492" s="9">
        <f t="shared" si="28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29"/>
        <v>2</v>
      </c>
      <c r="U492" s="10" t="str">
        <f>IFERROR((VLOOKUP(A492,Planilha1!A:B,2,0)),"\\192.168.0.4\Produtos\PRODUTO_PRONTA_ENTREGA\static\IMAGENS_PRODUTOS\SEM IMAGEM.jpg")</f>
        <v>\\192.168.0.4\Produtos\PRODUTO_PRONTA_ENTREGA\static\IMAGENS_PRODUTOS\CADEIRA ANNA SB_234348.jpg</v>
      </c>
      <c r="V492" t="str">
        <f>IFERROR((VLOOKUP(A492,Planilha1!A:B,2,0)),"\\192.168.0.4\Produtos\PRODUTO_PRONTA_ENTREGA\static\IMAGENS_PRODUTOS\SEM IMAGEM.jpg")</f>
        <v>\\192.168.0.4\Produtos\PRODUTO_PRONTA_ENTREGA\static\IMAGENS_PRODUTOS\CADEIRA ANNA SB_234348.jpg</v>
      </c>
    </row>
    <row r="493" spans="1:22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27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28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29"/>
        <v>1</v>
      </c>
      <c r="U493" s="10" t="str">
        <f>IFERROR((VLOOKUP(A493,Planilha1!A:B,2,0)),"\\192.168.0.4\Produtos\PRODUTO_PRONTA_ENTREGA\static\IMAGENS_PRODUTOS\SEM IMAGEM.jpg")</f>
        <v>\\192.168.0.4\Produtos\PRODUTO_PRONTA_ENTREGA\static\IMAGENS_PRODUTOS\CADEIRA ELLA_234546.jpg</v>
      </c>
      <c r="V493" t="str">
        <f>IFERROR((VLOOKUP(A493,Planilha1!A:B,2,0)),"\\192.168.0.4\Produtos\PRODUTO_PRONTA_ENTREGA\static\IMAGENS_PRODUTOS\SEM IMAGEM.jpg")</f>
        <v>\\192.168.0.4\Produtos\PRODUTO_PRONTA_ENTREGA\static\IMAGENS_PRODUTOS\CADEIRA ELLA_234546.jpg</v>
      </c>
    </row>
    <row r="494" spans="1:22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27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28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29"/>
        <v>1</v>
      </c>
      <c r="U494" s="10" t="str">
        <f>IFERROR((VLOOKUP(A494,Planilha1!A:B,2,0)),"\\192.168.0.4\Produtos\PRODUTO_PRONTA_ENTREGA\static\IMAGENS_PRODUTOS\SEM IMAGEM.jpg")</f>
        <v>\\192.168.0.4\Produtos\PRODUTO_PRONTA_ENTREGA\static\IMAGENS_PRODUTOS\SEM IMAGEM.jpg</v>
      </c>
      <c r="V494" t="str">
        <f>IFERROR((VLOOKUP(A494,Planilha1!A:B,2,0)),"\\192.168.0.4\Produtos\PRODUTO_PRONTA_ENTREGA\static\IMAGENS_PRODUTOS\SEM IMAGEM.jpg")</f>
        <v>\\192.168.0.4\Produtos\PRODUTO_PRONTA_ENTREGA\static\IMAGENS_PRODUTOS\SEM IMAGEM.jpg</v>
      </c>
    </row>
    <row r="495" spans="1:22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27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28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29"/>
        <v>2</v>
      </c>
      <c r="U495" s="10" t="str">
        <f>IFERROR((VLOOKUP(A495,Planilha1!A:B,2,0)),"\\192.168.0.4\Produtos\PRODUTO_PRONTA_ENTREGA\static\IMAGENS_PRODUTOS\SEM IMAGEM.jpg")</f>
        <v>\\192.168.0.4\Produtos\PRODUTO_PRONTA_ENTREGA\static\IMAGENS_PRODUTOS\CADEIRA LIA SB_233552.jpg</v>
      </c>
      <c r="V495" t="str">
        <f>IFERROR((VLOOKUP(A495,Planilha1!A:B,2,0)),"\\192.168.0.4\Produtos\PRODUTO_PRONTA_ENTREGA\static\IMAGENS_PRODUTOS\SEM IMAGEM.jpg")</f>
        <v>\\192.168.0.4\Produtos\PRODUTO_PRONTA_ENTREGA\static\IMAGENS_PRODUTOS\CADEIRA LIA SB_233552.jpg</v>
      </c>
    </row>
    <row r="496" spans="1:22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27"/>
        <v/>
      </c>
      <c r="L496" s="7" t="str">
        <f>IF(VLOOKUP(A496,'[1]LISTA ETIQUETAS'!O:AB,14,0)="","",(VLOOKUP(A496,'[1]LISTA ETIQUETAS'!O:AB,14,0)))</f>
        <v/>
      </c>
      <c r="M496" s="8"/>
      <c r="N496" s="9">
        <f t="shared" si="28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29"/>
        <v>2</v>
      </c>
      <c r="U496" s="10" t="str">
        <f>IFERROR((VLOOKUP(A496,Planilha1!A:B,2,0)),"\\192.168.0.4\Produtos\PRODUTO_PRONTA_ENTREGA\static\IMAGENS_PRODUTOS\SEM IMAGEM.jpg")</f>
        <v>\\192.168.0.4\Produtos\PRODUTO_PRONTA_ENTREGA\static\IMAGENS_PRODUTOS\CADEIRA ANNA_232361.jpg</v>
      </c>
      <c r="V496" t="str">
        <f>IFERROR((VLOOKUP(A496,Planilha1!A:B,2,0)),"\\192.168.0.4\Produtos\PRODUTO_PRONTA_ENTREGA\static\IMAGENS_PRODUTOS\SEM IMAGEM.jpg")</f>
        <v>\\192.168.0.4\Produtos\PRODUTO_PRONTA_ENTREGA\static\IMAGENS_PRODUTOS\CADEIRA ANNA_232361.jpg</v>
      </c>
    </row>
    <row r="497" spans="1:22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27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28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29"/>
        <v>3</v>
      </c>
      <c r="U497" s="10" t="str">
        <f>IFERROR((VLOOKUP(A497,Planilha1!A:B,2,0)),"\\192.168.0.4\Produtos\PRODUTO_PRONTA_ENTREGA\static\IMAGENS_PRODUTOS\SEM IMAGEM.jpg")</f>
        <v>\\192.168.0.4\Produtos\PRODUTO_PRONTA_ENTREGA\static\IMAGENS_PRODUTOS\CADEIRA MADRE_253216.jpg</v>
      </c>
      <c r="V497" t="str">
        <f>IFERROR((VLOOKUP(A497,Planilha1!A:B,2,0)),"\\192.168.0.4\Produtos\PRODUTO_PRONTA_ENTREGA\static\IMAGENS_PRODUTOS\SEM IMAGEM.jpg")</f>
        <v>\\192.168.0.4\Produtos\PRODUTO_PRONTA_ENTREGA\static\IMAGENS_PRODUTOS\CADEIRA MADRE_253216.jpg</v>
      </c>
    </row>
    <row r="498" spans="1:22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27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28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29"/>
        <v>1</v>
      </c>
      <c r="U498" s="10" t="str">
        <f>IFERROR((VLOOKUP(A498,Planilha1!A:B,2,0)),"\\192.168.0.4\Produtos\PRODUTO_PRONTA_ENTREGA\static\IMAGENS_PRODUTOS\SEM IMAGEM.jpg")</f>
        <v>\\192.168.0.4\Produtos\PRODUTO_PRONTA_ENTREGA\static\IMAGENS_PRODUTOS\CADEIRA COLLANA_250017.jpg</v>
      </c>
      <c r="V498" t="str">
        <f>IFERROR((VLOOKUP(A498,Planilha1!A:B,2,0)),"\\192.168.0.4\Produtos\PRODUTO_PRONTA_ENTREGA\static\IMAGENS_PRODUTOS\SEM IMAGEM.jpg")</f>
        <v>\\192.168.0.4\Produtos\PRODUTO_PRONTA_ENTREGA\static\IMAGENS_PRODUTOS\CADEIRA COLLANA_250017.jpg</v>
      </c>
    </row>
    <row r="499" spans="1:22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27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28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29"/>
        <v>1</v>
      </c>
      <c r="U499" s="10" t="str">
        <f>IFERROR((VLOOKUP(A499,Planilha1!A:B,2,0)),"\\192.168.0.4\Produtos\PRODUTO_PRONTA_ENTREGA\static\IMAGENS_PRODUTOS\SEM IMAGEM.jpg")</f>
        <v>\\192.168.0.4\Produtos\PRODUTO_PRONTA_ENTREGA\static\IMAGENS_PRODUTOS\CADEIRA EVO_238325.jpg</v>
      </c>
      <c r="V499" t="str">
        <f>IFERROR((VLOOKUP(A499,Planilha1!A:B,2,0)),"\\192.168.0.4\Produtos\PRODUTO_PRONTA_ENTREGA\static\IMAGENS_PRODUTOS\SEM IMAGEM.jpg")</f>
        <v>\\192.168.0.4\Produtos\PRODUTO_PRONTA_ENTREGA\static\IMAGENS_PRODUTOS\CADEIRA EVO_238325.jpg</v>
      </c>
    </row>
    <row r="500" spans="1:22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27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28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29"/>
        <v>2</v>
      </c>
      <c r="U500" s="10" t="str">
        <f>IFERROR((VLOOKUP(A500,Planilha1!A:B,2,0)),"\\192.168.0.4\Produtos\PRODUTO_PRONTA_ENTREGA\static\IMAGENS_PRODUTOS\SEM IMAGEM.jpg")</f>
        <v>\\192.168.0.4\Produtos\PRODUTO_PRONTA_ENTREGA\static\IMAGENS_PRODUTOS\CADEIRA GOLF_234069.jpg</v>
      </c>
      <c r="V500" t="str">
        <f>IFERROR((VLOOKUP(A500,Planilha1!A:B,2,0)),"\\192.168.0.4\Produtos\PRODUTO_PRONTA_ENTREGA\static\IMAGENS_PRODUTOS\SEM IMAGEM.jpg")</f>
        <v>\\192.168.0.4\Produtos\PRODUTO_PRONTA_ENTREGA\static\IMAGENS_PRODUTOS\CADEIRA GOLF_234069.jpg</v>
      </c>
    </row>
    <row r="501" spans="1:22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27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28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29"/>
        <v>2</v>
      </c>
      <c r="U501" s="10" t="str">
        <f>IFERROR((VLOOKUP(A501,Planilha1!A:B,2,0)),"\\192.168.0.4\Produtos\PRODUTO_PRONTA_ENTREGA\static\IMAGENS_PRODUTOS\SEM IMAGEM.jpg")</f>
        <v>\\192.168.0.4\Produtos\PRODUTO_PRONTA_ENTREGA\static\IMAGENS_PRODUTOS\SEM IMAGEM.jpg</v>
      </c>
      <c r="V501" t="str">
        <f>IFERROR((VLOOKUP(A501,Planilha1!A:B,2,0)),"\\192.168.0.4\Produtos\PRODUTO_PRONTA_ENTREGA\static\IMAGENS_PRODUTOS\SEM IMAGEM.jpg")</f>
        <v>\\192.168.0.4\Produtos\PRODUTO_PRONTA_ENTREGA\static\IMAGENS_PRODUTOS\SEM IMAGEM.jpg</v>
      </c>
    </row>
    <row r="502" spans="1:22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27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28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29"/>
        <v>3</v>
      </c>
      <c r="U502" s="10" t="str">
        <f>IFERROR((VLOOKUP(A502,Planilha1!A:B,2,0)),"\\192.168.0.4\Produtos\PRODUTO_PRONTA_ENTREGA\static\IMAGENS_PRODUTOS\SEM IMAGEM.jpg")</f>
        <v>\\192.168.0.4\Produtos\PRODUTO_PRONTA_ENTREGA\static\IMAGENS_PRODUTOS\CADEIRA DALLAS_151488.jpg</v>
      </c>
      <c r="V502" t="str">
        <f>IFERROR((VLOOKUP(A502,Planilha1!A:B,2,0)),"\\192.168.0.4\Produtos\PRODUTO_PRONTA_ENTREGA\static\IMAGENS_PRODUTOS\SEM IMAGEM.jpg")</f>
        <v>\\192.168.0.4\Produtos\PRODUTO_PRONTA_ENTREGA\static\IMAGENS_PRODUTOS\CADEIRA DALLAS_151488.jpg</v>
      </c>
    </row>
    <row r="503" spans="1:22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27"/>
        <v/>
      </c>
      <c r="L503" s="7" t="str">
        <f>IF(VLOOKUP(A503,'[1]LISTA ETIQUETAS'!O:AB,14,0)="","",(VLOOKUP(A503,'[1]LISTA ETIQUETAS'!O:AB,14,0)))</f>
        <v/>
      </c>
      <c r="M503" s="8"/>
      <c r="N503" s="9">
        <f t="shared" si="28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29"/>
        <v>1</v>
      </c>
      <c r="U503" s="10" t="str">
        <f>IFERROR((VLOOKUP(A503,Planilha1!A:B,2,0)),"\\192.168.0.4\Produtos\PRODUTO_PRONTA_ENTREGA\static\IMAGENS_PRODUTOS\SEM IMAGEM.jpg")</f>
        <v>\\192.168.0.4\Produtos\PRODUTO_PRONTA_ENTREGA\static\IMAGENS_PRODUTOS\CADEIRA FLORA CB_144647.jpg</v>
      </c>
      <c r="V503" t="str">
        <f>IFERROR((VLOOKUP(A503,Planilha1!A:B,2,0)),"\\192.168.0.4\Produtos\PRODUTO_PRONTA_ENTREGA\static\IMAGENS_PRODUTOS\SEM IMAGEM.jpg")</f>
        <v>\\192.168.0.4\Produtos\PRODUTO_PRONTA_ENTREGA\static\IMAGENS_PRODUTOS\CADEIRA FLORA CB_144647.jpg</v>
      </c>
    </row>
    <row r="504" spans="1:22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27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28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29"/>
        <v>2</v>
      </c>
      <c r="U504" s="10" t="str">
        <f>IFERROR((VLOOKUP(A504,Planilha1!A:B,2,0)),"\\192.168.0.4\Produtos\PRODUTO_PRONTA_ENTREGA\static\IMAGENS_PRODUTOS\SEM IMAGEM.jpg")</f>
        <v>\\192.168.0.4\Produtos\PRODUTO_PRONTA_ENTREGA\static\IMAGENS_PRODUTOS\CADEIRA SMALL_231876.jpg</v>
      </c>
      <c r="V504" t="str">
        <f>IFERROR((VLOOKUP(A504,Planilha1!A:B,2,0)),"\\192.168.0.4\Produtos\PRODUTO_PRONTA_ENTREGA\static\IMAGENS_PRODUTOS\SEM IMAGEM.jpg")</f>
        <v>\\192.168.0.4\Produtos\PRODUTO_PRONTA_ENTREGA\static\IMAGENS_PRODUTOS\CADEIRA SMALL_231876.jpg</v>
      </c>
    </row>
    <row r="505" spans="1:22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27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28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29"/>
        <v>2</v>
      </c>
      <c r="U505" s="10" t="str">
        <f>IFERROR((VLOOKUP(A505,Planilha1!A:B,2,0)),"\\192.168.0.4\Produtos\PRODUTO_PRONTA_ENTREGA\static\IMAGENS_PRODUTOS\SEM IMAGEM.jpg")</f>
        <v>\\192.168.0.4\Produtos\PRODUTO_PRONTA_ENTREGA\static\IMAGENS_PRODUTOS\CADEIRA CHICAGO_232126.jpg</v>
      </c>
      <c r="V505" t="str">
        <f>IFERROR((VLOOKUP(A505,Planilha1!A:B,2,0)),"\\192.168.0.4\Produtos\PRODUTO_PRONTA_ENTREGA\static\IMAGENS_PRODUTOS\SEM IMAGEM.jpg")</f>
        <v>\\192.168.0.4\Produtos\PRODUTO_PRONTA_ENTREGA\static\IMAGENS_PRODUTOS\CADEIRA CHICAGO_232126.jpg</v>
      </c>
    </row>
    <row r="506" spans="1:22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27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28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29"/>
        <v>2</v>
      </c>
      <c r="U506" s="10" t="str">
        <f>IFERROR((VLOOKUP(A506,Planilha1!A:B,2,0)),"\\192.168.0.4\Produtos\PRODUTO_PRONTA_ENTREGA\static\IMAGENS_PRODUTOS\SEM IMAGEM.jpg")</f>
        <v>\\192.168.0.4\Produtos\PRODUTO_PRONTA_ENTREGA\static\IMAGENS_PRODUTOS\CADEIRA ZAZ_204756.jpg</v>
      </c>
      <c r="V506" t="str">
        <f>IFERROR((VLOOKUP(A506,Planilha1!A:B,2,0)),"\\192.168.0.4\Produtos\PRODUTO_PRONTA_ENTREGA\static\IMAGENS_PRODUTOS\SEM IMAGEM.jpg")</f>
        <v>\\192.168.0.4\Produtos\PRODUTO_PRONTA_ENTREGA\static\IMAGENS_PRODUTOS\CADEIRA ZAZ_204756.jpg</v>
      </c>
    </row>
    <row r="507" spans="1:22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27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28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29"/>
        <v>2</v>
      </c>
      <c r="U507" s="10" t="str">
        <f>IFERROR((VLOOKUP(A507,Planilha1!A:B,2,0)),"\\192.168.0.4\Produtos\PRODUTO_PRONTA_ENTREGA\static\IMAGENS_PRODUTOS\SEM IMAGEM.jpg")</f>
        <v>\\192.168.0.4\Produtos\PRODUTO_PRONTA_ENTREGA\static\IMAGENS_PRODUTOS\SEM IMAGEM.jpg</v>
      </c>
      <c r="V507" t="str">
        <f>IFERROR((VLOOKUP(A507,Planilha1!A:B,2,0)),"\\192.168.0.4\Produtos\PRODUTO_PRONTA_ENTREGA\static\IMAGENS_PRODUTOS\SEM IMAGEM.jpg")</f>
        <v>\\192.168.0.4\Produtos\PRODUTO_PRONTA_ENTREGA\static\IMAGENS_PRODUTOS\SEM IMAGEM.jpg</v>
      </c>
    </row>
    <row r="508" spans="1:22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27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28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29"/>
        <v>2</v>
      </c>
      <c r="U508" s="10" t="str">
        <f>IFERROR((VLOOKUP(A508,Planilha1!A:B,2,0)),"\\192.168.0.4\Produtos\PRODUTO_PRONTA_ENTREGA\static\IMAGENS_PRODUTOS\SEM IMAGEM.jpg")</f>
        <v>\\192.168.0.4\Produtos\PRODUTO_PRONTA_ENTREGA\static\IMAGENS_PRODUTOS\CADEIRA MAIA_217306.jpg</v>
      </c>
      <c r="V508" t="str">
        <f>IFERROR((VLOOKUP(A508,Planilha1!A:B,2,0)),"\\192.168.0.4\Produtos\PRODUTO_PRONTA_ENTREGA\static\IMAGENS_PRODUTOS\SEM IMAGEM.jpg")</f>
        <v>\\192.168.0.4\Produtos\PRODUTO_PRONTA_ENTREGA\static\IMAGENS_PRODUTOS\CADEIRA MAIA_217306.jpg</v>
      </c>
    </row>
    <row r="509" spans="1:22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27"/>
        <v/>
      </c>
      <c r="L509" s="7" t="str">
        <f>IF(VLOOKUP(A509,'[1]LISTA ETIQUETAS'!O:AB,14,0)="","",(VLOOKUP(A509,'[1]LISTA ETIQUETAS'!O:AB,14,0)))</f>
        <v/>
      </c>
      <c r="M509" s="8"/>
      <c r="N509" s="9">
        <f t="shared" si="28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29"/>
        <v>1</v>
      </c>
      <c r="U509" s="10" t="str">
        <f>IFERROR((VLOOKUP(A509,Planilha1!A:B,2,0)),"\\192.168.0.4\Produtos\PRODUTO_PRONTA_ENTREGA\static\IMAGENS_PRODUTOS\SEM IMAGEM.jpg")</f>
        <v>\\192.168.0.4\Produtos\PRODUTO_PRONTA_ENTREGA\static\IMAGENS_PRODUTOS\CADEIRA MILLA 560 CB_263760.jpg</v>
      </c>
      <c r="V509" t="str">
        <f>IFERROR((VLOOKUP(A509,Planilha1!A:B,2,0)),"\\192.168.0.4\Produtos\PRODUTO_PRONTA_ENTREGA\static\IMAGENS_PRODUTOS\SEM IMAGEM.jpg")</f>
        <v>\\192.168.0.4\Produtos\PRODUTO_PRONTA_ENTREGA\static\IMAGENS_PRODUTOS\CADEIRA MILLA 560 CB_263760.jpg</v>
      </c>
    </row>
    <row r="510" spans="1:22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27"/>
        <v/>
      </c>
      <c r="L510" s="7" t="str">
        <f>IF(VLOOKUP(A510,'[1]LISTA ETIQUETAS'!O:AB,14,0)="","",(VLOOKUP(A510,'[1]LISTA ETIQUETAS'!O:AB,14,0)))</f>
        <v/>
      </c>
      <c r="M510" s="8"/>
      <c r="N510" s="9">
        <f t="shared" si="28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29"/>
        <v>1</v>
      </c>
      <c r="U510" s="10" t="str">
        <f>IFERROR((VLOOKUP(A510,Planilha1!A:B,2,0)),"\\192.168.0.4\Produtos\PRODUTO_PRONTA_ENTREGA\static\IMAGENS_PRODUTOS\SEM IMAGEM.jpg")</f>
        <v>\\192.168.0.4\Produtos\PRODUTO_PRONTA_ENTREGA\static\IMAGENS_PRODUTOS\CADEIRA MILLA 540 SB_263759.jpg</v>
      </c>
      <c r="V510" t="str">
        <f>IFERROR((VLOOKUP(A510,Planilha1!A:B,2,0)),"\\192.168.0.4\Produtos\PRODUTO_PRONTA_ENTREGA\static\IMAGENS_PRODUTOS\SEM IMAGEM.jpg")</f>
        <v>\\192.168.0.4\Produtos\PRODUTO_PRONTA_ENTREGA\static\IMAGENS_PRODUTOS\CADEIRA MILLA 540 SB_263759.jpg</v>
      </c>
    </row>
    <row r="511" spans="1:22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27"/>
        <v/>
      </c>
      <c r="L511" s="7" t="str">
        <f>IF(VLOOKUP(A511,'[1]LISTA ETIQUETAS'!O:AB,14,0)="","",(VLOOKUP(A511,'[1]LISTA ETIQUETAS'!O:AB,14,0)))</f>
        <v/>
      </c>
      <c r="M511" s="8"/>
      <c r="N511" s="9">
        <f t="shared" si="28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29"/>
        <v>1</v>
      </c>
      <c r="U511" s="10" t="str">
        <f>IFERROR((VLOOKUP(A511,Planilha1!A:B,2,0)),"\\192.168.0.4\Produtos\PRODUTO_PRONTA_ENTREGA\static\IMAGENS_PRODUTOS\SEM IMAGEM.jpg")</f>
        <v>\\192.168.0.4\Produtos\PRODUTO_PRONTA_ENTREGA\static\IMAGENS_PRODUTOS\CADEIRA MILLA CB_263756.jpg</v>
      </c>
      <c r="V511" t="str">
        <f>IFERROR((VLOOKUP(A511,Planilha1!A:B,2,0)),"\\192.168.0.4\Produtos\PRODUTO_PRONTA_ENTREGA\static\IMAGENS_PRODUTOS\SEM IMAGEM.jpg")</f>
        <v>\\192.168.0.4\Produtos\PRODUTO_PRONTA_ENTREGA\static\IMAGENS_PRODUTOS\CADEIRA MILLA CB_263756.jpg</v>
      </c>
    </row>
    <row r="512" spans="1:22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27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28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29"/>
        <v>3</v>
      </c>
      <c r="U512" s="10" t="str">
        <f>IFERROR((VLOOKUP(A512,Planilha1!A:B,2,0)),"\\192.168.0.4\Produtos\PRODUTO_PRONTA_ENTREGA\static\IMAGENS_PRODUTOS\SEM IMAGEM.jpg")</f>
        <v>\\192.168.0.4\Produtos\PRODUTO_PRONTA_ENTREGA\static\IMAGENS_PRODUTOS\CADEIRA MUNICK_266776.jpg</v>
      </c>
      <c r="V512" t="str">
        <f>IFERROR((VLOOKUP(A512,Planilha1!A:B,2,0)),"\\192.168.0.4\Produtos\PRODUTO_PRONTA_ENTREGA\static\IMAGENS_PRODUTOS\SEM IMAGEM.jpg")</f>
        <v>\\192.168.0.4\Produtos\PRODUTO_PRONTA_ENTREGA\static\IMAGENS_PRODUTOS\CADEIRA MUNICK_266776.jpg</v>
      </c>
    </row>
    <row r="513" spans="1:22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27"/>
        <v/>
      </c>
      <c r="L513" s="7" t="str">
        <f>IF(VLOOKUP(A513,'[1]LISTA ETIQUETAS'!O:AB,14,0)="","",(VLOOKUP(A513,'[1]LISTA ETIQUETAS'!O:AB,14,0)))</f>
        <v/>
      </c>
      <c r="M513" s="8"/>
      <c r="N513" s="9">
        <f t="shared" si="28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29"/>
        <v>1</v>
      </c>
      <c r="U513" s="10" t="str">
        <f>IFERROR((VLOOKUP(A513,Planilha1!A:B,2,0)),"\\192.168.0.4\Produtos\PRODUTO_PRONTA_ENTREGA\static\IMAGENS_PRODUTOS\SEM IMAGEM.jpg")</f>
        <v>\\192.168.0.4\Produtos\PRODUTO_PRONTA_ENTREGA\static\IMAGENS_PRODUTOS\CADEIRA ANNA_261230.jpg</v>
      </c>
      <c r="V513" t="str">
        <f>IFERROR((VLOOKUP(A513,Planilha1!A:B,2,0)),"\\192.168.0.4\Produtos\PRODUTO_PRONTA_ENTREGA\static\IMAGENS_PRODUTOS\SEM IMAGEM.jpg")</f>
        <v>\\192.168.0.4\Produtos\PRODUTO_PRONTA_ENTREGA\static\IMAGENS_PRODUTOS\CADEIRA ANNA_261230.jpg</v>
      </c>
    </row>
    <row r="514" spans="1:22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27"/>
        <v/>
      </c>
      <c r="L514" s="7" t="str">
        <f>IF(VLOOKUP(A514,'[1]LISTA ETIQUETAS'!O:AB,14,0)="","",(VLOOKUP(A514,'[1]LISTA ETIQUETAS'!O:AB,14,0)))</f>
        <v/>
      </c>
      <c r="M514" s="8"/>
      <c r="N514" s="9">
        <f t="shared" si="28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29"/>
        <v>1</v>
      </c>
      <c r="U514" s="10" t="str">
        <f>IFERROR((VLOOKUP(A514,Planilha1!A:B,2,0)),"\\192.168.0.4\Produtos\PRODUTO_PRONTA_ENTREGA\static\IMAGENS_PRODUTOS\SEM IMAGEM.jpg")</f>
        <v>\\192.168.0.4\Produtos\PRODUTO_PRONTA_ENTREGA\static\IMAGENS_PRODUTOS\CADEIRA ANNA_261229.jpg</v>
      </c>
      <c r="V514" t="str">
        <f>IFERROR((VLOOKUP(A514,Planilha1!A:B,2,0)),"\\192.168.0.4\Produtos\PRODUTO_PRONTA_ENTREGA\static\IMAGENS_PRODUTOS\SEM IMAGEM.jpg")</f>
        <v>\\192.168.0.4\Produtos\PRODUTO_PRONTA_ENTREGA\static\IMAGENS_PRODUTOS\CADEIRA ANNA_261229.jpg</v>
      </c>
    </row>
    <row r="515" spans="1:22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30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28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29"/>
        <v>1</v>
      </c>
      <c r="U515" s="10" t="str">
        <f>IFERROR((VLOOKUP(A515,Planilha1!A:B,2,0)),"\\192.168.0.4\Produtos\PRODUTO_PRONTA_ENTREGA\static\IMAGENS_PRODUTOS\SEM IMAGEM.jpg")</f>
        <v>\\192.168.0.4\Produtos\PRODUTO_PRONTA_ENTREGA\static\IMAGENS_PRODUTOS\CADEIRA ANNA _261228.jpg</v>
      </c>
      <c r="V515" t="str">
        <f>IFERROR((VLOOKUP(A515,Planilha1!A:B,2,0)),"\\192.168.0.4\Produtos\PRODUTO_PRONTA_ENTREGA\static\IMAGENS_PRODUTOS\SEM IMAGEM.jpg")</f>
        <v>\\192.168.0.4\Produtos\PRODUTO_PRONTA_ENTREGA\static\IMAGENS_PRODUTOS\CADEIRA ANNA _261228.jpg</v>
      </c>
    </row>
    <row r="516" spans="1:22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30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31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32">SUM(O516:S516)</f>
        <v>1</v>
      </c>
      <c r="U516" s="10" t="str">
        <f>IFERROR((VLOOKUP(A516,Planilha1!A:B,2,0)),"\\192.168.0.4\Produtos\PRODUTO_PRONTA_ENTREGA\static\IMAGENS_PRODUTOS\SEM IMAGEM.jpg")</f>
        <v>\\192.168.0.4\Produtos\PRODUTO_PRONTA_ENTREGA\static\IMAGENS_PRODUTOS\CADEIRA ANNA_261227.jpg</v>
      </c>
      <c r="V516" t="str">
        <f>IFERROR((VLOOKUP(A516,Planilha1!A:B,2,0)),"\\192.168.0.4\Produtos\PRODUTO_PRONTA_ENTREGA\static\IMAGENS_PRODUTOS\SEM IMAGEM.jpg")</f>
        <v>\\192.168.0.4\Produtos\PRODUTO_PRONTA_ENTREGA\static\IMAGENS_PRODUTOS\CADEIRA ANNA_261227.jpg</v>
      </c>
    </row>
    <row r="517" spans="1:22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30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31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32"/>
        <v>2</v>
      </c>
      <c r="U517" s="10" t="str">
        <f>IFERROR((VLOOKUP(A517,Planilha1!A:B,2,0)),"\\192.168.0.4\Produtos\PRODUTO_PRONTA_ENTREGA\static\IMAGENS_PRODUTOS\SEM IMAGEM.jpg")</f>
        <v>\\192.168.0.4\Produtos\PRODUTO_PRONTA_ENTREGA\static\IMAGENS_PRODUTOS\CADEIRA MADRE_325591.jpg</v>
      </c>
      <c r="V517" t="str">
        <f>IFERROR((VLOOKUP(A517,Planilha1!A:B,2,0)),"\\192.168.0.4\Produtos\PRODUTO_PRONTA_ENTREGA\static\IMAGENS_PRODUTOS\SEM IMAGEM.jpg")</f>
        <v>\\192.168.0.4\Produtos\PRODUTO_PRONTA_ENTREGA\static\IMAGENS_PRODUTOS\CADEIRA MADRE_325591.jpg</v>
      </c>
    </row>
    <row r="518" spans="1:22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30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31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0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2</v>
      </c>
      <c r="T518" s="9">
        <f t="shared" si="32"/>
        <v>2</v>
      </c>
      <c r="U518" s="10" t="str">
        <f>IFERROR((VLOOKUP(A518,Planilha1!A:B,2,0)),"\\192.168.0.4\Produtos\PRODUTO_PRONTA_ENTREGA\static\IMAGENS_PRODUTOS\SEM IMAGEM.jpg")</f>
        <v>\\192.168.0.4\Produtos\PRODUTO_PRONTA_ENTREGA\static\IMAGENS_PRODUTOS\CADEIRA TWIN_270465.jpg</v>
      </c>
      <c r="V518" t="str">
        <f>IFERROR((VLOOKUP(A518,Planilha1!A:B,2,0)),"\\192.168.0.4\Produtos\PRODUTO_PRONTA_ENTREGA\static\IMAGENS_PRODUTOS\SEM IMAGEM.jpg")</f>
        <v>\\192.168.0.4\Produtos\PRODUTO_PRONTA_ENTREGA\static\IMAGENS_PRODUTOS\CADEIRA TWIN_270465.jpg</v>
      </c>
    </row>
    <row r="519" spans="1:22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30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31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32"/>
        <v>1</v>
      </c>
      <c r="U519" s="10" t="str">
        <f>IFERROR((VLOOKUP(A519,Planilha1!A:B,2,0)),"\\192.168.0.4\Produtos\PRODUTO_PRONTA_ENTREGA\static\IMAGENS_PRODUTOS\SEM IMAGEM.jpg")</f>
        <v>\\192.168.0.4\Produtos\PRODUTO_PRONTA_ENTREGA\static\IMAGENS_PRODUTOS\CADEIRA TWIN_270463.jpg</v>
      </c>
      <c r="V519" t="str">
        <f>IFERROR((VLOOKUP(A519,Planilha1!A:B,2,0)),"\\192.168.0.4\Produtos\PRODUTO_PRONTA_ENTREGA\static\IMAGENS_PRODUTOS\SEM IMAGEM.jpg")</f>
        <v>\\192.168.0.4\Produtos\PRODUTO_PRONTA_ENTREGA\static\IMAGENS_PRODUTOS\CADEIRA TWIN_270463.jpg</v>
      </c>
    </row>
    <row r="520" spans="1:22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30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31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32"/>
        <v>2</v>
      </c>
      <c r="U520" s="10" t="str">
        <f>IFERROR((VLOOKUP(A520,Planilha1!A:B,2,0)),"\\192.168.0.4\Produtos\PRODUTO_PRONTA_ENTREGA\static\IMAGENS_PRODUTOS\SEM IMAGEM.jpg")</f>
        <v>\\192.168.0.4\Produtos\PRODUTO_PRONTA_ENTREGA\static\IMAGENS_PRODUTOS\CADEIRA DIX_260259.jpg</v>
      </c>
      <c r="V520" t="str">
        <f>IFERROR((VLOOKUP(A520,Planilha1!A:B,2,0)),"\\192.168.0.4\Produtos\PRODUTO_PRONTA_ENTREGA\static\IMAGENS_PRODUTOS\SEM IMAGEM.jpg")</f>
        <v>\\192.168.0.4\Produtos\PRODUTO_PRONTA_ENTREGA\static\IMAGENS_PRODUTOS\CADEIRA DIX_260259.jpg</v>
      </c>
    </row>
    <row r="521" spans="1:22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30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31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32"/>
        <v>4</v>
      </c>
      <c r="U521" s="10" t="str">
        <f>IFERROR((VLOOKUP(A521,Planilha1!A:B,2,0)),"\\192.168.0.4\Produtos\PRODUTO_PRONTA_ENTREGA\static\IMAGENS_PRODUTOS\SEM IMAGEM.jpg")</f>
        <v>\\192.168.0.4\Produtos\PRODUTO_PRONTA_ENTREGA\static\IMAGENS_PRODUTOS\CADEIRA EVO_300479.jpg</v>
      </c>
      <c r="V521" t="str">
        <f>IFERROR((VLOOKUP(A521,Planilha1!A:B,2,0)),"\\192.168.0.4\Produtos\PRODUTO_PRONTA_ENTREGA\static\IMAGENS_PRODUTOS\SEM IMAGEM.jpg")</f>
        <v>\\192.168.0.4\Produtos\PRODUTO_PRONTA_ENTREGA\static\IMAGENS_PRODUTOS\CADEIRA EVO_300479.jpg</v>
      </c>
    </row>
    <row r="522" spans="1:22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30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31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32"/>
        <v>3</v>
      </c>
      <c r="U522" s="10" t="str">
        <f>IFERROR((VLOOKUP(A522,Planilha1!A:B,2,0)),"\\192.168.0.4\Produtos\PRODUTO_PRONTA_ENTREGA\static\IMAGENS_PRODUTOS\SEM IMAGEM.jpg")</f>
        <v>\\192.168.0.4\Produtos\PRODUTO_PRONTA_ENTREGA\static\IMAGENS_PRODUTOS\CADEIRA MADRE_274363.jpg</v>
      </c>
      <c r="V522" t="str">
        <f>IFERROR((VLOOKUP(A522,Planilha1!A:B,2,0)),"\\192.168.0.4\Produtos\PRODUTO_PRONTA_ENTREGA\static\IMAGENS_PRODUTOS\SEM IMAGEM.jpg")</f>
        <v>\\192.168.0.4\Produtos\PRODUTO_PRONTA_ENTREGA\static\IMAGENS_PRODUTOS\CADEIRA MADRE_274363.jpg</v>
      </c>
    </row>
    <row r="523" spans="1:22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30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31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32"/>
        <v>3</v>
      </c>
      <c r="U523" s="10" t="str">
        <f>IFERROR((VLOOKUP(A523,Planilha1!A:B,2,0)),"\\192.168.0.4\Produtos\PRODUTO_PRONTA_ENTREGA\static\IMAGENS_PRODUTOS\SEM IMAGEM.jpg")</f>
        <v>\\192.168.0.4\Produtos\PRODUTO_PRONTA_ENTREGA\static\IMAGENS_PRODUTOS\CADEIRA GOLF_274154.jpg</v>
      </c>
      <c r="V523" t="str">
        <f>IFERROR((VLOOKUP(A523,Planilha1!A:B,2,0)),"\\192.168.0.4\Produtos\PRODUTO_PRONTA_ENTREGA\static\IMAGENS_PRODUTOS\SEM IMAGEM.jpg")</f>
        <v>\\192.168.0.4\Produtos\PRODUTO_PRONTA_ENTREGA\static\IMAGENS_PRODUTOS\CADEIRA GOLF_274154.jpg</v>
      </c>
    </row>
    <row r="524" spans="1:22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30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31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32"/>
        <v>1</v>
      </c>
      <c r="U524" s="10" t="str">
        <f>IFERROR((VLOOKUP(A524,Planilha1!A:B,2,0)),"\\192.168.0.4\Produtos\PRODUTO_PRONTA_ENTREGA\static\IMAGENS_PRODUTOS\SEM IMAGEM.jpg")</f>
        <v>\\192.168.0.4\Produtos\PRODUTO_PRONTA_ENTREGA\static\IMAGENS_PRODUTOS\CADEIRA TWIN CB GIRATORIA_371053.jpg</v>
      </c>
      <c r="V524" t="str">
        <f>IFERROR((VLOOKUP(A524,Planilha1!A:B,2,0)),"\\192.168.0.4\Produtos\PRODUTO_PRONTA_ENTREGA\static\IMAGENS_PRODUTOS\SEM IMAGEM.jpg")</f>
        <v>\\192.168.0.4\Produtos\PRODUTO_PRONTA_ENTREGA\static\IMAGENS_PRODUTOS\CADEIRA TWIN CB GIRATORIA_371053.jpg</v>
      </c>
    </row>
    <row r="525" spans="1:22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30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31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2</v>
      </c>
      <c r="T525" s="9">
        <f t="shared" si="32"/>
        <v>2</v>
      </c>
      <c r="U525" s="10" t="str">
        <f>IFERROR((VLOOKUP(A525,Planilha1!A:B,2,0)),"\\192.168.0.4\Produtos\PRODUTO_PRONTA_ENTREGA\static\IMAGENS_PRODUTOS\SEM IMAGEM.jpg")</f>
        <v>\\192.168.0.4\Produtos\PRODUTO_PRONTA_ENTREGA\static\IMAGENS_PRODUTOS\CADEIRA JOY LUX_361510.jpg</v>
      </c>
      <c r="V525" t="str">
        <f>IFERROR((VLOOKUP(A525,Planilha1!A:B,2,0)),"\\192.168.0.4\Produtos\PRODUTO_PRONTA_ENTREGA\static\IMAGENS_PRODUTOS\SEM IMAGEM.jpg")</f>
        <v>\\192.168.0.4\Produtos\PRODUTO_PRONTA_ENTREGA\static\IMAGENS_PRODUTOS\CADEIRA JOY LUX_361510.jpg</v>
      </c>
    </row>
    <row r="526" spans="1:22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30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31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32"/>
        <v>6</v>
      </c>
      <c r="U526" s="10" t="str">
        <f>IFERROR((VLOOKUP(A526,Planilha1!A:B,2,0)),"\\192.168.0.4\Produtos\PRODUTO_PRONTA_ENTREGA\static\IMAGENS_PRODUTOS\SEM IMAGEM.jpg")</f>
        <v>\\192.168.0.4\Produtos\PRODUTO_PRONTA_ENTREGA\static\IMAGENS_PRODUTOS\SEM IMAGEM.jpg</v>
      </c>
      <c r="V526" t="str">
        <f>IFERROR((VLOOKUP(A526,Planilha1!A:B,2,0)),"\\192.168.0.4\Produtos\PRODUTO_PRONTA_ENTREGA\static\IMAGENS_PRODUTOS\SEM IMAGEM.jpg")</f>
        <v>\\192.168.0.4\Produtos\PRODUTO_PRONTA_ENTREGA\static\IMAGENS_PRODUTOS\SEM IMAGEM.jpg</v>
      </c>
    </row>
    <row r="527" spans="1:22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30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31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32"/>
        <v>6</v>
      </c>
      <c r="U527" s="10" t="str">
        <f>IFERROR((VLOOKUP(A527,Planilha1!A:B,2,0)),"\\192.168.0.4\Produtos\PRODUTO_PRONTA_ENTREGA\static\IMAGENS_PRODUTOS\SEM IMAGEM.jpg")</f>
        <v>\\192.168.0.4\Produtos\PRODUTO_PRONTA_ENTREGA\static\IMAGENS_PRODUTOS\SEM IMAGEM.jpg</v>
      </c>
      <c r="V527" t="str">
        <f>IFERROR((VLOOKUP(A527,Planilha1!A:B,2,0)),"\\192.168.0.4\Produtos\PRODUTO_PRONTA_ENTREGA\static\IMAGENS_PRODUTOS\SEM IMAGEM.jpg")</f>
        <v>\\192.168.0.4\Produtos\PRODUTO_PRONTA_ENTREGA\static\IMAGENS_PRODUTOS\SEM IMAGEM.jpg</v>
      </c>
    </row>
    <row r="528" spans="1:22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30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31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32"/>
        <v>8</v>
      </c>
      <c r="U528" s="10" t="str">
        <f>IFERROR((VLOOKUP(A528,Planilha1!A:B,2,0)),"\\192.168.0.4\Produtos\PRODUTO_PRONTA_ENTREGA\static\IMAGENS_PRODUTOS\SEM IMAGEM.jpg")</f>
        <v>\\192.168.0.4\Produtos\PRODUTO_PRONTA_ENTREGA\static\IMAGENS_PRODUTOS\CADEIRA NINA_336658.jpg</v>
      </c>
      <c r="V528" t="str">
        <f>IFERROR((VLOOKUP(A528,Planilha1!A:B,2,0)),"\\192.168.0.4\Produtos\PRODUTO_PRONTA_ENTREGA\static\IMAGENS_PRODUTOS\SEM IMAGEM.jpg")</f>
        <v>\\192.168.0.4\Produtos\PRODUTO_PRONTA_ENTREGA\static\IMAGENS_PRODUTOS\CADEIRA NINA_336658.jpg</v>
      </c>
    </row>
    <row r="529" spans="1:22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30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31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6</v>
      </c>
      <c r="T529" s="9">
        <f t="shared" si="32"/>
        <v>6</v>
      </c>
      <c r="U529" s="10" t="str">
        <f>IFERROR((VLOOKUP(A529,Planilha1!A:B,2,0)),"\\192.168.0.4\Produtos\PRODUTO_PRONTA_ENTREGA\static\IMAGENS_PRODUTOS\SEM IMAGEM.jpg")</f>
        <v>\\192.168.0.4\Produtos\PRODUTO_PRONTA_ENTREGA\static\IMAGENS_PRODUTOS\CADEIRA PLIE_336728.jpg</v>
      </c>
      <c r="V529" t="str">
        <f>IFERROR((VLOOKUP(A529,Planilha1!A:B,2,0)),"\\192.168.0.4\Produtos\PRODUTO_PRONTA_ENTREGA\static\IMAGENS_PRODUTOS\SEM IMAGEM.jpg")</f>
        <v>\\192.168.0.4\Produtos\PRODUTO_PRONTA_ENTREGA\static\IMAGENS_PRODUTOS\CADEIRA PLIE_336728.jpg</v>
      </c>
    </row>
    <row r="530" spans="1:22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30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31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4</v>
      </c>
      <c r="T530" s="9">
        <f t="shared" si="32"/>
        <v>4</v>
      </c>
      <c r="U530" s="10" t="str">
        <f>IFERROR((VLOOKUP(A530,Planilha1!A:B,2,0)),"\\192.168.0.4\Produtos\PRODUTO_PRONTA_ENTREGA\static\IMAGENS_PRODUTOS\SEM IMAGEM.jpg")</f>
        <v>\\192.168.0.4\Produtos\PRODUTO_PRONTA_ENTREGA\static\IMAGENS_PRODUTOS\CADEIRA NINA_336726.jpg</v>
      </c>
      <c r="V530" t="str">
        <f>IFERROR((VLOOKUP(A530,Planilha1!A:B,2,0)),"\\192.168.0.4\Produtos\PRODUTO_PRONTA_ENTREGA\static\IMAGENS_PRODUTOS\SEM IMAGEM.jpg")</f>
        <v>\\192.168.0.4\Produtos\PRODUTO_PRONTA_ENTREGA\static\IMAGENS_PRODUTOS\CADEIRA NINA_336726.jpg</v>
      </c>
    </row>
    <row r="531" spans="1:22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30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31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7</v>
      </c>
      <c r="T531" s="9">
        <f t="shared" si="32"/>
        <v>8</v>
      </c>
      <c r="U531" s="10" t="str">
        <f>IFERROR((VLOOKUP(A531,Planilha1!A:B,2,0)),"\\192.168.0.4\Produtos\PRODUTO_PRONTA_ENTREGA\static\IMAGENS_PRODUTOS\SEM IMAGEM.jpg")</f>
        <v>\\192.168.0.4\Produtos\PRODUTO_PRONTA_ENTREGA\static\IMAGENS_PRODUTOS\CADEIRA NINA_336546.jpg</v>
      </c>
      <c r="V531" t="str">
        <f>IFERROR((VLOOKUP(A531,Planilha1!A:B,2,0)),"\\192.168.0.4\Produtos\PRODUTO_PRONTA_ENTREGA\static\IMAGENS_PRODUTOS\SEM IMAGEM.jpg")</f>
        <v>\\192.168.0.4\Produtos\PRODUTO_PRONTA_ENTREGA\static\IMAGENS_PRODUTOS\CADEIRA NINA_336546.jpg</v>
      </c>
    </row>
    <row r="532" spans="1:22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30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31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32"/>
        <v>2</v>
      </c>
      <c r="U532" s="10" t="str">
        <f>IFERROR((VLOOKUP(A532,Planilha1!A:B,2,0)),"\\192.168.0.4\Produtos\PRODUTO_PRONTA_ENTREGA\static\IMAGENS_PRODUTOS\SEM IMAGEM.jpg")</f>
        <v>\\192.168.0.4\Produtos\PRODUTO_PRONTA_ENTREGA\static\IMAGENS_PRODUTOS\CARRINHO BAR CARRELO_228451.jpg</v>
      </c>
      <c r="V532" t="str">
        <f>IFERROR((VLOOKUP(A532,Planilha1!A:B,2,0)),"\\192.168.0.4\Produtos\PRODUTO_PRONTA_ENTREGA\static\IMAGENS_PRODUTOS\SEM IMAGEM.jpg")</f>
        <v>\\192.168.0.4\Produtos\PRODUTO_PRONTA_ENTREGA\static\IMAGENS_PRODUTOS\CARRINHO BAR CARRELO_228451.jpg</v>
      </c>
    </row>
    <row r="533" spans="1:22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30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31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32"/>
        <v>1</v>
      </c>
      <c r="U533" s="10" t="str">
        <f>IFERROR((VLOOKUP(A533,Planilha1!A:B,2,0)),"\\192.168.0.4\Produtos\PRODUTO_PRONTA_ENTREGA\static\IMAGENS_PRODUTOS\SEM IMAGEM.jpg")</f>
        <v>\\192.168.0.4\Produtos\PRODUTO_PRONTA_ENTREGA\static\IMAGENS_PRODUTOS\CARRINHO BAR CARRELLO_223617.jpg</v>
      </c>
      <c r="V533" t="str">
        <f>IFERROR((VLOOKUP(A533,Planilha1!A:B,2,0)),"\\192.168.0.4\Produtos\PRODUTO_PRONTA_ENTREGA\static\IMAGENS_PRODUTOS\SEM IMAGEM.jpg")</f>
        <v>\\192.168.0.4\Produtos\PRODUTO_PRONTA_ENTREGA\static\IMAGENS_PRODUTOS\CARRINHO BAR CARRELLO_223617.jpg</v>
      </c>
    </row>
    <row r="534" spans="1:22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30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31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32"/>
        <v>2</v>
      </c>
      <c r="U534" s="10" t="str">
        <f>IFERROR((VLOOKUP(A534,Planilha1!A:B,2,0)),"\\192.168.0.4\Produtos\PRODUTO_PRONTA_ENTREGA\static\IMAGENS_PRODUTOS\SEM IMAGEM.jpg")</f>
        <v>\\192.168.0.4\Produtos\PRODUTO_PRONTA_ENTREGA\static\IMAGENS_PRODUTOS\SEM IMAGEM.jpg</v>
      </c>
      <c r="V534" t="str">
        <f>IFERROR((VLOOKUP(A534,Planilha1!A:B,2,0)),"\\192.168.0.4\Produtos\PRODUTO_PRONTA_ENTREGA\static\IMAGENS_PRODUTOS\SEM IMAGEM.jpg")</f>
        <v>\\192.168.0.4\Produtos\PRODUTO_PRONTA_ENTREGA\static\IMAGENS_PRODUTOS\SEM IMAGEM.jpg</v>
      </c>
    </row>
    <row r="535" spans="1:22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30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31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32"/>
        <v>1</v>
      </c>
      <c r="U535" s="10" t="str">
        <f>IFERROR((VLOOKUP(A535,Planilha1!A:B,2,0)),"\\192.168.0.4\Produtos\PRODUTO_PRONTA_ENTREGA\static\IMAGENS_PRODUTOS\SEM IMAGEM.jpg")</f>
        <v>\\192.168.0.4\Produtos\PRODUTO_PRONTA_ENTREGA\static\IMAGENS_PRODUTOS\CARRINHO BAR SAVASSI_308750.jpg</v>
      </c>
      <c r="V535" t="str">
        <f>IFERROR((VLOOKUP(A535,Planilha1!A:B,2,0)),"\\192.168.0.4\Produtos\PRODUTO_PRONTA_ENTREGA\static\IMAGENS_PRODUTOS\SEM IMAGEM.jpg")</f>
        <v>\\192.168.0.4\Produtos\PRODUTO_PRONTA_ENTREGA\static\IMAGENS_PRODUTOS\CARRINHO BAR SAVASSI_308750.jpg</v>
      </c>
    </row>
    <row r="536" spans="1:22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30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31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32"/>
        <v>1</v>
      </c>
      <c r="U536" s="10" t="str">
        <f>IFERROR((VLOOKUP(A536,Planilha1!A:B,2,0)),"\\192.168.0.4\Produtos\PRODUTO_PRONTA_ENTREGA\static\IMAGENS_PRODUTOS\SEM IMAGEM.jpg")</f>
        <v>\\192.168.0.4\Produtos\PRODUTO_PRONTA_ENTREGA\static\IMAGENS_PRODUTOS\SEM IMAGEM.jpg</v>
      </c>
      <c r="V536" t="str">
        <f>IFERROR((VLOOKUP(A536,Planilha1!A:B,2,0)),"\\192.168.0.4\Produtos\PRODUTO_PRONTA_ENTREGA\static\IMAGENS_PRODUTOS\SEM IMAGEM.jpg")</f>
        <v>\\192.168.0.4\Produtos\PRODUTO_PRONTA_ENTREGA\static\IMAGENS_PRODUTOS\SEM IMAGEM.jpg</v>
      </c>
    </row>
    <row r="537" spans="1:22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30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31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32"/>
        <v>1</v>
      </c>
      <c r="U537" s="10" t="str">
        <f>IFERROR((VLOOKUP(A537,Planilha1!A:B,2,0)),"\\192.168.0.4\Produtos\PRODUTO_PRONTA_ENTREGA\static\IMAGENS_PRODUTOS\SEM IMAGEM.jpg")</f>
        <v>\\192.168.0.4\Produtos\PRODUTO_PRONTA_ENTREGA\static\IMAGENS_PRODUTOS\SEM IMAGEM.jpg</v>
      </c>
      <c r="V537" t="str">
        <f>IFERROR((VLOOKUP(A537,Planilha1!A:B,2,0)),"\\192.168.0.4\Produtos\PRODUTO_PRONTA_ENTREGA\static\IMAGENS_PRODUTOS\SEM IMAGEM.jpg")</f>
        <v>\\192.168.0.4\Produtos\PRODUTO_PRONTA_ENTREGA\static\IMAGENS_PRODUTOS\SEM IMAGEM.jpg</v>
      </c>
    </row>
    <row r="538" spans="1:22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30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31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32"/>
        <v>1</v>
      </c>
      <c r="U538" s="10" t="str">
        <f>IFERROR((VLOOKUP(A538,Planilha1!A:B,2,0)),"\\192.168.0.4\Produtos\PRODUTO_PRONTA_ENTREGA\static\IMAGENS_PRODUTOS\SEM IMAGEM.jpg")</f>
        <v>\\192.168.0.4\Produtos\PRODUTO_PRONTA_ENTREGA\static\IMAGENS_PRODUTOS\CHAISE MONDRIAN_379532_379862.jpg</v>
      </c>
      <c r="V538" t="str">
        <f>IFERROR((VLOOKUP(A538,Planilha1!A:B,2,0)),"\\192.168.0.4\Produtos\PRODUTO_PRONTA_ENTREGA\static\IMAGENS_PRODUTOS\SEM IMAGEM.jpg")</f>
        <v>\\192.168.0.4\Produtos\PRODUTO_PRONTA_ENTREGA\static\IMAGENS_PRODUTOS\CHAISE MONDRIAN_379532_379862.jpg</v>
      </c>
    </row>
    <row r="539" spans="1:22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30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31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32"/>
        <v>1</v>
      </c>
      <c r="U539" s="10" t="str">
        <f>IFERROR((VLOOKUP(A539,Planilha1!A:B,2,0)),"\\192.168.0.4\Produtos\PRODUTO_PRONTA_ENTREGA\static\IMAGENS_PRODUTOS\SEM IMAGEM.jpg")</f>
        <v>\\192.168.0.4\Produtos\PRODUTO_PRONTA_ENTREGA\static\IMAGENS_PRODUTOS\CHAISE MONDRIAN_379532_379862.jpg</v>
      </c>
      <c r="V539" t="str">
        <f>IFERROR((VLOOKUP(A539,Planilha1!A:B,2,0)),"\\192.168.0.4\Produtos\PRODUTO_PRONTA_ENTREGA\static\IMAGENS_PRODUTOS\SEM IMAGEM.jpg")</f>
        <v>\\192.168.0.4\Produtos\PRODUTO_PRONTA_ENTREGA\static\IMAGENS_PRODUTOS\CHAISE MONDRIAN_379532_379862.jpg</v>
      </c>
    </row>
    <row r="540" spans="1:22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30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31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32"/>
        <v>1</v>
      </c>
      <c r="U540" s="10" t="str">
        <f>IFERROR((VLOOKUP(A540,Planilha1!A:B,2,0)),"\\192.168.0.4\Produtos\PRODUTO_PRONTA_ENTREGA\static\IMAGENS_PRODUTOS\SEM IMAGEM.jpg")</f>
        <v>\\192.168.0.4\Produtos\PRODUTO_PRONTA_ENTREGA\static\IMAGENS_PRODUTOS\CHAISE REGIA_334351.jpg</v>
      </c>
      <c r="V540" t="str">
        <f>IFERROR((VLOOKUP(A540,Planilha1!A:B,2,0)),"\\192.168.0.4\Produtos\PRODUTO_PRONTA_ENTREGA\static\IMAGENS_PRODUTOS\SEM IMAGEM.jpg")</f>
        <v>\\192.168.0.4\Produtos\PRODUTO_PRONTA_ENTREGA\static\IMAGENS_PRODUTOS\CHAISE REGIA_334351.jpg</v>
      </c>
    </row>
    <row r="541" spans="1:22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30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31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32"/>
        <v>1</v>
      </c>
      <c r="U541" s="10" t="str">
        <f>IFERROR((VLOOKUP(A541,Planilha1!A:B,2,0)),"\\192.168.0.4\Produtos\PRODUTO_PRONTA_ENTREGA\static\IMAGENS_PRODUTOS\SEM IMAGEM.jpg")</f>
        <v>\\192.168.0.4\Produtos\PRODUTO_PRONTA_ENTREGA\static\IMAGENS_PRODUTOS\SEM IMAGEM.jpg</v>
      </c>
      <c r="V541" t="str">
        <f>IFERROR((VLOOKUP(A541,Planilha1!A:B,2,0)),"\\192.168.0.4\Produtos\PRODUTO_PRONTA_ENTREGA\static\IMAGENS_PRODUTOS\SEM IMAGEM.jpg")</f>
        <v>\\192.168.0.4\Produtos\PRODUTO_PRONTA_ENTREGA\static\IMAGENS_PRODUTOS\SEM IMAGEM.jpg</v>
      </c>
    </row>
    <row r="542" spans="1:22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30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31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32"/>
        <v>1</v>
      </c>
      <c r="U542" s="10" t="str">
        <f>IFERROR((VLOOKUP(A542,Planilha1!A:B,2,0)),"\\192.168.0.4\Produtos\PRODUTO_PRONTA_ENTREGA\static\IMAGENS_PRODUTOS\SEM IMAGEM.jpg")</f>
        <v>\\192.168.0.4\Produtos\PRODUTO_PRONTA_ENTREGA\static\IMAGENS_PRODUTOS\CHAISE REGIA_308170.jpg</v>
      </c>
      <c r="V542" t="str">
        <f>IFERROR((VLOOKUP(A542,Planilha1!A:B,2,0)),"\\192.168.0.4\Produtos\PRODUTO_PRONTA_ENTREGA\static\IMAGENS_PRODUTOS\SEM IMAGEM.jpg")</f>
        <v>\\192.168.0.4\Produtos\PRODUTO_PRONTA_ENTREGA\static\IMAGENS_PRODUTOS\CHAISE REGIA_308170.jpg</v>
      </c>
    </row>
    <row r="543" spans="1:22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30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31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32"/>
        <v>1</v>
      </c>
      <c r="U543" s="10" t="str">
        <f>IFERROR((VLOOKUP(A543,Planilha1!A:B,2,0)),"\\192.168.0.4\Produtos\PRODUTO_PRONTA_ENTREGA\static\IMAGENS_PRODUTOS\SEM IMAGEM.jpg")</f>
        <v>\\192.168.0.4\Produtos\PRODUTO_PRONTA_ENTREGA\static\IMAGENS_PRODUTOS\CHAISE NIGHT_344055.jpg</v>
      </c>
      <c r="V543" t="str">
        <f>IFERROR((VLOOKUP(A543,Planilha1!A:B,2,0)),"\\192.168.0.4\Produtos\PRODUTO_PRONTA_ENTREGA\static\IMAGENS_PRODUTOS\SEM IMAGEM.jpg")</f>
        <v>\\192.168.0.4\Produtos\PRODUTO_PRONTA_ENTREGA\static\IMAGENS_PRODUTOS\CHAISE NIGHT_344055.jpg</v>
      </c>
    </row>
    <row r="544" spans="1:22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30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31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32"/>
        <v>1</v>
      </c>
      <c r="U544" s="10" t="str">
        <f>IFERROR((VLOOKUP(A544,Planilha1!A:B,2,0)),"\\192.168.0.4\Produtos\PRODUTO_PRONTA_ENTREGA\static\IMAGENS_PRODUTOS\SEM IMAGEM.jpg")</f>
        <v>\\192.168.0.4\Produtos\PRODUTO_PRONTA_ENTREGA\static\IMAGENS_PRODUTOS\CHAISE MARAIS_273330.jpg</v>
      </c>
      <c r="V544" t="str">
        <f>IFERROR((VLOOKUP(A544,Planilha1!A:B,2,0)),"\\192.168.0.4\Produtos\PRODUTO_PRONTA_ENTREGA\static\IMAGENS_PRODUTOS\SEM IMAGEM.jpg")</f>
        <v>\\192.168.0.4\Produtos\PRODUTO_PRONTA_ENTREGA\static\IMAGENS_PRODUTOS\CHAISE MARAIS_273330.jpg</v>
      </c>
    </row>
    <row r="545" spans="1:22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30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31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32"/>
        <v>1</v>
      </c>
      <c r="U545" s="10" t="str">
        <f>IFERROR((VLOOKUP(A545,Planilha1!A:B,2,0)),"\\192.168.0.4\Produtos\PRODUTO_PRONTA_ENTREGA\static\IMAGENS_PRODUTOS\SEM IMAGEM.jpg")</f>
        <v>\\192.168.0.4\Produtos\PRODUTO_PRONTA_ENTREGA\static\IMAGENS_PRODUTOS\SEM IMAGEM.jpg</v>
      </c>
      <c r="V545" t="str">
        <f>IFERROR((VLOOKUP(A545,Planilha1!A:B,2,0)),"\\192.168.0.4\Produtos\PRODUTO_PRONTA_ENTREGA\static\IMAGENS_PRODUTOS\SEM IMAGEM.jpg")</f>
        <v>\\192.168.0.4\Produtos\PRODUTO_PRONTA_ENTREGA\static\IMAGENS_PRODUTOS\SEM IMAGEM.jpg</v>
      </c>
    </row>
    <row r="546" spans="1:22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30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31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32"/>
        <v>1</v>
      </c>
      <c r="U546" s="10" t="str">
        <f>IFERROR((VLOOKUP(A546,Planilha1!A:B,2,0)),"\\192.168.0.4\Produtos\PRODUTO_PRONTA_ENTREGA\static\IMAGENS_PRODUTOS\SEM IMAGEM.jpg")</f>
        <v>\\192.168.0.4\Produtos\PRODUTO_PRONTA_ENTREGA\static\IMAGENS_PRODUTOS\CHAISE ALF_275443.jpg</v>
      </c>
      <c r="V546" t="str">
        <f>IFERROR((VLOOKUP(A546,Planilha1!A:B,2,0)),"\\192.168.0.4\Produtos\PRODUTO_PRONTA_ENTREGA\static\IMAGENS_PRODUTOS\SEM IMAGEM.jpg")</f>
        <v>\\192.168.0.4\Produtos\PRODUTO_PRONTA_ENTREGA\static\IMAGENS_PRODUTOS\CHAISE ALF_275443.jpg</v>
      </c>
    </row>
    <row r="547" spans="1:22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30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31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32"/>
        <v>1</v>
      </c>
      <c r="U547" s="10" t="str">
        <f>IFERROR((VLOOKUP(A547,Planilha1!A:B,2,0)),"\\192.168.0.4\Produtos\PRODUTO_PRONTA_ENTREGA\static\IMAGENS_PRODUTOS\SEM IMAGEM.jpg")</f>
        <v>\\192.168.0.4\Produtos\PRODUTO_PRONTA_ENTREGA\static\IMAGENS_PRODUTOS\CHAISE SAN ANDRES_334270.jpg</v>
      </c>
      <c r="V547" t="str">
        <f>IFERROR((VLOOKUP(A547,Planilha1!A:B,2,0)),"\\192.168.0.4\Produtos\PRODUTO_PRONTA_ENTREGA\static\IMAGENS_PRODUTOS\SEM IMAGEM.jpg")</f>
        <v>\\192.168.0.4\Produtos\PRODUTO_PRONTA_ENTREGA\static\IMAGENS_PRODUTOS\CHAISE SAN ANDRES_334270.jpg</v>
      </c>
    </row>
    <row r="548" spans="1:22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30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31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32"/>
        <v>1</v>
      </c>
      <c r="U548" s="10" t="str">
        <f>IFERROR((VLOOKUP(A548,Planilha1!A:B,2,0)),"\\192.168.0.4\Produtos\PRODUTO_PRONTA_ENTREGA\static\IMAGENS_PRODUTOS\SEM IMAGEM.jpg")</f>
        <v>\\192.168.0.4\Produtos\PRODUTO_PRONTA_ENTREGA\static\IMAGENS_PRODUTOS\CHAISE ALF_334228.jpg</v>
      </c>
      <c r="V548" t="str">
        <f>IFERROR((VLOOKUP(A548,Planilha1!A:B,2,0)),"\\192.168.0.4\Produtos\PRODUTO_PRONTA_ENTREGA\static\IMAGENS_PRODUTOS\SEM IMAGEM.jpg")</f>
        <v>\\192.168.0.4\Produtos\PRODUTO_PRONTA_ENTREGA\static\IMAGENS_PRODUTOS\CHAISE ALF_334228.jpg</v>
      </c>
    </row>
    <row r="549" spans="1:22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30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31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32"/>
        <v>1</v>
      </c>
      <c r="U549" s="10" t="str">
        <f>IFERROR((VLOOKUP(A549,Planilha1!A:B,2,0)),"\\192.168.0.4\Produtos\PRODUTO_PRONTA_ENTREGA\static\IMAGENS_PRODUTOS\SEM IMAGEM.jpg")</f>
        <v>\\192.168.0.4\Produtos\PRODUTO_PRONTA_ENTREGA\static\IMAGENS_PRODUTOS\CHAISE MARAIS_334217.jpg</v>
      </c>
      <c r="V549" t="str">
        <f>IFERROR((VLOOKUP(A549,Planilha1!A:B,2,0)),"\\192.168.0.4\Produtos\PRODUTO_PRONTA_ENTREGA\static\IMAGENS_PRODUTOS\SEM IMAGEM.jpg")</f>
        <v>\\192.168.0.4\Produtos\PRODUTO_PRONTA_ENTREGA\static\IMAGENS_PRODUTOS\CHAISE MARAIS_334217.jpg</v>
      </c>
    </row>
    <row r="550" spans="1:22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30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31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32"/>
        <v>1</v>
      </c>
      <c r="U550" s="10" t="str">
        <f>IFERROR((VLOOKUP(A550,Planilha1!A:B,2,0)),"\\192.168.0.4\Produtos\PRODUTO_PRONTA_ENTREGA\static\IMAGENS_PRODUTOS\SEM IMAGEM.jpg")</f>
        <v>\\192.168.0.4\Produtos\PRODUTO_PRONTA_ENTREGA\static\IMAGENS_PRODUTOS\SEM IMAGEM.jpg</v>
      </c>
      <c r="V550" t="str">
        <f>IFERROR((VLOOKUP(A550,Planilha1!A:B,2,0)),"\\192.168.0.4\Produtos\PRODUTO_PRONTA_ENTREGA\static\IMAGENS_PRODUTOS\SEM IMAGEM.jpg")</f>
        <v>\\192.168.0.4\Produtos\PRODUTO_PRONTA_ENTREGA\static\IMAGENS_PRODUTOS\SEM IMAGEM.jpg</v>
      </c>
    </row>
    <row r="551" spans="1:22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30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31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32"/>
        <v>1</v>
      </c>
      <c r="U551" s="10" t="str">
        <f>IFERROR((VLOOKUP(A551,Planilha1!A:B,2,0)),"\\192.168.0.4\Produtos\PRODUTO_PRONTA_ENTREGA\static\IMAGENS_PRODUTOS\SEM IMAGEM.jpg")</f>
        <v>\\192.168.0.4\Produtos\PRODUTO_PRONTA_ENTREGA\static\IMAGENS_PRODUTOS\SEM IMAGEM.jpg</v>
      </c>
      <c r="V551" t="str">
        <f>IFERROR((VLOOKUP(A551,Planilha1!A:B,2,0)),"\\192.168.0.4\Produtos\PRODUTO_PRONTA_ENTREGA\static\IMAGENS_PRODUTOS\SEM IMAGEM.jpg")</f>
        <v>\\192.168.0.4\Produtos\PRODUTO_PRONTA_ENTREGA\static\IMAGENS_PRODUTOS\SEM IMAGEM.jpg</v>
      </c>
    </row>
    <row r="552" spans="1:22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30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31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32"/>
        <v>3</v>
      </c>
      <c r="U552" s="10" t="str">
        <f>IFERROR((VLOOKUP(A552,Planilha1!A:B,2,0)),"\\192.168.0.4\Produtos\PRODUTO_PRONTA_ENTREGA\static\IMAGENS_PRODUTOS\SEM IMAGEM.jpg")</f>
        <v>\\192.168.0.4\Produtos\PRODUTO_PRONTA_ENTREGA\static\IMAGENS_PRODUTOS\SEM IMAGEM.jpg</v>
      </c>
      <c r="V552" t="str">
        <f>IFERROR((VLOOKUP(A552,Planilha1!A:B,2,0)),"\\192.168.0.4\Produtos\PRODUTO_PRONTA_ENTREGA\static\IMAGENS_PRODUTOS\SEM IMAGEM.jpg")</f>
        <v>\\192.168.0.4\Produtos\PRODUTO_PRONTA_ENTREGA\static\IMAGENS_PRODUTOS\SEM IMAGEM.jpg</v>
      </c>
    </row>
    <row r="553" spans="1:22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30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31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32"/>
        <v>4</v>
      </c>
      <c r="U553" s="10" t="str">
        <f>IFERROR((VLOOKUP(A553,Planilha1!A:B,2,0)),"\\192.168.0.4\Produtos\PRODUTO_PRONTA_ENTREGA\static\IMAGENS_PRODUTOS\SEM IMAGEM.jpg")</f>
        <v>\\192.168.0.4\Produtos\PRODUTO_PRONTA_ENTREGA\static\IMAGENS_PRODUTOS\SEM IMAGEM.jpg</v>
      </c>
      <c r="V553" t="str">
        <f>IFERROR((VLOOKUP(A553,Planilha1!A:B,2,0)),"\\192.168.0.4\Produtos\PRODUTO_PRONTA_ENTREGA\static\IMAGENS_PRODUTOS\SEM IMAGEM.jpg")</f>
        <v>\\192.168.0.4\Produtos\PRODUTO_PRONTA_ENTREGA\static\IMAGENS_PRODUTOS\SEM IMAGEM.jpg</v>
      </c>
    </row>
    <row r="554" spans="1:22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30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31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32"/>
        <v>4</v>
      </c>
      <c r="U554" s="10" t="str">
        <f>IFERROR((VLOOKUP(A554,Planilha1!A:B,2,0)),"\\192.168.0.4\Produtos\PRODUTO_PRONTA_ENTREGA\static\IMAGENS_PRODUTOS\SEM IMAGEM.jpg")</f>
        <v>\\192.168.0.4\Produtos\PRODUTO_PRONTA_ENTREGA\static\IMAGENS_PRODUTOS\SEM IMAGEM.jpg</v>
      </c>
      <c r="V554" t="str">
        <f>IFERROR((VLOOKUP(A554,Planilha1!A:B,2,0)),"\\192.168.0.4\Produtos\PRODUTO_PRONTA_ENTREGA\static\IMAGENS_PRODUTOS\SEM IMAGEM.jpg")</f>
        <v>\\192.168.0.4\Produtos\PRODUTO_PRONTA_ENTREGA\static\IMAGENS_PRODUTOS\SEM IMAGEM.jpg</v>
      </c>
    </row>
    <row r="555" spans="1:22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30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31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32"/>
        <v>3</v>
      </c>
      <c r="U555" s="10" t="str">
        <f>IFERROR((VLOOKUP(A555,Planilha1!A:B,2,0)),"\\192.168.0.4\Produtos\PRODUTO_PRONTA_ENTREGA\static\IMAGENS_PRODUTOS\SEM IMAGEM.jpg")</f>
        <v>\\192.168.0.4\Produtos\PRODUTO_PRONTA_ENTREGA\static\IMAGENS_PRODUTOS\SEM IMAGEM.jpg</v>
      </c>
      <c r="V555" t="str">
        <f>IFERROR((VLOOKUP(A555,Planilha1!A:B,2,0)),"\\192.168.0.4\Produtos\PRODUTO_PRONTA_ENTREGA\static\IMAGENS_PRODUTOS\SEM IMAGEM.jpg")</f>
        <v>\\192.168.0.4\Produtos\PRODUTO_PRONTA_ENTREGA\static\IMAGENS_PRODUTOS\SEM IMAGEM.jpg</v>
      </c>
    </row>
    <row r="556" spans="1:22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30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31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32"/>
        <v>5</v>
      </c>
      <c r="U556" s="10" t="str">
        <f>IFERROR((VLOOKUP(A556,Planilha1!A:B,2,0)),"\\192.168.0.4\Produtos\PRODUTO_PRONTA_ENTREGA\static\IMAGENS_PRODUTOS\SEM IMAGEM.jpg")</f>
        <v>\\192.168.0.4\Produtos\PRODUTO_PRONTA_ENTREGA\static\IMAGENS_PRODUTOS\SEM IMAGEM.jpg</v>
      </c>
      <c r="V556" t="str">
        <f>IFERROR((VLOOKUP(A556,Planilha1!A:B,2,0)),"\\192.168.0.4\Produtos\PRODUTO_PRONTA_ENTREGA\static\IMAGENS_PRODUTOS\SEM IMAGEM.jpg")</f>
        <v>\\192.168.0.4\Produtos\PRODUTO_PRONTA_ENTREGA\static\IMAGENS_PRODUTOS\SEM IMAGEM.jpg</v>
      </c>
    </row>
    <row r="557" spans="1:22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30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31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32"/>
        <v>6</v>
      </c>
      <c r="U557" s="10" t="str">
        <f>IFERROR((VLOOKUP(A557,Planilha1!A:B,2,0)),"\\192.168.0.4\Produtos\PRODUTO_PRONTA_ENTREGA\static\IMAGENS_PRODUTOS\SEM IMAGEM.jpg")</f>
        <v>\\192.168.0.4\Produtos\PRODUTO_PRONTA_ENTREGA\static\IMAGENS_PRODUTOS\SEM IMAGEM.jpg</v>
      </c>
      <c r="V557" t="str">
        <f>IFERROR((VLOOKUP(A557,Planilha1!A:B,2,0)),"\\192.168.0.4\Produtos\PRODUTO_PRONTA_ENTREGA\static\IMAGENS_PRODUTOS\SEM IMAGEM.jpg")</f>
        <v>\\192.168.0.4\Produtos\PRODUTO_PRONTA_ENTREGA\static\IMAGENS_PRODUTOS\SEM IMAGEM.jpg</v>
      </c>
    </row>
    <row r="558" spans="1:22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30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31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32"/>
        <v>3</v>
      </c>
      <c r="U558" s="10" t="str">
        <f>IFERROR((VLOOKUP(A558,Planilha1!A:B,2,0)),"\\192.168.0.4\Produtos\PRODUTO_PRONTA_ENTREGA\static\IMAGENS_PRODUTOS\SEM IMAGEM.jpg")</f>
        <v>\\192.168.0.4\Produtos\PRODUTO_PRONTA_ENTREGA\static\IMAGENS_PRODUTOS\SEM IMAGEM.jpg</v>
      </c>
      <c r="V558" t="str">
        <f>IFERROR((VLOOKUP(A558,Planilha1!A:B,2,0)),"\\192.168.0.4\Produtos\PRODUTO_PRONTA_ENTREGA\static\IMAGENS_PRODUTOS\SEM IMAGEM.jpg")</f>
        <v>\\192.168.0.4\Produtos\PRODUTO_PRONTA_ENTREGA\static\IMAGENS_PRODUTOS\SEM IMAGEM.jpg</v>
      </c>
    </row>
    <row r="559" spans="1:22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30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31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32"/>
        <v>2</v>
      </c>
      <c r="U559" s="10" t="str">
        <f>IFERROR((VLOOKUP(A559,Planilha1!A:B,2,0)),"\\192.168.0.4\Produtos\PRODUTO_PRONTA_ENTREGA\static\IMAGENS_PRODUTOS\SEM IMAGEM.jpg")</f>
        <v>\\192.168.0.4\Produtos\PRODUTO_PRONTA_ENTREGA\static\IMAGENS_PRODUTOS\SEM IMAGEM.jpg</v>
      </c>
      <c r="V559" t="str">
        <f>IFERROR((VLOOKUP(A559,Planilha1!A:B,2,0)),"\\192.168.0.4\Produtos\PRODUTO_PRONTA_ENTREGA\static\IMAGENS_PRODUTOS\SEM IMAGEM.jpg")</f>
        <v>\\192.168.0.4\Produtos\PRODUTO_PRONTA_ENTREGA\static\IMAGENS_PRODUTOS\SEM IMAGEM.jpg</v>
      </c>
    </row>
    <row r="560" spans="1:22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30"/>
        <v/>
      </c>
      <c r="L560" s="7" t="str">
        <f>IF(VLOOKUP(A560,'[1]LISTA ETIQUETAS'!O:AB,14,0)="","",(VLOOKUP(A560,'[1]LISTA ETIQUETAS'!O:AB,14,0)))</f>
        <v/>
      </c>
      <c r="M560" s="8"/>
      <c r="N560" s="9">
        <f t="shared" si="31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32"/>
        <v>1</v>
      </c>
      <c r="U560" s="10" t="str">
        <f>IFERROR((VLOOKUP(A560,Planilha1!A:B,2,0)),"\\192.168.0.4\Produtos\PRODUTO_PRONTA_ENTREGA\static\IMAGENS_PRODUTOS\SEM IMAGEM.jpg")</f>
        <v>\\192.168.0.4\Produtos\PRODUTO_PRONTA_ENTREGA\static\IMAGENS_PRODUTOS\BANCO CLARICE_183815_183816.jpg</v>
      </c>
      <c r="V560" t="str">
        <f>IFERROR((VLOOKUP(A560,Planilha1!A:B,2,0)),"\\192.168.0.4\Produtos\PRODUTO_PRONTA_ENTREGA\static\IMAGENS_PRODUTOS\SEM IMAGEM.jpg")</f>
        <v>\\192.168.0.4\Produtos\PRODUTO_PRONTA_ENTREGA\static\IMAGENS_PRODUTOS\BANCO CLARICE_183815_183816.jpg</v>
      </c>
    </row>
    <row r="561" spans="1:22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30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31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32"/>
        <v>3</v>
      </c>
      <c r="U561" s="10" t="str">
        <f>IFERROR((VLOOKUP(A561,Planilha1!A:B,2,0)),"\\192.168.0.4\Produtos\PRODUTO_PRONTA_ENTREGA\static\IMAGENS_PRODUTOS\SEM IMAGEM.jpg")</f>
        <v>\\192.168.0.4\Produtos\PRODUTO_PRONTA_ENTREGA\static\IMAGENS_PRODUTOS\SEM IMAGEM.jpg</v>
      </c>
      <c r="V561" t="str">
        <f>IFERROR((VLOOKUP(A561,Planilha1!A:B,2,0)),"\\192.168.0.4\Produtos\PRODUTO_PRONTA_ENTREGA\static\IMAGENS_PRODUTOS\SEM IMAGEM.jpg")</f>
        <v>\\192.168.0.4\Produtos\PRODUTO_PRONTA_ENTREGA\static\IMAGENS_PRODUTOS\SEM IMAGEM.jpg</v>
      </c>
    </row>
    <row r="562" spans="1:22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30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31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32"/>
        <v>12</v>
      </c>
      <c r="U562" s="10" t="str">
        <f>IFERROR((VLOOKUP(A562,Planilha1!A:B,2,0)),"\\192.168.0.4\Produtos\PRODUTO_PRONTA_ENTREGA\static\IMAGENS_PRODUTOS\SEM IMAGEM.jpg")</f>
        <v>\\192.168.0.4\Produtos\PRODUTO_PRONTA_ENTREGA\static\IMAGENS_PRODUTOS\SEM IMAGEM.jpg</v>
      </c>
      <c r="V562" t="str">
        <f>IFERROR((VLOOKUP(A562,Planilha1!A:B,2,0)),"\\192.168.0.4\Produtos\PRODUTO_PRONTA_ENTREGA\static\IMAGENS_PRODUTOS\SEM IMAGEM.jpg")</f>
        <v>\\192.168.0.4\Produtos\PRODUTO_PRONTA_ENTREGA\static\IMAGENS_PRODUTOS\SEM IMAGEM.jpg</v>
      </c>
    </row>
    <row r="563" spans="1:22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30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31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32"/>
        <v>1</v>
      </c>
      <c r="U563" s="10" t="str">
        <f>IFERROR((VLOOKUP(A563,Planilha1!A:B,2,0)),"\\192.168.0.4\Produtos\PRODUTO_PRONTA_ENTREGA\static\IMAGENS_PRODUTOS\SEM IMAGEM.jpg")</f>
        <v>\\192.168.0.4\Produtos\PRODUTO_PRONTA_ENTREGA\static\IMAGENS_PRODUTOS\SEM IMAGEM.jpg</v>
      </c>
      <c r="V563" t="str">
        <f>IFERROR((VLOOKUP(A563,Planilha1!A:B,2,0)),"\\192.168.0.4\Produtos\PRODUTO_PRONTA_ENTREGA\static\IMAGENS_PRODUTOS\SEM IMAGEM.jpg")</f>
        <v>\\192.168.0.4\Produtos\PRODUTO_PRONTA_ENTREGA\static\IMAGENS_PRODUTOS\SEM IMAGEM.jpg</v>
      </c>
    </row>
    <row r="564" spans="1:22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30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31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32"/>
        <v>1</v>
      </c>
      <c r="U564" s="10" t="str">
        <f>IFERROR((VLOOKUP(A564,Planilha1!A:B,2,0)),"\\192.168.0.4\Produtos\PRODUTO_PRONTA_ENTREGA\static\IMAGENS_PRODUTOS\SEM IMAGEM.jpg")</f>
        <v>\\192.168.0.4\Produtos\PRODUTO_PRONTA_ENTREGA\static\IMAGENS_PRODUTOS\SEM IMAGEM.jpg</v>
      </c>
      <c r="V564" t="str">
        <f>IFERROR((VLOOKUP(A564,Planilha1!A:B,2,0)),"\\192.168.0.4\Produtos\PRODUTO_PRONTA_ENTREGA\static\IMAGENS_PRODUTOS\SEM IMAGEM.jpg")</f>
        <v>\\192.168.0.4\Produtos\PRODUTO_PRONTA_ENTREGA\static\IMAGENS_PRODUTOS\SEM IMAGEM.jpg</v>
      </c>
    </row>
    <row r="565" spans="1:22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30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31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32"/>
        <v>1</v>
      </c>
      <c r="U565" s="10" t="str">
        <f>IFERROR((VLOOKUP(A565,Planilha1!A:B,2,0)),"\\192.168.0.4\Produtos\PRODUTO_PRONTA_ENTREGA\static\IMAGENS_PRODUTOS\SEM IMAGEM.jpg")</f>
        <v>\\192.168.0.4\Produtos\PRODUTO_PRONTA_ENTREGA\static\IMAGENS_PRODUTOS\SEM IMAGEM.jpg</v>
      </c>
      <c r="V565" t="str">
        <f>IFERROR((VLOOKUP(A565,Planilha1!A:B,2,0)),"\\192.168.0.4\Produtos\PRODUTO_PRONTA_ENTREGA\static\IMAGENS_PRODUTOS\SEM IMAGEM.jpg")</f>
        <v>\\192.168.0.4\Produtos\PRODUTO_PRONTA_ENTREGA\static\IMAGENS_PRODUTOS\SEM IMAGEM.jpg</v>
      </c>
    </row>
    <row r="566" spans="1:22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30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31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32"/>
        <v>2</v>
      </c>
      <c r="U566" s="10" t="str">
        <f>IFERROR((VLOOKUP(A566,Planilha1!A:B,2,0)),"\\192.168.0.4\Produtos\PRODUTO_PRONTA_ENTREGA\static\IMAGENS_PRODUTOS\SEM IMAGEM.jpg")</f>
        <v>\\192.168.0.4\Produtos\PRODUTO_PRONTA_ENTREGA\static\IMAGENS_PRODUTOS\ESTANTE VENEZA_77581.jpg</v>
      </c>
      <c r="V566" t="str">
        <f>IFERROR((VLOOKUP(A566,Planilha1!A:B,2,0)),"\\192.168.0.4\Produtos\PRODUTO_PRONTA_ENTREGA\static\IMAGENS_PRODUTOS\SEM IMAGEM.jpg")</f>
        <v>\\192.168.0.4\Produtos\PRODUTO_PRONTA_ENTREGA\static\IMAGENS_PRODUTOS\ESTANTE VENEZA_77581.jpg</v>
      </c>
    </row>
    <row r="567" spans="1:22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30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31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32"/>
        <v>1</v>
      </c>
      <c r="U567" s="10" t="str">
        <f>IFERROR((VLOOKUP(A567,Planilha1!A:B,2,0)),"\\192.168.0.4\Produtos\PRODUTO_PRONTA_ENTREGA\static\IMAGENS_PRODUTOS\SEM IMAGEM.jpg")</f>
        <v>\\192.168.0.4\Produtos\PRODUTO_PRONTA_ENTREGA\static\IMAGENS_PRODUTOS\SEM IMAGEM.jpg</v>
      </c>
      <c r="V567" t="str">
        <f>IFERROR((VLOOKUP(A567,Planilha1!A:B,2,0)),"\\192.168.0.4\Produtos\PRODUTO_PRONTA_ENTREGA\static\IMAGENS_PRODUTOS\SEM IMAGEM.jpg")</f>
        <v>\\192.168.0.4\Produtos\PRODUTO_PRONTA_ENTREGA\static\IMAGENS_PRODUTOS\SEM IMAGEM.jpg</v>
      </c>
    </row>
    <row r="568" spans="1:22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30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31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32"/>
        <v>1</v>
      </c>
      <c r="U568" s="10" t="str">
        <f>IFERROR((VLOOKUP(A568,Planilha1!A:B,2,0)),"\\192.168.0.4\Produtos\PRODUTO_PRONTA_ENTREGA\static\IMAGENS_PRODUTOS\SEM IMAGEM.jpg")</f>
        <v>\\192.168.0.4\Produtos\PRODUTO_PRONTA_ENTREGA\static\IMAGENS_PRODUTOS\ESTANTE VENEZA_142050.jpg</v>
      </c>
      <c r="V568" t="str">
        <f>IFERROR((VLOOKUP(A568,Planilha1!A:B,2,0)),"\\192.168.0.4\Produtos\PRODUTO_PRONTA_ENTREGA\static\IMAGENS_PRODUTOS\SEM IMAGEM.jpg")</f>
        <v>\\192.168.0.4\Produtos\PRODUTO_PRONTA_ENTREGA\static\IMAGENS_PRODUTOS\ESTANTE VENEZA_142050.jpg</v>
      </c>
    </row>
    <row r="569" spans="1:22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30"/>
        <v/>
      </c>
      <c r="L569" s="7" t="str">
        <f>IF(VLOOKUP(A569,'[1]LISTA ETIQUETAS'!O:AB,14,0)="","",(VLOOKUP(A569,'[1]LISTA ETIQUETAS'!O:AB,14,0)))</f>
        <v/>
      </c>
      <c r="M569" s="8"/>
      <c r="N569" s="9">
        <f t="shared" si="31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32"/>
        <v>1</v>
      </c>
      <c r="U569" s="10" t="str">
        <f>IFERROR((VLOOKUP(A569,Planilha1!A:B,2,0)),"\\192.168.0.4\Produtos\PRODUTO_PRONTA_ENTREGA\static\IMAGENS_PRODUTOS\SEM IMAGEM.jpg")</f>
        <v>\\192.168.0.4\Produtos\PRODUTO_PRONTA_ENTREGA\static\IMAGENS_PRODUTOS\SEM IMAGEM.jpg</v>
      </c>
      <c r="V569" t="str">
        <f>IFERROR((VLOOKUP(A569,Planilha1!A:B,2,0)),"\\192.168.0.4\Produtos\PRODUTO_PRONTA_ENTREGA\static\IMAGENS_PRODUTOS\SEM IMAGEM.jpg")</f>
        <v>\\192.168.0.4\Produtos\PRODUTO_PRONTA_ENTREGA\static\IMAGENS_PRODUTOS\SEM IMAGEM.jpg</v>
      </c>
    </row>
    <row r="570" spans="1:22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30"/>
        <v/>
      </c>
      <c r="L570" s="7" t="str">
        <f>IF(VLOOKUP(A570,'[1]LISTA ETIQUETAS'!O:AB,14,0)="","",(VLOOKUP(A570,'[1]LISTA ETIQUETAS'!O:AB,14,0)))</f>
        <v/>
      </c>
      <c r="M570" s="8"/>
      <c r="N570" s="9">
        <f t="shared" si="31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32"/>
        <v>1</v>
      </c>
      <c r="U570" s="10" t="str">
        <f>IFERROR((VLOOKUP(A570,Planilha1!A:B,2,0)),"\\192.168.0.4\Produtos\PRODUTO_PRONTA_ENTREGA\static\IMAGENS_PRODUTOS\SEM IMAGEM.jpg")</f>
        <v>\\192.168.0.4\Produtos\PRODUTO_PRONTA_ENTREGA\static\IMAGENS_PRODUTOS\SEM IMAGEM.jpg</v>
      </c>
      <c r="V570" t="str">
        <f>IFERROR((VLOOKUP(A570,Planilha1!A:B,2,0)),"\\192.168.0.4\Produtos\PRODUTO_PRONTA_ENTREGA\static\IMAGENS_PRODUTOS\SEM IMAGEM.jpg")</f>
        <v>\\192.168.0.4\Produtos\PRODUTO_PRONTA_ENTREGA\static\IMAGENS_PRODUTOS\SEM IMAGEM.jpg</v>
      </c>
    </row>
    <row r="571" spans="1:22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30"/>
        <v/>
      </c>
      <c r="L571" s="7" t="str">
        <f>IF(VLOOKUP(A571,'[1]LISTA ETIQUETAS'!O:AB,14,0)="","",(VLOOKUP(A571,'[1]LISTA ETIQUETAS'!O:AB,14,0)))</f>
        <v/>
      </c>
      <c r="M571" s="8"/>
      <c r="N571" s="9">
        <f t="shared" si="31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32"/>
        <v>1</v>
      </c>
      <c r="U571" s="10" t="str">
        <f>IFERROR((VLOOKUP(A571,Planilha1!A:B,2,0)),"\\192.168.0.4\Produtos\PRODUTO_PRONTA_ENTREGA\static\IMAGENS_PRODUTOS\SEM IMAGEM.jpg")</f>
        <v>\\192.168.0.4\Produtos\PRODUTO_PRONTA_ENTREGA\static\IMAGENS_PRODUTOS\CRISTALEIRA TIME_235963.jpg</v>
      </c>
      <c r="V571" t="str">
        <f>IFERROR((VLOOKUP(A571,Planilha1!A:B,2,0)),"\\192.168.0.4\Produtos\PRODUTO_PRONTA_ENTREGA\static\IMAGENS_PRODUTOS\SEM IMAGEM.jpg")</f>
        <v>\\192.168.0.4\Produtos\PRODUTO_PRONTA_ENTREGA\static\IMAGENS_PRODUTOS\CRISTALEIRA TIME_235963.jpg</v>
      </c>
    </row>
    <row r="572" spans="1:22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30"/>
        <v/>
      </c>
      <c r="L572" s="7" t="str">
        <f>IF(VLOOKUP(A572,'[1]LISTA ETIQUETAS'!O:AB,14,0)="","",(VLOOKUP(A572,'[1]LISTA ETIQUETAS'!O:AB,14,0)))</f>
        <v/>
      </c>
      <c r="M572" s="8"/>
      <c r="N572" s="9">
        <f t="shared" si="31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32"/>
        <v>3</v>
      </c>
      <c r="U572" s="10" t="str">
        <f>IFERROR((VLOOKUP(A572,Planilha1!A:B,2,0)),"\\192.168.0.4\Produtos\PRODUTO_PRONTA_ENTREGA\static\IMAGENS_PRODUTOS\SEM IMAGEM.jpg")</f>
        <v>\\192.168.0.4\Produtos\PRODUTO_PRONTA_ENTREGA\static\IMAGENS_PRODUTOS\SEM IMAGEM.jpg</v>
      </c>
      <c r="V572" t="str">
        <f>IFERROR((VLOOKUP(A572,Planilha1!A:B,2,0)),"\\192.168.0.4\Produtos\PRODUTO_PRONTA_ENTREGA\static\IMAGENS_PRODUTOS\SEM IMAGEM.jpg")</f>
        <v>\\192.168.0.4\Produtos\PRODUTO_PRONTA_ENTREGA\static\IMAGENS_PRODUTOS\SEM IMAGEM.jpg</v>
      </c>
    </row>
    <row r="573" spans="1:22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30"/>
        <v/>
      </c>
      <c r="L573" s="7" t="str">
        <f>IF(VLOOKUP(A573,'[1]LISTA ETIQUETAS'!O:AB,14,0)="","",(VLOOKUP(A573,'[1]LISTA ETIQUETAS'!O:AB,14,0)))</f>
        <v/>
      </c>
      <c r="M573" s="8"/>
      <c r="N573" s="9">
        <f t="shared" si="31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32"/>
        <v>10</v>
      </c>
      <c r="U573" s="10" t="str">
        <f>IFERROR((VLOOKUP(A573,Planilha1!A:B,2,0)),"\\192.168.0.4\Produtos\PRODUTO_PRONTA_ENTREGA\static\IMAGENS_PRODUTOS\SEM IMAGEM.jpg")</f>
        <v>\\192.168.0.4\Produtos\PRODUTO_PRONTA_ENTREGA\static\IMAGENS_PRODUTOS\SEM IMAGEM.jpg</v>
      </c>
      <c r="V573" t="str">
        <f>IFERROR((VLOOKUP(A573,Planilha1!A:B,2,0)),"\\192.168.0.4\Produtos\PRODUTO_PRONTA_ENTREGA\static\IMAGENS_PRODUTOS\SEM IMAGEM.jpg")</f>
        <v>\\192.168.0.4\Produtos\PRODUTO_PRONTA_ENTREGA\static\IMAGENS_PRODUTOS\SEM IMAGEM.jpg</v>
      </c>
    </row>
    <row r="574" spans="1:22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30"/>
        <v/>
      </c>
      <c r="L574" s="7" t="str">
        <f>IF(VLOOKUP(A574,'[1]LISTA ETIQUETAS'!O:AB,14,0)="","",(VLOOKUP(A574,'[1]LISTA ETIQUETAS'!O:AB,14,0)))</f>
        <v/>
      </c>
      <c r="M574" s="8"/>
      <c r="N574" s="9">
        <f t="shared" si="31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32"/>
        <v>6</v>
      </c>
      <c r="U574" s="10" t="str">
        <f>IFERROR((VLOOKUP(A574,Planilha1!A:B,2,0)),"\\192.168.0.4\Produtos\PRODUTO_PRONTA_ENTREGA\static\IMAGENS_PRODUTOS\SEM IMAGEM.jpg")</f>
        <v>\\192.168.0.4\Produtos\PRODUTO_PRONTA_ENTREGA\static\IMAGENS_PRODUTOS\SEM IMAGEM.jpg</v>
      </c>
      <c r="V574" t="str">
        <f>IFERROR((VLOOKUP(A574,Planilha1!A:B,2,0)),"\\192.168.0.4\Produtos\PRODUTO_PRONTA_ENTREGA\static\IMAGENS_PRODUTOS\SEM IMAGEM.jpg")</f>
        <v>\\192.168.0.4\Produtos\PRODUTO_PRONTA_ENTREGA\static\IMAGENS_PRODUTOS\SEM IMAGEM.jpg</v>
      </c>
    </row>
    <row r="575" spans="1:22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30"/>
        <v/>
      </c>
      <c r="L575" s="7" t="str">
        <f>IF(VLOOKUP(A575,'[1]LISTA ETIQUETAS'!O:AB,14,0)="","",(VLOOKUP(A575,'[1]LISTA ETIQUETAS'!O:AB,14,0)))</f>
        <v/>
      </c>
      <c r="M575" s="8"/>
      <c r="N575" s="9">
        <f t="shared" si="31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32"/>
        <v>8</v>
      </c>
      <c r="U575" s="10" t="str">
        <f>IFERROR((VLOOKUP(A575,Planilha1!A:B,2,0)),"\\192.168.0.4\Produtos\PRODUTO_PRONTA_ENTREGA\static\IMAGENS_PRODUTOS\SEM IMAGEM.jpg")</f>
        <v>\\192.168.0.4\Produtos\PRODUTO_PRONTA_ENTREGA\static\IMAGENS_PRODUTOS\SEM IMAGEM.jpg</v>
      </c>
      <c r="V575" t="str">
        <f>IFERROR((VLOOKUP(A575,Planilha1!A:B,2,0)),"\\192.168.0.4\Produtos\PRODUTO_PRONTA_ENTREGA\static\IMAGENS_PRODUTOS\SEM IMAGEM.jpg")</f>
        <v>\\192.168.0.4\Produtos\PRODUTO_PRONTA_ENTREGA\static\IMAGENS_PRODUTOS\SEM IMAGEM.jpg</v>
      </c>
    </row>
    <row r="576" spans="1:22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30"/>
        <v/>
      </c>
      <c r="L576" s="7" t="str">
        <f>IF(VLOOKUP(A576,'[1]LISTA ETIQUETAS'!O:AB,14,0)="","",(VLOOKUP(A576,'[1]LISTA ETIQUETAS'!O:AB,14,0)))</f>
        <v/>
      </c>
      <c r="M576" s="8"/>
      <c r="N576" s="9">
        <f t="shared" si="31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32"/>
        <v>5</v>
      </c>
      <c r="U576" s="10" t="str">
        <f>IFERROR((VLOOKUP(A576,Planilha1!A:B,2,0)),"\\192.168.0.4\Produtos\PRODUTO_PRONTA_ENTREGA\static\IMAGENS_PRODUTOS\SEM IMAGEM.jpg")</f>
        <v>\\192.168.0.4\Produtos\PRODUTO_PRONTA_ENTREGA\static\IMAGENS_PRODUTOS\SEM IMAGEM.jpg</v>
      </c>
      <c r="V576" t="str">
        <f>IFERROR((VLOOKUP(A576,Planilha1!A:B,2,0)),"\\192.168.0.4\Produtos\PRODUTO_PRONTA_ENTREGA\static\IMAGENS_PRODUTOS\SEM IMAGEM.jpg")</f>
        <v>\\192.168.0.4\Produtos\PRODUTO_PRONTA_ENTREGA\static\IMAGENS_PRODUTOS\SEM IMAGEM.jpg</v>
      </c>
    </row>
    <row r="577" spans="1:22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30"/>
        <v/>
      </c>
      <c r="L577" s="7" t="str">
        <f>IF(VLOOKUP(A577,'[1]LISTA ETIQUETAS'!O:AB,14,0)="","",(VLOOKUP(A577,'[1]LISTA ETIQUETAS'!O:AB,14,0)))</f>
        <v/>
      </c>
      <c r="M577" s="8"/>
      <c r="N577" s="9">
        <f t="shared" si="31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32"/>
        <v>2</v>
      </c>
      <c r="U577" s="10" t="str">
        <f>IFERROR((VLOOKUP(A577,Planilha1!A:B,2,0)),"\\192.168.0.4\Produtos\PRODUTO_PRONTA_ENTREGA\static\IMAGENS_PRODUTOS\SEM IMAGEM.jpg")</f>
        <v>\\192.168.0.4\Produtos\PRODUTO_PRONTA_ENTREGA\static\IMAGENS_PRODUTOS\SEM IMAGEM.jpg</v>
      </c>
      <c r="V577" t="str">
        <f>IFERROR((VLOOKUP(A577,Planilha1!A:B,2,0)),"\\192.168.0.4\Produtos\PRODUTO_PRONTA_ENTREGA\static\IMAGENS_PRODUTOS\SEM IMAGEM.jpg")</f>
        <v>\\192.168.0.4\Produtos\PRODUTO_PRONTA_ENTREGA\static\IMAGENS_PRODUTOS\SEM IMAGEM.jpg</v>
      </c>
    </row>
    <row r="578" spans="1:22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30"/>
        <v/>
      </c>
      <c r="L578" s="7" t="str">
        <f>IF(VLOOKUP(A578,'[1]LISTA ETIQUETAS'!O:AB,14,0)="","",(VLOOKUP(A578,'[1]LISTA ETIQUETAS'!O:AB,14,0)))</f>
        <v/>
      </c>
      <c r="M578" s="8"/>
      <c r="N578" s="9">
        <f t="shared" si="31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32"/>
        <v>23</v>
      </c>
      <c r="U578" s="10" t="str">
        <f>IFERROR((VLOOKUP(A578,Planilha1!A:B,2,0)),"\\192.168.0.4\Produtos\PRODUTO_PRONTA_ENTREGA\static\IMAGENS_PRODUTOS\SEM IMAGEM.jpg")</f>
        <v>\\192.168.0.4\Produtos\PRODUTO_PRONTA_ENTREGA\static\IMAGENS_PRODUTOS\SEM IMAGEM.jpg</v>
      </c>
      <c r="V578" t="str">
        <f>IFERROR((VLOOKUP(A578,Planilha1!A:B,2,0)),"\\192.168.0.4\Produtos\PRODUTO_PRONTA_ENTREGA\static\IMAGENS_PRODUTOS\SEM IMAGEM.jpg")</f>
        <v>\\192.168.0.4\Produtos\PRODUTO_PRONTA_ENTREGA\static\IMAGENS_PRODUTOS\SEM IMAGEM.jpg</v>
      </c>
    </row>
    <row r="579" spans="1:22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33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31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32"/>
        <v>4</v>
      </c>
      <c r="U579" s="10" t="str">
        <f>IFERROR((VLOOKUP(A579,Planilha1!A:B,2,0)),"\\192.168.0.4\Produtos\PRODUTO_PRONTA_ENTREGA\static\IMAGENS_PRODUTOS\SEM IMAGEM.jpg")</f>
        <v>\\192.168.0.4\Produtos\PRODUTO_PRONTA_ENTREGA\static\IMAGENS_PRODUTOS\SEM IMAGEM.jpg</v>
      </c>
      <c r="V579" t="str">
        <f>IFERROR((VLOOKUP(A579,Planilha1!A:B,2,0)),"\\192.168.0.4\Produtos\PRODUTO_PRONTA_ENTREGA\static\IMAGENS_PRODUTOS\SEM IMAGEM.jpg")</f>
        <v>\\192.168.0.4\Produtos\PRODUTO_PRONTA_ENTREGA\static\IMAGENS_PRODUTOS\SEM IMAGEM.jpg</v>
      </c>
    </row>
    <row r="580" spans="1:22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33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34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35">SUM(O580:S580)</f>
        <v>4</v>
      </c>
      <c r="U580" s="10" t="str">
        <f>IFERROR((VLOOKUP(A580,Planilha1!A:B,2,0)),"\\192.168.0.4\Produtos\PRODUTO_PRONTA_ENTREGA\static\IMAGENS_PRODUTOS\SEM IMAGEM.jpg")</f>
        <v>\\192.168.0.4\Produtos\PRODUTO_PRONTA_ENTREGA\static\IMAGENS_PRODUTOS\SEM IMAGEM.jpg</v>
      </c>
      <c r="V580" t="str">
        <f>IFERROR((VLOOKUP(A580,Planilha1!A:B,2,0)),"\\192.168.0.4\Produtos\PRODUTO_PRONTA_ENTREGA\static\IMAGENS_PRODUTOS\SEM IMAGEM.jpg")</f>
        <v>\\192.168.0.4\Produtos\PRODUTO_PRONTA_ENTREGA\static\IMAGENS_PRODUTOS\SEM IMAGEM.jpg</v>
      </c>
    </row>
    <row r="581" spans="1:22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33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34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35"/>
        <v>2</v>
      </c>
      <c r="U581" s="10" t="str">
        <f>IFERROR((VLOOKUP(A581,Planilha1!A:B,2,0)),"\\192.168.0.4\Produtos\PRODUTO_PRONTA_ENTREGA\static\IMAGENS_PRODUTOS\SEM IMAGEM.jpg")</f>
        <v>\\192.168.0.4\Produtos\PRODUTO_PRONTA_ENTREGA\static\IMAGENS_PRODUTOS\ESTANTE MORE_232359.jpg</v>
      </c>
      <c r="V581" t="str">
        <f>IFERROR((VLOOKUP(A581,Planilha1!A:B,2,0)),"\\192.168.0.4\Produtos\PRODUTO_PRONTA_ENTREGA\static\IMAGENS_PRODUTOS\SEM IMAGEM.jpg")</f>
        <v>\\192.168.0.4\Produtos\PRODUTO_PRONTA_ENTREGA\static\IMAGENS_PRODUTOS\ESTANTE MORE_232359.jpg</v>
      </c>
    </row>
    <row r="582" spans="1:22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33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34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35"/>
        <v>3</v>
      </c>
      <c r="U582" s="10" t="str">
        <f>IFERROR((VLOOKUP(A582,Planilha1!A:B,2,0)),"\\192.168.0.4\Produtos\PRODUTO_PRONTA_ENTREGA\static\IMAGENS_PRODUTOS\SEM IMAGEM.jpg")</f>
        <v>\\192.168.0.4\Produtos\PRODUTO_PRONTA_ENTREGA\static\IMAGENS_PRODUTOS\ESTANTE EIXO_81474.jpg</v>
      </c>
      <c r="V582" t="str">
        <f>IFERROR((VLOOKUP(A582,Planilha1!A:B,2,0)),"\\192.168.0.4\Produtos\PRODUTO_PRONTA_ENTREGA\static\IMAGENS_PRODUTOS\SEM IMAGEM.jpg")</f>
        <v>\\192.168.0.4\Produtos\PRODUTO_PRONTA_ENTREGA\static\IMAGENS_PRODUTOS\ESTANTE EIXO_81474.jpg</v>
      </c>
    </row>
    <row r="583" spans="1:22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33"/>
        <v/>
      </c>
      <c r="L583" s="7" t="str">
        <f>IF(VLOOKUP(A583,'[1]LISTA ETIQUETAS'!O:AB,14,0)="","",(VLOOKUP(A583,'[1]LISTA ETIQUETAS'!O:AB,14,0)))</f>
        <v/>
      </c>
      <c r="M583" s="8"/>
      <c r="N583" s="9">
        <f t="shared" si="34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35"/>
        <v>1</v>
      </c>
      <c r="U583" s="10" t="str">
        <f>IFERROR((VLOOKUP(A583,Planilha1!A:B,2,0)),"\\192.168.0.4\Produtos\PRODUTO_PRONTA_ENTREGA\static\IMAGENS_PRODUTOS\SEM IMAGEM.jpg")</f>
        <v>\\192.168.0.4\Produtos\PRODUTO_PRONTA_ENTREGA\static\IMAGENS_PRODUTOS\HOME CHAN_88622.jpg</v>
      </c>
      <c r="V583" t="str">
        <f>IFERROR((VLOOKUP(A583,Planilha1!A:B,2,0)),"\\192.168.0.4\Produtos\PRODUTO_PRONTA_ENTREGA\static\IMAGENS_PRODUTOS\SEM IMAGEM.jpg")</f>
        <v>\\192.168.0.4\Produtos\PRODUTO_PRONTA_ENTREGA\static\IMAGENS_PRODUTOS\HOME CHAN_88622.jpg</v>
      </c>
    </row>
    <row r="584" spans="1:22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33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34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35"/>
        <v>1</v>
      </c>
      <c r="U584" s="10" t="str">
        <f>IFERROR((VLOOKUP(A584,Planilha1!A:B,2,0)),"\\192.168.0.4\Produtos\PRODUTO_PRONTA_ENTREGA\static\IMAGENS_PRODUTOS\SEM IMAGEM.jpg")</f>
        <v>\\192.168.0.4\Produtos\PRODUTO_PRONTA_ENTREGA\static\IMAGENS_PRODUTOS\HOME CODE_94227.jpg</v>
      </c>
      <c r="V584" t="str">
        <f>IFERROR((VLOOKUP(A584,Planilha1!A:B,2,0)),"\\192.168.0.4\Produtos\PRODUTO_PRONTA_ENTREGA\static\IMAGENS_PRODUTOS\SEM IMAGEM.jpg")</f>
        <v>\\192.168.0.4\Produtos\PRODUTO_PRONTA_ENTREGA\static\IMAGENS_PRODUTOS\HOME CODE_94227.jpg</v>
      </c>
    </row>
    <row r="585" spans="1:22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33"/>
        <v/>
      </c>
      <c r="L585" s="7" t="str">
        <f>IF(VLOOKUP(A585,'[1]LISTA ETIQUETAS'!O:AB,14,0)="","",(VLOOKUP(A585,'[1]LISTA ETIQUETAS'!O:AB,14,0)))</f>
        <v/>
      </c>
      <c r="M585" s="8"/>
      <c r="N585" s="9">
        <f t="shared" si="34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35"/>
        <v>1</v>
      </c>
      <c r="U585" s="10" t="str">
        <f>IFERROR((VLOOKUP(A585,Planilha1!A:B,2,0)),"\\192.168.0.4\Produtos\PRODUTO_PRONTA_ENTREGA\static\IMAGENS_PRODUTOS\SEM IMAGEM.jpg")</f>
        <v>\\192.168.0.4\Produtos\PRODUTO_PRONTA_ENTREGA\static\IMAGENS_PRODUTOS\HOME ELLE_146117.jpg</v>
      </c>
      <c r="V585" t="str">
        <f>IFERROR((VLOOKUP(A585,Planilha1!A:B,2,0)),"\\192.168.0.4\Produtos\PRODUTO_PRONTA_ENTREGA\static\IMAGENS_PRODUTOS\SEM IMAGEM.jpg")</f>
        <v>\\192.168.0.4\Produtos\PRODUTO_PRONTA_ENTREGA\static\IMAGENS_PRODUTOS\HOME ELLE_146117.jpg</v>
      </c>
    </row>
    <row r="586" spans="1:22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33"/>
        <v/>
      </c>
      <c r="L586" s="7" t="str">
        <f>IF(VLOOKUP(A586,'[1]LISTA ETIQUETAS'!O:AB,14,0)="","",(VLOOKUP(A586,'[1]LISTA ETIQUETAS'!O:AB,14,0)))</f>
        <v/>
      </c>
      <c r="M586" s="8"/>
      <c r="N586" s="9">
        <f t="shared" si="34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35"/>
        <v>1</v>
      </c>
      <c r="U586" s="10" t="str">
        <f>IFERROR((VLOOKUP(A586,Planilha1!A:B,2,0)),"\\192.168.0.4\Produtos\PRODUTO_PRONTA_ENTREGA\static\IMAGENS_PRODUTOS\SEM IMAGEM.jpg")</f>
        <v>\\192.168.0.4\Produtos\PRODUTO_PRONTA_ENTREGA\static\IMAGENS_PRODUTOS\SEM IMAGEM.jpg</v>
      </c>
      <c r="V586" t="str">
        <f>IFERROR((VLOOKUP(A586,Planilha1!A:B,2,0)),"\\192.168.0.4\Produtos\PRODUTO_PRONTA_ENTREGA\static\IMAGENS_PRODUTOS\SEM IMAGEM.jpg")</f>
        <v>\\192.168.0.4\Produtos\PRODUTO_PRONTA_ENTREGA\static\IMAGENS_PRODUTOS\SEM IMAGEM.jpg</v>
      </c>
    </row>
    <row r="587" spans="1:22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33"/>
        <v/>
      </c>
      <c r="L587" s="7" t="str">
        <f>IF(VLOOKUP(A587,'[1]LISTA ETIQUETAS'!O:AB,14,0)="","",(VLOOKUP(A587,'[1]LISTA ETIQUETAS'!O:AB,14,0)))</f>
        <v/>
      </c>
      <c r="M587" s="8"/>
      <c r="N587" s="9">
        <f t="shared" si="34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35"/>
        <v>4</v>
      </c>
      <c r="U587" s="10" t="str">
        <f>IFERROR((VLOOKUP(A587,Planilha1!A:B,2,0)),"\\192.168.0.4\Produtos\PRODUTO_PRONTA_ENTREGA\static\IMAGENS_PRODUTOS\SEM IMAGEM.jpg")</f>
        <v>\\192.168.0.4\Produtos\PRODUTO_PRONTA_ENTREGA\static\IMAGENS_PRODUTOS\SEM IMAGEM.jpg</v>
      </c>
      <c r="V587" t="str">
        <f>IFERROR((VLOOKUP(A587,Planilha1!A:B,2,0)),"\\192.168.0.4\Produtos\PRODUTO_PRONTA_ENTREGA\static\IMAGENS_PRODUTOS\SEM IMAGEM.jpg")</f>
        <v>\\192.168.0.4\Produtos\PRODUTO_PRONTA_ENTREGA\static\IMAGENS_PRODUTOS\SEM IMAGEM.jpg</v>
      </c>
    </row>
    <row r="588" spans="1:22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33"/>
        <v/>
      </c>
      <c r="L588" s="7" t="str">
        <f>IF(VLOOKUP(A588,'[1]LISTA ETIQUETAS'!O:AB,14,0)="","",(VLOOKUP(A588,'[1]LISTA ETIQUETAS'!O:AB,14,0)))</f>
        <v/>
      </c>
      <c r="M588" s="8"/>
      <c r="N588" s="9">
        <f t="shared" si="34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35"/>
        <v>4</v>
      </c>
      <c r="U588" s="10" t="str">
        <f>IFERROR((VLOOKUP(A588,Planilha1!A:B,2,0)),"\\192.168.0.4\Produtos\PRODUTO_PRONTA_ENTREGA\static\IMAGENS_PRODUTOS\SEM IMAGEM.jpg")</f>
        <v>\\192.168.0.4\Produtos\PRODUTO_PRONTA_ENTREGA\static\IMAGENS_PRODUTOS\SEM IMAGEM.jpg</v>
      </c>
      <c r="V588" t="str">
        <f>IFERROR((VLOOKUP(A588,Planilha1!A:B,2,0)),"\\192.168.0.4\Produtos\PRODUTO_PRONTA_ENTREGA\static\IMAGENS_PRODUTOS\SEM IMAGEM.jpg")</f>
        <v>\\192.168.0.4\Produtos\PRODUTO_PRONTA_ENTREGA\static\IMAGENS_PRODUTOS\SEM IMAGEM.jpg</v>
      </c>
    </row>
    <row r="589" spans="1:22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33"/>
        <v/>
      </c>
      <c r="L589" s="7" t="str">
        <f>IF(VLOOKUP(A589,'[1]LISTA ETIQUETAS'!O:AB,14,0)="","",(VLOOKUP(A589,'[1]LISTA ETIQUETAS'!O:AB,14,0)))</f>
        <v/>
      </c>
      <c r="M589" s="8"/>
      <c r="N589" s="9">
        <f t="shared" si="34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35"/>
        <v>4</v>
      </c>
      <c r="U589" s="10" t="str">
        <f>IFERROR((VLOOKUP(A589,Planilha1!A:B,2,0)),"\\192.168.0.4\Produtos\PRODUTO_PRONTA_ENTREGA\static\IMAGENS_PRODUTOS\SEM IMAGEM.jpg")</f>
        <v>\\192.168.0.4\Produtos\PRODUTO_PRONTA_ENTREGA\static\IMAGENS_PRODUTOS\SEM IMAGEM.jpg</v>
      </c>
      <c r="V589" t="str">
        <f>IFERROR((VLOOKUP(A589,Planilha1!A:B,2,0)),"\\192.168.0.4\Produtos\PRODUTO_PRONTA_ENTREGA\static\IMAGENS_PRODUTOS\SEM IMAGEM.jpg")</f>
        <v>\\192.168.0.4\Produtos\PRODUTO_PRONTA_ENTREGA\static\IMAGENS_PRODUTOS\SEM IMAGEM.jpg</v>
      </c>
    </row>
    <row r="590" spans="1:22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33"/>
        <v/>
      </c>
      <c r="L590" s="7" t="str">
        <f>IF(VLOOKUP(A590,'[1]LISTA ETIQUETAS'!O:AB,14,0)="","",(VLOOKUP(A590,'[1]LISTA ETIQUETAS'!O:AB,14,0)))</f>
        <v/>
      </c>
      <c r="M590" s="8"/>
      <c r="N590" s="9">
        <f t="shared" si="34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35"/>
        <v>1</v>
      </c>
      <c r="U590" s="10" t="str">
        <f>IFERROR((VLOOKUP(A590,Planilha1!A:B,2,0)),"\\192.168.0.4\Produtos\PRODUTO_PRONTA_ENTREGA\static\IMAGENS_PRODUTOS\SEM IMAGEM.jpg")</f>
        <v>\\192.168.0.4\Produtos\PRODUTO_PRONTA_ENTREGA\static\IMAGENS_PRODUTOS\LUMINARIA TOTO_88613.jpg</v>
      </c>
      <c r="V590" t="str">
        <f>IFERROR((VLOOKUP(A590,Planilha1!A:B,2,0)),"\\192.168.0.4\Produtos\PRODUTO_PRONTA_ENTREGA\static\IMAGENS_PRODUTOS\SEM IMAGEM.jpg")</f>
        <v>\\192.168.0.4\Produtos\PRODUTO_PRONTA_ENTREGA\static\IMAGENS_PRODUTOS\LUMINARIA TOTO_88613.jpg</v>
      </c>
    </row>
    <row r="591" spans="1:22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33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34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35"/>
        <v>1</v>
      </c>
      <c r="U591" s="10" t="str">
        <f>IFERROR((VLOOKUP(A591,Planilha1!A:B,2,0)),"\\192.168.0.4\Produtos\PRODUTO_PRONTA_ENTREGA\static\IMAGENS_PRODUTOS\SEM IMAGEM.jpg")</f>
        <v>\\192.168.0.4\Produtos\PRODUTO_PRONTA_ENTREGA\static\IMAGENS_PRODUTOS\SEM IMAGEM.jpg</v>
      </c>
      <c r="V591" t="str">
        <f>IFERROR((VLOOKUP(A591,Planilha1!A:B,2,0)),"\\192.168.0.4\Produtos\PRODUTO_PRONTA_ENTREGA\static\IMAGENS_PRODUTOS\SEM IMAGEM.jpg")</f>
        <v>\\192.168.0.4\Produtos\PRODUTO_PRONTA_ENTREGA\static\IMAGENS_PRODUTOS\SEM IMAGEM.jpg</v>
      </c>
    </row>
    <row r="592" spans="1:22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33"/>
        <v/>
      </c>
      <c r="L592" s="7" t="str">
        <f>IF(VLOOKUP(A592,'[1]LISTA ETIQUETAS'!O:AB,14,0)="","",(VLOOKUP(A592,'[1]LISTA ETIQUETAS'!O:AB,14,0)))</f>
        <v/>
      </c>
      <c r="M592" s="8"/>
      <c r="N592" s="9">
        <f t="shared" si="34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35"/>
        <v>1</v>
      </c>
      <c r="U592" s="10" t="str">
        <f>IFERROR((VLOOKUP(A592,Planilha1!A:B,2,0)),"\\192.168.0.4\Produtos\PRODUTO_PRONTA_ENTREGA\static\IMAGENS_PRODUTOS\SEM IMAGEM.jpg")</f>
        <v>\\192.168.0.4\Produtos\PRODUTO_PRONTA_ENTREGA\static\IMAGENS_PRODUTOS\SEM IMAGEM.jpg</v>
      </c>
      <c r="V592" t="str">
        <f>IFERROR((VLOOKUP(A592,Planilha1!A:B,2,0)),"\\192.168.0.4\Produtos\PRODUTO_PRONTA_ENTREGA\static\IMAGENS_PRODUTOS\SEM IMAGEM.jpg")</f>
        <v>\\192.168.0.4\Produtos\PRODUTO_PRONTA_ENTREGA\static\IMAGENS_PRODUTOS\SEM IMAGEM.jpg</v>
      </c>
    </row>
    <row r="593" spans="1:22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33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34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35"/>
        <v>4</v>
      </c>
      <c r="U593" s="10" t="str">
        <f>IFERROR((VLOOKUP(A593,Planilha1!A:B,2,0)),"\\192.168.0.4\Produtos\PRODUTO_PRONTA_ENTREGA\static\IMAGENS_PRODUTOS\SEM IMAGEM.jpg")</f>
        <v>\\192.168.0.4\Produtos\PRODUTO_PRONTA_ENTREGA\static\IMAGENS_PRODUTOS\LUMINARIA DE TETO STRETCH_312452.jpg</v>
      </c>
      <c r="V593" t="str">
        <f>IFERROR((VLOOKUP(A593,Planilha1!A:B,2,0)),"\\192.168.0.4\Produtos\PRODUTO_PRONTA_ENTREGA\static\IMAGENS_PRODUTOS\SEM IMAGEM.jpg")</f>
        <v>\\192.168.0.4\Produtos\PRODUTO_PRONTA_ENTREGA\static\IMAGENS_PRODUTOS\LUMINARIA DE TETO STRETCH_312452.jpg</v>
      </c>
    </row>
    <row r="594" spans="1:22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33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34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35"/>
        <v>4</v>
      </c>
      <c r="U594" s="10" t="str">
        <f>IFERROR((VLOOKUP(A594,Planilha1!A:B,2,0)),"\\192.168.0.4\Produtos\PRODUTO_PRONTA_ENTREGA\static\IMAGENS_PRODUTOS\SEM IMAGEM.jpg")</f>
        <v>\\192.168.0.4\Produtos\PRODUTO_PRONTA_ENTREGA\static\IMAGENS_PRODUTOS\LUMINARIA DE TETO STRETCH_312451.jpg</v>
      </c>
      <c r="V594" t="str">
        <f>IFERROR((VLOOKUP(A594,Planilha1!A:B,2,0)),"\\192.168.0.4\Produtos\PRODUTO_PRONTA_ENTREGA\static\IMAGENS_PRODUTOS\SEM IMAGEM.jpg")</f>
        <v>\\192.168.0.4\Produtos\PRODUTO_PRONTA_ENTREGA\static\IMAGENS_PRODUTOS\LUMINARIA DE TETO STRETCH_312451.jpg</v>
      </c>
    </row>
    <row r="595" spans="1:22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33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34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35"/>
        <v>3</v>
      </c>
      <c r="U595" s="10" t="str">
        <f>IFERROR((VLOOKUP(A595,Planilha1!A:B,2,0)),"\\192.168.0.4\Produtos\PRODUTO_PRONTA_ENTREGA\static\IMAGENS_PRODUTOS\SEM IMAGEM.jpg")</f>
        <v>\\192.168.0.4\Produtos\PRODUTO_PRONTA_ENTREGA\static\IMAGENS_PRODUTOS\SEM IMAGEM.jpg</v>
      </c>
      <c r="V595" t="str">
        <f>IFERROR((VLOOKUP(A595,Planilha1!A:B,2,0)),"\\192.168.0.4\Produtos\PRODUTO_PRONTA_ENTREGA\static\IMAGENS_PRODUTOS\SEM IMAGEM.jpg")</f>
        <v>\\192.168.0.4\Produtos\PRODUTO_PRONTA_ENTREGA\static\IMAGENS_PRODUTOS\SEM IMAGEM.jpg</v>
      </c>
    </row>
    <row r="596" spans="1:22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33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34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35"/>
        <v>2</v>
      </c>
      <c r="U596" s="10" t="str">
        <f>IFERROR((VLOOKUP(A596,Planilha1!A:B,2,0)),"\\192.168.0.4\Produtos\PRODUTO_PRONTA_ENTREGA\static\IMAGENS_PRODUTOS\SEM IMAGEM.jpg")</f>
        <v>\\192.168.0.4\Produtos\PRODUTO_PRONTA_ENTREGA\static\IMAGENS_PRODUTOS\SEM IMAGEM.jpg</v>
      </c>
      <c r="V596" t="str">
        <f>IFERROR((VLOOKUP(A596,Planilha1!A:B,2,0)),"\\192.168.0.4\Produtos\PRODUTO_PRONTA_ENTREGA\static\IMAGENS_PRODUTOS\SEM IMAGEM.jpg")</f>
        <v>\\192.168.0.4\Produtos\PRODUTO_PRONTA_ENTREGA\static\IMAGENS_PRODUTOS\SEM IMAGEM.jpg</v>
      </c>
    </row>
    <row r="597" spans="1:22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33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34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35"/>
        <v>1</v>
      </c>
      <c r="U597" s="10" t="str">
        <f>IFERROR((VLOOKUP(A597,Planilha1!A:B,2,0)),"\\192.168.0.4\Produtos\PRODUTO_PRONTA_ENTREGA\static\IMAGENS_PRODUTOS\SEM IMAGEM.jpg")</f>
        <v>\\192.168.0.4\Produtos\PRODUTO_PRONTA_ENTREGA\static\IMAGENS_PRODUTOS\MESA CENTRO CRUX_307934.jpg</v>
      </c>
      <c r="V597" t="str">
        <f>IFERROR((VLOOKUP(A597,Planilha1!A:B,2,0)),"\\192.168.0.4\Produtos\PRODUTO_PRONTA_ENTREGA\static\IMAGENS_PRODUTOS\SEM IMAGEM.jpg")</f>
        <v>\\192.168.0.4\Produtos\PRODUTO_PRONTA_ENTREGA\static\IMAGENS_PRODUTOS\MESA CENTRO CRUX_307934.jpg</v>
      </c>
    </row>
    <row r="598" spans="1:22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33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34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35"/>
        <v>1</v>
      </c>
      <c r="U598" s="10" t="str">
        <f>IFERROR((VLOOKUP(A598,Planilha1!A:B,2,0)),"\\192.168.0.4\Produtos\PRODUTO_PRONTA_ENTREGA\static\IMAGENS_PRODUTOS\SEM IMAGEM.jpg")</f>
        <v>\\192.168.0.4\Produtos\PRODUTO_PRONTA_ENTREGA\static\IMAGENS_PRODUTOS\MESA CENTRO CRUX_276469.jpg</v>
      </c>
      <c r="V598" t="str">
        <f>IFERROR((VLOOKUP(A598,Planilha1!A:B,2,0)),"\\192.168.0.4\Produtos\PRODUTO_PRONTA_ENTREGA\static\IMAGENS_PRODUTOS\SEM IMAGEM.jpg")</f>
        <v>\\192.168.0.4\Produtos\PRODUTO_PRONTA_ENTREGA\static\IMAGENS_PRODUTOS\MESA CENTRO CRUX_276469.jpg</v>
      </c>
    </row>
    <row r="599" spans="1:22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33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34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35"/>
        <v>1</v>
      </c>
      <c r="U599" s="10" t="str">
        <f>IFERROR((VLOOKUP(A599,Planilha1!A:B,2,0)),"\\192.168.0.4\Produtos\PRODUTO_PRONTA_ENTREGA\static\IMAGENS_PRODUTOS\SEM IMAGEM.jpg")</f>
        <v>\\192.168.0.4\Produtos\PRODUTO_PRONTA_ENTREGA\static\IMAGENS_PRODUTOS\MESA CENTRO ARAL_275008.jpg</v>
      </c>
      <c r="V599" t="str">
        <f>IFERROR((VLOOKUP(A599,Planilha1!A:B,2,0)),"\\192.168.0.4\Produtos\PRODUTO_PRONTA_ENTREGA\static\IMAGENS_PRODUTOS\SEM IMAGEM.jpg")</f>
        <v>\\192.168.0.4\Produtos\PRODUTO_PRONTA_ENTREGA\static\IMAGENS_PRODUTOS\MESA CENTRO ARAL_275008.jpg</v>
      </c>
    </row>
    <row r="600" spans="1:22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33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34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35"/>
        <v>1</v>
      </c>
      <c r="U600" s="10" t="str">
        <f>IFERROR((VLOOKUP(A600,Planilha1!A:B,2,0)),"\\192.168.0.4\Produtos\PRODUTO_PRONTA_ENTREGA\static\IMAGENS_PRODUTOS\SEM IMAGEM.jpg")</f>
        <v>\\192.168.0.4\Produtos\PRODUTO_PRONTA_ENTREGA\static\IMAGENS_PRODUTOS\SEM IMAGEM.jpg</v>
      </c>
      <c r="V600" t="str">
        <f>IFERROR((VLOOKUP(A600,Planilha1!A:B,2,0)),"\\192.168.0.4\Produtos\PRODUTO_PRONTA_ENTREGA\static\IMAGENS_PRODUTOS\SEM IMAGEM.jpg")</f>
        <v>\\192.168.0.4\Produtos\PRODUTO_PRONTA_ENTREGA\static\IMAGENS_PRODUTOS\SEM IMAGEM.jpg</v>
      </c>
    </row>
    <row r="601" spans="1:22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33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34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35"/>
        <v>1</v>
      </c>
      <c r="U601" s="10" t="str">
        <f>IFERROR((VLOOKUP(A601,Planilha1!A:B,2,0)),"\\192.168.0.4\Produtos\PRODUTO_PRONTA_ENTREGA\static\IMAGENS_PRODUTOS\SEM IMAGEM.jpg")</f>
        <v>\\192.168.0.4\Produtos\PRODUTO_PRONTA_ENTREGA\static\IMAGENS_PRODUTOS\SEM IMAGEM.jpg</v>
      </c>
      <c r="V601" t="str">
        <f>IFERROR((VLOOKUP(A601,Planilha1!A:B,2,0)),"\\192.168.0.4\Produtos\PRODUTO_PRONTA_ENTREGA\static\IMAGENS_PRODUTOS\SEM IMAGEM.jpg")</f>
        <v>\\192.168.0.4\Produtos\PRODUTO_PRONTA_ENTREGA\static\IMAGENS_PRODUTOS\SEM IMAGEM.jpg</v>
      </c>
    </row>
    <row r="602" spans="1:22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33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34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35"/>
        <v>1</v>
      </c>
      <c r="U602" s="10" t="str">
        <f>IFERROR((VLOOKUP(A602,Planilha1!A:B,2,0)),"\\192.168.0.4\Produtos\PRODUTO_PRONTA_ENTREGA\static\IMAGENS_PRODUTOS\SEM IMAGEM.jpg")</f>
        <v>\\192.168.0.4\Produtos\PRODUTO_PRONTA_ENTREGA\static\IMAGENS_PRODUTOS\SEM IMAGEM.jpg</v>
      </c>
      <c r="V602" t="str">
        <f>IFERROR((VLOOKUP(A602,Planilha1!A:B,2,0)),"\\192.168.0.4\Produtos\PRODUTO_PRONTA_ENTREGA\static\IMAGENS_PRODUTOS\SEM IMAGEM.jpg")</f>
        <v>\\192.168.0.4\Produtos\PRODUTO_PRONTA_ENTREGA\static\IMAGENS_PRODUTOS\SEM IMAGEM.jpg</v>
      </c>
    </row>
    <row r="603" spans="1:22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33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34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35"/>
        <v>1</v>
      </c>
      <c r="U603" s="10" t="str">
        <f>IFERROR((VLOOKUP(A603,Planilha1!A:B,2,0)),"\\192.168.0.4\Produtos\PRODUTO_PRONTA_ENTREGA\static\IMAGENS_PRODUTOS\SEM IMAGEM.jpg")</f>
        <v>\\192.168.0.4\Produtos\PRODUTO_PRONTA_ENTREGA\static\IMAGENS_PRODUTOS\SEM IMAGEM.jpg</v>
      </c>
      <c r="V603" t="str">
        <f>IFERROR((VLOOKUP(A603,Planilha1!A:B,2,0)),"\\192.168.0.4\Produtos\PRODUTO_PRONTA_ENTREGA\static\IMAGENS_PRODUTOS\SEM IMAGEM.jpg")</f>
        <v>\\192.168.0.4\Produtos\PRODUTO_PRONTA_ENTREGA\static\IMAGENS_PRODUTOS\SEM IMAGEM.jpg</v>
      </c>
    </row>
    <row r="604" spans="1:22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33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34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35"/>
        <v>1</v>
      </c>
      <c r="U604" s="10" t="str">
        <f>IFERROR((VLOOKUP(A604,Planilha1!A:B,2,0)),"\\192.168.0.4\Produtos\PRODUTO_PRONTA_ENTREGA\static\IMAGENS_PRODUTOS\SEM IMAGEM.jpg")</f>
        <v>\\192.168.0.4\Produtos\PRODUTO_PRONTA_ENTREGA\static\IMAGENS_PRODUTOS\SEM IMAGEM.jpg</v>
      </c>
      <c r="V604" t="str">
        <f>IFERROR((VLOOKUP(A604,Planilha1!A:B,2,0)),"\\192.168.0.4\Produtos\PRODUTO_PRONTA_ENTREGA\static\IMAGENS_PRODUTOS\SEM IMAGEM.jpg")</f>
        <v>\\192.168.0.4\Produtos\PRODUTO_PRONTA_ENTREGA\static\IMAGENS_PRODUTOS\SEM IMAGEM.jpg</v>
      </c>
    </row>
    <row r="605" spans="1:22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33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34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35"/>
        <v>1</v>
      </c>
      <c r="U605" s="10" t="str">
        <f>IFERROR((VLOOKUP(A605,Planilha1!A:B,2,0)),"\\192.168.0.4\Produtos\PRODUTO_PRONTA_ENTREGA\static\IMAGENS_PRODUTOS\SEM IMAGEM.jpg")</f>
        <v>\\192.168.0.4\Produtos\PRODUTO_PRONTA_ENTREGA\static\IMAGENS_PRODUTOS\SEM IMAGEM.jpg</v>
      </c>
      <c r="V605" t="str">
        <f>IFERROR((VLOOKUP(A605,Planilha1!A:B,2,0)),"\\192.168.0.4\Produtos\PRODUTO_PRONTA_ENTREGA\static\IMAGENS_PRODUTOS\SEM IMAGEM.jpg")</f>
        <v>\\192.168.0.4\Produtos\PRODUTO_PRONTA_ENTREGA\static\IMAGENS_PRODUTOS\SEM IMAGEM.jpg</v>
      </c>
    </row>
    <row r="606" spans="1:22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33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34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35"/>
        <v>1</v>
      </c>
      <c r="U606" s="10" t="str">
        <f>IFERROR((VLOOKUP(A606,Planilha1!A:B,2,0)),"\\192.168.0.4\Produtos\PRODUTO_PRONTA_ENTREGA\static\IMAGENS_PRODUTOS\SEM IMAGEM.jpg")</f>
        <v>\\192.168.0.4\Produtos\PRODUTO_PRONTA_ENTREGA\static\IMAGENS_PRODUTOS\MESA CENTRO ECLIPSE_371595.jpg</v>
      </c>
      <c r="V606" t="str">
        <f>IFERROR((VLOOKUP(A606,Planilha1!A:B,2,0)),"\\192.168.0.4\Produtos\PRODUTO_PRONTA_ENTREGA\static\IMAGENS_PRODUTOS\SEM IMAGEM.jpg")</f>
        <v>\\192.168.0.4\Produtos\PRODUTO_PRONTA_ENTREGA\static\IMAGENS_PRODUTOS\MESA CENTRO ECLIPSE_371595.jpg</v>
      </c>
    </row>
    <row r="607" spans="1:22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33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34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35"/>
        <v>1</v>
      </c>
      <c r="U607" s="10" t="str">
        <f>IFERROR((VLOOKUP(A607,Planilha1!A:B,2,0)),"\\192.168.0.4\Produtos\PRODUTO_PRONTA_ENTREGA\static\IMAGENS_PRODUTOS\SEM IMAGEM.jpg")</f>
        <v>\\192.168.0.4\Produtos\PRODUTO_PRONTA_ENTREGA\static\IMAGENS_PRODUTOS\MESA CENTRO CACAU_361332.jpg</v>
      </c>
      <c r="V607" t="str">
        <f>IFERROR((VLOOKUP(A607,Planilha1!A:B,2,0)),"\\192.168.0.4\Produtos\PRODUTO_PRONTA_ENTREGA\static\IMAGENS_PRODUTOS\SEM IMAGEM.jpg")</f>
        <v>\\192.168.0.4\Produtos\PRODUTO_PRONTA_ENTREGA\static\IMAGENS_PRODUTOS\MESA CENTRO CACAU_361332.jpg</v>
      </c>
    </row>
    <row r="608" spans="1:22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33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34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35"/>
        <v>2</v>
      </c>
      <c r="U608" s="10" t="str">
        <f>IFERROR((VLOOKUP(A608,Planilha1!A:B,2,0)),"\\192.168.0.4\Produtos\PRODUTO_PRONTA_ENTREGA\static\IMAGENS_PRODUTOS\SEM IMAGEM.jpg")</f>
        <v>\\192.168.0.4\Produtos\PRODUTO_PRONTA_ENTREGA\static\IMAGENS_PRODUTOS\MESA CENTRO CACAU_361818.jpg</v>
      </c>
      <c r="V608" t="str">
        <f>IFERROR((VLOOKUP(A608,Planilha1!A:B,2,0)),"\\192.168.0.4\Produtos\PRODUTO_PRONTA_ENTREGA\static\IMAGENS_PRODUTOS\SEM IMAGEM.jpg")</f>
        <v>\\192.168.0.4\Produtos\PRODUTO_PRONTA_ENTREGA\static\IMAGENS_PRODUTOS\MESA CENTRO CACAU_361818.jpg</v>
      </c>
    </row>
    <row r="609" spans="1:22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33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34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35"/>
        <v>1</v>
      </c>
      <c r="U609" s="10" t="str">
        <f>IFERROR((VLOOKUP(A609,Planilha1!A:B,2,0)),"\\192.168.0.4\Produtos\PRODUTO_PRONTA_ENTREGA\static\IMAGENS_PRODUTOS\SEM IMAGEM.jpg")</f>
        <v>\\192.168.0.4\Produtos\PRODUTO_PRONTA_ENTREGA\static\IMAGENS_PRODUTOS\SEM IMAGEM.jpg</v>
      </c>
      <c r="V609" t="str">
        <f>IFERROR((VLOOKUP(A609,Planilha1!A:B,2,0)),"\\192.168.0.4\Produtos\PRODUTO_PRONTA_ENTREGA\static\IMAGENS_PRODUTOS\SEM IMAGEM.jpg")</f>
        <v>\\192.168.0.4\Produtos\PRODUTO_PRONTA_ENTREGA\static\IMAGENS_PRODUTOS\SEM IMAGEM.jpg</v>
      </c>
    </row>
    <row r="610" spans="1:22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33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34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35"/>
        <v>1</v>
      </c>
      <c r="U610" s="10" t="str">
        <f>IFERROR((VLOOKUP(A610,Planilha1!A:B,2,0)),"\\192.168.0.4\Produtos\PRODUTO_PRONTA_ENTREGA\static\IMAGENS_PRODUTOS\SEM IMAGEM.jpg")</f>
        <v>\\192.168.0.4\Produtos\PRODUTO_PRONTA_ENTREGA\static\IMAGENS_PRODUTOS\MESA CENTRO MATISSE_350005.jpg</v>
      </c>
      <c r="V610" t="str">
        <f>IFERROR((VLOOKUP(A610,Planilha1!A:B,2,0)),"\\192.168.0.4\Produtos\PRODUTO_PRONTA_ENTREGA\static\IMAGENS_PRODUTOS\SEM IMAGEM.jpg")</f>
        <v>\\192.168.0.4\Produtos\PRODUTO_PRONTA_ENTREGA\static\IMAGENS_PRODUTOS\MESA CENTRO MATISSE_350005.jpg</v>
      </c>
    </row>
    <row r="611" spans="1:22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33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34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35"/>
        <v>1</v>
      </c>
      <c r="U611" s="10" t="str">
        <f>IFERROR((VLOOKUP(A611,Planilha1!A:B,2,0)),"\\192.168.0.4\Produtos\PRODUTO_PRONTA_ENTREGA\static\IMAGENS_PRODUTOS\SEM IMAGEM.jpg")</f>
        <v>\\192.168.0.4\Produtos\PRODUTO_PRONTA_ENTREGA\static\IMAGENS_PRODUTOS\MESA CENTRO BALLET_328889.jpg</v>
      </c>
      <c r="V611" t="str">
        <f>IFERROR((VLOOKUP(A611,Planilha1!A:B,2,0)),"\\192.168.0.4\Produtos\PRODUTO_PRONTA_ENTREGA\static\IMAGENS_PRODUTOS\SEM IMAGEM.jpg")</f>
        <v>\\192.168.0.4\Produtos\PRODUTO_PRONTA_ENTREGA\static\IMAGENS_PRODUTOS\MESA CENTRO BALLET_328889.jpg</v>
      </c>
    </row>
    <row r="612" spans="1:22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33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34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35"/>
        <v>1</v>
      </c>
      <c r="U612" s="10" t="str">
        <f>IFERROR((VLOOKUP(A612,Planilha1!A:B,2,0)),"\\192.168.0.4\Produtos\PRODUTO_PRONTA_ENTREGA\static\IMAGENS_PRODUTOS\SEM IMAGEM.jpg")</f>
        <v>\\192.168.0.4\Produtos\PRODUTO_PRONTA_ENTREGA\static\IMAGENS_PRODUTOS\MESA CENTRO BALLET II_329026.jpg</v>
      </c>
      <c r="V612" t="str">
        <f>IFERROR((VLOOKUP(A612,Planilha1!A:B,2,0)),"\\192.168.0.4\Produtos\PRODUTO_PRONTA_ENTREGA\static\IMAGENS_PRODUTOS\SEM IMAGEM.jpg")</f>
        <v>\\192.168.0.4\Produtos\PRODUTO_PRONTA_ENTREGA\static\IMAGENS_PRODUTOS\MESA CENTRO BALLET II_329026.jpg</v>
      </c>
    </row>
    <row r="613" spans="1:22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33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34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35"/>
        <v>1</v>
      </c>
      <c r="U613" s="10" t="str">
        <f>IFERROR((VLOOKUP(A613,Planilha1!A:B,2,0)),"\\192.168.0.4\Produtos\PRODUTO_PRONTA_ENTREGA\static\IMAGENS_PRODUTOS\SEM IMAGEM.jpg")</f>
        <v>\\192.168.0.4\Produtos\PRODUTO_PRONTA_ENTREGA\static\IMAGENS_PRODUTOS\SEM IMAGEM.jpg</v>
      </c>
      <c r="V613" t="str">
        <f>IFERROR((VLOOKUP(A613,Planilha1!A:B,2,0)),"\\192.168.0.4\Produtos\PRODUTO_PRONTA_ENTREGA\static\IMAGENS_PRODUTOS\SEM IMAGEM.jpg")</f>
        <v>\\192.168.0.4\Produtos\PRODUTO_PRONTA_ENTREGA\static\IMAGENS_PRODUTOS\SEM IMAGEM.jpg</v>
      </c>
    </row>
    <row r="614" spans="1:22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33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34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35"/>
        <v>1</v>
      </c>
      <c r="U614" s="10" t="str">
        <f>IFERROR((VLOOKUP(A614,Planilha1!A:B,2,0)),"\\192.168.0.4\Produtos\PRODUTO_PRONTA_ENTREGA\static\IMAGENS_PRODUTOS\SEM IMAGEM.jpg")</f>
        <v>\\192.168.0.4\Produtos\PRODUTO_PRONTA_ENTREGA\static\IMAGENS_PRODUTOS\SEM IMAGEM.jpg</v>
      </c>
      <c r="V614" t="str">
        <f>IFERROR((VLOOKUP(A614,Planilha1!A:B,2,0)),"\\192.168.0.4\Produtos\PRODUTO_PRONTA_ENTREGA\static\IMAGENS_PRODUTOS\SEM IMAGEM.jpg")</f>
        <v>\\192.168.0.4\Produtos\PRODUTO_PRONTA_ENTREGA\static\IMAGENS_PRODUTOS\SEM IMAGEM.jpg</v>
      </c>
    </row>
    <row r="615" spans="1:22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33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34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35"/>
        <v>1</v>
      </c>
      <c r="U615" s="10" t="str">
        <f>IFERROR((VLOOKUP(A615,Planilha1!A:B,2,0)),"\\192.168.0.4\Produtos\PRODUTO_PRONTA_ENTREGA\static\IMAGENS_PRODUTOS\SEM IMAGEM.jpg")</f>
        <v>\\192.168.0.4\Produtos\PRODUTO_PRONTA_ENTREGA\static\IMAGENS_PRODUTOS\MESA CENTRO BALLET_334648.jpg</v>
      </c>
      <c r="V615" t="str">
        <f>IFERROR((VLOOKUP(A615,Planilha1!A:B,2,0)),"\\192.168.0.4\Produtos\PRODUTO_PRONTA_ENTREGA\static\IMAGENS_PRODUTOS\SEM IMAGEM.jpg")</f>
        <v>\\192.168.0.4\Produtos\PRODUTO_PRONTA_ENTREGA\static\IMAGENS_PRODUTOS\MESA CENTRO BALLET_334648.jpg</v>
      </c>
    </row>
    <row r="616" spans="1:22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33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34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35"/>
        <v>1</v>
      </c>
      <c r="U616" s="10" t="str">
        <f>IFERROR((VLOOKUP(A616,Planilha1!A:B,2,0)),"\\192.168.0.4\Produtos\PRODUTO_PRONTA_ENTREGA\static\IMAGENS_PRODUTOS\SEM IMAGEM.jpg")</f>
        <v>\\192.168.0.4\Produtos\PRODUTO_PRONTA_ENTREGA\static\IMAGENS_PRODUTOS\SEM IMAGEM.jpg</v>
      </c>
      <c r="V616" t="str">
        <f>IFERROR((VLOOKUP(A616,Planilha1!A:B,2,0)),"\\192.168.0.4\Produtos\PRODUTO_PRONTA_ENTREGA\static\IMAGENS_PRODUTOS\SEM IMAGEM.jpg")</f>
        <v>\\192.168.0.4\Produtos\PRODUTO_PRONTA_ENTREGA\static\IMAGENS_PRODUTOS\SEM IMAGEM.jpg</v>
      </c>
    </row>
    <row r="617" spans="1:22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33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34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35"/>
        <v>1</v>
      </c>
      <c r="U617" s="10" t="str">
        <f>IFERROR((VLOOKUP(A617,Planilha1!A:B,2,0)),"\\192.168.0.4\Produtos\PRODUTO_PRONTA_ENTREGA\static\IMAGENS_PRODUTOS\SEM IMAGEM.jpg")</f>
        <v>\\192.168.0.4\Produtos\PRODUTO_PRONTA_ENTREGA\static\IMAGENS_PRODUTOS\SEM IMAGEM.jpg</v>
      </c>
      <c r="V617" t="str">
        <f>IFERROR((VLOOKUP(A617,Planilha1!A:B,2,0)),"\\192.168.0.4\Produtos\PRODUTO_PRONTA_ENTREGA\static\IMAGENS_PRODUTOS\SEM IMAGEM.jpg")</f>
        <v>\\192.168.0.4\Produtos\PRODUTO_PRONTA_ENTREGA\static\IMAGENS_PRODUTOS\SEM IMAGEM.jpg</v>
      </c>
    </row>
    <row r="618" spans="1:22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33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34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35"/>
        <v>1</v>
      </c>
      <c r="U618" s="10" t="str">
        <f>IFERROR((VLOOKUP(A618,Planilha1!A:B,2,0)),"\\192.168.0.4\Produtos\PRODUTO_PRONTA_ENTREGA\static\IMAGENS_PRODUTOS\SEM IMAGEM.jpg")</f>
        <v>\\192.168.0.4\Produtos\PRODUTO_PRONTA_ENTREGA\static\IMAGENS_PRODUTOS\MESA CENTRO MATIZ MOD 02_334174.jpg</v>
      </c>
      <c r="V618" t="str">
        <f>IFERROR((VLOOKUP(A618,Planilha1!A:B,2,0)),"\\192.168.0.4\Produtos\PRODUTO_PRONTA_ENTREGA\static\IMAGENS_PRODUTOS\SEM IMAGEM.jpg")</f>
        <v>\\192.168.0.4\Produtos\PRODUTO_PRONTA_ENTREGA\static\IMAGENS_PRODUTOS\MESA CENTRO MATIZ MOD 02_334174.jpg</v>
      </c>
    </row>
    <row r="619" spans="1:22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33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34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35"/>
        <v>1</v>
      </c>
      <c r="U619" s="10" t="str">
        <f>IFERROR((VLOOKUP(A619,Planilha1!A:B,2,0)),"\\192.168.0.4\Produtos\PRODUTO_PRONTA_ENTREGA\static\IMAGENS_PRODUTOS\SEM IMAGEM.jpg")</f>
        <v>\\192.168.0.4\Produtos\PRODUTO_PRONTA_ENTREGA\static\IMAGENS_PRODUTOS\SEM IMAGEM.jpg</v>
      </c>
      <c r="V619" t="str">
        <f>IFERROR((VLOOKUP(A619,Planilha1!A:B,2,0)),"\\192.168.0.4\Produtos\PRODUTO_PRONTA_ENTREGA\static\IMAGENS_PRODUTOS\SEM IMAGEM.jpg")</f>
        <v>\\192.168.0.4\Produtos\PRODUTO_PRONTA_ENTREGA\static\IMAGENS_PRODUTOS\SEM IMAGEM.jpg</v>
      </c>
    </row>
    <row r="620" spans="1:22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33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34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35"/>
        <v>1</v>
      </c>
      <c r="U620" s="10" t="str">
        <f>IFERROR((VLOOKUP(A620,Planilha1!A:B,2,0)),"\\192.168.0.4\Produtos\PRODUTO_PRONTA_ENTREGA\static\IMAGENS_PRODUTOS\SEM IMAGEM.jpg")</f>
        <v>\\192.168.0.4\Produtos\PRODUTO_PRONTA_ENTREGA\static\IMAGENS_PRODUTOS\SEM IMAGEM.jpg</v>
      </c>
      <c r="V620" t="str">
        <f>IFERROR((VLOOKUP(A620,Planilha1!A:B,2,0)),"\\192.168.0.4\Produtos\PRODUTO_PRONTA_ENTREGA\static\IMAGENS_PRODUTOS\SEM IMAGEM.jpg")</f>
        <v>\\192.168.0.4\Produtos\PRODUTO_PRONTA_ENTREGA\static\IMAGENS_PRODUTOS\SEM IMAGEM.jpg</v>
      </c>
    </row>
    <row r="621" spans="1:22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33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34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35"/>
        <v>1</v>
      </c>
      <c r="U621" s="10" t="str">
        <f>IFERROR((VLOOKUP(A621,Planilha1!A:B,2,0)),"\\192.168.0.4\Produtos\PRODUTO_PRONTA_ENTREGA\static\IMAGENS_PRODUTOS\SEM IMAGEM.jpg")</f>
        <v>\\192.168.0.4\Produtos\PRODUTO_PRONTA_ENTREGA\static\IMAGENS_PRODUTOS\MESA CENTRO PISAC_320804.jpg</v>
      </c>
      <c r="V621" t="str">
        <f>IFERROR((VLOOKUP(A621,Planilha1!A:B,2,0)),"\\192.168.0.4\Produtos\PRODUTO_PRONTA_ENTREGA\static\IMAGENS_PRODUTOS\SEM IMAGEM.jpg")</f>
        <v>\\192.168.0.4\Produtos\PRODUTO_PRONTA_ENTREGA\static\IMAGENS_PRODUTOS\MESA CENTRO PISAC_320804.jpg</v>
      </c>
    </row>
    <row r="622" spans="1:22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33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34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35"/>
        <v>1</v>
      </c>
      <c r="U622" s="10" t="str">
        <f>IFERROR((VLOOKUP(A622,Planilha1!A:B,2,0)),"\\192.168.0.4\Produtos\PRODUTO_PRONTA_ENTREGA\static\IMAGENS_PRODUTOS\SEM IMAGEM.jpg")</f>
        <v>\\192.168.0.4\Produtos\PRODUTO_PRONTA_ENTREGA\static\IMAGENS_PRODUTOS\MESA CENTRO MATIZ MOD1_231142.jpg</v>
      </c>
      <c r="V622" t="str">
        <f>IFERROR((VLOOKUP(A622,Planilha1!A:B,2,0)),"\\192.168.0.4\Produtos\PRODUTO_PRONTA_ENTREGA\static\IMAGENS_PRODUTOS\SEM IMAGEM.jpg")</f>
        <v>\\192.168.0.4\Produtos\PRODUTO_PRONTA_ENTREGA\static\IMAGENS_PRODUTOS\MESA CENTRO MATIZ MOD1_231142.jpg</v>
      </c>
    </row>
    <row r="623" spans="1:22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33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34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35"/>
        <v>1</v>
      </c>
      <c r="U623" s="10" t="str">
        <f>IFERROR((VLOOKUP(A623,Planilha1!A:B,2,0)),"\\192.168.0.4\Produtos\PRODUTO_PRONTA_ENTREGA\static\IMAGENS_PRODUTOS\SEM IMAGEM.jpg")</f>
        <v>\\192.168.0.4\Produtos\PRODUTO_PRONTA_ENTREGA\static\IMAGENS_PRODUTOS\MESA CENTRO CACAU_361331.jpg</v>
      </c>
      <c r="V623" t="str">
        <f>IFERROR((VLOOKUP(A623,Planilha1!A:B,2,0)),"\\192.168.0.4\Produtos\PRODUTO_PRONTA_ENTREGA\static\IMAGENS_PRODUTOS\SEM IMAGEM.jpg")</f>
        <v>\\192.168.0.4\Produtos\PRODUTO_PRONTA_ENTREGA\static\IMAGENS_PRODUTOS\MESA CENTRO CACAU_361331.jpg</v>
      </c>
    </row>
    <row r="624" spans="1:22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33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34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35"/>
        <v>1</v>
      </c>
      <c r="U624" s="10" t="str">
        <f>IFERROR((VLOOKUP(A624,Planilha1!A:B,2,0)),"\\192.168.0.4\Produtos\PRODUTO_PRONTA_ENTREGA\static\IMAGENS_PRODUTOS\SEM IMAGEM.jpg")</f>
        <v>\\192.168.0.4\Produtos\PRODUTO_PRONTA_ENTREGA\static\IMAGENS_PRODUTOS\SEM IMAGEM.jpg</v>
      </c>
      <c r="V624" t="str">
        <f>IFERROR((VLOOKUP(A624,Planilha1!A:B,2,0)),"\\192.168.0.4\Produtos\PRODUTO_PRONTA_ENTREGA\static\IMAGENS_PRODUTOS\SEM IMAGEM.jpg")</f>
        <v>\\192.168.0.4\Produtos\PRODUTO_PRONTA_ENTREGA\static\IMAGENS_PRODUTOS\SEM IMAGEM.jpg</v>
      </c>
    </row>
    <row r="625" spans="1:22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33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34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35"/>
        <v>1</v>
      </c>
      <c r="U625" s="10" t="str">
        <f>IFERROR((VLOOKUP(A625,Planilha1!A:B,2,0)),"\\192.168.0.4\Produtos\PRODUTO_PRONTA_ENTREGA\static\IMAGENS_PRODUTOS\SEM IMAGEM.jpg")</f>
        <v>\\192.168.0.4\Produtos\PRODUTO_PRONTA_ENTREGA\static\IMAGENS_PRODUTOS\SEM IMAGEM.jpg</v>
      </c>
      <c r="V625" t="str">
        <f>IFERROR((VLOOKUP(A625,Planilha1!A:B,2,0)),"\\192.168.0.4\Produtos\PRODUTO_PRONTA_ENTREGA\static\IMAGENS_PRODUTOS\SEM IMAGEM.jpg")</f>
        <v>\\192.168.0.4\Produtos\PRODUTO_PRONTA_ENTREGA\static\IMAGENS_PRODUTOS\SEM IMAGEM.jpg</v>
      </c>
    </row>
    <row r="626" spans="1:22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33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34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35"/>
        <v>1</v>
      </c>
      <c r="U626" s="10" t="str">
        <f>IFERROR((VLOOKUP(A626,Planilha1!A:B,2,0)),"\\192.168.0.4\Produtos\PRODUTO_PRONTA_ENTREGA\static\IMAGENS_PRODUTOS\SEM IMAGEM.jpg")</f>
        <v>\\192.168.0.4\Produtos\PRODUTO_PRONTA_ENTREGA\static\IMAGENS_PRODUTOS\SEM IMAGEM.jpg</v>
      </c>
      <c r="V626" t="str">
        <f>IFERROR((VLOOKUP(A626,Planilha1!A:B,2,0)),"\\192.168.0.4\Produtos\PRODUTO_PRONTA_ENTREGA\static\IMAGENS_PRODUTOS\SEM IMAGEM.jpg")</f>
        <v>\\192.168.0.4\Produtos\PRODUTO_PRONTA_ENTREGA\static\IMAGENS_PRODUTOS\SEM IMAGEM.jpg</v>
      </c>
    </row>
    <row r="627" spans="1:22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33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34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35"/>
        <v>1</v>
      </c>
      <c r="U627" s="10" t="str">
        <f>IFERROR((VLOOKUP(A627,Planilha1!A:B,2,0)),"\\192.168.0.4\Produtos\PRODUTO_PRONTA_ENTREGA\static\IMAGENS_PRODUTOS\SEM IMAGEM.jpg")</f>
        <v>\\192.168.0.4\Produtos\PRODUTO_PRONTA_ENTREGA\static\IMAGENS_PRODUTOS\MESA CENTRO IPANEMA_334565.jpg</v>
      </c>
      <c r="V627" t="str">
        <f>IFERROR((VLOOKUP(A627,Planilha1!A:B,2,0)),"\\192.168.0.4\Produtos\PRODUTO_PRONTA_ENTREGA\static\IMAGENS_PRODUTOS\SEM IMAGEM.jpg")</f>
        <v>\\192.168.0.4\Produtos\PRODUTO_PRONTA_ENTREGA\static\IMAGENS_PRODUTOS\MESA CENTRO IPANEMA_334565.jpg</v>
      </c>
    </row>
    <row r="628" spans="1:22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33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34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35"/>
        <v>1</v>
      </c>
      <c r="U628" s="10" t="str">
        <f>IFERROR((VLOOKUP(A628,Planilha1!A:B,2,0)),"\\192.168.0.4\Produtos\PRODUTO_PRONTA_ENTREGA\static\IMAGENS_PRODUTOS\SEM IMAGEM.jpg")</f>
        <v>\\192.168.0.4\Produtos\PRODUTO_PRONTA_ENTREGA\static\IMAGENS_PRODUTOS\MESA CENTRO SANTIAGO_327120.jpg</v>
      </c>
      <c r="V628" t="str">
        <f>IFERROR((VLOOKUP(A628,Planilha1!A:B,2,0)),"\\192.168.0.4\Produtos\PRODUTO_PRONTA_ENTREGA\static\IMAGENS_PRODUTOS\SEM IMAGEM.jpg")</f>
        <v>\\192.168.0.4\Produtos\PRODUTO_PRONTA_ENTREGA\static\IMAGENS_PRODUTOS\MESA CENTRO SANTIAGO_327120.jpg</v>
      </c>
    </row>
    <row r="629" spans="1:22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33"/>
        <v/>
      </c>
      <c r="L629" s="7" t="str">
        <f>IF(VLOOKUP(A629,'[1]LISTA ETIQUETAS'!O:AB,14,0)="","",(VLOOKUP(A629,'[1]LISTA ETIQUETAS'!O:AB,14,0)))</f>
        <v/>
      </c>
      <c r="M629" s="8"/>
      <c r="N629" s="9">
        <f t="shared" si="34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35"/>
        <v>1</v>
      </c>
      <c r="U629" s="10" t="str">
        <f>IFERROR((VLOOKUP(A629,Planilha1!A:B,2,0)),"\\192.168.0.4\Produtos\PRODUTO_PRONTA_ENTREGA\static\IMAGENS_PRODUTOS\SEM IMAGEM.jpg")</f>
        <v>\\192.168.0.4\Produtos\PRODUTO_PRONTA_ENTREGA\static\IMAGENS_PRODUTOS\SEM IMAGEM.jpg</v>
      </c>
      <c r="V629" t="str">
        <f>IFERROR((VLOOKUP(A629,Planilha1!A:B,2,0)),"\\192.168.0.4\Produtos\PRODUTO_PRONTA_ENTREGA\static\IMAGENS_PRODUTOS\SEM IMAGEM.jpg")</f>
        <v>\\192.168.0.4\Produtos\PRODUTO_PRONTA_ENTREGA\static\IMAGENS_PRODUTOS\SEM IMAGEM.jpg</v>
      </c>
    </row>
    <row r="630" spans="1:22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33"/>
        <v/>
      </c>
      <c r="L630" s="7" t="str">
        <f>IF(VLOOKUP(A630,'[1]LISTA ETIQUETAS'!O:AB,14,0)="","",(VLOOKUP(A630,'[1]LISTA ETIQUETAS'!O:AB,14,0)))</f>
        <v/>
      </c>
      <c r="M630" s="8"/>
      <c r="N630" s="9">
        <f t="shared" si="34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35"/>
        <v>1</v>
      </c>
      <c r="U630" s="10" t="str">
        <f>IFERROR((VLOOKUP(A630,Planilha1!A:B,2,0)),"\\192.168.0.4\Produtos\PRODUTO_PRONTA_ENTREGA\static\IMAGENS_PRODUTOS\SEM IMAGEM.jpg")</f>
        <v>\\192.168.0.4\Produtos\PRODUTO_PRONTA_ENTREGA\static\IMAGENS_PRODUTOS\SEM IMAGEM.jpg</v>
      </c>
      <c r="V630" t="str">
        <f>IFERROR((VLOOKUP(A630,Planilha1!A:B,2,0)),"\\192.168.0.4\Produtos\PRODUTO_PRONTA_ENTREGA\static\IMAGENS_PRODUTOS\SEM IMAGEM.jpg")</f>
        <v>\\192.168.0.4\Produtos\PRODUTO_PRONTA_ENTREGA\static\IMAGENS_PRODUTOS\SEM IMAGEM.jpg</v>
      </c>
    </row>
    <row r="631" spans="1:22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33"/>
        <v/>
      </c>
      <c r="L631" s="7" t="str">
        <f>IF(VLOOKUP(A631,'[1]LISTA ETIQUETAS'!O:AB,14,0)="","",(VLOOKUP(A631,'[1]LISTA ETIQUETAS'!O:AB,14,0)))</f>
        <v/>
      </c>
      <c r="M631" s="8"/>
      <c r="N631" s="9">
        <f t="shared" si="34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35"/>
        <v>1</v>
      </c>
      <c r="U631" s="10" t="str">
        <f>IFERROR((VLOOKUP(A631,Planilha1!A:B,2,0)),"\\192.168.0.4\Produtos\PRODUTO_PRONTA_ENTREGA\static\IMAGENS_PRODUTOS\SEM IMAGEM.jpg")</f>
        <v>\\192.168.0.4\Produtos\PRODUTO_PRONTA_ENTREGA\static\IMAGENS_PRODUTOS\SEM IMAGEM.jpg</v>
      </c>
      <c r="V631" t="str">
        <f>IFERROR((VLOOKUP(A631,Planilha1!A:B,2,0)),"\\192.168.0.4\Produtos\PRODUTO_PRONTA_ENTREGA\static\IMAGENS_PRODUTOS\SEM IMAGEM.jpg")</f>
        <v>\\192.168.0.4\Produtos\PRODUTO_PRONTA_ENTREGA\static\IMAGENS_PRODUTOS\SEM IMAGEM.jpg</v>
      </c>
    </row>
    <row r="632" spans="1:22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33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34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35"/>
        <v>1</v>
      </c>
      <c r="U632" s="10" t="str">
        <f>IFERROR((VLOOKUP(A632,Planilha1!A:B,2,0)),"\\192.168.0.4\Produtos\PRODUTO_PRONTA_ENTREGA\static\IMAGENS_PRODUTOS\SEM IMAGEM.jpg")</f>
        <v>\\192.168.0.4\Produtos\PRODUTO_PRONTA_ENTREGA\static\IMAGENS_PRODUTOS\MESA CENTRO LEE_88125.jpg</v>
      </c>
      <c r="V632" t="str">
        <f>IFERROR((VLOOKUP(A632,Planilha1!A:B,2,0)),"\\192.168.0.4\Produtos\PRODUTO_PRONTA_ENTREGA\static\IMAGENS_PRODUTOS\SEM IMAGEM.jpg")</f>
        <v>\\192.168.0.4\Produtos\PRODUTO_PRONTA_ENTREGA\static\IMAGENS_PRODUTOS\MESA CENTRO LEE_88125.jpg</v>
      </c>
    </row>
    <row r="633" spans="1:22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33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34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35"/>
        <v>1</v>
      </c>
      <c r="U633" s="10" t="str">
        <f>IFERROR((VLOOKUP(A633,Planilha1!A:B,2,0)),"\\192.168.0.4\Produtos\PRODUTO_PRONTA_ENTREGA\static\IMAGENS_PRODUTOS\SEM IMAGEM.jpg")</f>
        <v>\\192.168.0.4\Produtos\PRODUTO_PRONTA_ENTREGA\static\IMAGENS_PRODUTOS\MESA CENTRO DINN _113267.jpg</v>
      </c>
      <c r="V633" t="str">
        <f>IFERROR((VLOOKUP(A633,Planilha1!A:B,2,0)),"\\192.168.0.4\Produtos\PRODUTO_PRONTA_ENTREGA\static\IMAGENS_PRODUTOS\SEM IMAGEM.jpg")</f>
        <v>\\192.168.0.4\Produtos\PRODUTO_PRONTA_ENTREGA\static\IMAGENS_PRODUTOS\MESA CENTRO DINN _113267.jpg</v>
      </c>
    </row>
    <row r="634" spans="1:22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33"/>
        <v/>
      </c>
      <c r="L634" s="7" t="str">
        <f>IF(VLOOKUP(A634,'[1]LISTA ETIQUETAS'!O:AB,14,0)="","",(VLOOKUP(A634,'[1]LISTA ETIQUETAS'!O:AB,14,0)))</f>
        <v/>
      </c>
      <c r="M634" s="8"/>
      <c r="N634" s="9">
        <f t="shared" si="34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35"/>
        <v>1</v>
      </c>
      <c r="U634" s="10" t="str">
        <f>IFERROR((VLOOKUP(A634,Planilha1!A:B,2,0)),"\\192.168.0.4\Produtos\PRODUTO_PRONTA_ENTREGA\static\IMAGENS_PRODUTOS\SEM IMAGEM.jpg")</f>
        <v>\\192.168.0.4\Produtos\PRODUTO_PRONTA_ENTREGA\static\IMAGENS_PRODUTOS\SEM IMAGEM.jpg</v>
      </c>
      <c r="V634" t="str">
        <f>IFERROR((VLOOKUP(A634,Planilha1!A:B,2,0)),"\\192.168.0.4\Produtos\PRODUTO_PRONTA_ENTREGA\static\IMAGENS_PRODUTOS\SEM IMAGEM.jpg")</f>
        <v>\\192.168.0.4\Produtos\PRODUTO_PRONTA_ENTREGA\static\IMAGENS_PRODUTOS\SEM IMAGEM.jpg</v>
      </c>
    </row>
    <row r="635" spans="1:22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33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34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35"/>
        <v>1</v>
      </c>
      <c r="U635" s="10" t="str">
        <f>IFERROR((VLOOKUP(A635,Planilha1!A:B,2,0)),"\\192.168.0.4\Produtos\PRODUTO_PRONTA_ENTREGA\static\IMAGENS_PRODUTOS\SEM IMAGEM.jpg")</f>
        <v>\\192.168.0.4\Produtos\PRODUTO_PRONTA_ENTREGA\static\IMAGENS_PRODUTOS\MESA CENTRO VIENA_64235.jpg</v>
      </c>
      <c r="V635" t="str">
        <f>IFERROR((VLOOKUP(A635,Planilha1!A:B,2,0)),"\\192.168.0.4\Produtos\PRODUTO_PRONTA_ENTREGA\static\IMAGENS_PRODUTOS\SEM IMAGEM.jpg")</f>
        <v>\\192.168.0.4\Produtos\PRODUTO_PRONTA_ENTREGA\static\IMAGENS_PRODUTOS\MESA CENTRO VIENA_64235.jpg</v>
      </c>
    </row>
    <row r="636" spans="1:22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33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34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35"/>
        <v>1</v>
      </c>
      <c r="U636" s="10" t="str">
        <f>IFERROR((VLOOKUP(A636,Planilha1!A:B,2,0)),"\\192.168.0.4\Produtos\PRODUTO_PRONTA_ENTREGA\static\IMAGENS_PRODUTOS\SEM IMAGEM.jpg")</f>
        <v>\\192.168.0.4\Produtos\PRODUTO_PRONTA_ENTREGA\static\IMAGENS_PRODUTOS\MESA CENTRO PD27_63520.jpg</v>
      </c>
      <c r="V636" t="str">
        <f>IFERROR((VLOOKUP(A636,Planilha1!A:B,2,0)),"\\192.168.0.4\Produtos\PRODUTO_PRONTA_ENTREGA\static\IMAGENS_PRODUTOS\SEM IMAGEM.jpg")</f>
        <v>\\192.168.0.4\Produtos\PRODUTO_PRONTA_ENTREGA\static\IMAGENS_PRODUTOS\MESA CENTRO PD27_63520.jpg</v>
      </c>
    </row>
    <row r="637" spans="1:22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33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34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35"/>
        <v>1</v>
      </c>
      <c r="U637" s="10" t="str">
        <f>IFERROR((VLOOKUP(A637,Planilha1!A:B,2,0)),"\\192.168.0.4\Produtos\PRODUTO_PRONTA_ENTREGA\static\IMAGENS_PRODUTOS\SEM IMAGEM.jpg")</f>
        <v>\\192.168.0.4\Produtos\PRODUTO_PRONTA_ENTREGA\static\IMAGENS_PRODUTOS\MESA CENTRO PD27_64228.jpg</v>
      </c>
      <c r="V637" t="str">
        <f>IFERROR((VLOOKUP(A637,Planilha1!A:B,2,0)),"\\192.168.0.4\Produtos\PRODUTO_PRONTA_ENTREGA\static\IMAGENS_PRODUTOS\SEM IMAGEM.jpg")</f>
        <v>\\192.168.0.4\Produtos\PRODUTO_PRONTA_ENTREGA\static\IMAGENS_PRODUTOS\MESA CENTRO PD27_64228.jpg</v>
      </c>
    </row>
    <row r="638" spans="1:22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33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34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35"/>
        <v>1</v>
      </c>
      <c r="U638" s="10" t="str">
        <f>IFERROR((VLOOKUP(A638,Planilha1!A:B,2,0)),"\\192.168.0.4\Produtos\PRODUTO_PRONTA_ENTREGA\static\IMAGENS_PRODUTOS\SEM IMAGEM.jpg")</f>
        <v>\\192.168.0.4\Produtos\PRODUTO_PRONTA_ENTREGA\static\IMAGENS_PRODUTOS\MESA CENTRO PASSAREDO_128967.jpg</v>
      </c>
      <c r="V638" t="str">
        <f>IFERROR((VLOOKUP(A638,Planilha1!A:B,2,0)),"\\192.168.0.4\Produtos\PRODUTO_PRONTA_ENTREGA\static\IMAGENS_PRODUTOS\SEM IMAGEM.jpg")</f>
        <v>\\192.168.0.4\Produtos\PRODUTO_PRONTA_ENTREGA\static\IMAGENS_PRODUTOS\MESA CENTRO PASSAREDO_128967.jpg</v>
      </c>
    </row>
    <row r="639" spans="1:22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33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34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35"/>
        <v>1</v>
      </c>
      <c r="U639" s="10" t="str">
        <f>IFERROR((VLOOKUP(A639,Planilha1!A:B,2,0)),"\\192.168.0.4\Produtos\PRODUTO_PRONTA_ENTREGA\static\IMAGENS_PRODUTOS\SEM IMAGEM.jpg")</f>
        <v>\\192.168.0.4\Produtos\PRODUTO_PRONTA_ENTREGA\static\IMAGENS_PRODUTOS\MESA CENTRO CASULO_128450.jpg</v>
      </c>
      <c r="V639" t="str">
        <f>IFERROR((VLOOKUP(A639,Planilha1!A:B,2,0)),"\\192.168.0.4\Produtos\PRODUTO_PRONTA_ENTREGA\static\IMAGENS_PRODUTOS\SEM IMAGEM.jpg")</f>
        <v>\\192.168.0.4\Produtos\PRODUTO_PRONTA_ENTREGA\static\IMAGENS_PRODUTOS\MESA CENTRO CASULO_128450.jpg</v>
      </c>
    </row>
    <row r="640" spans="1:22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33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34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35"/>
        <v>1</v>
      </c>
      <c r="U640" s="10" t="str">
        <f>IFERROR((VLOOKUP(A640,Planilha1!A:B,2,0)),"\\192.168.0.4\Produtos\PRODUTO_PRONTA_ENTREGA\static\IMAGENS_PRODUTOS\SEM IMAGEM.jpg")</f>
        <v>\\192.168.0.4\Produtos\PRODUTO_PRONTA_ENTREGA\static\IMAGENS_PRODUTOS\MESA CENTRO MOENA_128948.jpg</v>
      </c>
      <c r="V640" t="str">
        <f>IFERROR((VLOOKUP(A640,Planilha1!A:B,2,0)),"\\192.168.0.4\Produtos\PRODUTO_PRONTA_ENTREGA\static\IMAGENS_PRODUTOS\SEM IMAGEM.jpg")</f>
        <v>\\192.168.0.4\Produtos\PRODUTO_PRONTA_ENTREGA\static\IMAGENS_PRODUTOS\MESA CENTRO MOENA_128948.jpg</v>
      </c>
    </row>
    <row r="641" spans="1:22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33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34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35"/>
        <v>1</v>
      </c>
      <c r="U641" s="10" t="str">
        <f>IFERROR((VLOOKUP(A641,Planilha1!A:B,2,0)),"\\192.168.0.4\Produtos\PRODUTO_PRONTA_ENTREGA\static\IMAGENS_PRODUTOS\SEM IMAGEM.jpg")</f>
        <v>\\192.168.0.4\Produtos\PRODUTO_PRONTA_ENTREGA\static\IMAGENS_PRODUTOS\MESA CENTRO MOSS_151267.jpg</v>
      </c>
      <c r="V641" t="str">
        <f>IFERROR((VLOOKUP(A641,Planilha1!A:B,2,0)),"\\192.168.0.4\Produtos\PRODUTO_PRONTA_ENTREGA\static\IMAGENS_PRODUTOS\SEM IMAGEM.jpg")</f>
        <v>\\192.168.0.4\Produtos\PRODUTO_PRONTA_ENTREGA\static\IMAGENS_PRODUTOS\MESA CENTRO MOSS_151267.jpg</v>
      </c>
    </row>
    <row r="642" spans="1:22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33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34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35"/>
        <v>4</v>
      </c>
      <c r="U642" s="10" t="str">
        <f>IFERROR((VLOOKUP(A642,Planilha1!A:B,2,0)),"\\192.168.0.4\Produtos\PRODUTO_PRONTA_ENTREGA\static\IMAGENS_PRODUTOS\SEM IMAGEM.jpg")</f>
        <v>\\192.168.0.4\Produtos\PRODUTO_PRONTA_ENTREGA\static\IMAGENS_PRODUTOS\MESA CENTRO ODESSA_151374.jpg</v>
      </c>
      <c r="V642" t="str">
        <f>IFERROR((VLOOKUP(A642,Planilha1!A:B,2,0)),"\\192.168.0.4\Produtos\PRODUTO_PRONTA_ENTREGA\static\IMAGENS_PRODUTOS\SEM IMAGEM.jpg")</f>
        <v>\\192.168.0.4\Produtos\PRODUTO_PRONTA_ENTREGA\static\IMAGENS_PRODUTOS\MESA CENTRO ODESSA_151374.jpg</v>
      </c>
    </row>
    <row r="643" spans="1:22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36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34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35"/>
        <v>1</v>
      </c>
      <c r="U643" s="10" t="str">
        <f>IFERROR((VLOOKUP(A643,Planilha1!A:B,2,0)),"\\192.168.0.4\Produtos\PRODUTO_PRONTA_ENTREGA\static\IMAGENS_PRODUTOS\SEM IMAGEM.jpg")</f>
        <v>\\192.168.0.4\Produtos\PRODUTO_PRONTA_ENTREGA\static\IMAGENS_PRODUTOS\MESA CENTRO GALDI_151663.jpg</v>
      </c>
      <c r="V643" t="str">
        <f>IFERROR((VLOOKUP(A643,Planilha1!A:B,2,0)),"\\192.168.0.4\Produtos\PRODUTO_PRONTA_ENTREGA\static\IMAGENS_PRODUTOS\SEM IMAGEM.jpg")</f>
        <v>\\192.168.0.4\Produtos\PRODUTO_PRONTA_ENTREGA\static\IMAGENS_PRODUTOS\MESA CENTRO GALDI_151663.jpg</v>
      </c>
    </row>
    <row r="644" spans="1:22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36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37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38">SUM(O644:S644)</f>
        <v>1</v>
      </c>
      <c r="U644" s="10" t="str">
        <f>IFERROR((VLOOKUP(A644,Planilha1!A:B,2,0)),"\\192.168.0.4\Produtos\PRODUTO_PRONTA_ENTREGA\static\IMAGENS_PRODUTOS\SEM IMAGEM.jpg")</f>
        <v>\\192.168.0.4\Produtos\PRODUTO_PRONTA_ENTREGA\static\IMAGENS_PRODUTOS\MESA CENTRO CATARINA_151430.jpg</v>
      </c>
      <c r="V644" t="str">
        <f>IFERROR((VLOOKUP(A644,Planilha1!A:B,2,0)),"\\192.168.0.4\Produtos\PRODUTO_PRONTA_ENTREGA\static\IMAGENS_PRODUTOS\SEM IMAGEM.jpg")</f>
        <v>\\192.168.0.4\Produtos\PRODUTO_PRONTA_ENTREGA\static\IMAGENS_PRODUTOS\MESA CENTRO CATARINA_151430.jpg</v>
      </c>
    </row>
    <row r="645" spans="1:22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36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37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38"/>
        <v>1</v>
      </c>
      <c r="U645" s="10" t="str">
        <f>IFERROR((VLOOKUP(A645,Planilha1!A:B,2,0)),"\\192.168.0.4\Produtos\PRODUTO_PRONTA_ENTREGA\static\IMAGENS_PRODUTOS\SEM IMAGEM.jpg")</f>
        <v>\\192.168.0.4\Produtos\PRODUTO_PRONTA_ENTREGA\static\IMAGENS_PRODUTOS\MESA CENTRO NEST_151361.jpg</v>
      </c>
      <c r="V645" t="str">
        <f>IFERROR((VLOOKUP(A645,Planilha1!A:B,2,0)),"\\192.168.0.4\Produtos\PRODUTO_PRONTA_ENTREGA\static\IMAGENS_PRODUTOS\SEM IMAGEM.jpg")</f>
        <v>\\192.168.0.4\Produtos\PRODUTO_PRONTA_ENTREGA\static\IMAGENS_PRODUTOS\MESA CENTRO NEST_151361.jpg</v>
      </c>
    </row>
    <row r="646" spans="1:22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36"/>
        <v/>
      </c>
      <c r="L646" s="7" t="str">
        <f>IF(VLOOKUP(A646,'[1]LISTA ETIQUETAS'!O:AB,14,0)="","",(VLOOKUP(A646,'[1]LISTA ETIQUETAS'!O:AB,14,0)))</f>
        <v/>
      </c>
      <c r="M646" s="8"/>
      <c r="N646" s="9">
        <f t="shared" si="37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38"/>
        <v>1</v>
      </c>
      <c r="U646" s="10" t="str">
        <f>IFERROR((VLOOKUP(A646,Planilha1!A:B,2,0)),"\\192.168.0.4\Produtos\PRODUTO_PRONTA_ENTREGA\static\IMAGENS_PRODUTOS\SEM IMAGEM.jpg")</f>
        <v>\\192.168.0.4\Produtos\PRODUTO_PRONTA_ENTREGA\static\IMAGENS_PRODUTOS\MESA CENTRO MATRIZ_171836.jpg</v>
      </c>
      <c r="V646" t="str">
        <f>IFERROR((VLOOKUP(A646,Planilha1!A:B,2,0)),"\\192.168.0.4\Produtos\PRODUTO_PRONTA_ENTREGA\static\IMAGENS_PRODUTOS\SEM IMAGEM.jpg")</f>
        <v>\\192.168.0.4\Produtos\PRODUTO_PRONTA_ENTREGA\static\IMAGENS_PRODUTOS\MESA CENTRO MATRIZ_171836.jpg</v>
      </c>
    </row>
    <row r="647" spans="1:22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36"/>
        <v/>
      </c>
      <c r="L647" s="7" t="str">
        <f>IF(VLOOKUP(A647,'[1]LISTA ETIQUETAS'!O:AB,14,0)="","",(VLOOKUP(A647,'[1]LISTA ETIQUETAS'!O:AB,14,0)))</f>
        <v/>
      </c>
      <c r="M647" s="8"/>
      <c r="N647" s="9">
        <f t="shared" si="37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38"/>
        <v>1</v>
      </c>
      <c r="U647" s="10" t="str">
        <f>IFERROR((VLOOKUP(A647,Planilha1!A:B,2,0)),"\\192.168.0.4\Produtos\PRODUTO_PRONTA_ENTREGA\static\IMAGENS_PRODUTOS\SEM IMAGEM.jpg")</f>
        <v>\\192.168.0.4\Produtos\PRODUTO_PRONTA_ENTREGA\static\IMAGENS_PRODUTOS\MESA CENTRO LODD_176448.jpg</v>
      </c>
      <c r="V647" t="str">
        <f>IFERROR((VLOOKUP(A647,Planilha1!A:B,2,0)),"\\192.168.0.4\Produtos\PRODUTO_PRONTA_ENTREGA\static\IMAGENS_PRODUTOS\SEM IMAGEM.jpg")</f>
        <v>\\192.168.0.4\Produtos\PRODUTO_PRONTA_ENTREGA\static\IMAGENS_PRODUTOS\MESA CENTRO LODD_176448.jpg</v>
      </c>
    </row>
    <row r="648" spans="1:22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36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37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38"/>
        <v>1</v>
      </c>
      <c r="U648" s="10" t="str">
        <f>IFERROR((VLOOKUP(A648,Planilha1!A:B,2,0)),"\\192.168.0.4\Produtos\PRODUTO_PRONTA_ENTREGA\static\IMAGENS_PRODUTOS\SEM IMAGEM.jpg")</f>
        <v>\\192.168.0.4\Produtos\PRODUTO_PRONTA_ENTREGA\static\IMAGENS_PRODUTOS\MESA CENTRO CHINO_180804.jpg</v>
      </c>
      <c r="V648" t="str">
        <f>IFERROR((VLOOKUP(A648,Planilha1!A:B,2,0)),"\\192.168.0.4\Produtos\PRODUTO_PRONTA_ENTREGA\static\IMAGENS_PRODUTOS\SEM IMAGEM.jpg")</f>
        <v>\\192.168.0.4\Produtos\PRODUTO_PRONTA_ENTREGA\static\IMAGENS_PRODUTOS\MESA CENTRO CHINO_180804.jpg</v>
      </c>
    </row>
    <row r="649" spans="1:22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36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37"/>
        <v>179052</v>
      </c>
      <c r="O649" s="2">
        <f>_xlfn.XLOOKUP($A649,'[1]LISTA ETIQUETAS'!$O:$O,'[1]LISTA ETIQUETAS'!C:C,"",0)</f>
        <v>1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0</v>
      </c>
      <c r="T649" s="9">
        <f t="shared" si="38"/>
        <v>1</v>
      </c>
      <c r="U649" s="10" t="str">
        <f>IFERROR((VLOOKUP(A649,Planilha1!A:B,2,0)),"\\192.168.0.4\Produtos\PRODUTO_PRONTA_ENTREGA\static\IMAGENS_PRODUTOS\SEM IMAGEM.jpg")</f>
        <v>\\192.168.0.4\Produtos\PRODUTO_PRONTA_ENTREGA\static\IMAGENS_PRODUTOS\MESA CENTRO TOM_179052.jpg</v>
      </c>
      <c r="V649" t="str">
        <f>IFERROR((VLOOKUP(A649,Planilha1!A:B,2,0)),"\\192.168.0.4\Produtos\PRODUTO_PRONTA_ENTREGA\static\IMAGENS_PRODUTOS\SEM IMAGEM.jpg")</f>
        <v>\\192.168.0.4\Produtos\PRODUTO_PRONTA_ENTREGA\static\IMAGENS_PRODUTOS\MESA CENTRO TOM_179052.jpg</v>
      </c>
    </row>
    <row r="650" spans="1:22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36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37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38"/>
        <v>1</v>
      </c>
      <c r="U650" s="10" t="str">
        <f>IFERROR((VLOOKUP(A650,Planilha1!A:B,2,0)),"\\192.168.0.4\Produtos\PRODUTO_PRONTA_ENTREGA\static\IMAGENS_PRODUTOS\SEM IMAGEM.jpg")</f>
        <v>\\192.168.0.4\Produtos\PRODUTO_PRONTA_ENTREGA\static\IMAGENS_PRODUTOS\MESA CENTRO TRAVES_164378.jpg</v>
      </c>
      <c r="V650" t="str">
        <f>IFERROR((VLOOKUP(A650,Planilha1!A:B,2,0)),"\\192.168.0.4\Produtos\PRODUTO_PRONTA_ENTREGA\static\IMAGENS_PRODUTOS\SEM IMAGEM.jpg")</f>
        <v>\\192.168.0.4\Produtos\PRODUTO_PRONTA_ENTREGA\static\IMAGENS_PRODUTOS\MESA CENTRO TRAVES_164378.jpg</v>
      </c>
    </row>
    <row r="651" spans="1:22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36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37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38"/>
        <v>1</v>
      </c>
      <c r="U651" s="10" t="str">
        <f>IFERROR((VLOOKUP(A651,Planilha1!A:B,2,0)),"\\192.168.0.4\Produtos\PRODUTO_PRONTA_ENTREGA\static\IMAGENS_PRODUTOS\SEM IMAGEM.jpg")</f>
        <v>\\192.168.0.4\Produtos\PRODUTO_PRONTA_ENTREGA\static\IMAGENS_PRODUTOS\MESA CENTRO MOOVE_193067.jpg</v>
      </c>
      <c r="V651" t="str">
        <f>IFERROR((VLOOKUP(A651,Planilha1!A:B,2,0)),"\\192.168.0.4\Produtos\PRODUTO_PRONTA_ENTREGA\static\IMAGENS_PRODUTOS\SEM IMAGEM.jpg")</f>
        <v>\\192.168.0.4\Produtos\PRODUTO_PRONTA_ENTREGA\static\IMAGENS_PRODUTOS\MESA CENTRO MOOVE_193067.jpg</v>
      </c>
    </row>
    <row r="652" spans="1:22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36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37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38"/>
        <v>1</v>
      </c>
      <c r="U652" s="10" t="str">
        <f>IFERROR((VLOOKUP(A652,Planilha1!A:B,2,0)),"\\192.168.0.4\Produtos\PRODUTO_PRONTA_ENTREGA\static\IMAGENS_PRODUTOS\SEM IMAGEM.jpg")</f>
        <v>\\192.168.0.4\Produtos\PRODUTO_PRONTA_ENTREGA\static\IMAGENS_PRODUTOS\MESA CENTRO CLOS_219387.jpg</v>
      </c>
      <c r="V652" t="str">
        <f>IFERROR((VLOOKUP(A652,Planilha1!A:B,2,0)),"\\192.168.0.4\Produtos\PRODUTO_PRONTA_ENTREGA\static\IMAGENS_PRODUTOS\SEM IMAGEM.jpg")</f>
        <v>\\192.168.0.4\Produtos\PRODUTO_PRONTA_ENTREGA\static\IMAGENS_PRODUTOS\MESA CENTRO CLOS_219387.jpg</v>
      </c>
    </row>
    <row r="653" spans="1:22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36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37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38"/>
        <v>1</v>
      </c>
      <c r="U653" s="10" t="str">
        <f>IFERROR((VLOOKUP(A653,Planilha1!A:B,2,0)),"\\192.168.0.4\Produtos\PRODUTO_PRONTA_ENTREGA\static\IMAGENS_PRODUTOS\SEM IMAGEM.jpg")</f>
        <v>\\192.168.0.4\Produtos\PRODUTO_PRONTA_ENTREGA\static\IMAGENS_PRODUTOS\MESA CENTRO KOBO_205161.jpg</v>
      </c>
      <c r="V653" t="str">
        <f>IFERROR((VLOOKUP(A653,Planilha1!A:B,2,0)),"\\192.168.0.4\Produtos\PRODUTO_PRONTA_ENTREGA\static\IMAGENS_PRODUTOS\SEM IMAGEM.jpg")</f>
        <v>\\192.168.0.4\Produtos\PRODUTO_PRONTA_ENTREGA\static\IMAGENS_PRODUTOS\MESA CENTRO KOBO_205161.jpg</v>
      </c>
    </row>
    <row r="654" spans="1:22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36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37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38"/>
        <v>1</v>
      </c>
      <c r="U654" s="10" t="str">
        <f>IFERROR((VLOOKUP(A654,Planilha1!A:B,2,0)),"\\192.168.0.4\Produtos\PRODUTO_PRONTA_ENTREGA\static\IMAGENS_PRODUTOS\SEM IMAGEM.jpg")</f>
        <v>\\192.168.0.4\Produtos\PRODUTO_PRONTA_ENTREGA\static\IMAGENS_PRODUTOS\MESA CENTRO PEAO_191075.jpg</v>
      </c>
      <c r="V654" t="str">
        <f>IFERROR((VLOOKUP(A654,Planilha1!A:B,2,0)),"\\192.168.0.4\Produtos\PRODUTO_PRONTA_ENTREGA\static\IMAGENS_PRODUTOS\SEM IMAGEM.jpg")</f>
        <v>\\192.168.0.4\Produtos\PRODUTO_PRONTA_ENTREGA\static\IMAGENS_PRODUTOS\MESA CENTRO PEAO_191075.jpg</v>
      </c>
    </row>
    <row r="655" spans="1:22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36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37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38"/>
        <v>1</v>
      </c>
      <c r="U655" s="10" t="str">
        <f>IFERROR((VLOOKUP(A655,Planilha1!A:B,2,0)),"\\192.168.0.4\Produtos\PRODUTO_PRONTA_ENTREGA\static\IMAGENS_PRODUTOS\SEM IMAGEM.jpg")</f>
        <v>\\192.168.0.4\Produtos\PRODUTO_PRONTA_ENTREGA\static\IMAGENS_PRODUTOS\MESA CENTRO CLOS_223874.jpg</v>
      </c>
      <c r="V655" t="str">
        <f>IFERROR((VLOOKUP(A655,Planilha1!A:B,2,0)),"\\192.168.0.4\Produtos\PRODUTO_PRONTA_ENTREGA\static\IMAGENS_PRODUTOS\SEM IMAGEM.jpg")</f>
        <v>\\192.168.0.4\Produtos\PRODUTO_PRONTA_ENTREGA\static\IMAGENS_PRODUTOS\MESA CENTRO CLOS_223874.jpg</v>
      </c>
    </row>
    <row r="656" spans="1:22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36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37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38"/>
        <v>2</v>
      </c>
      <c r="U656" s="10" t="str">
        <f>IFERROR((VLOOKUP(A656,Planilha1!A:B,2,0)),"\\192.168.0.4\Produtos\PRODUTO_PRONTA_ENTREGA\static\IMAGENS_PRODUTOS\SEM IMAGEM.jpg")</f>
        <v>\\192.168.0.4\Produtos\PRODUTO_PRONTA_ENTREGA\static\IMAGENS_PRODUTOS\MESA CENTRO TUNIS_223394.jpg</v>
      </c>
      <c r="V656" t="str">
        <f>IFERROR((VLOOKUP(A656,Planilha1!A:B,2,0)),"\\192.168.0.4\Produtos\PRODUTO_PRONTA_ENTREGA\static\IMAGENS_PRODUTOS\SEM IMAGEM.jpg")</f>
        <v>\\192.168.0.4\Produtos\PRODUTO_PRONTA_ENTREGA\static\IMAGENS_PRODUTOS\MESA CENTRO TUNIS_223394.jpg</v>
      </c>
    </row>
    <row r="657" spans="1:22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36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37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38"/>
        <v>1</v>
      </c>
      <c r="U657" s="10" t="str">
        <f>IFERROR((VLOOKUP(A657,Planilha1!A:B,2,0)),"\\192.168.0.4\Produtos\PRODUTO_PRONTA_ENTREGA\static\IMAGENS_PRODUTOS\SEM IMAGEM.jpg")</f>
        <v>\\192.168.0.4\Produtos\PRODUTO_PRONTA_ENTREGA\static\IMAGENS_PRODUTOS\SEM IMAGEM.jpg</v>
      </c>
      <c r="V657" t="str">
        <f>IFERROR((VLOOKUP(A657,Planilha1!A:B,2,0)),"\\192.168.0.4\Produtos\PRODUTO_PRONTA_ENTREGA\static\IMAGENS_PRODUTOS\SEM IMAGEM.jpg")</f>
        <v>\\192.168.0.4\Produtos\PRODUTO_PRONTA_ENTREGA\static\IMAGENS_PRODUTOS\SEM IMAGEM.jpg</v>
      </c>
    </row>
    <row r="658" spans="1:22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36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37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38"/>
        <v>1</v>
      </c>
      <c r="U658" s="10" t="str">
        <f>IFERROR((VLOOKUP(A658,Planilha1!A:B,2,0)),"\\192.168.0.4\Produtos\PRODUTO_PRONTA_ENTREGA\static\IMAGENS_PRODUTOS\SEM IMAGEM.jpg")</f>
        <v>\\192.168.0.4\Produtos\PRODUTO_PRONTA_ENTREGA\static\IMAGENS_PRODUTOS\MESA CENTRO PEAO_191078.jpg</v>
      </c>
      <c r="V658" t="str">
        <f>IFERROR((VLOOKUP(A658,Planilha1!A:B,2,0)),"\\192.168.0.4\Produtos\PRODUTO_PRONTA_ENTREGA\static\IMAGENS_PRODUTOS\SEM IMAGEM.jpg")</f>
        <v>\\192.168.0.4\Produtos\PRODUTO_PRONTA_ENTREGA\static\IMAGENS_PRODUTOS\MESA CENTRO PEAO_191078.jpg</v>
      </c>
    </row>
    <row r="659" spans="1:22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36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37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38"/>
        <v>1</v>
      </c>
      <c r="U659" s="10" t="str">
        <f>IFERROR((VLOOKUP(A659,Planilha1!A:B,2,0)),"\\192.168.0.4\Produtos\PRODUTO_PRONTA_ENTREGA\static\IMAGENS_PRODUTOS\SEM IMAGEM.jpg")</f>
        <v>\\192.168.0.4\Produtos\PRODUTO_PRONTA_ENTREGA\static\IMAGENS_PRODUTOS\MESA CENTRO LEE_157469.jpg</v>
      </c>
      <c r="V659" t="str">
        <f>IFERROR((VLOOKUP(A659,Planilha1!A:B,2,0)),"\\192.168.0.4\Produtos\PRODUTO_PRONTA_ENTREGA\static\IMAGENS_PRODUTOS\SEM IMAGEM.jpg")</f>
        <v>\\192.168.0.4\Produtos\PRODUTO_PRONTA_ENTREGA\static\IMAGENS_PRODUTOS\MESA CENTRO LEE_157469.jpg</v>
      </c>
    </row>
    <row r="660" spans="1:22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36"/>
        <v/>
      </c>
      <c r="L660" s="7" t="str">
        <f>IF(VLOOKUP(A660,'[1]LISTA ETIQUETAS'!O:AB,14,0)="","",(VLOOKUP(A660,'[1]LISTA ETIQUETAS'!O:AB,14,0)))</f>
        <v/>
      </c>
      <c r="M660" s="8"/>
      <c r="N660" s="9">
        <f t="shared" si="37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38"/>
        <v>1</v>
      </c>
      <c r="U660" s="10" t="str">
        <f>IFERROR((VLOOKUP(A660,Planilha1!A:B,2,0)),"\\192.168.0.4\Produtos\PRODUTO_PRONTA_ENTREGA\static\IMAGENS_PRODUTOS\SEM IMAGEM.jpg")</f>
        <v>\\192.168.0.4\Produtos\PRODUTO_PRONTA_ENTREGA\static\IMAGENS_PRODUTOS\MESA CENTRO MATRIZ_255008.jpg</v>
      </c>
      <c r="V660" t="str">
        <f>IFERROR((VLOOKUP(A660,Planilha1!A:B,2,0)),"\\192.168.0.4\Produtos\PRODUTO_PRONTA_ENTREGA\static\IMAGENS_PRODUTOS\SEM IMAGEM.jpg")</f>
        <v>\\192.168.0.4\Produtos\PRODUTO_PRONTA_ENTREGA\static\IMAGENS_PRODUTOS\MESA CENTRO MATRIZ_255008.jpg</v>
      </c>
    </row>
    <row r="661" spans="1:22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36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37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38"/>
        <v>1</v>
      </c>
      <c r="U661" s="10" t="str">
        <f>IFERROR((VLOOKUP(A661,Planilha1!A:B,2,0)),"\\192.168.0.4\Produtos\PRODUTO_PRONTA_ENTREGA\static\IMAGENS_PRODUTOS\SEM IMAGEM.jpg")</f>
        <v>\\192.168.0.4\Produtos\PRODUTO_PRONTA_ENTREGA\static\IMAGENS_PRODUTOS\MESA CENTRO LODD_234340.jpg</v>
      </c>
      <c r="V661" t="str">
        <f>IFERROR((VLOOKUP(A661,Planilha1!A:B,2,0)),"\\192.168.0.4\Produtos\PRODUTO_PRONTA_ENTREGA\static\IMAGENS_PRODUTOS\SEM IMAGEM.jpg")</f>
        <v>\\192.168.0.4\Produtos\PRODUTO_PRONTA_ENTREGA\static\IMAGENS_PRODUTOS\MESA CENTRO LODD_234340.jpg</v>
      </c>
    </row>
    <row r="662" spans="1:22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36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37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38"/>
        <v>1</v>
      </c>
      <c r="U662" s="10" t="str">
        <f>IFERROR((VLOOKUP(A662,Planilha1!A:B,2,0)),"\\192.168.0.4\Produtos\PRODUTO_PRONTA_ENTREGA\static\IMAGENS_PRODUTOS\SEM IMAGEM.jpg")</f>
        <v>\\192.168.0.4\Produtos\PRODUTO_PRONTA_ENTREGA\static\IMAGENS_PRODUTOS\MESA CENTRO RAIZ_233555.jpg</v>
      </c>
      <c r="V662" t="str">
        <f>IFERROR((VLOOKUP(A662,Planilha1!A:B,2,0)),"\\192.168.0.4\Produtos\PRODUTO_PRONTA_ENTREGA\static\IMAGENS_PRODUTOS\SEM IMAGEM.jpg")</f>
        <v>\\192.168.0.4\Produtos\PRODUTO_PRONTA_ENTREGA\static\IMAGENS_PRODUTOS\MESA CENTRO RAIZ_233555.jpg</v>
      </c>
    </row>
    <row r="663" spans="1:22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36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37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2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0</v>
      </c>
      <c r="T663" s="9">
        <f t="shared" si="38"/>
        <v>2</v>
      </c>
      <c r="U663" s="10" t="str">
        <f>IFERROR((VLOOKUP(A663,Planilha1!A:B,2,0)),"\\192.168.0.4\Produtos\PRODUTO_PRONTA_ENTREGA\static\IMAGENS_PRODUTOS\SEM IMAGEM.jpg")</f>
        <v>\\192.168.0.4\Produtos\PRODUTO_PRONTA_ENTREGA\static\IMAGENS_PRODUTOS\MESA CENTRO NOMAN_255058.jpg</v>
      </c>
      <c r="V663" t="str">
        <f>IFERROR((VLOOKUP(A663,Planilha1!A:B,2,0)),"\\192.168.0.4\Produtos\PRODUTO_PRONTA_ENTREGA\static\IMAGENS_PRODUTOS\SEM IMAGEM.jpg")</f>
        <v>\\192.168.0.4\Produtos\PRODUTO_PRONTA_ENTREGA\static\IMAGENS_PRODUTOS\MESA CENTRO NOMAN_255058.jpg</v>
      </c>
    </row>
    <row r="664" spans="1:22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36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37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2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0</v>
      </c>
      <c r="T664" s="9">
        <f t="shared" si="38"/>
        <v>2</v>
      </c>
      <c r="U664" s="10" t="str">
        <f>IFERROR((VLOOKUP(A664,Planilha1!A:B,2,0)),"\\192.168.0.4\Produtos\PRODUTO_PRONTA_ENTREGA\static\IMAGENS_PRODUTOS\SEM IMAGEM.jpg")</f>
        <v>\\192.168.0.4\Produtos\PRODUTO_PRONTA_ENTREGA\static\IMAGENS_PRODUTOS\MESA CENTRO NONAM_255059.jpg</v>
      </c>
      <c r="V664" t="str">
        <f>IFERROR((VLOOKUP(A664,Planilha1!A:B,2,0)),"\\192.168.0.4\Produtos\PRODUTO_PRONTA_ENTREGA\static\IMAGENS_PRODUTOS\SEM IMAGEM.jpg")</f>
        <v>\\192.168.0.4\Produtos\PRODUTO_PRONTA_ENTREGA\static\IMAGENS_PRODUTOS\MESA CENTRO NONAM_255059.jpg</v>
      </c>
    </row>
    <row r="665" spans="1:22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36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37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38"/>
        <v>1</v>
      </c>
      <c r="U665" s="10" t="str">
        <f>IFERROR((VLOOKUP(A665,Planilha1!A:B,2,0)),"\\192.168.0.4\Produtos\PRODUTO_PRONTA_ENTREGA\static\IMAGENS_PRODUTOS\SEM IMAGEM.jpg")</f>
        <v>\\192.168.0.4\Produtos\PRODUTO_PRONTA_ENTREGA\static\IMAGENS_PRODUTOS\MESA CENTRO VERSO_234229.jpg</v>
      </c>
      <c r="V665" t="str">
        <f>IFERROR((VLOOKUP(A665,Planilha1!A:B,2,0)),"\\192.168.0.4\Produtos\PRODUTO_PRONTA_ENTREGA\static\IMAGENS_PRODUTOS\SEM IMAGEM.jpg")</f>
        <v>\\192.168.0.4\Produtos\PRODUTO_PRONTA_ENTREGA\static\IMAGENS_PRODUTOS\MESA CENTRO VERSO_234229.jpg</v>
      </c>
    </row>
    <row r="666" spans="1:22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36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37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38"/>
        <v>1</v>
      </c>
      <c r="U666" s="10" t="str">
        <f>IFERROR((VLOOKUP(A666,Planilha1!A:B,2,0)),"\\192.168.0.4\Produtos\PRODUTO_PRONTA_ENTREGA\static\IMAGENS_PRODUTOS\SEM IMAGEM.jpg")</f>
        <v>\\192.168.0.4\Produtos\PRODUTO_PRONTA_ENTREGA\static\IMAGENS_PRODUTOS\SEM IMAGEM.jpg</v>
      </c>
      <c r="V666" t="str">
        <f>IFERROR((VLOOKUP(A666,Planilha1!A:B,2,0)),"\\192.168.0.4\Produtos\PRODUTO_PRONTA_ENTREGA\static\IMAGENS_PRODUTOS\SEM IMAGEM.jpg")</f>
        <v>\\192.168.0.4\Produtos\PRODUTO_PRONTA_ENTREGA\static\IMAGENS_PRODUTOS\SEM IMAGEM.jpg</v>
      </c>
    </row>
    <row r="667" spans="1:22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36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37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38"/>
        <v>1</v>
      </c>
      <c r="U667" s="10" t="str">
        <f>IFERROR((VLOOKUP(A667,Planilha1!A:B,2,0)),"\\192.168.0.4\Produtos\PRODUTO_PRONTA_ENTREGA\static\IMAGENS_PRODUTOS\SEM IMAGEM.jpg")</f>
        <v>\\192.168.0.4\Produtos\PRODUTO_PRONTA_ENTREGA\static\IMAGENS_PRODUTOS\MESA CENTRO POSH_256188.jpg</v>
      </c>
      <c r="V667" t="str">
        <f>IFERROR((VLOOKUP(A667,Planilha1!A:B,2,0)),"\\192.168.0.4\Produtos\PRODUTO_PRONTA_ENTREGA\static\IMAGENS_PRODUTOS\SEM IMAGEM.jpg")</f>
        <v>\\192.168.0.4\Produtos\PRODUTO_PRONTA_ENTREGA\static\IMAGENS_PRODUTOS\MESA CENTRO POSH_256188.jpg</v>
      </c>
    </row>
    <row r="668" spans="1:22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36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37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38"/>
        <v>1</v>
      </c>
      <c r="U668" s="10" t="str">
        <f>IFERROR((VLOOKUP(A668,Planilha1!A:B,2,0)),"\\192.168.0.4\Produtos\PRODUTO_PRONTA_ENTREGA\static\IMAGENS_PRODUTOS\SEM IMAGEM.jpg")</f>
        <v>\\192.168.0.4\Produtos\PRODUTO_PRONTA_ENTREGA\static\IMAGENS_PRODUTOS\MESA CENTRO POSH_256184.jpg</v>
      </c>
      <c r="V668" t="str">
        <f>IFERROR((VLOOKUP(A668,Planilha1!A:B,2,0)),"\\192.168.0.4\Produtos\PRODUTO_PRONTA_ENTREGA\static\IMAGENS_PRODUTOS\SEM IMAGEM.jpg")</f>
        <v>\\192.168.0.4\Produtos\PRODUTO_PRONTA_ENTREGA\static\IMAGENS_PRODUTOS\MESA CENTRO POSH_256184.jpg</v>
      </c>
    </row>
    <row r="669" spans="1:22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36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37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38"/>
        <v>2</v>
      </c>
      <c r="U669" s="10" t="str">
        <f>IFERROR((VLOOKUP(A669,Planilha1!A:B,2,0)),"\\192.168.0.4\Produtos\PRODUTO_PRONTA_ENTREGA\static\IMAGENS_PRODUTOS\SEM IMAGEM.jpg")</f>
        <v>\\192.168.0.4\Produtos\PRODUTO_PRONTA_ENTREGA\static\IMAGENS_PRODUTOS\MESA CENTRO AYLA_274941.jpg</v>
      </c>
      <c r="V669" t="str">
        <f>IFERROR((VLOOKUP(A669,Planilha1!A:B,2,0)),"\\192.168.0.4\Produtos\PRODUTO_PRONTA_ENTREGA\static\IMAGENS_PRODUTOS\SEM IMAGEM.jpg")</f>
        <v>\\192.168.0.4\Produtos\PRODUTO_PRONTA_ENTREGA\static\IMAGENS_PRODUTOS\MESA CENTRO AYLA_274941.jpg</v>
      </c>
    </row>
    <row r="670" spans="1:22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36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37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38"/>
        <v>1</v>
      </c>
      <c r="U670" s="10" t="str">
        <f>IFERROR((VLOOKUP(A670,Planilha1!A:B,2,0)),"\\192.168.0.4\Produtos\PRODUTO_PRONTA_ENTREGA\static\IMAGENS_PRODUTOS\SEM IMAGEM.jpg")</f>
        <v>\\192.168.0.4\Produtos\PRODUTO_PRONTA_ENTREGA\static\IMAGENS_PRODUTOS\MESA CENTRO WHITE_302827.jpg</v>
      </c>
      <c r="V670" t="str">
        <f>IFERROR((VLOOKUP(A670,Planilha1!A:B,2,0)),"\\192.168.0.4\Produtos\PRODUTO_PRONTA_ENTREGA\static\IMAGENS_PRODUTOS\SEM IMAGEM.jpg")</f>
        <v>\\192.168.0.4\Produtos\PRODUTO_PRONTA_ENTREGA\static\IMAGENS_PRODUTOS\MESA CENTRO WHITE_302827.jpg</v>
      </c>
    </row>
    <row r="671" spans="1:22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36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37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38"/>
        <v>1</v>
      </c>
      <c r="U671" s="10" t="str">
        <f>IFERROR((VLOOKUP(A671,Planilha1!A:B,2,0)),"\\192.168.0.4\Produtos\PRODUTO_PRONTA_ENTREGA\static\IMAGENS_PRODUTOS\SEM IMAGEM.jpg")</f>
        <v>\\192.168.0.4\Produtos\PRODUTO_PRONTA_ENTREGA\static\IMAGENS_PRODUTOS\MESA CENTRO ORGAN_275020.jpg</v>
      </c>
      <c r="V671" t="str">
        <f>IFERROR((VLOOKUP(A671,Planilha1!A:B,2,0)),"\\192.168.0.4\Produtos\PRODUTO_PRONTA_ENTREGA\static\IMAGENS_PRODUTOS\SEM IMAGEM.jpg")</f>
        <v>\\192.168.0.4\Produtos\PRODUTO_PRONTA_ENTREGA\static\IMAGENS_PRODUTOS\MESA CENTRO ORGAN_275020.jpg</v>
      </c>
    </row>
    <row r="672" spans="1:22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36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37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38"/>
        <v>2</v>
      </c>
      <c r="U672" s="10" t="str">
        <f>IFERROR((VLOOKUP(A672,Planilha1!A:B,2,0)),"\\192.168.0.4\Produtos\PRODUTO_PRONTA_ENTREGA\static\IMAGENS_PRODUTOS\SEM IMAGEM.jpg")</f>
        <v>\\192.168.0.4\Produtos\PRODUTO_PRONTA_ENTREGA\static\IMAGENS_PRODUTOS\MESA CENTRO ORGAN_275019.jpg</v>
      </c>
      <c r="V672" t="str">
        <f>IFERROR((VLOOKUP(A672,Planilha1!A:B,2,0)),"\\192.168.0.4\Produtos\PRODUTO_PRONTA_ENTREGA\static\IMAGENS_PRODUTOS\SEM IMAGEM.jpg")</f>
        <v>\\192.168.0.4\Produtos\PRODUTO_PRONTA_ENTREGA\static\IMAGENS_PRODUTOS\MESA CENTRO ORGAN_275019.jpg</v>
      </c>
    </row>
    <row r="673" spans="1:22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36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37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38"/>
        <v>1</v>
      </c>
      <c r="U673" s="10" t="str">
        <f>IFERROR((VLOOKUP(A673,Planilha1!A:B,2,0)),"\\192.168.0.4\Produtos\PRODUTO_PRONTA_ENTREGA\static\IMAGENS_PRODUTOS\SEM IMAGEM.jpg")</f>
        <v>\\192.168.0.4\Produtos\PRODUTO_PRONTA_ENTREGA\static\IMAGENS_PRODUTOS\MESA CENTRO ORGAN_325537.jpg</v>
      </c>
      <c r="V673" t="str">
        <f>IFERROR((VLOOKUP(A673,Planilha1!A:B,2,0)),"\\192.168.0.4\Produtos\PRODUTO_PRONTA_ENTREGA\static\IMAGENS_PRODUTOS\SEM IMAGEM.jpg")</f>
        <v>\\192.168.0.4\Produtos\PRODUTO_PRONTA_ENTREGA\static\IMAGENS_PRODUTOS\MESA CENTRO ORGAN_325537.jpg</v>
      </c>
    </row>
    <row r="674" spans="1:22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36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37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38"/>
        <v>2</v>
      </c>
      <c r="U674" s="10" t="str">
        <f>IFERROR((VLOOKUP(A674,Planilha1!A:B,2,0)),"\\192.168.0.4\Produtos\PRODUTO_PRONTA_ENTREGA\static\IMAGENS_PRODUTOS\SEM IMAGEM.jpg")</f>
        <v>\\192.168.0.4\Produtos\PRODUTO_PRONTA_ENTREGA\static\IMAGENS_PRODUTOS\MESA CENTRO JABUTI_372434.jpg</v>
      </c>
      <c r="V674" t="str">
        <f>IFERROR((VLOOKUP(A674,Planilha1!A:B,2,0)),"\\192.168.0.4\Produtos\PRODUTO_PRONTA_ENTREGA\static\IMAGENS_PRODUTOS\SEM IMAGEM.jpg")</f>
        <v>\\192.168.0.4\Produtos\PRODUTO_PRONTA_ENTREGA\static\IMAGENS_PRODUTOS\MESA CENTRO JABUTI_372434.jpg</v>
      </c>
    </row>
    <row r="675" spans="1:22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36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37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38"/>
        <v>1</v>
      </c>
      <c r="U675" s="10" t="str">
        <f>IFERROR((VLOOKUP(A675,Planilha1!A:B,2,0)),"\\192.168.0.4\Produtos\PRODUTO_PRONTA_ENTREGA\static\IMAGENS_PRODUTOS\SEM IMAGEM.jpg")</f>
        <v>\\192.168.0.4\Produtos\PRODUTO_PRONTA_ENTREGA\static\IMAGENS_PRODUTOS\MESA CENTRO RUSTICA_369543.jpg</v>
      </c>
      <c r="V675" t="str">
        <f>IFERROR((VLOOKUP(A675,Planilha1!A:B,2,0)),"\\192.168.0.4\Produtos\PRODUTO_PRONTA_ENTREGA\static\IMAGENS_PRODUTOS\SEM IMAGEM.jpg")</f>
        <v>\\192.168.0.4\Produtos\PRODUTO_PRONTA_ENTREGA\static\IMAGENS_PRODUTOS\MESA CENTRO RUSTICA_369543.jpg</v>
      </c>
    </row>
    <row r="676" spans="1:22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36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37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38"/>
        <v>1</v>
      </c>
      <c r="U676" s="10" t="str">
        <f>IFERROR((VLOOKUP(A676,Planilha1!A:B,2,0)),"\\192.168.0.4\Produtos\PRODUTO_PRONTA_ENTREGA\static\IMAGENS_PRODUTOS\SEM IMAGEM.jpg")</f>
        <v>\\192.168.0.4\Produtos\PRODUTO_PRONTA_ENTREGA\static\IMAGENS_PRODUTOS\SEM IMAGEM.jpg</v>
      </c>
      <c r="V676" t="str">
        <f>IFERROR((VLOOKUP(A676,Planilha1!A:B,2,0)),"\\192.168.0.4\Produtos\PRODUTO_PRONTA_ENTREGA\static\IMAGENS_PRODUTOS\SEM IMAGEM.jpg")</f>
        <v>\\192.168.0.4\Produtos\PRODUTO_PRONTA_ENTREGA\static\IMAGENS_PRODUTOS\SEM IMAGEM.jpg</v>
      </c>
    </row>
    <row r="677" spans="1:22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36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37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38"/>
        <v>1</v>
      </c>
      <c r="U677" s="10" t="str">
        <f>IFERROR((VLOOKUP(A677,Planilha1!A:B,2,0)),"\\192.168.0.4\Produtos\PRODUTO_PRONTA_ENTREGA\static\IMAGENS_PRODUTOS\SEM IMAGEM.jpg")</f>
        <v>\\192.168.0.4\Produtos\PRODUTO_PRONTA_ENTREGA\static\IMAGENS_PRODUTOS\MESA CENTRO ESPECIAL _387536.jpg</v>
      </c>
      <c r="V677" t="str">
        <f>IFERROR((VLOOKUP(A677,Planilha1!A:B,2,0)),"\\192.168.0.4\Produtos\PRODUTO_PRONTA_ENTREGA\static\IMAGENS_PRODUTOS\SEM IMAGEM.jpg")</f>
        <v>\\192.168.0.4\Produtos\PRODUTO_PRONTA_ENTREGA\static\IMAGENS_PRODUTOS\MESA CENTRO ESPECIAL _387536.jpg</v>
      </c>
    </row>
    <row r="678" spans="1:22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36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37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38"/>
        <v>1</v>
      </c>
      <c r="U678" s="10" t="str">
        <f>IFERROR((VLOOKUP(A678,Planilha1!A:B,2,0)),"\\192.168.0.4\Produtos\PRODUTO_PRONTA_ENTREGA\static\IMAGENS_PRODUTOS\SEM IMAGEM.jpg")</f>
        <v>\\192.168.0.4\Produtos\PRODUTO_PRONTA_ENTREGA\static\IMAGENS_PRODUTOS\MESA CENTRO WHITE_334438.jpg</v>
      </c>
      <c r="V678" t="str">
        <f>IFERROR((VLOOKUP(A678,Planilha1!A:B,2,0)),"\\192.168.0.4\Produtos\PRODUTO_PRONTA_ENTREGA\static\IMAGENS_PRODUTOS\SEM IMAGEM.jpg")</f>
        <v>\\192.168.0.4\Produtos\PRODUTO_PRONTA_ENTREGA\static\IMAGENS_PRODUTOS\MESA CENTRO WHITE_334438.jpg</v>
      </c>
    </row>
    <row r="679" spans="1:22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36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37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38"/>
        <v>1</v>
      </c>
      <c r="U679" s="10" t="str">
        <f>IFERROR((VLOOKUP(A679,Planilha1!A:B,2,0)),"\\192.168.0.4\Produtos\PRODUTO_PRONTA_ENTREGA\static\IMAGENS_PRODUTOS\SEM IMAGEM.jpg")</f>
        <v>\\192.168.0.4\Produtos\PRODUTO_PRONTA_ENTREGA\static\IMAGENS_PRODUTOS\MESA CENTRO ORGAN_334262.jpg</v>
      </c>
      <c r="V679" t="str">
        <f>IFERROR((VLOOKUP(A679,Planilha1!A:B,2,0)),"\\192.168.0.4\Produtos\PRODUTO_PRONTA_ENTREGA\static\IMAGENS_PRODUTOS\SEM IMAGEM.jpg")</f>
        <v>\\192.168.0.4\Produtos\PRODUTO_PRONTA_ENTREGA\static\IMAGENS_PRODUTOS\MESA CENTRO ORGAN_334262.jpg</v>
      </c>
    </row>
    <row r="680" spans="1:22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36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37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38"/>
        <v>1</v>
      </c>
      <c r="U680" s="10" t="str">
        <f>IFERROR((VLOOKUP(A680,Planilha1!A:B,2,0)),"\\192.168.0.4\Produtos\PRODUTO_PRONTA_ENTREGA\static\IMAGENS_PRODUTOS\SEM IMAGEM.jpg")</f>
        <v>\\192.168.0.4\Produtos\PRODUTO_PRONTA_ENTREGA\static\IMAGENS_PRODUTOS\MESA CENTRO ORGAN_334261.jpg</v>
      </c>
      <c r="V680" t="str">
        <f>IFERROR((VLOOKUP(A680,Planilha1!A:B,2,0)),"\\192.168.0.4\Produtos\PRODUTO_PRONTA_ENTREGA\static\IMAGENS_PRODUTOS\SEM IMAGEM.jpg")</f>
        <v>\\192.168.0.4\Produtos\PRODUTO_PRONTA_ENTREGA\static\IMAGENS_PRODUTOS\MESA CENTRO ORGAN_334261.jpg</v>
      </c>
    </row>
    <row r="681" spans="1:22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36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37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38"/>
        <v>1</v>
      </c>
      <c r="U681" s="10" t="str">
        <f>IFERROR((VLOOKUP(A681,Planilha1!A:B,2,0)),"\\192.168.0.4\Produtos\PRODUTO_PRONTA_ENTREGA\static\IMAGENS_PRODUTOS\SEM IMAGEM.jpg")</f>
        <v>\\192.168.0.4\Produtos\PRODUTO_PRONTA_ENTREGA\static\IMAGENS_PRODUTOS\SEM IMAGEM.jpg</v>
      </c>
      <c r="V681" t="str">
        <f>IFERROR((VLOOKUP(A681,Planilha1!A:B,2,0)),"\\192.168.0.4\Produtos\PRODUTO_PRONTA_ENTREGA\static\IMAGENS_PRODUTOS\SEM IMAGEM.jpg")</f>
        <v>\\192.168.0.4\Produtos\PRODUTO_PRONTA_ENTREGA\static\IMAGENS_PRODUTOS\SEM IMAGEM.jpg</v>
      </c>
    </row>
    <row r="682" spans="1:22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36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37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38"/>
        <v>1</v>
      </c>
      <c r="U682" s="10" t="str">
        <f>IFERROR((VLOOKUP(A682,Planilha1!A:B,2,0)),"\\192.168.0.4\Produtos\PRODUTO_PRONTA_ENTREGA\static\IMAGENS_PRODUTOS\SEM IMAGEM.jpg")</f>
        <v>\\192.168.0.4\Produtos\PRODUTO_PRONTA_ENTREGA\static\IMAGENS_PRODUTOS\MESA JANTAR PREMIUM_261383.jpg</v>
      </c>
      <c r="V682" t="str">
        <f>IFERROR((VLOOKUP(A682,Planilha1!A:B,2,0)),"\\192.168.0.4\Produtos\PRODUTO_PRONTA_ENTREGA\static\IMAGENS_PRODUTOS\SEM IMAGEM.jpg")</f>
        <v>\\192.168.0.4\Produtos\PRODUTO_PRONTA_ENTREGA\static\IMAGENS_PRODUTOS\MESA JANTAR PREMIUM_261383.jpg</v>
      </c>
    </row>
    <row r="683" spans="1:22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36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37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38"/>
        <v>1</v>
      </c>
      <c r="U683" s="10" t="str">
        <f>IFERROR((VLOOKUP(A683,Planilha1!A:B,2,0)),"\\192.168.0.4\Produtos\PRODUTO_PRONTA_ENTREGA\static\IMAGENS_PRODUTOS\SEM IMAGEM.jpg")</f>
        <v>\\192.168.0.4\Produtos\PRODUTO_PRONTA_ENTREGA\static\IMAGENS_PRODUTOS\SEM IMAGEM.jpg</v>
      </c>
      <c r="V683" t="str">
        <f>IFERROR((VLOOKUP(A683,Planilha1!A:B,2,0)),"\\192.168.0.4\Produtos\PRODUTO_PRONTA_ENTREGA\static\IMAGENS_PRODUTOS\SEM IMAGEM.jpg")</f>
        <v>\\192.168.0.4\Produtos\PRODUTO_PRONTA_ENTREGA\static\IMAGENS_PRODUTOS\SEM IMAGEM.jpg</v>
      </c>
    </row>
    <row r="684" spans="1:22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36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37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38"/>
        <v>1</v>
      </c>
      <c r="U684" s="10" t="str">
        <f>IFERROR((VLOOKUP(A684,Planilha1!A:B,2,0)),"\\192.168.0.4\Produtos\PRODUTO_PRONTA_ENTREGA\static\IMAGENS_PRODUTOS\SEM IMAGEM.jpg")</f>
        <v>\\192.168.0.4\Produtos\PRODUTO_PRONTA_ENTREGA\static\IMAGENS_PRODUTOS\SEM IMAGEM.jpg</v>
      </c>
      <c r="V684" t="str">
        <f>IFERROR((VLOOKUP(A684,Planilha1!A:B,2,0)),"\\192.168.0.4\Produtos\PRODUTO_PRONTA_ENTREGA\static\IMAGENS_PRODUTOS\SEM IMAGEM.jpg")</f>
        <v>\\192.168.0.4\Produtos\PRODUTO_PRONTA_ENTREGA\static\IMAGENS_PRODUTOS\SEM IMAGEM.jpg</v>
      </c>
    </row>
    <row r="685" spans="1:22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36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37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38"/>
        <v>1</v>
      </c>
      <c r="U685" s="10" t="str">
        <f>IFERROR((VLOOKUP(A685,Planilha1!A:B,2,0)),"\\192.168.0.4\Produtos\PRODUTO_PRONTA_ENTREGA\static\IMAGENS_PRODUTOS\SEM IMAGEM.jpg")</f>
        <v>\\192.168.0.4\Produtos\PRODUTO_PRONTA_ENTREGA\static\IMAGENS_PRODUTOS\SEM IMAGEM.jpg</v>
      </c>
      <c r="V685" t="str">
        <f>IFERROR((VLOOKUP(A685,Planilha1!A:B,2,0)),"\\192.168.0.4\Produtos\PRODUTO_PRONTA_ENTREGA\static\IMAGENS_PRODUTOS\SEM IMAGEM.jpg")</f>
        <v>\\192.168.0.4\Produtos\PRODUTO_PRONTA_ENTREGA\static\IMAGENS_PRODUTOS\SEM IMAGEM.jpg</v>
      </c>
    </row>
    <row r="686" spans="1:22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36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37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38"/>
        <v>1</v>
      </c>
      <c r="U686" s="10" t="str">
        <f>IFERROR((VLOOKUP(A686,Planilha1!A:B,2,0)),"\\192.168.0.4\Produtos\PRODUTO_PRONTA_ENTREGA\static\IMAGENS_PRODUTOS\SEM IMAGEM.jpg")</f>
        <v>\\192.168.0.4\Produtos\PRODUTO_PRONTA_ENTREGA\static\IMAGENS_PRODUTOS\SEM IMAGEM.jpg</v>
      </c>
      <c r="V686" t="str">
        <f>IFERROR((VLOOKUP(A686,Planilha1!A:B,2,0)),"\\192.168.0.4\Produtos\PRODUTO_PRONTA_ENTREGA\static\IMAGENS_PRODUTOS\SEM IMAGEM.jpg")</f>
        <v>\\192.168.0.4\Produtos\PRODUTO_PRONTA_ENTREGA\static\IMAGENS_PRODUTOS\SEM IMAGEM.jpg</v>
      </c>
    </row>
    <row r="687" spans="1:22" x14ac:dyDescent="0.25">
      <c r="A687" s="5">
        <v>387722</v>
      </c>
      <c r="B687" t="str">
        <f>IFERROR((VLOOKUP(A687,'[1]LISTA ETIQUETAS'!O:X,3,0)),"PRODUTO SEM ESTOQUE")</f>
        <v>PRODUTO SEM ESTOQUE</v>
      </c>
      <c r="C687" s="10" t="s">
        <v>51</v>
      </c>
      <c r="D687" s="10" t="s">
        <v>430</v>
      </c>
      <c r="E687" s="11" t="e">
        <f>IF(VLOOKUP(A687,'[1]LISTA ETIQUETAS'!O:W,4,0)="",(VLOOKUP(A687,'[1]LISTA ETIQUETAS'!O:W,6,0)),(VLOOKUP(A687,'[1]LISTA ETIQUETAS'!O:W,4,0)))</f>
        <v>#N/A</v>
      </c>
      <c r="F687" s="11" t="e">
        <f>IF(VLOOKUP(A687,'[1]LISTA ETIQUETAS'!O:W,5,0)="",(VLOOKUP(A687,'[1]LISTA ETIQUETAS'!O:W,7,0)),(VLOOKUP(A687,'[1]LISTA ETIQUETAS'!O:W,5,0)))</f>
        <v>#N/A</v>
      </c>
      <c r="G687" s="11" t="str">
        <f>IFERROR((VLOOKUP(A687,'[1]LISTA ETIQUETAS'!O:X,8,0)),"")</f>
        <v/>
      </c>
      <c r="H687" s="11" t="str">
        <f>IFERROR((VLOOKUP(A687,'[1]LISTA ETIQUETAS'!O:X,9,0)),"")</f>
        <v/>
      </c>
      <c r="I687" s="12">
        <f>IFERROR((VLOOKUP(A687,'[1]LISTA ETIQUETAS'!O:Y,11,0)),"")</f>
        <v>24289.4</v>
      </c>
      <c r="J687" s="6">
        <v>0</v>
      </c>
      <c r="K687" s="12">
        <f t="shared" si="36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37"/>
        <v>387722</v>
      </c>
      <c r="O687" s="2" t="e">
        <f>_xlfn.XLOOKUP($A687,'[1]LISTA ETIQUETAS'!$O:$O,'[1]LISTA ETIQUETAS'!C:C,"",0)</f>
        <v>#N/A</v>
      </c>
      <c r="P687" s="2" t="e">
        <f>_xlfn.XLOOKUP($A687,'[1]LISTA ETIQUETAS'!$O:$O,'[1]LISTA ETIQUETAS'!D:D,"",0)</f>
        <v>#N/A</v>
      </c>
      <c r="Q687" s="2" t="e">
        <f>_xlfn.XLOOKUP($A687,'[1]LISTA ETIQUETAS'!$O:$O,'[1]LISTA ETIQUETAS'!E:E,"",0)</f>
        <v>#N/A</v>
      </c>
      <c r="R687" s="2" t="e">
        <f>_xlfn.XLOOKUP($A687,'[1]LISTA ETIQUETAS'!$O:$O,'[1]LISTA ETIQUETAS'!F:F,"",0)</f>
        <v>#N/A</v>
      </c>
      <c r="S687" s="2" t="e">
        <f>_xlfn.XLOOKUP($A687,'[1]LISTA ETIQUETAS'!$O:$O,'[1]LISTA ETIQUETAS'!H:H,"",0)</f>
        <v>#N/A</v>
      </c>
      <c r="T687" s="9" t="e">
        <f t="shared" si="38"/>
        <v>#N/A</v>
      </c>
      <c r="U687" s="10" t="str">
        <f>IFERROR((VLOOKUP(A687,Planilha1!A:B,2,0)),"\\192.168.0.4\Produtos\PRODUTO_PRONTA_ENTREGA\static\IMAGENS_PRODUTOS\SEM IMAGEM.jpg")</f>
        <v>\\192.168.0.4\Produtos\PRODUTO_PRONTA_ENTREGA\static\IMAGENS_PRODUTOS\SEM IMAGEM.jpg</v>
      </c>
      <c r="V687" t="str">
        <f>IFERROR((VLOOKUP(A687,Planilha1!A:B,2,0)),"\\192.168.0.4\Produtos\PRODUTO_PRONTA_ENTREGA\static\IMAGENS_PRODUTOS\SEM IMAGEM.jpg")</f>
        <v>\\192.168.0.4\Produtos\PRODUTO_PRONTA_ENTREGA\static\IMAGENS_PRODUTOS\SEM IMAGEM.jpg</v>
      </c>
    </row>
    <row r="688" spans="1:22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36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37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38"/>
        <v>1</v>
      </c>
      <c r="U688" s="10" t="str">
        <f>IFERROR((VLOOKUP(A688,Planilha1!A:B,2,0)),"\\192.168.0.4\Produtos\PRODUTO_PRONTA_ENTREGA\static\IMAGENS_PRODUTOS\SEM IMAGEM.jpg")</f>
        <v>\\192.168.0.4\Produtos\PRODUTO_PRONTA_ENTREGA\static\IMAGENS_PRODUTOS\SEM IMAGEM.jpg</v>
      </c>
      <c r="V688" t="str">
        <f>IFERROR((VLOOKUP(A688,Planilha1!A:B,2,0)),"\\192.168.0.4\Produtos\PRODUTO_PRONTA_ENTREGA\static\IMAGENS_PRODUTOS\SEM IMAGEM.jpg")</f>
        <v>\\192.168.0.4\Produtos\PRODUTO_PRONTA_ENTREGA\static\IMAGENS_PRODUTOS\SEM IMAGEM.jpg</v>
      </c>
    </row>
    <row r="689" spans="1:22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36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37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38"/>
        <v>2</v>
      </c>
      <c r="U689" s="10" t="str">
        <f>IFERROR((VLOOKUP(A689,Planilha1!A:B,2,0)),"\\192.168.0.4\Produtos\PRODUTO_PRONTA_ENTREGA\static\IMAGENS_PRODUTOS\SEM IMAGEM.jpg")</f>
        <v>\\192.168.0.4\Produtos\PRODUTO_PRONTA_ENTREGA\static\IMAGENS_PRODUTOS\SEM IMAGEM.jpg</v>
      </c>
      <c r="V689" t="str">
        <f>IFERROR((VLOOKUP(A689,Planilha1!A:B,2,0)),"\\192.168.0.4\Produtos\PRODUTO_PRONTA_ENTREGA\static\IMAGENS_PRODUTOS\SEM IMAGEM.jpg")</f>
        <v>\\192.168.0.4\Produtos\PRODUTO_PRONTA_ENTREGA\static\IMAGENS_PRODUTOS\SEM IMAGEM.jpg</v>
      </c>
    </row>
    <row r="690" spans="1:22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36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37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38"/>
        <v>1</v>
      </c>
      <c r="U690" s="10" t="str">
        <f>IFERROR((VLOOKUP(A690,Planilha1!A:B,2,0)),"\\192.168.0.4\Produtos\PRODUTO_PRONTA_ENTREGA\static\IMAGENS_PRODUTOS\SEM IMAGEM.jpg")</f>
        <v>\\192.168.0.4\Produtos\PRODUTO_PRONTA_ENTREGA\static\IMAGENS_PRODUTOS\SEM IMAGEM.jpg</v>
      </c>
      <c r="V690" t="str">
        <f>IFERROR((VLOOKUP(A690,Planilha1!A:B,2,0)),"\\192.168.0.4\Produtos\PRODUTO_PRONTA_ENTREGA\static\IMAGENS_PRODUTOS\SEM IMAGEM.jpg")</f>
        <v>\\192.168.0.4\Produtos\PRODUTO_PRONTA_ENTREGA\static\IMAGENS_PRODUTOS\SEM IMAGEM.jpg</v>
      </c>
    </row>
    <row r="691" spans="1:22" x14ac:dyDescent="0.25">
      <c r="A691" s="5">
        <v>370965</v>
      </c>
      <c r="B691" t="str">
        <f>IFERROR((VLOOKUP(A691,'[1]LISTA ETIQUETAS'!O:X,3,0)),"PRODUTO SEM ESTOQUE")</f>
        <v>PRODUTO SEM ESTOQUE</v>
      </c>
      <c r="C691" s="10" t="s">
        <v>51</v>
      </c>
      <c r="D691" s="10" t="s">
        <v>434</v>
      </c>
      <c r="E691" s="11" t="e">
        <f>IF(VLOOKUP(A691,'[1]LISTA ETIQUETAS'!O:W,4,0)="",(VLOOKUP(A691,'[1]LISTA ETIQUETAS'!O:W,6,0)),(VLOOKUP(A691,'[1]LISTA ETIQUETAS'!O:W,4,0)))</f>
        <v>#N/A</v>
      </c>
      <c r="F691" s="11" t="e">
        <f>IF(VLOOKUP(A691,'[1]LISTA ETIQUETAS'!O:W,5,0)="",(VLOOKUP(A691,'[1]LISTA ETIQUETAS'!O:W,7,0)),(VLOOKUP(A691,'[1]LISTA ETIQUETAS'!O:W,5,0)))</f>
        <v>#N/A</v>
      </c>
      <c r="G691" s="11" t="str">
        <f>IFERROR((VLOOKUP(A691,'[1]LISTA ETIQUETAS'!O:X,8,0)),"")</f>
        <v/>
      </c>
      <c r="H691" s="11" t="str">
        <f>IFERROR((VLOOKUP(A691,'[1]LISTA ETIQUETAS'!O:X,9,0)),"")</f>
        <v/>
      </c>
      <c r="I691" s="12">
        <f>IFERROR((VLOOKUP(A691,'[1]LISTA ETIQUETAS'!O:Y,11,0)),"")</f>
        <v>26065</v>
      </c>
      <c r="J691" s="6">
        <v>0</v>
      </c>
      <c r="K691" s="12">
        <f t="shared" si="36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37"/>
        <v>370965</v>
      </c>
      <c r="O691" s="2" t="e">
        <f>_xlfn.XLOOKUP($A691,'[1]LISTA ETIQUETAS'!$O:$O,'[1]LISTA ETIQUETAS'!C:C,"",0)</f>
        <v>#N/A</v>
      </c>
      <c r="P691" s="2" t="e">
        <f>_xlfn.XLOOKUP($A691,'[1]LISTA ETIQUETAS'!$O:$O,'[1]LISTA ETIQUETAS'!D:D,"",0)</f>
        <v>#N/A</v>
      </c>
      <c r="Q691" s="2" t="e">
        <f>_xlfn.XLOOKUP($A691,'[1]LISTA ETIQUETAS'!$O:$O,'[1]LISTA ETIQUETAS'!E:E,"",0)</f>
        <v>#N/A</v>
      </c>
      <c r="R691" s="2" t="e">
        <f>_xlfn.XLOOKUP($A691,'[1]LISTA ETIQUETAS'!$O:$O,'[1]LISTA ETIQUETAS'!F:F,"",0)</f>
        <v>#N/A</v>
      </c>
      <c r="S691" s="2" t="e">
        <f>_xlfn.XLOOKUP($A691,'[1]LISTA ETIQUETAS'!$O:$O,'[1]LISTA ETIQUETAS'!H:H,"",0)</f>
        <v>#N/A</v>
      </c>
      <c r="T691" s="9" t="e">
        <f t="shared" si="38"/>
        <v>#N/A</v>
      </c>
      <c r="U691" s="10" t="str">
        <f>IFERROR((VLOOKUP(A691,Planilha1!A:B,2,0)),"\\192.168.0.4\Produtos\PRODUTO_PRONTA_ENTREGA\static\IMAGENS_PRODUTOS\SEM IMAGEM.jpg")</f>
        <v>\\192.168.0.4\Produtos\PRODUTO_PRONTA_ENTREGA\static\IMAGENS_PRODUTOS\SEM IMAGEM.jpg</v>
      </c>
      <c r="V691" t="str">
        <f>IFERROR((VLOOKUP(A691,Planilha1!A:B,2,0)),"\\192.168.0.4\Produtos\PRODUTO_PRONTA_ENTREGA\static\IMAGENS_PRODUTOS\SEM IMAGEM.jpg")</f>
        <v>\\192.168.0.4\Produtos\PRODUTO_PRONTA_ENTREGA\static\IMAGENS_PRODUTOS\SEM IMAGEM.jpg</v>
      </c>
    </row>
    <row r="692" spans="1:22" x14ac:dyDescent="0.25">
      <c r="A692" s="5">
        <v>371590</v>
      </c>
      <c r="B692" t="str">
        <f>IFERROR((VLOOKUP(A692,'[1]LISTA ETIQUETAS'!O:X,3,0)),"PRODUTO SEM ESTOQUE")</f>
        <v>PRODUTO SEM ESTOQUE</v>
      </c>
      <c r="C692" s="10" t="s">
        <v>51</v>
      </c>
      <c r="D692" s="10" t="s">
        <v>435</v>
      </c>
      <c r="E692" s="11" t="e">
        <f>IF(VLOOKUP(A692,'[1]LISTA ETIQUETAS'!O:W,4,0)="",(VLOOKUP(A692,'[1]LISTA ETIQUETAS'!O:W,6,0)),(VLOOKUP(A692,'[1]LISTA ETIQUETAS'!O:W,4,0)))</f>
        <v>#N/A</v>
      </c>
      <c r="F692" s="11" t="e">
        <f>IF(VLOOKUP(A692,'[1]LISTA ETIQUETAS'!O:W,5,0)="",(VLOOKUP(A692,'[1]LISTA ETIQUETAS'!O:W,7,0)),(VLOOKUP(A692,'[1]LISTA ETIQUETAS'!O:W,5,0)))</f>
        <v>#N/A</v>
      </c>
      <c r="G692" s="11" t="str">
        <f>IFERROR((VLOOKUP(A692,'[1]LISTA ETIQUETAS'!O:X,8,0)),"")</f>
        <v/>
      </c>
      <c r="H692" s="11" t="str">
        <f>IFERROR((VLOOKUP(A692,'[1]LISTA ETIQUETAS'!O:X,9,0)),"")</f>
        <v/>
      </c>
      <c r="I692" s="12">
        <f>IFERROR((VLOOKUP(A692,'[1]LISTA ETIQUETAS'!O:Y,11,0)),"")</f>
        <v>100479.19</v>
      </c>
      <c r="J692" s="6">
        <v>0</v>
      </c>
      <c r="K692" s="12">
        <f t="shared" si="36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37"/>
        <v>371590</v>
      </c>
      <c r="O692" s="2" t="e">
        <f>_xlfn.XLOOKUP($A692,'[1]LISTA ETIQUETAS'!$O:$O,'[1]LISTA ETIQUETAS'!C:C,"",0)</f>
        <v>#N/A</v>
      </c>
      <c r="P692" s="2" t="e">
        <f>_xlfn.XLOOKUP($A692,'[1]LISTA ETIQUETAS'!$O:$O,'[1]LISTA ETIQUETAS'!D:D,"",0)</f>
        <v>#N/A</v>
      </c>
      <c r="Q692" s="2" t="e">
        <f>_xlfn.XLOOKUP($A692,'[1]LISTA ETIQUETAS'!$O:$O,'[1]LISTA ETIQUETAS'!E:E,"",0)</f>
        <v>#N/A</v>
      </c>
      <c r="R692" s="2" t="e">
        <f>_xlfn.XLOOKUP($A692,'[1]LISTA ETIQUETAS'!$O:$O,'[1]LISTA ETIQUETAS'!F:F,"",0)</f>
        <v>#N/A</v>
      </c>
      <c r="S692" s="2" t="e">
        <f>_xlfn.XLOOKUP($A692,'[1]LISTA ETIQUETAS'!$O:$O,'[1]LISTA ETIQUETAS'!H:H,"",0)</f>
        <v>#N/A</v>
      </c>
      <c r="T692" s="9" t="e">
        <f t="shared" si="38"/>
        <v>#N/A</v>
      </c>
      <c r="U692" s="10" t="str">
        <f>IFERROR((VLOOKUP(A692,Planilha1!A:B,2,0)),"\\192.168.0.4\Produtos\PRODUTO_PRONTA_ENTREGA\static\IMAGENS_PRODUTOS\SEM IMAGEM.jpg")</f>
        <v>\\192.168.0.4\Produtos\PRODUTO_PRONTA_ENTREGA\static\IMAGENS_PRODUTOS\SEM IMAGEM.jpg</v>
      </c>
      <c r="V692" t="str">
        <f>IFERROR((VLOOKUP(A692,Planilha1!A:B,2,0)),"\\192.168.0.4\Produtos\PRODUTO_PRONTA_ENTREGA\static\IMAGENS_PRODUTOS\SEM IMAGEM.jpg")</f>
        <v>\\192.168.0.4\Produtos\PRODUTO_PRONTA_ENTREGA\static\IMAGENS_PRODUTOS\SEM IMAGEM.jpg</v>
      </c>
    </row>
    <row r="693" spans="1:22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36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37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38"/>
        <v>1</v>
      </c>
      <c r="U693" s="10" t="str">
        <f>IFERROR((VLOOKUP(A693,Planilha1!A:B,2,0)),"\\192.168.0.4\Produtos\PRODUTO_PRONTA_ENTREGA\static\IMAGENS_PRODUTOS\SEM IMAGEM.jpg")</f>
        <v>\\192.168.0.4\Produtos\PRODUTO_PRONTA_ENTREGA\static\IMAGENS_PRODUTOS\MESA JANTAR MATISSE_350004.jpg</v>
      </c>
      <c r="V693" t="str">
        <f>IFERROR((VLOOKUP(A693,Planilha1!A:B,2,0)),"\\192.168.0.4\Produtos\PRODUTO_PRONTA_ENTREGA\static\IMAGENS_PRODUTOS\SEM IMAGEM.jpg")</f>
        <v>\\192.168.0.4\Produtos\PRODUTO_PRONTA_ENTREGA\static\IMAGENS_PRODUTOS\MESA JANTAR MATISSE_350004.jpg</v>
      </c>
    </row>
    <row r="694" spans="1:22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36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37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38"/>
        <v>1</v>
      </c>
      <c r="U694" s="10" t="str">
        <f>IFERROR((VLOOKUP(A694,Planilha1!A:B,2,0)),"\\192.168.0.4\Produtos\PRODUTO_PRONTA_ENTREGA\static\IMAGENS_PRODUTOS\SEM IMAGEM.jpg")</f>
        <v>\\192.168.0.4\Produtos\PRODUTO_PRONTA_ENTREGA\static\IMAGENS_PRODUTOS\MESA JANTAR MAR ADENTRO_335248.jpg</v>
      </c>
      <c r="V694" t="str">
        <f>IFERROR((VLOOKUP(A694,Planilha1!A:B,2,0)),"\\192.168.0.4\Produtos\PRODUTO_PRONTA_ENTREGA\static\IMAGENS_PRODUTOS\SEM IMAGEM.jpg")</f>
        <v>\\192.168.0.4\Produtos\PRODUTO_PRONTA_ENTREGA\static\IMAGENS_PRODUTOS\MESA JANTAR MAR ADENTRO_335248.jpg</v>
      </c>
    </row>
    <row r="695" spans="1:22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36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37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38"/>
        <v>1</v>
      </c>
      <c r="U695" s="10" t="str">
        <f>IFERROR((VLOOKUP(A695,Planilha1!A:B,2,0)),"\\192.168.0.4\Produtos\PRODUTO_PRONTA_ENTREGA\static\IMAGENS_PRODUTOS\SEM IMAGEM.jpg")</f>
        <v>\\192.168.0.4\Produtos\PRODUTO_PRONTA_ENTREGA\static\IMAGENS_PRODUTOS\SEM IMAGEM.jpg</v>
      </c>
      <c r="V695" t="str">
        <f>IFERROR((VLOOKUP(A695,Planilha1!A:B,2,0)),"\\192.168.0.4\Produtos\PRODUTO_PRONTA_ENTREGA\static\IMAGENS_PRODUTOS\SEM IMAGEM.jpg")</f>
        <v>\\192.168.0.4\Produtos\PRODUTO_PRONTA_ENTREGA\static\IMAGENS_PRODUTOS\SEM IMAGEM.jpg</v>
      </c>
    </row>
    <row r="696" spans="1:22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36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37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38"/>
        <v>2</v>
      </c>
      <c r="U696" s="10" t="str">
        <f>IFERROR((VLOOKUP(A696,Planilha1!A:B,2,0)),"\\192.168.0.4\Produtos\PRODUTO_PRONTA_ENTREGA\static\IMAGENS_PRODUTOS\SEM IMAGEM.jpg")</f>
        <v>\\192.168.0.4\Produtos\PRODUTO_PRONTA_ENTREGA\static\IMAGENS_PRODUTOS\MESA JANTAR ELISE_274795.jpg</v>
      </c>
      <c r="V696" t="str">
        <f>IFERROR((VLOOKUP(A696,Planilha1!A:B,2,0)),"\\192.168.0.4\Produtos\PRODUTO_PRONTA_ENTREGA\static\IMAGENS_PRODUTOS\SEM IMAGEM.jpg")</f>
        <v>\\192.168.0.4\Produtos\PRODUTO_PRONTA_ENTREGA\static\IMAGENS_PRODUTOS\MESA JANTAR ELISE_274795.jpg</v>
      </c>
    </row>
    <row r="697" spans="1:22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36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37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38"/>
        <v>1</v>
      </c>
      <c r="U697" s="10" t="str">
        <f>IFERROR((VLOOKUP(A697,Planilha1!A:B,2,0)),"\\192.168.0.4\Produtos\PRODUTO_PRONTA_ENTREGA\static\IMAGENS_PRODUTOS\SEM IMAGEM.jpg")</f>
        <v>\\192.168.0.4\Produtos\PRODUTO_PRONTA_ENTREGA\static\IMAGENS_PRODUTOS\SEM IMAGEM.jpg</v>
      </c>
      <c r="V697" t="str">
        <f>IFERROR((VLOOKUP(A697,Planilha1!A:B,2,0)),"\\192.168.0.4\Produtos\PRODUTO_PRONTA_ENTREGA\static\IMAGENS_PRODUTOS\SEM IMAGEM.jpg")</f>
        <v>\\192.168.0.4\Produtos\PRODUTO_PRONTA_ENTREGA\static\IMAGENS_PRODUTOS\SEM IMAGEM.jpg</v>
      </c>
    </row>
    <row r="698" spans="1:22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36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37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38"/>
        <v>1</v>
      </c>
      <c r="U698" s="10" t="str">
        <f>IFERROR((VLOOKUP(A698,Planilha1!A:B,2,0)),"\\192.168.0.4\Produtos\PRODUTO_PRONTA_ENTREGA\static\IMAGENS_PRODUTOS\SEM IMAGEM.jpg")</f>
        <v>\\192.168.0.4\Produtos\PRODUTO_PRONTA_ENTREGA\static\IMAGENS_PRODUTOS\SEM IMAGEM.jpg</v>
      </c>
      <c r="V698" t="str">
        <f>IFERROR((VLOOKUP(A698,Planilha1!A:B,2,0)),"\\192.168.0.4\Produtos\PRODUTO_PRONTA_ENTREGA\static\IMAGENS_PRODUTOS\SEM IMAGEM.jpg")</f>
        <v>\\192.168.0.4\Produtos\PRODUTO_PRONTA_ENTREGA\static\IMAGENS_PRODUTOS\SEM IMAGEM.jpg</v>
      </c>
    </row>
    <row r="699" spans="1:22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36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37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38"/>
        <v>1</v>
      </c>
      <c r="U699" s="10" t="str">
        <f>IFERROR((VLOOKUP(A699,Planilha1!A:B,2,0)),"\\192.168.0.4\Produtos\PRODUTO_PRONTA_ENTREGA\static\IMAGENS_PRODUTOS\SEM IMAGEM.jpg")</f>
        <v>\\192.168.0.4\Produtos\PRODUTO_PRONTA_ENTREGA\static\IMAGENS_PRODUTOS\MESA JANTAR SAARINEN_129366.jpg</v>
      </c>
      <c r="V699" t="str">
        <f>IFERROR((VLOOKUP(A699,Planilha1!A:B,2,0)),"\\192.168.0.4\Produtos\PRODUTO_PRONTA_ENTREGA\static\IMAGENS_PRODUTOS\SEM IMAGEM.jpg")</f>
        <v>\\192.168.0.4\Produtos\PRODUTO_PRONTA_ENTREGA\static\IMAGENS_PRODUTOS\MESA JANTAR SAARINEN_129366.jpg</v>
      </c>
    </row>
    <row r="700" spans="1:22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36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37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38"/>
        <v>1</v>
      </c>
      <c r="U700" s="10" t="str">
        <f>IFERROR((VLOOKUP(A700,Planilha1!A:B,2,0)),"\\192.168.0.4\Produtos\PRODUTO_PRONTA_ENTREGA\static\IMAGENS_PRODUTOS\SEM IMAGEM.jpg")</f>
        <v>\\192.168.0.4\Produtos\PRODUTO_PRONTA_ENTREGA\static\IMAGENS_PRODUTOS\MESA JANTAR (BASE) LEQUE_65039.jpg</v>
      </c>
      <c r="V700" t="str">
        <f>IFERROR((VLOOKUP(A700,Planilha1!A:B,2,0)),"\\192.168.0.4\Produtos\PRODUTO_PRONTA_ENTREGA\static\IMAGENS_PRODUTOS\SEM IMAGEM.jpg")</f>
        <v>\\192.168.0.4\Produtos\PRODUTO_PRONTA_ENTREGA\static\IMAGENS_PRODUTOS\MESA JANTAR (BASE) LEQUE_65039.jpg</v>
      </c>
    </row>
    <row r="701" spans="1:22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36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37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38"/>
        <v>1</v>
      </c>
      <c r="U701" s="10" t="str">
        <f>IFERROR((VLOOKUP(A701,Planilha1!A:B,2,0)),"\\192.168.0.4\Produtos\PRODUTO_PRONTA_ENTREGA\static\IMAGENS_PRODUTOS\SEM IMAGEM.jpg")</f>
        <v>\\192.168.0.4\Produtos\PRODUTO_PRONTA_ENTREGA\static\IMAGENS_PRODUTOS\MESA JANTAR EIFFEL C VIDRO_101791.jpg</v>
      </c>
      <c r="V701" t="str">
        <f>IFERROR((VLOOKUP(A701,Planilha1!A:B,2,0)),"\\192.168.0.4\Produtos\PRODUTO_PRONTA_ENTREGA\static\IMAGENS_PRODUTOS\SEM IMAGEM.jpg")</f>
        <v>\\192.168.0.4\Produtos\PRODUTO_PRONTA_ENTREGA\static\IMAGENS_PRODUTOS\MESA JANTAR EIFFEL C VIDRO_101791.jpg</v>
      </c>
    </row>
    <row r="702" spans="1:22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36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37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38"/>
        <v>1</v>
      </c>
      <c r="U702" s="10" t="str">
        <f>IFERROR((VLOOKUP(A702,Planilha1!A:B,2,0)),"\\192.168.0.4\Produtos\PRODUTO_PRONTA_ENTREGA\static\IMAGENS_PRODUTOS\SEM IMAGEM.jpg")</f>
        <v>\\192.168.0.4\Produtos\PRODUTO_PRONTA_ENTREGA\static\IMAGENS_PRODUTOS\SEM IMAGEM.jpg</v>
      </c>
      <c r="V702" t="str">
        <f>IFERROR((VLOOKUP(A702,Planilha1!A:B,2,0)),"\\192.168.0.4\Produtos\PRODUTO_PRONTA_ENTREGA\static\IMAGENS_PRODUTOS\SEM IMAGEM.jpg")</f>
        <v>\\192.168.0.4\Produtos\PRODUTO_PRONTA_ENTREGA\static\IMAGENS_PRODUTOS\SEM IMAGEM.jpg</v>
      </c>
    </row>
    <row r="703" spans="1:22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36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37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38"/>
        <v>1</v>
      </c>
      <c r="U703" s="10" t="str">
        <f>IFERROR((VLOOKUP(A703,Planilha1!A:B,2,0)),"\\192.168.0.4\Produtos\PRODUTO_PRONTA_ENTREGA\static\IMAGENS_PRODUTOS\SEM IMAGEM.jpg")</f>
        <v>\\192.168.0.4\Produtos\PRODUTO_PRONTA_ENTREGA\static\IMAGENS_PRODUTOS\MESA JANTAR (BASE) MULTILAMINADA_76865.jpg</v>
      </c>
      <c r="V703" t="str">
        <f>IFERROR((VLOOKUP(A703,Planilha1!A:B,2,0)),"\\192.168.0.4\Produtos\PRODUTO_PRONTA_ENTREGA\static\IMAGENS_PRODUTOS\SEM IMAGEM.jpg")</f>
        <v>\\192.168.0.4\Produtos\PRODUTO_PRONTA_ENTREGA\static\IMAGENS_PRODUTOS\MESA JANTAR (BASE) MULTILAMINADA_76865.jpg</v>
      </c>
    </row>
    <row r="704" spans="1:22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36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37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38"/>
        <v>1</v>
      </c>
      <c r="U704" s="10" t="str">
        <f>IFERROR((VLOOKUP(A704,Planilha1!A:B,2,0)),"\\192.168.0.4\Produtos\PRODUTO_PRONTA_ENTREGA\static\IMAGENS_PRODUTOS\SEM IMAGEM.jpg")</f>
        <v>\\192.168.0.4\Produtos\PRODUTO_PRONTA_ENTREGA\static\IMAGENS_PRODUTOS\MESA JANTAR ALTAMIRA_128623.jpg</v>
      </c>
      <c r="V704" t="str">
        <f>IFERROR((VLOOKUP(A704,Planilha1!A:B,2,0)),"\\192.168.0.4\Produtos\PRODUTO_PRONTA_ENTREGA\static\IMAGENS_PRODUTOS\SEM IMAGEM.jpg")</f>
        <v>\\192.168.0.4\Produtos\PRODUTO_PRONTA_ENTREGA\static\IMAGENS_PRODUTOS\MESA JANTAR ALTAMIRA_128623.jpg</v>
      </c>
    </row>
    <row r="705" spans="1:22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36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37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38"/>
        <v>1</v>
      </c>
      <c r="U705" s="10" t="str">
        <f>IFERROR((VLOOKUP(A705,Planilha1!A:B,2,0)),"\\192.168.0.4\Produtos\PRODUTO_PRONTA_ENTREGA\static\IMAGENS_PRODUTOS\SEM IMAGEM.jpg")</f>
        <v>\\192.168.0.4\Produtos\PRODUTO_PRONTA_ENTREGA\static\IMAGENS_PRODUTOS\MESA JANTAR TEV_146214.jpg</v>
      </c>
      <c r="V705" t="str">
        <f>IFERROR((VLOOKUP(A705,Planilha1!A:B,2,0)),"\\192.168.0.4\Produtos\PRODUTO_PRONTA_ENTREGA\static\IMAGENS_PRODUTOS\SEM IMAGEM.jpg")</f>
        <v>\\192.168.0.4\Produtos\PRODUTO_PRONTA_ENTREGA\static\IMAGENS_PRODUTOS\MESA JANTAR TEV_146214.jpg</v>
      </c>
    </row>
    <row r="706" spans="1:22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36"/>
        <v/>
      </c>
      <c r="L706" s="7" t="str">
        <f>IF(VLOOKUP(A706,'[1]LISTA ETIQUETAS'!O:AB,14,0)="","",(VLOOKUP(A706,'[1]LISTA ETIQUETAS'!O:AB,14,0)))</f>
        <v/>
      </c>
      <c r="M706" s="8"/>
      <c r="N706" s="9">
        <f t="shared" si="37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38"/>
        <v>1</v>
      </c>
      <c r="U706" s="10" t="str">
        <f>IFERROR((VLOOKUP(A706,Planilha1!A:B,2,0)),"\\192.168.0.4\Produtos\PRODUTO_PRONTA_ENTREGA\static\IMAGENS_PRODUTOS\SEM IMAGEM.jpg")</f>
        <v>\\192.168.0.4\Produtos\PRODUTO_PRONTA_ENTREGA\static\IMAGENS_PRODUTOS\MESA JANTAR RAIZES_154009.jpg</v>
      </c>
      <c r="V706" t="str">
        <f>IFERROR((VLOOKUP(A706,Planilha1!A:B,2,0)),"\\192.168.0.4\Produtos\PRODUTO_PRONTA_ENTREGA\static\IMAGENS_PRODUTOS\SEM IMAGEM.jpg")</f>
        <v>\\192.168.0.4\Produtos\PRODUTO_PRONTA_ENTREGA\static\IMAGENS_PRODUTOS\MESA JANTAR RAIZES_154009.jpg</v>
      </c>
    </row>
    <row r="707" spans="1:22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39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37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38"/>
        <v>1</v>
      </c>
      <c r="U707" s="10" t="str">
        <f>IFERROR((VLOOKUP(A707,Planilha1!A:B,2,0)),"\\192.168.0.4\Produtos\PRODUTO_PRONTA_ENTREGA\static\IMAGENS_PRODUTOS\SEM IMAGEM.jpg")</f>
        <v>\\192.168.0.4\Produtos\PRODUTO_PRONTA_ENTREGA\static\IMAGENS_PRODUTOS\MESA JANTAR VERMONT_151384.jpg</v>
      </c>
      <c r="V707" t="str">
        <f>IFERROR((VLOOKUP(A707,Planilha1!A:B,2,0)),"\\192.168.0.4\Produtos\PRODUTO_PRONTA_ENTREGA\static\IMAGENS_PRODUTOS\SEM IMAGEM.jpg")</f>
        <v>\\192.168.0.4\Produtos\PRODUTO_PRONTA_ENTREGA\static\IMAGENS_PRODUTOS\MESA JANTAR VERMONT_151384.jpg</v>
      </c>
    </row>
    <row r="708" spans="1:22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39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40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41">SUM(O708:S708)</f>
        <v>2</v>
      </c>
      <c r="U708" s="10" t="str">
        <f>IFERROR((VLOOKUP(A708,Planilha1!A:B,2,0)),"\\192.168.0.4\Produtos\PRODUTO_PRONTA_ENTREGA\static\IMAGENS_PRODUTOS\SEM IMAGEM.jpg")</f>
        <v>\\192.168.0.4\Produtos\PRODUTO_PRONTA_ENTREGA\static\IMAGENS_PRODUTOS\MESA JANTAR ALTAMIRA_151722.jpg</v>
      </c>
      <c r="V708" t="str">
        <f>IFERROR((VLOOKUP(A708,Planilha1!A:B,2,0)),"\\192.168.0.4\Produtos\PRODUTO_PRONTA_ENTREGA\static\IMAGENS_PRODUTOS\SEM IMAGEM.jpg")</f>
        <v>\\192.168.0.4\Produtos\PRODUTO_PRONTA_ENTREGA\static\IMAGENS_PRODUTOS\MESA JANTAR ALTAMIRA_151722.jpg</v>
      </c>
    </row>
    <row r="709" spans="1:22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39"/>
        <v/>
      </c>
      <c r="L709" s="7" t="str">
        <f>IF(VLOOKUP(A709,'[1]LISTA ETIQUETAS'!O:AB,14,0)="","",(VLOOKUP(A709,'[1]LISTA ETIQUETAS'!O:AB,14,0)))</f>
        <v/>
      </c>
      <c r="M709" s="8"/>
      <c r="N709" s="9">
        <f t="shared" si="40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41"/>
        <v>2</v>
      </c>
      <c r="U709" s="10" t="str">
        <f>IFERROR((VLOOKUP(A709,Planilha1!A:B,2,0)),"\\192.168.0.4\Produtos\PRODUTO_PRONTA_ENTREGA\static\IMAGENS_PRODUTOS\SEM IMAGEM.jpg")</f>
        <v>\\192.168.0.4\Produtos\PRODUTO_PRONTA_ENTREGA\static\IMAGENS_PRODUTOS\MESA JANTAR (BASE) REDE_179265.jpg</v>
      </c>
      <c r="V709" t="str">
        <f>IFERROR((VLOOKUP(A709,Planilha1!A:B,2,0)),"\\192.168.0.4\Produtos\PRODUTO_PRONTA_ENTREGA\static\IMAGENS_PRODUTOS\SEM IMAGEM.jpg")</f>
        <v>\\192.168.0.4\Produtos\PRODUTO_PRONTA_ENTREGA\static\IMAGENS_PRODUTOS\MESA JANTAR (BASE) REDE_179265.jpg</v>
      </c>
    </row>
    <row r="710" spans="1:22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39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40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41"/>
        <v>1</v>
      </c>
      <c r="U710" s="10" t="str">
        <f>IFERROR((VLOOKUP(A710,Planilha1!A:B,2,0)),"\\192.168.0.4\Produtos\PRODUTO_PRONTA_ENTREGA\static\IMAGENS_PRODUTOS\SEM IMAGEM.jpg")</f>
        <v>\\192.168.0.4\Produtos\PRODUTO_PRONTA_ENTREGA\static\IMAGENS_PRODUTOS\MESA JANTAR (BASE) COPACABANA_181594.jpg</v>
      </c>
      <c r="V710" t="str">
        <f>IFERROR((VLOOKUP(A710,Planilha1!A:B,2,0)),"\\192.168.0.4\Produtos\PRODUTO_PRONTA_ENTREGA\static\IMAGENS_PRODUTOS\SEM IMAGEM.jpg")</f>
        <v>\\192.168.0.4\Produtos\PRODUTO_PRONTA_ENTREGA\static\IMAGENS_PRODUTOS\MESA JANTAR (BASE) COPACABANA_181594.jpg</v>
      </c>
    </row>
    <row r="711" spans="1:22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39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40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41"/>
        <v>1</v>
      </c>
      <c r="U711" s="10" t="str">
        <f>IFERROR((VLOOKUP(A711,Planilha1!A:B,2,0)),"\\192.168.0.4\Produtos\PRODUTO_PRONTA_ENTREGA\static\IMAGENS_PRODUTOS\SEM IMAGEM.jpg")</f>
        <v>\\192.168.0.4\Produtos\PRODUTO_PRONTA_ENTREGA\static\IMAGENS_PRODUTOS\MESA JANTAR (BASE) ESPLANADA_190044.jpg</v>
      </c>
      <c r="V711" t="str">
        <f>IFERROR((VLOOKUP(A711,Planilha1!A:B,2,0)),"\\192.168.0.4\Produtos\PRODUTO_PRONTA_ENTREGA\static\IMAGENS_PRODUTOS\SEM IMAGEM.jpg")</f>
        <v>\\192.168.0.4\Produtos\PRODUTO_PRONTA_ENTREGA\static\IMAGENS_PRODUTOS\MESA JANTAR (BASE) ESPLANADA_190044.jpg</v>
      </c>
    </row>
    <row r="712" spans="1:22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39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40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41"/>
        <v>1</v>
      </c>
      <c r="U712" s="10" t="str">
        <f>IFERROR((VLOOKUP(A712,Planilha1!A:B,2,0)),"\\192.168.0.4\Produtos\PRODUTO_PRONTA_ENTREGA\static\IMAGENS_PRODUTOS\SEM IMAGEM.jpg")</f>
        <v>\\192.168.0.4\Produtos\PRODUTO_PRONTA_ENTREGA\static\IMAGENS_PRODUTOS\MESA JANTAR MATRIZ_217873.jpg</v>
      </c>
      <c r="V712" t="str">
        <f>IFERROR((VLOOKUP(A712,Planilha1!A:B,2,0)),"\\192.168.0.4\Produtos\PRODUTO_PRONTA_ENTREGA\static\IMAGENS_PRODUTOS\SEM IMAGEM.jpg")</f>
        <v>\\192.168.0.4\Produtos\PRODUTO_PRONTA_ENTREGA\static\IMAGENS_PRODUTOS\MESA JANTAR MATRIZ_217873.jpg</v>
      </c>
    </row>
    <row r="713" spans="1:22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39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40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41"/>
        <v>1</v>
      </c>
      <c r="U713" s="10" t="str">
        <f>IFERROR((VLOOKUP(A713,Planilha1!A:B,2,0)),"\\192.168.0.4\Produtos\PRODUTO_PRONTA_ENTREGA\static\IMAGENS_PRODUTOS\SEM IMAGEM.jpg")</f>
        <v>\\192.168.0.4\Produtos\PRODUTO_PRONTA_ENTREGA\static\IMAGENS_PRODUTOS\MESA JANTAR MANZANA_224528.jpg</v>
      </c>
      <c r="V713" t="str">
        <f>IFERROR((VLOOKUP(A713,Planilha1!A:B,2,0)),"\\192.168.0.4\Produtos\PRODUTO_PRONTA_ENTREGA\static\IMAGENS_PRODUTOS\SEM IMAGEM.jpg")</f>
        <v>\\192.168.0.4\Produtos\PRODUTO_PRONTA_ENTREGA\static\IMAGENS_PRODUTOS\MESA JANTAR MANZANA_224528.jpg</v>
      </c>
    </row>
    <row r="714" spans="1:22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39"/>
        <v/>
      </c>
      <c r="L714" s="7" t="str">
        <f>IF(VLOOKUP(A714,'[1]LISTA ETIQUETAS'!O:AB,14,0)="","",(VLOOKUP(A714,'[1]LISTA ETIQUETAS'!O:AB,14,0)))</f>
        <v/>
      </c>
      <c r="M714" s="8"/>
      <c r="N714" s="9">
        <f t="shared" si="40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41"/>
        <v>1</v>
      </c>
      <c r="U714" s="10" t="str">
        <f>IFERROR((VLOOKUP(A714,Planilha1!A:B,2,0)),"\\192.168.0.4\Produtos\PRODUTO_PRONTA_ENTREGA\static\IMAGENS_PRODUTOS\SEM IMAGEM.jpg")</f>
        <v>\\192.168.0.4\Produtos\PRODUTO_PRONTA_ENTREGA\static\IMAGENS_PRODUTOS\MESA JANTAR ARIS_234544.jpg</v>
      </c>
      <c r="V714" t="str">
        <f>IFERROR((VLOOKUP(A714,Planilha1!A:B,2,0)),"\\192.168.0.4\Produtos\PRODUTO_PRONTA_ENTREGA\static\IMAGENS_PRODUTOS\SEM IMAGEM.jpg")</f>
        <v>\\192.168.0.4\Produtos\PRODUTO_PRONTA_ENTREGA\static\IMAGENS_PRODUTOS\MESA JANTAR ARIS_234544.jpg</v>
      </c>
    </row>
    <row r="715" spans="1:22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39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40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41"/>
        <v>2</v>
      </c>
      <c r="U715" s="10" t="str">
        <f>IFERROR((VLOOKUP(A715,Planilha1!A:B,2,0)),"\\192.168.0.4\Produtos\PRODUTO_PRONTA_ENTREGA\static\IMAGENS_PRODUTOS\SEM IMAGEM.jpg")</f>
        <v>\\192.168.0.4\Produtos\PRODUTO_PRONTA_ENTREGA\static\IMAGENS_PRODUTOS\MESA JANTAR MANZANA_254880.jpg</v>
      </c>
      <c r="V715" t="str">
        <f>IFERROR((VLOOKUP(A715,Planilha1!A:B,2,0)),"\\192.168.0.4\Produtos\PRODUTO_PRONTA_ENTREGA\static\IMAGENS_PRODUTOS\SEM IMAGEM.jpg")</f>
        <v>\\192.168.0.4\Produtos\PRODUTO_PRONTA_ENTREGA\static\IMAGENS_PRODUTOS\MESA JANTAR MANZANA_254880.jpg</v>
      </c>
    </row>
    <row r="716" spans="1:22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39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40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41"/>
        <v>1</v>
      </c>
      <c r="U716" s="10" t="str">
        <f>IFERROR((VLOOKUP(A716,Planilha1!A:B,2,0)),"\\192.168.0.4\Produtos\PRODUTO_PRONTA_ENTREGA\static\IMAGENS_PRODUTOS\SEM IMAGEM.jpg")</f>
        <v>\\192.168.0.4\Produtos\PRODUTO_PRONTA_ENTREGA\static\IMAGENS_PRODUTOS\SEM IMAGEM.jpg</v>
      </c>
      <c r="V716" t="str">
        <f>IFERROR((VLOOKUP(A716,Planilha1!A:B,2,0)),"\\192.168.0.4\Produtos\PRODUTO_PRONTA_ENTREGA\static\IMAGENS_PRODUTOS\SEM IMAGEM.jpg")</f>
        <v>\\192.168.0.4\Produtos\PRODUTO_PRONTA_ENTREGA\static\IMAGENS_PRODUTOS\SEM IMAGEM.jpg</v>
      </c>
    </row>
    <row r="717" spans="1:22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39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40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41"/>
        <v>1</v>
      </c>
      <c r="U717" s="10" t="str">
        <f>IFERROR((VLOOKUP(A717,Planilha1!A:B,2,0)),"\\192.168.0.4\Produtos\PRODUTO_PRONTA_ENTREGA\static\IMAGENS_PRODUTOS\SEM IMAGEM.jpg")</f>
        <v>\\192.168.0.4\Produtos\PRODUTO_PRONTA_ENTREGA\static\IMAGENS_PRODUTOS\MESA JANTAR MANZANA_260823.jpg</v>
      </c>
      <c r="V717" t="str">
        <f>IFERROR((VLOOKUP(A717,Planilha1!A:B,2,0)),"\\192.168.0.4\Produtos\PRODUTO_PRONTA_ENTREGA\static\IMAGENS_PRODUTOS\SEM IMAGEM.jpg")</f>
        <v>\\192.168.0.4\Produtos\PRODUTO_PRONTA_ENTREGA\static\IMAGENS_PRODUTOS\MESA JANTAR MANZANA_260823.jpg</v>
      </c>
    </row>
    <row r="718" spans="1:22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39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40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41"/>
        <v>1</v>
      </c>
      <c r="U718" s="10" t="str">
        <f>IFERROR((VLOOKUP(A718,Planilha1!A:B,2,0)),"\\192.168.0.4\Produtos\PRODUTO_PRONTA_ENTREGA\static\IMAGENS_PRODUTOS\SEM IMAGEM.jpg")</f>
        <v>\\192.168.0.4\Produtos\PRODUTO_PRONTA_ENTREGA\static\IMAGENS_PRODUTOS\MESA JANTAR (BASE) ESPLANADA_276135.jpg</v>
      </c>
      <c r="V718" t="str">
        <f>IFERROR((VLOOKUP(A718,Planilha1!A:B,2,0)),"\\192.168.0.4\Produtos\PRODUTO_PRONTA_ENTREGA\static\IMAGENS_PRODUTOS\SEM IMAGEM.jpg")</f>
        <v>\\192.168.0.4\Produtos\PRODUTO_PRONTA_ENTREGA\static\IMAGENS_PRODUTOS\MESA JANTAR (BASE) ESPLANADA_276135.jpg</v>
      </c>
    </row>
    <row r="719" spans="1:22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39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40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41"/>
        <v>1</v>
      </c>
      <c r="U719" s="10" t="str">
        <f>IFERROR((VLOOKUP(A719,Planilha1!A:B,2,0)),"\\192.168.0.4\Produtos\PRODUTO_PRONTA_ENTREGA\static\IMAGENS_PRODUTOS\SEM IMAGEM.jpg")</f>
        <v>\\192.168.0.4\Produtos\PRODUTO_PRONTA_ENTREGA\static\IMAGENS_PRODUTOS\MESA JANTAR TRIBECA_275022.jpg</v>
      </c>
      <c r="V719" t="str">
        <f>IFERROR((VLOOKUP(A719,Planilha1!A:B,2,0)),"\\192.168.0.4\Produtos\PRODUTO_PRONTA_ENTREGA\static\IMAGENS_PRODUTOS\SEM IMAGEM.jpg")</f>
        <v>\\192.168.0.4\Produtos\PRODUTO_PRONTA_ENTREGA\static\IMAGENS_PRODUTOS\MESA JANTAR TRIBECA_275022.jpg</v>
      </c>
    </row>
    <row r="720" spans="1:22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39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40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41"/>
        <v>2</v>
      </c>
      <c r="U720" s="10" t="str">
        <f>IFERROR((VLOOKUP(A720,Planilha1!A:B,2,0)),"\\192.168.0.4\Produtos\PRODUTO_PRONTA_ENTREGA\static\IMAGENS_PRODUTOS\SEM IMAGEM.jpg")</f>
        <v>\\192.168.0.4\Produtos\PRODUTO_PRONTA_ENTREGA\static\IMAGENS_PRODUTOS\MESA JANTAR TRIBECA_275021.jpg</v>
      </c>
      <c r="V720" t="str">
        <f>IFERROR((VLOOKUP(A720,Planilha1!A:B,2,0)),"\\192.168.0.4\Produtos\PRODUTO_PRONTA_ENTREGA\static\IMAGENS_PRODUTOS\SEM IMAGEM.jpg")</f>
        <v>\\192.168.0.4\Produtos\PRODUTO_PRONTA_ENTREGA\static\IMAGENS_PRODUTOS\MESA JANTAR TRIBECA_275021.jpg</v>
      </c>
    </row>
    <row r="721" spans="1:22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39"/>
        <v/>
      </c>
      <c r="L721" s="7" t="str">
        <f>IF(VLOOKUP(A721,'[1]LISTA ETIQUETAS'!O:AB,14,0)="","",(VLOOKUP(A721,'[1]LISTA ETIQUETAS'!O:AB,14,0)))</f>
        <v/>
      </c>
      <c r="M721" s="8"/>
      <c r="N721" s="9">
        <f t="shared" si="40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41"/>
        <v>1</v>
      </c>
      <c r="U721" s="10" t="str">
        <f>IFERROR((VLOOKUP(A721,Planilha1!A:B,2,0)),"\\192.168.0.4\Produtos\PRODUTO_PRONTA_ENTREGA\static\IMAGENS_PRODUTOS\SEM IMAGEM.jpg")</f>
        <v>\\192.168.0.4\Produtos\PRODUTO_PRONTA_ENTREGA\static\IMAGENS_PRODUTOS\MESA JANTAR BARCELONA_250714.jpg</v>
      </c>
      <c r="V721" t="str">
        <f>IFERROR((VLOOKUP(A721,Planilha1!A:B,2,0)),"\\192.168.0.4\Produtos\PRODUTO_PRONTA_ENTREGA\static\IMAGENS_PRODUTOS\SEM IMAGEM.jpg")</f>
        <v>\\192.168.0.4\Produtos\PRODUTO_PRONTA_ENTREGA\static\IMAGENS_PRODUTOS\MESA JANTAR BARCELONA_250714.jpg</v>
      </c>
    </row>
    <row r="722" spans="1:22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39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40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41"/>
        <v>1</v>
      </c>
      <c r="U722" s="10" t="str">
        <f>IFERROR((VLOOKUP(A722,Planilha1!A:B,2,0)),"\\192.168.0.4\Produtos\PRODUTO_PRONTA_ENTREGA\static\IMAGENS_PRODUTOS\SEM IMAGEM.jpg")</f>
        <v>\\192.168.0.4\Produtos\PRODUTO_PRONTA_ENTREGA\static\IMAGENS_PRODUTOS\SEM IMAGEM.jpg</v>
      </c>
      <c r="V722" t="str">
        <f>IFERROR((VLOOKUP(A722,Planilha1!A:B,2,0)),"\\192.168.0.4\Produtos\PRODUTO_PRONTA_ENTREGA\static\IMAGENS_PRODUTOS\SEM IMAGEM.jpg")</f>
        <v>\\192.168.0.4\Produtos\PRODUTO_PRONTA_ENTREGA\static\IMAGENS_PRODUTOS\SEM IMAGEM.jpg</v>
      </c>
    </row>
    <row r="723" spans="1:22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39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40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41"/>
        <v>1</v>
      </c>
      <c r="U723" s="10" t="str">
        <f>IFERROR((VLOOKUP(A723,Planilha1!A:B,2,0)),"\\192.168.0.4\Produtos\PRODUTO_PRONTA_ENTREGA\static\IMAGENS_PRODUTOS\SEM IMAGEM.jpg")</f>
        <v>\\192.168.0.4\Produtos\PRODUTO_PRONTA_ENTREGA\static\IMAGENS_PRODUTOS\SEM IMAGEM.jpg</v>
      </c>
      <c r="V723" t="str">
        <f>IFERROR((VLOOKUP(A723,Planilha1!A:B,2,0)),"\\192.168.0.4\Produtos\PRODUTO_PRONTA_ENTREGA\static\IMAGENS_PRODUTOS\SEM IMAGEM.jpg")</f>
        <v>\\192.168.0.4\Produtos\PRODUTO_PRONTA_ENTREGA\static\IMAGENS_PRODUTOS\SEM IMAGEM.jpg</v>
      </c>
    </row>
    <row r="724" spans="1:22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39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40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41"/>
        <v>1</v>
      </c>
      <c r="U724" s="10" t="str">
        <f>IFERROR((VLOOKUP(A724,Planilha1!A:B,2,0)),"\\192.168.0.4\Produtos\PRODUTO_PRONTA_ENTREGA\static\IMAGENS_PRODUTOS\SEM IMAGEM.jpg")</f>
        <v>\\192.168.0.4\Produtos\PRODUTO_PRONTA_ENTREGA\static\IMAGENS_PRODUTOS\SEM IMAGEM.jpg</v>
      </c>
      <c r="V724" t="str">
        <f>IFERROR((VLOOKUP(A724,Planilha1!A:B,2,0)),"\\192.168.0.4\Produtos\PRODUTO_PRONTA_ENTREGA\static\IMAGENS_PRODUTOS\SEM IMAGEM.jpg")</f>
        <v>\\192.168.0.4\Produtos\PRODUTO_PRONTA_ENTREGA\static\IMAGENS_PRODUTOS\SEM IMAGEM.jpg</v>
      </c>
    </row>
    <row r="725" spans="1:22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39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40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41"/>
        <v>1</v>
      </c>
      <c r="U725" s="10" t="str">
        <f>IFERROR((VLOOKUP(A725,Planilha1!A:B,2,0)),"\\192.168.0.4\Produtos\PRODUTO_PRONTA_ENTREGA\static\IMAGENS_PRODUTOS\SEM IMAGEM.jpg")</f>
        <v>\\192.168.0.4\Produtos\PRODUTO_PRONTA_ENTREGA\static\IMAGENS_PRODUTOS\MESA JANTAR LISBOA_377302.jpg</v>
      </c>
      <c r="V725" t="str">
        <f>IFERROR((VLOOKUP(A725,Planilha1!A:B,2,0)),"\\192.168.0.4\Produtos\PRODUTO_PRONTA_ENTREGA\static\IMAGENS_PRODUTOS\SEM IMAGEM.jpg")</f>
        <v>\\192.168.0.4\Produtos\PRODUTO_PRONTA_ENTREGA\static\IMAGENS_PRODUTOS\MESA JANTAR LISBOA_377302.jpg</v>
      </c>
    </row>
    <row r="726" spans="1:22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39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40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41"/>
        <v>1</v>
      </c>
      <c r="U726" s="10" t="str">
        <f>IFERROR((VLOOKUP(A726,Planilha1!A:B,2,0)),"\\192.168.0.4\Produtos\PRODUTO_PRONTA_ENTREGA\static\IMAGENS_PRODUTOS\SEM IMAGEM.jpg")</f>
        <v>\\192.168.0.4\Produtos\PRODUTO_PRONTA_ENTREGA\static\IMAGENS_PRODUTOS\MESA JANTAR LISBOA_336697.jpg</v>
      </c>
      <c r="V726" t="str">
        <f>IFERROR((VLOOKUP(A726,Planilha1!A:B,2,0)),"\\192.168.0.4\Produtos\PRODUTO_PRONTA_ENTREGA\static\IMAGENS_PRODUTOS\SEM IMAGEM.jpg")</f>
        <v>\\192.168.0.4\Produtos\PRODUTO_PRONTA_ENTREGA\static\IMAGENS_PRODUTOS\MESA JANTAR LISBOA_336697.jpg</v>
      </c>
    </row>
    <row r="727" spans="1:22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39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40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41"/>
        <v>1</v>
      </c>
      <c r="U727" s="10" t="str">
        <f>IFERROR((VLOOKUP(A727,Planilha1!A:B,2,0)),"\\192.168.0.4\Produtos\PRODUTO_PRONTA_ENTREGA\static\IMAGENS_PRODUTOS\SEM IMAGEM.jpg")</f>
        <v>\\192.168.0.4\Produtos\PRODUTO_PRONTA_ENTREGA\static\IMAGENS_PRODUTOS\SEM IMAGEM.jpg</v>
      </c>
      <c r="V727" t="str">
        <f>IFERROR((VLOOKUP(A727,Planilha1!A:B,2,0)),"\\192.168.0.4\Produtos\PRODUTO_PRONTA_ENTREGA\static\IMAGENS_PRODUTOS\SEM IMAGEM.jpg")</f>
        <v>\\192.168.0.4\Produtos\PRODUTO_PRONTA_ENTREGA\static\IMAGENS_PRODUTOS\SEM IMAGEM.jpg</v>
      </c>
    </row>
    <row r="728" spans="1:22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39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40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41"/>
        <v>1</v>
      </c>
      <c r="U728" s="10" t="str">
        <f>IFERROR((VLOOKUP(A728,Planilha1!A:B,2,0)),"\\192.168.0.4\Produtos\PRODUTO_PRONTA_ENTREGA\static\IMAGENS_PRODUTOS\SEM IMAGEM.jpg")</f>
        <v>\\192.168.0.4\Produtos\PRODUTO_PRONTA_ENTREGA\static\IMAGENS_PRODUTOS\SEM IMAGEM.jpg</v>
      </c>
      <c r="V728" t="str">
        <f>IFERROR((VLOOKUP(A728,Planilha1!A:B,2,0)),"\\192.168.0.4\Produtos\PRODUTO_PRONTA_ENTREGA\static\IMAGENS_PRODUTOS\SEM IMAGEM.jpg")</f>
        <v>\\192.168.0.4\Produtos\PRODUTO_PRONTA_ENTREGA\static\IMAGENS_PRODUTOS\SEM IMAGEM.jpg</v>
      </c>
    </row>
    <row r="729" spans="1:22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39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40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41"/>
        <v>1</v>
      </c>
      <c r="U729" s="10" t="str">
        <f>IFERROR((VLOOKUP(A729,Planilha1!A:B,2,0)),"\\192.168.0.4\Produtos\PRODUTO_PRONTA_ENTREGA\static\IMAGENS_PRODUTOS\SEM IMAGEM.jpg")</f>
        <v>\\192.168.0.4\Produtos\PRODUTO_PRONTA_ENTREGA\static\IMAGENS_PRODUTOS\SEM IMAGEM.jpg</v>
      </c>
      <c r="V729" t="str">
        <f>IFERROR((VLOOKUP(A729,Planilha1!A:B,2,0)),"\\192.168.0.4\Produtos\PRODUTO_PRONTA_ENTREGA\static\IMAGENS_PRODUTOS\SEM IMAGEM.jpg")</f>
        <v>\\192.168.0.4\Produtos\PRODUTO_PRONTA_ENTREGA\static\IMAGENS_PRODUTOS\SEM IMAGEM.jpg</v>
      </c>
    </row>
    <row r="730" spans="1:22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39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40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41"/>
        <v>1</v>
      </c>
      <c r="U730" s="10" t="str">
        <f>IFERROR((VLOOKUP(A730,Planilha1!A:B,2,0)),"\\192.168.0.4\Produtos\PRODUTO_PRONTA_ENTREGA\static\IMAGENS_PRODUTOS\SEM IMAGEM.jpg")</f>
        <v>\\192.168.0.4\Produtos\PRODUTO_PRONTA_ENTREGA\static\IMAGENS_PRODUTOS\SEM IMAGEM.jpg</v>
      </c>
      <c r="V730" t="str">
        <f>IFERROR((VLOOKUP(A730,Planilha1!A:B,2,0)),"\\192.168.0.4\Produtos\PRODUTO_PRONTA_ENTREGA\static\IMAGENS_PRODUTOS\SEM IMAGEM.jpg")</f>
        <v>\\192.168.0.4\Produtos\PRODUTO_PRONTA_ENTREGA\static\IMAGENS_PRODUTOS\SEM IMAGEM.jpg</v>
      </c>
    </row>
    <row r="731" spans="1:22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39"/>
        <v/>
      </c>
      <c r="L731" s="7" t="str">
        <f>IF(VLOOKUP(A731,'[1]LISTA ETIQUETAS'!O:AB,14,0)="","",(VLOOKUP(A731,'[1]LISTA ETIQUETAS'!O:AB,14,0)))</f>
        <v/>
      </c>
      <c r="M731" s="8"/>
      <c r="N731" s="9">
        <f t="shared" si="40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41"/>
        <v>1</v>
      </c>
      <c r="U731" s="10" t="str">
        <f>IFERROR((VLOOKUP(A731,Planilha1!A:B,2,0)),"\\192.168.0.4\Produtos\PRODUTO_PRONTA_ENTREGA\static\IMAGENS_PRODUTOS\SEM IMAGEM.jpg")</f>
        <v>\\192.168.0.4\Produtos\PRODUTO_PRONTA_ENTREGA\static\IMAGENS_PRODUTOS\SEM IMAGEM.jpg</v>
      </c>
      <c r="V731" t="str">
        <f>IFERROR((VLOOKUP(A731,Planilha1!A:B,2,0)),"\\192.168.0.4\Produtos\PRODUTO_PRONTA_ENTREGA\static\IMAGENS_PRODUTOS\SEM IMAGEM.jpg")</f>
        <v>\\192.168.0.4\Produtos\PRODUTO_PRONTA_ENTREGA\static\IMAGENS_PRODUTOS\SEM IMAGEM.jpg</v>
      </c>
    </row>
    <row r="732" spans="1:22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39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40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41"/>
        <v>1</v>
      </c>
      <c r="U732" s="10" t="str">
        <f>IFERROR((VLOOKUP(A732,Planilha1!A:B,2,0)),"\\192.168.0.4\Produtos\PRODUTO_PRONTA_ENTREGA\static\IMAGENS_PRODUTOS\SEM IMAGEM.jpg")</f>
        <v>\\192.168.0.4\Produtos\PRODUTO_PRONTA_ENTREGA\static\IMAGENS_PRODUTOS\MESA LATERAL LUSA_336701.jpg</v>
      </c>
      <c r="V732" t="str">
        <f>IFERROR((VLOOKUP(A732,Planilha1!A:B,2,0)),"\\192.168.0.4\Produtos\PRODUTO_PRONTA_ENTREGA\static\IMAGENS_PRODUTOS\SEM IMAGEM.jpg")</f>
        <v>\\192.168.0.4\Produtos\PRODUTO_PRONTA_ENTREGA\static\IMAGENS_PRODUTOS\MESA LATERAL LUSA_336701.jpg</v>
      </c>
    </row>
    <row r="733" spans="1:22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39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40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41"/>
        <v>1</v>
      </c>
      <c r="U733" s="10" t="str">
        <f>IFERROR((VLOOKUP(A733,Planilha1!A:B,2,0)),"\\192.168.0.4\Produtos\PRODUTO_PRONTA_ENTREGA\static\IMAGENS_PRODUTOS\SEM IMAGEM.jpg")</f>
        <v>\\192.168.0.4\Produtos\PRODUTO_PRONTA_ENTREGA\static\IMAGENS_PRODUTOS\MESA LATERAL LUSA_336699.jpg</v>
      </c>
      <c r="V733" t="str">
        <f>IFERROR((VLOOKUP(A733,Planilha1!A:B,2,0)),"\\192.168.0.4\Produtos\PRODUTO_PRONTA_ENTREGA\static\IMAGENS_PRODUTOS\SEM IMAGEM.jpg")</f>
        <v>\\192.168.0.4\Produtos\PRODUTO_PRONTA_ENTREGA\static\IMAGENS_PRODUTOS\MESA LATERAL LUSA_336699.jpg</v>
      </c>
    </row>
    <row r="734" spans="1:22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39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40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41"/>
        <v>1</v>
      </c>
      <c r="U734" s="10" t="str">
        <f>IFERROR((VLOOKUP(A734,Planilha1!A:B,2,0)),"\\192.168.0.4\Produtos\PRODUTO_PRONTA_ENTREGA\static\IMAGENS_PRODUTOS\SEM IMAGEM.jpg")</f>
        <v>\\192.168.0.4\Produtos\PRODUTO_PRONTA_ENTREGA\static\IMAGENS_PRODUTOS\MESA LATERAL LUSA (OBL CER AZUL)_335343.jpg</v>
      </c>
      <c r="V734" t="str">
        <f>IFERROR((VLOOKUP(A734,Planilha1!A:B,2,0)),"\\192.168.0.4\Produtos\PRODUTO_PRONTA_ENTREGA\static\IMAGENS_PRODUTOS\SEM IMAGEM.jpg")</f>
        <v>\\192.168.0.4\Produtos\PRODUTO_PRONTA_ENTREGA\static\IMAGENS_PRODUTOS\MESA LATERAL LUSA (OBL CER AZUL)_335343.jpg</v>
      </c>
    </row>
    <row r="735" spans="1:22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39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40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41"/>
        <v>1</v>
      </c>
      <c r="U735" s="10" t="str">
        <f>IFERROR((VLOOKUP(A735,Planilha1!A:B,2,0)),"\\192.168.0.4\Produtos\PRODUTO_PRONTA_ENTREGA\static\IMAGENS_PRODUTOS\SEM IMAGEM.jpg")</f>
        <v>\\192.168.0.4\Produtos\PRODUTO_PRONTA_ENTREGA\static\IMAGENS_PRODUTOS\MESA LATERAL LUSA (OBL CER BEGE)_335342.jpg</v>
      </c>
      <c r="V735" t="str">
        <f>IFERROR((VLOOKUP(A735,Planilha1!A:B,2,0)),"\\192.168.0.4\Produtos\PRODUTO_PRONTA_ENTREGA\static\IMAGENS_PRODUTOS\SEM IMAGEM.jpg")</f>
        <v>\\192.168.0.4\Produtos\PRODUTO_PRONTA_ENTREGA\static\IMAGENS_PRODUTOS\MESA LATERAL LUSA (OBL CER BEGE)_335342.jpg</v>
      </c>
    </row>
    <row r="736" spans="1:22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39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40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41"/>
        <v>1</v>
      </c>
      <c r="U736" s="10" t="str">
        <f>IFERROR((VLOOKUP(A736,Planilha1!A:B,2,0)),"\\192.168.0.4\Produtos\PRODUTO_PRONTA_ENTREGA\static\IMAGENS_PRODUTOS\SEM IMAGEM.jpg")</f>
        <v>\\192.168.0.4\Produtos\PRODUTO_PRONTA_ENTREGA\static\IMAGENS_PRODUTOS\SEM IMAGEM.jpg</v>
      </c>
      <c r="V736" t="str">
        <f>IFERROR((VLOOKUP(A736,Planilha1!A:B,2,0)),"\\192.168.0.4\Produtos\PRODUTO_PRONTA_ENTREGA\static\IMAGENS_PRODUTOS\SEM IMAGEM.jpg")</f>
        <v>\\192.168.0.4\Produtos\PRODUTO_PRONTA_ENTREGA\static\IMAGENS_PRODUTOS\SEM IMAGEM.jpg</v>
      </c>
    </row>
    <row r="737" spans="1:22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39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40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41"/>
        <v>1</v>
      </c>
      <c r="U737" s="10" t="str">
        <f>IFERROR((VLOOKUP(A737,Planilha1!A:B,2,0)),"\\192.168.0.4\Produtos\PRODUTO_PRONTA_ENTREGA\static\IMAGENS_PRODUTOS\SEM IMAGEM.jpg")</f>
        <v>\\192.168.0.4\Produtos\PRODUTO_PRONTA_ENTREGA\static\IMAGENS_PRODUTOS\MESA LATERAL LUSA_336619.jpg</v>
      </c>
      <c r="V737" t="str">
        <f>IFERROR((VLOOKUP(A737,Planilha1!A:B,2,0)),"\\192.168.0.4\Produtos\PRODUTO_PRONTA_ENTREGA\static\IMAGENS_PRODUTOS\SEM IMAGEM.jpg")</f>
        <v>\\192.168.0.4\Produtos\PRODUTO_PRONTA_ENTREGA\static\IMAGENS_PRODUTOS\MESA LATERAL LUSA_336619.jpg</v>
      </c>
    </row>
    <row r="738" spans="1:22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39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40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41"/>
        <v>1</v>
      </c>
      <c r="U738" s="10" t="str">
        <f>IFERROR((VLOOKUP(A738,Planilha1!A:B,2,0)),"\\192.168.0.4\Produtos\PRODUTO_PRONTA_ENTREGA\static\IMAGENS_PRODUTOS\SEM IMAGEM.jpg")</f>
        <v>\\192.168.0.4\Produtos\PRODUTO_PRONTA_ENTREGA\static\IMAGENS_PRODUTOS\SEM IMAGEM.jpg</v>
      </c>
      <c r="V738" t="str">
        <f>IFERROR((VLOOKUP(A738,Planilha1!A:B,2,0)),"\\192.168.0.4\Produtos\PRODUTO_PRONTA_ENTREGA\static\IMAGENS_PRODUTOS\SEM IMAGEM.jpg")</f>
        <v>\\192.168.0.4\Produtos\PRODUTO_PRONTA_ENTREGA\static\IMAGENS_PRODUTOS\SEM IMAGEM.jpg</v>
      </c>
    </row>
    <row r="739" spans="1:22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39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40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41"/>
        <v>1</v>
      </c>
      <c r="U739" s="10" t="str">
        <f>IFERROR((VLOOKUP(A739,Planilha1!A:B,2,0)),"\\192.168.0.4\Produtos\PRODUTO_PRONTA_ENTREGA\static\IMAGENS_PRODUTOS\SEM IMAGEM.jpg")</f>
        <v>\\192.168.0.4\Produtos\PRODUTO_PRONTA_ENTREGA\static\IMAGENS_PRODUTOS\SEM IMAGEM.jpg</v>
      </c>
      <c r="V739" t="str">
        <f>IFERROR((VLOOKUP(A739,Planilha1!A:B,2,0)),"\\192.168.0.4\Produtos\PRODUTO_PRONTA_ENTREGA\static\IMAGENS_PRODUTOS\SEM IMAGEM.jpg")</f>
        <v>\\192.168.0.4\Produtos\PRODUTO_PRONTA_ENTREGA\static\IMAGENS_PRODUTOS\SEM IMAGEM.jpg</v>
      </c>
    </row>
    <row r="740" spans="1:22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39"/>
        <v/>
      </c>
      <c r="L740" s="7" t="str">
        <f>IF(VLOOKUP(A740,'[1]LISTA ETIQUETAS'!O:AB,14,0)="","",(VLOOKUP(A740,'[1]LISTA ETIQUETAS'!O:AB,14,0)))</f>
        <v/>
      </c>
      <c r="M740" s="8"/>
      <c r="N740" s="9">
        <f t="shared" si="40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41"/>
        <v>1</v>
      </c>
      <c r="U740" s="10" t="str">
        <f>IFERROR((VLOOKUP(A740,Planilha1!A:B,2,0)),"\\192.168.0.4\Produtos\PRODUTO_PRONTA_ENTREGA\static\IMAGENS_PRODUTOS\SEM IMAGEM.jpg")</f>
        <v>\\192.168.0.4\Produtos\PRODUTO_PRONTA_ENTREGA\static\IMAGENS_PRODUTOS\SEM IMAGEM.jpg</v>
      </c>
      <c r="V740" t="str">
        <f>IFERROR((VLOOKUP(A740,Planilha1!A:B,2,0)),"\\192.168.0.4\Produtos\PRODUTO_PRONTA_ENTREGA\static\IMAGENS_PRODUTOS\SEM IMAGEM.jpg")</f>
        <v>\\192.168.0.4\Produtos\PRODUTO_PRONTA_ENTREGA\static\IMAGENS_PRODUTOS\SEM IMAGEM.jpg</v>
      </c>
    </row>
    <row r="741" spans="1:22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39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40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41"/>
        <v>1</v>
      </c>
      <c r="U741" s="10" t="str">
        <f>IFERROR((VLOOKUP(A741,Planilha1!A:B,2,0)),"\\192.168.0.4\Produtos\PRODUTO_PRONTA_ENTREGA\static\IMAGENS_PRODUTOS\SEM IMAGEM.jpg")</f>
        <v>\\192.168.0.4\Produtos\PRODUTO_PRONTA_ENTREGA\static\IMAGENS_PRODUTOS\SEM IMAGEM.jpg</v>
      </c>
      <c r="V741" t="str">
        <f>IFERROR((VLOOKUP(A741,Planilha1!A:B,2,0)),"\\192.168.0.4\Produtos\PRODUTO_PRONTA_ENTREGA\static\IMAGENS_PRODUTOS\SEM IMAGEM.jpg")</f>
        <v>\\192.168.0.4\Produtos\PRODUTO_PRONTA_ENTREGA\static\IMAGENS_PRODUTOS\SEM IMAGEM.jpg</v>
      </c>
    </row>
    <row r="742" spans="1:22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39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40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41"/>
        <v>2</v>
      </c>
      <c r="U742" s="10" t="str">
        <f>IFERROR((VLOOKUP(A742,Planilha1!A:B,2,0)),"\\192.168.0.4\Produtos\PRODUTO_PRONTA_ENTREGA\static\IMAGENS_PRODUTOS\SEM IMAGEM.jpg")</f>
        <v>\\192.168.0.4\Produtos\PRODUTO_PRONTA_ENTREGA\static\IMAGENS_PRODUTOS\SEM IMAGEM.jpg</v>
      </c>
      <c r="V742" t="str">
        <f>IFERROR((VLOOKUP(A742,Planilha1!A:B,2,0)),"\\192.168.0.4\Produtos\PRODUTO_PRONTA_ENTREGA\static\IMAGENS_PRODUTOS\SEM IMAGEM.jpg")</f>
        <v>\\192.168.0.4\Produtos\PRODUTO_PRONTA_ENTREGA\static\IMAGENS_PRODUTOS\SEM IMAGEM.jpg</v>
      </c>
    </row>
    <row r="743" spans="1:22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39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40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41"/>
        <v>1</v>
      </c>
      <c r="U743" s="10" t="str">
        <f>IFERROR((VLOOKUP(A743,Planilha1!A:B,2,0)),"\\192.168.0.4\Produtos\PRODUTO_PRONTA_ENTREGA\static\IMAGENS_PRODUTOS\SEM IMAGEM.jpg")</f>
        <v>\\192.168.0.4\Produtos\PRODUTO_PRONTA_ENTREGA\static\IMAGENS_PRODUTOS\MESA LATERAL IPANEMA_219074.jpg</v>
      </c>
      <c r="V743" t="str">
        <f>IFERROR((VLOOKUP(A743,Planilha1!A:B,2,0)),"\\192.168.0.4\Produtos\PRODUTO_PRONTA_ENTREGA\static\IMAGENS_PRODUTOS\SEM IMAGEM.jpg")</f>
        <v>\\192.168.0.4\Produtos\PRODUTO_PRONTA_ENTREGA\static\IMAGENS_PRODUTOS\MESA LATERAL IPANEMA_219074.jpg</v>
      </c>
    </row>
    <row r="744" spans="1:22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39"/>
        <v/>
      </c>
      <c r="L744" s="7" t="str">
        <f>IF(VLOOKUP(A744,'[1]LISTA ETIQUETAS'!O:AB,14,0)="","",(VLOOKUP(A744,'[1]LISTA ETIQUETAS'!O:AB,14,0)))</f>
        <v/>
      </c>
      <c r="M744" s="8"/>
      <c r="N744" s="9">
        <f t="shared" si="40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41"/>
        <v>1</v>
      </c>
      <c r="U744" s="10" t="str">
        <f>IFERROR((VLOOKUP(A744,Planilha1!A:B,2,0)),"\\192.168.0.4\Produtos\PRODUTO_PRONTA_ENTREGA\static\IMAGENS_PRODUTOS\SEM IMAGEM.jpg")</f>
        <v>\\192.168.0.4\Produtos\PRODUTO_PRONTA_ENTREGA\static\IMAGENS_PRODUTOS\MESA LATERAL DUOMO_97923.jpg</v>
      </c>
      <c r="V744" t="str">
        <f>IFERROR((VLOOKUP(A744,Planilha1!A:B,2,0)),"\\192.168.0.4\Produtos\PRODUTO_PRONTA_ENTREGA\static\IMAGENS_PRODUTOS\SEM IMAGEM.jpg")</f>
        <v>\\192.168.0.4\Produtos\PRODUTO_PRONTA_ENTREGA\static\IMAGENS_PRODUTOS\MESA LATERAL DUOMO_97923.jpg</v>
      </c>
    </row>
    <row r="745" spans="1:22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39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40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41"/>
        <v>1</v>
      </c>
      <c r="U745" s="10" t="str">
        <f>IFERROR((VLOOKUP(A745,Planilha1!A:B,2,0)),"\\192.168.0.4\Produtos\PRODUTO_PRONTA_ENTREGA\static\IMAGENS_PRODUTOS\SEM IMAGEM.jpg")</f>
        <v>\\192.168.0.4\Produtos\PRODUTO_PRONTA_ENTREGA\static\IMAGENS_PRODUTOS\MESA LATERAL FIX_124405.jpg</v>
      </c>
      <c r="V745" t="str">
        <f>IFERROR((VLOOKUP(A745,Planilha1!A:B,2,0)),"\\192.168.0.4\Produtos\PRODUTO_PRONTA_ENTREGA\static\IMAGENS_PRODUTOS\SEM IMAGEM.jpg")</f>
        <v>\\192.168.0.4\Produtos\PRODUTO_PRONTA_ENTREGA\static\IMAGENS_PRODUTOS\MESA LATERAL FIX_124405.jpg</v>
      </c>
    </row>
    <row r="746" spans="1:22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39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40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41"/>
        <v>1</v>
      </c>
      <c r="U746" s="10" t="str">
        <f>IFERROR((VLOOKUP(A746,Planilha1!A:B,2,0)),"\\192.168.0.4\Produtos\PRODUTO_PRONTA_ENTREGA\static\IMAGENS_PRODUTOS\SEM IMAGEM.jpg")</f>
        <v>\\192.168.0.4\Produtos\PRODUTO_PRONTA_ENTREGA\static\IMAGENS_PRODUTOS\MESA LATERAL FIX_124400.jpg</v>
      </c>
      <c r="V746" t="str">
        <f>IFERROR((VLOOKUP(A746,Planilha1!A:B,2,0)),"\\192.168.0.4\Produtos\PRODUTO_PRONTA_ENTREGA\static\IMAGENS_PRODUTOS\SEM IMAGEM.jpg")</f>
        <v>\\192.168.0.4\Produtos\PRODUTO_PRONTA_ENTREGA\static\IMAGENS_PRODUTOS\MESA LATERAL FIX_124400.jpg</v>
      </c>
    </row>
    <row r="747" spans="1:22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39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40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41"/>
        <v>3</v>
      </c>
      <c r="U747" s="10" t="str">
        <f>IFERROR((VLOOKUP(A747,Planilha1!A:B,2,0)),"\\192.168.0.4\Produtos\PRODUTO_PRONTA_ENTREGA\static\IMAGENS_PRODUTOS\SEM IMAGEM.jpg")</f>
        <v>\\192.168.0.4\Produtos\PRODUTO_PRONTA_ENTREGA\static\IMAGENS_PRODUTOS\MESA LATERAL ONDA INFANTIL_113368.jpg</v>
      </c>
      <c r="V747" t="str">
        <f>IFERROR((VLOOKUP(A747,Planilha1!A:B,2,0)),"\\192.168.0.4\Produtos\PRODUTO_PRONTA_ENTREGA\static\IMAGENS_PRODUTOS\SEM IMAGEM.jpg")</f>
        <v>\\192.168.0.4\Produtos\PRODUTO_PRONTA_ENTREGA\static\IMAGENS_PRODUTOS\MESA LATERAL ONDA INFANTIL_113368.jpg</v>
      </c>
    </row>
    <row r="748" spans="1:22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39"/>
        <v/>
      </c>
      <c r="L748" s="7" t="str">
        <f>IF(VLOOKUP(A748,'[1]LISTA ETIQUETAS'!O:AB,14,0)="","",(VLOOKUP(A748,'[1]LISTA ETIQUETAS'!O:AB,14,0)))</f>
        <v/>
      </c>
      <c r="M748" s="8"/>
      <c r="N748" s="9">
        <f t="shared" si="40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41"/>
        <v>1</v>
      </c>
      <c r="U748" s="10" t="str">
        <f>IFERROR((VLOOKUP(A748,Planilha1!A:B,2,0)),"\\192.168.0.4\Produtos\PRODUTO_PRONTA_ENTREGA\static\IMAGENS_PRODUTOS\SEM IMAGEM.jpg")</f>
        <v>\\192.168.0.4\Produtos\PRODUTO_PRONTA_ENTREGA\static\IMAGENS_PRODUTOS\MESA LATERAL DUOMO_150024.jpg</v>
      </c>
      <c r="V748" t="str">
        <f>IFERROR((VLOOKUP(A748,Planilha1!A:B,2,0)),"\\192.168.0.4\Produtos\PRODUTO_PRONTA_ENTREGA\static\IMAGENS_PRODUTOS\SEM IMAGEM.jpg")</f>
        <v>\\192.168.0.4\Produtos\PRODUTO_PRONTA_ENTREGA\static\IMAGENS_PRODUTOS\MESA LATERAL DUOMO_150024.jpg</v>
      </c>
    </row>
    <row r="749" spans="1:22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39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40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41"/>
        <v>2</v>
      </c>
      <c r="U749" s="10" t="str">
        <f>IFERROR((VLOOKUP(A749,Planilha1!A:B,2,0)),"\\192.168.0.4\Produtos\PRODUTO_PRONTA_ENTREGA\static\IMAGENS_PRODUTOS\SEM IMAGEM.jpg")</f>
        <v>\\192.168.0.4\Produtos\PRODUTO_PRONTA_ENTREGA\static\IMAGENS_PRODUTOS\MESA LATERAL EROS_151668.jpg</v>
      </c>
      <c r="V749" t="str">
        <f>IFERROR((VLOOKUP(A749,Planilha1!A:B,2,0)),"\\192.168.0.4\Produtos\PRODUTO_PRONTA_ENTREGA\static\IMAGENS_PRODUTOS\SEM IMAGEM.jpg")</f>
        <v>\\192.168.0.4\Produtos\PRODUTO_PRONTA_ENTREGA\static\IMAGENS_PRODUTOS\MESA LATERAL EROS_151668.jpg</v>
      </c>
    </row>
    <row r="750" spans="1:22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39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40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41"/>
        <v>1</v>
      </c>
      <c r="U750" s="10" t="str">
        <f>IFERROR((VLOOKUP(A750,Planilha1!A:B,2,0)),"\\192.168.0.4\Produtos\PRODUTO_PRONTA_ENTREGA\static\IMAGENS_PRODUTOS\SEM IMAGEM.jpg")</f>
        <v>\\192.168.0.4\Produtos\PRODUTO_PRONTA_ENTREGA\static\IMAGENS_PRODUTOS\SEM IMAGEM.jpg</v>
      </c>
      <c r="V750" t="str">
        <f>IFERROR((VLOOKUP(A750,Planilha1!A:B,2,0)),"\\192.168.0.4\Produtos\PRODUTO_PRONTA_ENTREGA\static\IMAGENS_PRODUTOS\SEM IMAGEM.jpg")</f>
        <v>\\192.168.0.4\Produtos\PRODUTO_PRONTA_ENTREGA\static\IMAGENS_PRODUTOS\SEM IMAGEM.jpg</v>
      </c>
    </row>
    <row r="751" spans="1:22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39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40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41"/>
        <v>1</v>
      </c>
      <c r="U751" s="10" t="str">
        <f>IFERROR((VLOOKUP(A751,Planilha1!A:B,2,0)),"\\192.168.0.4\Produtos\PRODUTO_PRONTA_ENTREGA\static\IMAGENS_PRODUTOS\SEM IMAGEM.jpg")</f>
        <v>\\192.168.0.4\Produtos\PRODUTO_PRONTA_ENTREGA\static\IMAGENS_PRODUTOS\MESA LATERAL LOLA_203124.jpg</v>
      </c>
      <c r="V751" t="str">
        <f>IFERROR((VLOOKUP(A751,Planilha1!A:B,2,0)),"\\192.168.0.4\Produtos\PRODUTO_PRONTA_ENTREGA\static\IMAGENS_PRODUTOS\SEM IMAGEM.jpg")</f>
        <v>\\192.168.0.4\Produtos\PRODUTO_PRONTA_ENTREGA\static\IMAGENS_PRODUTOS\MESA LATERAL LOLA_203124.jpg</v>
      </c>
    </row>
    <row r="752" spans="1:22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39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40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41"/>
        <v>1</v>
      </c>
      <c r="U752" s="10" t="str">
        <f>IFERROR((VLOOKUP(A752,Planilha1!A:B,2,0)),"\\192.168.0.4\Produtos\PRODUTO_PRONTA_ENTREGA\static\IMAGENS_PRODUTOS\SEM IMAGEM.jpg")</f>
        <v>\\192.168.0.4\Produtos\PRODUTO_PRONTA_ENTREGA\static\IMAGENS_PRODUTOS\MESA LATERAL ZARA_210569.jpg</v>
      </c>
      <c r="V752" t="str">
        <f>IFERROR((VLOOKUP(A752,Planilha1!A:B,2,0)),"\\192.168.0.4\Produtos\PRODUTO_PRONTA_ENTREGA\static\IMAGENS_PRODUTOS\SEM IMAGEM.jpg")</f>
        <v>\\192.168.0.4\Produtos\PRODUTO_PRONTA_ENTREGA\static\IMAGENS_PRODUTOS\MESA LATERAL ZARA_210569.jpg</v>
      </c>
    </row>
    <row r="753" spans="1:22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39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40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41"/>
        <v>1</v>
      </c>
      <c r="U753" s="10" t="str">
        <f>IFERROR((VLOOKUP(A753,Planilha1!A:B,2,0)),"\\192.168.0.4\Produtos\PRODUTO_PRONTA_ENTREGA\static\IMAGENS_PRODUTOS\SEM IMAGEM.jpg")</f>
        <v>\\192.168.0.4\Produtos\PRODUTO_PRONTA_ENTREGA\static\IMAGENS_PRODUTOS\MESA LATERAL BUNI_204485.jpg</v>
      </c>
      <c r="V753" t="str">
        <f>IFERROR((VLOOKUP(A753,Planilha1!A:B,2,0)),"\\192.168.0.4\Produtos\PRODUTO_PRONTA_ENTREGA\static\IMAGENS_PRODUTOS\SEM IMAGEM.jpg")</f>
        <v>\\192.168.0.4\Produtos\PRODUTO_PRONTA_ENTREGA\static\IMAGENS_PRODUTOS\MESA LATERAL BUNI_204485.jpg</v>
      </c>
    </row>
    <row r="754" spans="1:22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39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40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41"/>
        <v>1</v>
      </c>
      <c r="U754" s="10" t="str">
        <f>IFERROR((VLOOKUP(A754,Planilha1!A:B,2,0)),"\\192.168.0.4\Produtos\PRODUTO_PRONTA_ENTREGA\static\IMAGENS_PRODUTOS\SEM IMAGEM.jpg")</f>
        <v>\\192.168.0.4\Produtos\PRODUTO_PRONTA_ENTREGA\static\IMAGENS_PRODUTOS\MESA LATERAL JOAQUINA_231138.jpg</v>
      </c>
      <c r="V754" t="str">
        <f>IFERROR((VLOOKUP(A754,Planilha1!A:B,2,0)),"\\192.168.0.4\Produtos\PRODUTO_PRONTA_ENTREGA\static\IMAGENS_PRODUTOS\SEM IMAGEM.jpg")</f>
        <v>\\192.168.0.4\Produtos\PRODUTO_PRONTA_ENTREGA\static\IMAGENS_PRODUTOS\MESA LATERAL JOAQUINA_231138.jpg</v>
      </c>
    </row>
    <row r="755" spans="1:22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39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40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41"/>
        <v>1</v>
      </c>
      <c r="U755" s="10" t="str">
        <f>IFERROR((VLOOKUP(A755,Planilha1!A:B,2,0)),"\\192.168.0.4\Produtos\PRODUTO_PRONTA_ENTREGA\static\IMAGENS_PRODUTOS\SEM IMAGEM.jpg")</f>
        <v>\\192.168.0.4\Produtos\PRODUTO_PRONTA_ENTREGA\static\IMAGENS_PRODUTOS\MESA LATERAL JOAQUINA_231135.jpg</v>
      </c>
      <c r="V755" t="str">
        <f>IFERROR((VLOOKUP(A755,Planilha1!A:B,2,0)),"\\192.168.0.4\Produtos\PRODUTO_PRONTA_ENTREGA\static\IMAGENS_PRODUTOS\SEM IMAGEM.jpg")</f>
        <v>\\192.168.0.4\Produtos\PRODUTO_PRONTA_ENTREGA\static\IMAGENS_PRODUTOS\MESA LATERAL JOAQUINA_231135.jpg</v>
      </c>
    </row>
    <row r="756" spans="1:22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39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40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41"/>
        <v>1</v>
      </c>
      <c r="U756" s="10" t="str">
        <f>IFERROR((VLOOKUP(A756,Planilha1!A:B,2,0)),"\\192.168.0.4\Produtos\PRODUTO_PRONTA_ENTREGA\static\IMAGENS_PRODUTOS\SEM IMAGEM.jpg")</f>
        <v>\\192.168.0.4\Produtos\PRODUTO_PRONTA_ENTREGA\static\IMAGENS_PRODUTOS\MESA LATERAL MUD_223396.jpg</v>
      </c>
      <c r="V756" t="str">
        <f>IFERROR((VLOOKUP(A756,Planilha1!A:B,2,0)),"\\192.168.0.4\Produtos\PRODUTO_PRONTA_ENTREGA\static\IMAGENS_PRODUTOS\SEM IMAGEM.jpg")</f>
        <v>\\192.168.0.4\Produtos\PRODUTO_PRONTA_ENTREGA\static\IMAGENS_PRODUTOS\MESA LATERAL MUD_223396.jpg</v>
      </c>
    </row>
    <row r="757" spans="1:22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39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40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41"/>
        <v>1</v>
      </c>
      <c r="U757" s="10" t="str">
        <f>IFERROR((VLOOKUP(A757,Planilha1!A:B,2,0)),"\\192.168.0.4\Produtos\PRODUTO_PRONTA_ENTREGA\static\IMAGENS_PRODUTOS\SEM IMAGEM.jpg")</f>
        <v>\\192.168.0.4\Produtos\PRODUTO_PRONTA_ENTREGA\static\IMAGENS_PRODUTOS\MESA LATERAL MARI_223337.jpg</v>
      </c>
      <c r="V757" t="str">
        <f>IFERROR((VLOOKUP(A757,Planilha1!A:B,2,0)),"\\192.168.0.4\Produtos\PRODUTO_PRONTA_ENTREGA\static\IMAGENS_PRODUTOS\SEM IMAGEM.jpg")</f>
        <v>\\192.168.0.4\Produtos\PRODUTO_PRONTA_ENTREGA\static\IMAGENS_PRODUTOS\MESA LATERAL MARI_223337.jpg</v>
      </c>
    </row>
    <row r="758" spans="1:22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39"/>
        <v/>
      </c>
      <c r="L758" s="7" t="str">
        <f>IF(VLOOKUP(A758,'[1]LISTA ETIQUETAS'!O:AB,14,0)="","",(VLOOKUP(A758,'[1]LISTA ETIQUETAS'!O:AB,14,0)))</f>
        <v/>
      </c>
      <c r="M758" s="8"/>
      <c r="N758" s="9">
        <f t="shared" si="40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41"/>
        <v>1</v>
      </c>
      <c r="U758" s="10" t="str">
        <f>IFERROR((VLOOKUP(A758,Planilha1!A:B,2,0)),"\\192.168.0.4\Produtos\PRODUTO_PRONTA_ENTREGA\static\IMAGENS_PRODUTOS\SEM IMAGEM.jpg")</f>
        <v>\\192.168.0.4\Produtos\PRODUTO_PRONTA_ENTREGA\static\IMAGENS_PRODUTOS\MESA LATERAL CILLI_234557.jpg</v>
      </c>
      <c r="V758" t="str">
        <f>IFERROR((VLOOKUP(A758,Planilha1!A:B,2,0)),"\\192.168.0.4\Produtos\PRODUTO_PRONTA_ENTREGA\static\IMAGENS_PRODUTOS\SEM IMAGEM.jpg")</f>
        <v>\\192.168.0.4\Produtos\PRODUTO_PRONTA_ENTREGA\static\IMAGENS_PRODUTOS\MESA LATERAL CILLI_234557.jpg</v>
      </c>
    </row>
    <row r="759" spans="1:22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39"/>
        <v/>
      </c>
      <c r="L759" s="7" t="str">
        <f>IF(VLOOKUP(A759,'[1]LISTA ETIQUETAS'!O:AB,14,0)="","",(VLOOKUP(A759,'[1]LISTA ETIQUETAS'!O:AB,14,0)))</f>
        <v/>
      </c>
      <c r="M759" s="8"/>
      <c r="N759" s="9">
        <f t="shared" si="40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41"/>
        <v>1</v>
      </c>
      <c r="U759" s="10" t="str">
        <f>IFERROR((VLOOKUP(A759,Planilha1!A:B,2,0)),"\\192.168.0.4\Produtos\PRODUTO_PRONTA_ENTREGA\static\IMAGENS_PRODUTOS\SEM IMAGEM.jpg")</f>
        <v>\\192.168.0.4\Produtos\PRODUTO_PRONTA_ENTREGA\static\IMAGENS_PRODUTOS\MESA LATERAL DOTY_235158.jpg</v>
      </c>
      <c r="V759" t="str">
        <f>IFERROR((VLOOKUP(A759,Planilha1!A:B,2,0)),"\\192.168.0.4\Produtos\PRODUTO_PRONTA_ENTREGA\static\IMAGENS_PRODUTOS\SEM IMAGEM.jpg")</f>
        <v>\\192.168.0.4\Produtos\PRODUTO_PRONTA_ENTREGA\static\IMAGENS_PRODUTOS\MESA LATERAL DOTY_235158.jpg</v>
      </c>
    </row>
    <row r="760" spans="1:22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39"/>
        <v/>
      </c>
      <c r="L760" s="7" t="str">
        <f>IF(VLOOKUP(A760,'[1]LISTA ETIQUETAS'!O:AB,14,0)="","",(VLOOKUP(A760,'[1]LISTA ETIQUETAS'!O:AB,14,0)))</f>
        <v/>
      </c>
      <c r="M760" s="8"/>
      <c r="N760" s="9">
        <f t="shared" si="40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41"/>
        <v>1</v>
      </c>
      <c r="U760" s="10" t="str">
        <f>IFERROR((VLOOKUP(A760,Planilha1!A:B,2,0)),"\\192.168.0.4\Produtos\PRODUTO_PRONTA_ENTREGA\static\IMAGENS_PRODUTOS\SEM IMAGEM.jpg")</f>
        <v>\\192.168.0.4\Produtos\PRODUTO_PRONTA_ENTREGA\static\IMAGENS_PRODUTOS\MESA LATERAL DUOMO_231951.jpg</v>
      </c>
      <c r="V760" t="str">
        <f>IFERROR((VLOOKUP(A760,Planilha1!A:B,2,0)),"\\192.168.0.4\Produtos\PRODUTO_PRONTA_ENTREGA\static\IMAGENS_PRODUTOS\SEM IMAGEM.jpg")</f>
        <v>\\192.168.0.4\Produtos\PRODUTO_PRONTA_ENTREGA\static\IMAGENS_PRODUTOS\MESA LATERAL DUOMO_231951.jpg</v>
      </c>
    </row>
    <row r="761" spans="1:22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39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40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41"/>
        <v>2</v>
      </c>
      <c r="U761" s="10" t="str">
        <f>IFERROR((VLOOKUP(A761,Planilha1!A:B,2,0)),"\\192.168.0.4\Produtos\PRODUTO_PRONTA_ENTREGA\static\IMAGENS_PRODUTOS\SEM IMAGEM.jpg")</f>
        <v>\\192.168.0.4\Produtos\PRODUTO_PRONTA_ENTREGA\static\IMAGENS_PRODUTOS\MESA LATERAL IPANEMA_151501.jpg</v>
      </c>
      <c r="V761" t="str">
        <f>IFERROR((VLOOKUP(A761,Planilha1!A:B,2,0)),"\\192.168.0.4\Produtos\PRODUTO_PRONTA_ENTREGA\static\IMAGENS_PRODUTOS\SEM IMAGEM.jpg")</f>
        <v>\\192.168.0.4\Produtos\PRODUTO_PRONTA_ENTREGA\static\IMAGENS_PRODUTOS\MESA LATERAL IPANEMA_151501.jpg</v>
      </c>
    </row>
    <row r="762" spans="1:22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39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40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41"/>
        <v>2</v>
      </c>
      <c r="U762" s="10" t="str">
        <f>IFERROR((VLOOKUP(A762,Planilha1!A:B,2,0)),"\\192.168.0.4\Produtos\PRODUTO_PRONTA_ENTREGA\static\IMAGENS_PRODUTOS\SEM IMAGEM.jpg")</f>
        <v>\\192.168.0.4\Produtos\PRODUTO_PRONTA_ENTREGA\static\IMAGENS_PRODUTOS\MESA LATERAL MUD_232001.jpg</v>
      </c>
      <c r="V762" t="str">
        <f>IFERROR((VLOOKUP(A762,Planilha1!A:B,2,0)),"\\192.168.0.4\Produtos\PRODUTO_PRONTA_ENTREGA\static\IMAGENS_PRODUTOS\SEM IMAGEM.jpg")</f>
        <v>\\192.168.0.4\Produtos\PRODUTO_PRONTA_ENTREGA\static\IMAGENS_PRODUTOS\MESA LATERAL MUD_232001.jpg</v>
      </c>
    </row>
    <row r="763" spans="1:22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39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40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41"/>
        <v>1</v>
      </c>
      <c r="U763" s="10" t="str">
        <f>IFERROR((VLOOKUP(A763,Planilha1!A:B,2,0)),"\\192.168.0.4\Produtos\PRODUTO_PRONTA_ENTREGA\static\IMAGENS_PRODUTOS\SEM IMAGEM.jpg")</f>
        <v>\\192.168.0.4\Produtos\PRODUTO_PRONTA_ENTREGA\static\IMAGENS_PRODUTOS\MESA LATERAL WINNIE_256172.jpg</v>
      </c>
      <c r="V763" t="str">
        <f>IFERROR((VLOOKUP(A763,Planilha1!A:B,2,0)),"\\192.168.0.4\Produtos\PRODUTO_PRONTA_ENTREGA\static\IMAGENS_PRODUTOS\SEM IMAGEM.jpg")</f>
        <v>\\192.168.0.4\Produtos\PRODUTO_PRONTA_ENTREGA\static\IMAGENS_PRODUTOS\MESA LATERAL WINNIE_256172.jpg</v>
      </c>
    </row>
    <row r="764" spans="1:22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39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40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41"/>
        <v>2</v>
      </c>
      <c r="U764" s="10" t="str">
        <f>IFERROR((VLOOKUP(A764,Planilha1!A:B,2,0)),"\\192.168.0.4\Produtos\PRODUTO_PRONTA_ENTREGA\static\IMAGENS_PRODUTOS\SEM IMAGEM.jpg")</f>
        <v>\\192.168.0.4\Produtos\PRODUTO_PRONTA_ENTREGA\static\IMAGENS_PRODUTOS\MESA LATERAL PALITO_257381.jpg</v>
      </c>
      <c r="V764" t="str">
        <f>IFERROR((VLOOKUP(A764,Planilha1!A:B,2,0)),"\\192.168.0.4\Produtos\PRODUTO_PRONTA_ENTREGA\static\IMAGENS_PRODUTOS\SEM IMAGEM.jpg")</f>
        <v>\\192.168.0.4\Produtos\PRODUTO_PRONTA_ENTREGA\static\IMAGENS_PRODUTOS\MESA LATERAL PALITO_257381.jpg</v>
      </c>
    </row>
    <row r="765" spans="1:22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39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40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41"/>
        <v>1</v>
      </c>
      <c r="U765" s="10" t="str">
        <f>IFERROR((VLOOKUP(A765,Planilha1!A:B,2,0)),"\\192.168.0.4\Produtos\PRODUTO_PRONTA_ENTREGA\static\IMAGENS_PRODUTOS\SEM IMAGEM.jpg")</f>
        <v>\\192.168.0.4\Produtos\PRODUTO_PRONTA_ENTREGA\static\IMAGENS_PRODUTOS\MESA LATERAL MARI_233108.jpg</v>
      </c>
      <c r="V765" t="str">
        <f>IFERROR((VLOOKUP(A765,Planilha1!A:B,2,0)),"\\192.168.0.4\Produtos\PRODUTO_PRONTA_ENTREGA\static\IMAGENS_PRODUTOS\SEM IMAGEM.jpg")</f>
        <v>\\192.168.0.4\Produtos\PRODUTO_PRONTA_ENTREGA\static\IMAGENS_PRODUTOS\MESA LATERAL MARI_233108.jpg</v>
      </c>
    </row>
    <row r="766" spans="1:22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39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40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41"/>
        <v>1</v>
      </c>
      <c r="U766" s="10" t="str">
        <f>IFERROR((VLOOKUP(A766,Planilha1!A:B,2,0)),"\\192.168.0.4\Produtos\PRODUTO_PRONTA_ENTREGA\static\IMAGENS_PRODUTOS\SEM IMAGEM.jpg")</f>
        <v>\\192.168.0.4\Produtos\PRODUTO_PRONTA_ENTREGA\static\IMAGENS_PRODUTOS\MESA LATERAL TRIBO MOD C_369133.jpg</v>
      </c>
      <c r="V766" t="str">
        <f>IFERROR((VLOOKUP(A766,Planilha1!A:B,2,0)),"\\192.168.0.4\Produtos\PRODUTO_PRONTA_ENTREGA\static\IMAGENS_PRODUTOS\SEM IMAGEM.jpg")</f>
        <v>\\192.168.0.4\Produtos\PRODUTO_PRONTA_ENTREGA\static\IMAGENS_PRODUTOS\MESA LATERAL TRIBO MOD C_369133.jpg</v>
      </c>
    </row>
    <row r="767" spans="1:22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39"/>
        <v/>
      </c>
      <c r="L767" s="7" t="str">
        <f>IF(VLOOKUP(A767,'[1]LISTA ETIQUETAS'!O:AB,14,0)="","",(VLOOKUP(A767,'[1]LISTA ETIQUETAS'!O:AB,14,0)))</f>
        <v/>
      </c>
      <c r="M767" s="8"/>
      <c r="N767" s="9">
        <f t="shared" si="40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41"/>
        <v>1</v>
      </c>
      <c r="U767" s="10" t="str">
        <f>IFERROR((VLOOKUP(A767,Planilha1!A:B,2,0)),"\\192.168.0.4\Produtos\PRODUTO_PRONTA_ENTREGA\static\IMAGENS_PRODUTOS\SEM IMAGEM.jpg")</f>
        <v>\\192.168.0.4\Produtos\PRODUTO_PRONTA_ENTREGA\static\IMAGENS_PRODUTOS\SEM IMAGEM.jpg</v>
      </c>
      <c r="V767" t="str">
        <f>IFERROR((VLOOKUP(A767,Planilha1!A:B,2,0)),"\\192.168.0.4\Produtos\PRODUTO_PRONTA_ENTREGA\static\IMAGENS_PRODUTOS\SEM IMAGEM.jpg")</f>
        <v>\\192.168.0.4\Produtos\PRODUTO_PRONTA_ENTREGA\static\IMAGENS_PRODUTOS\SEM IMAGEM.jpg</v>
      </c>
    </row>
    <row r="768" spans="1:22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39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40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41"/>
        <v>1</v>
      </c>
      <c r="U768" s="10" t="str">
        <f>IFERROR((VLOOKUP(A768,Planilha1!A:B,2,0)),"\\192.168.0.4\Produtos\PRODUTO_PRONTA_ENTREGA\static\IMAGENS_PRODUTOS\SEM IMAGEM.jpg")</f>
        <v>\\192.168.0.4\Produtos\PRODUTO_PRONTA_ENTREGA\static\IMAGENS_PRODUTOS\MOVEL BAR FORZATTO_162905.jpg</v>
      </c>
      <c r="V768" t="str">
        <f>IFERROR((VLOOKUP(A768,Planilha1!A:B,2,0)),"\\192.168.0.4\Produtos\PRODUTO_PRONTA_ENTREGA\static\IMAGENS_PRODUTOS\SEM IMAGEM.jpg")</f>
        <v>\\192.168.0.4\Produtos\PRODUTO_PRONTA_ENTREGA\static\IMAGENS_PRODUTOS\MOVEL BAR FORZATTO_162905.jpg</v>
      </c>
    </row>
    <row r="769" spans="1:22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39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40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41"/>
        <v>1</v>
      </c>
      <c r="U769" s="10" t="str">
        <f>IFERROR((VLOOKUP(A769,Planilha1!A:B,2,0)),"\\192.168.0.4\Produtos\PRODUTO_PRONTA_ENTREGA\static\IMAGENS_PRODUTOS\SEM IMAGEM.jpg")</f>
        <v>\\192.168.0.4\Produtos\PRODUTO_PRONTA_ENTREGA\static\IMAGENS_PRODUTOS\MOVEL BAR BARTHO_179253.jpg</v>
      </c>
      <c r="V769" t="str">
        <f>IFERROR((VLOOKUP(A769,Planilha1!A:B,2,0)),"\\192.168.0.4\Produtos\PRODUTO_PRONTA_ENTREGA\static\IMAGENS_PRODUTOS\SEM IMAGEM.jpg")</f>
        <v>\\192.168.0.4\Produtos\PRODUTO_PRONTA_ENTREGA\static\IMAGENS_PRODUTOS\MOVEL BAR BARTHO_179253.jpg</v>
      </c>
    </row>
    <row r="770" spans="1:22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39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40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41"/>
        <v>2</v>
      </c>
      <c r="U770" s="10" t="str">
        <f>IFERROR((VLOOKUP(A770,Planilha1!A:B,2,0)),"\\192.168.0.4\Produtos\PRODUTO_PRONTA_ENTREGA\static\IMAGENS_PRODUTOS\SEM IMAGEM.jpg")</f>
        <v>\\192.168.0.4\Produtos\PRODUTO_PRONTA_ENTREGA\static\IMAGENS_PRODUTOS\POLTRONA SALVADOR_377309.jpg</v>
      </c>
      <c r="V770" t="str">
        <f>IFERROR((VLOOKUP(A770,Planilha1!A:B,2,0)),"\\192.168.0.4\Produtos\PRODUTO_PRONTA_ENTREGA\static\IMAGENS_PRODUTOS\SEM IMAGEM.jpg")</f>
        <v>\\192.168.0.4\Produtos\PRODUTO_PRONTA_ENTREGA\static\IMAGENS_PRODUTOS\POLTRONA SALVADOR_377309.jpg</v>
      </c>
    </row>
    <row r="771" spans="1:22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42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40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41"/>
        <v>1</v>
      </c>
      <c r="U771" s="10" t="str">
        <f>IFERROR((VLOOKUP(A771,Planilha1!A:B,2,0)),"\\192.168.0.4\Produtos\PRODUTO_PRONTA_ENTREGA\static\IMAGENS_PRODUTOS\SEM IMAGEM.jpg")</f>
        <v>\\192.168.0.4\Produtos\PRODUTO_PRONTA_ENTREGA\static\IMAGENS_PRODUTOS\SEM IMAGEM.jpg</v>
      </c>
      <c r="V771" t="str">
        <f>IFERROR((VLOOKUP(A771,Planilha1!A:B,2,0)),"\\192.168.0.4\Produtos\PRODUTO_PRONTA_ENTREGA\static\IMAGENS_PRODUTOS\SEM IMAGEM.jpg")</f>
        <v>\\192.168.0.4\Produtos\PRODUTO_PRONTA_ENTREGA\static\IMAGENS_PRODUTOS\SEM IMAGEM.jpg</v>
      </c>
    </row>
    <row r="772" spans="1:22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42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43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44">SUM(O772:S772)</f>
        <v>1</v>
      </c>
      <c r="U772" s="10" t="str">
        <f>IFERROR((VLOOKUP(A772,Planilha1!A:B,2,0)),"\\192.168.0.4\Produtos\PRODUTO_PRONTA_ENTREGA\static\IMAGENS_PRODUTOS\SEM IMAGEM.jpg")</f>
        <v>\\192.168.0.4\Produtos\PRODUTO_PRONTA_ENTREGA\static\IMAGENS_PRODUTOS\POLTRONA_BANQUETA CACAU_308175_308176.jpg</v>
      </c>
      <c r="V772" t="str">
        <f>IFERROR((VLOOKUP(A772,Planilha1!A:B,2,0)),"\\192.168.0.4\Produtos\PRODUTO_PRONTA_ENTREGA\static\IMAGENS_PRODUTOS\SEM IMAGEM.jpg")</f>
        <v>\\192.168.0.4\Produtos\PRODUTO_PRONTA_ENTREGA\static\IMAGENS_PRODUTOS\POLTRONA_BANQUETA CACAU_308175_308176.jpg</v>
      </c>
    </row>
    <row r="773" spans="1:22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42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43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44"/>
        <v>1</v>
      </c>
      <c r="U773" s="10" t="str">
        <f>IFERROR((VLOOKUP(A773,Planilha1!A:B,2,0)),"\\192.168.0.4\Produtos\PRODUTO_PRONTA_ENTREGA\static\IMAGENS_PRODUTOS\SEM IMAGEM.jpg")</f>
        <v>\\192.168.0.4\Produtos\PRODUTO_PRONTA_ENTREGA\static\IMAGENS_PRODUTOS\POLTRONA_BANQUETA CACAU_308171_308172.jpg</v>
      </c>
      <c r="V773" t="str">
        <f>IFERROR((VLOOKUP(A773,Planilha1!A:B,2,0)),"\\192.168.0.4\Produtos\PRODUTO_PRONTA_ENTREGA\static\IMAGENS_PRODUTOS\SEM IMAGEM.jpg")</f>
        <v>\\192.168.0.4\Produtos\PRODUTO_PRONTA_ENTREGA\static\IMAGENS_PRODUTOS\POLTRONA_BANQUETA CACAU_308171_308172.jpg</v>
      </c>
    </row>
    <row r="774" spans="1:22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42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43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44"/>
        <v>3</v>
      </c>
      <c r="U774" s="10" t="str">
        <f>IFERROR((VLOOKUP(A774,Planilha1!A:B,2,0)),"\\192.168.0.4\Produtos\PRODUTO_PRONTA_ENTREGA\static\IMAGENS_PRODUTOS\SEM IMAGEM.jpg")</f>
        <v>\\192.168.0.4\Produtos\PRODUTO_PRONTA_ENTREGA\static\IMAGENS_PRODUTOS\SEM IMAGEM.jpg</v>
      </c>
      <c r="V774" t="str">
        <f>IFERROR((VLOOKUP(A774,Planilha1!A:B,2,0)),"\\192.168.0.4\Produtos\PRODUTO_PRONTA_ENTREGA\static\IMAGENS_PRODUTOS\SEM IMAGEM.jpg")</f>
        <v>\\192.168.0.4\Produtos\PRODUTO_PRONTA_ENTREGA\static\IMAGENS_PRODUTOS\SEM IMAGEM.jpg</v>
      </c>
    </row>
    <row r="775" spans="1:22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42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43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44"/>
        <v>1</v>
      </c>
      <c r="U775" s="10" t="str">
        <f>IFERROR((VLOOKUP(A775,Planilha1!A:B,2,0)),"\\192.168.0.4\Produtos\PRODUTO_PRONTA_ENTREGA\static\IMAGENS_PRODUTOS\SEM IMAGEM.jpg")</f>
        <v>\\192.168.0.4\Produtos\PRODUTO_PRONTA_ENTREGA\static\IMAGENS_PRODUTOS\SEM IMAGEM.jpg</v>
      </c>
      <c r="V775" t="str">
        <f>IFERROR((VLOOKUP(A775,Planilha1!A:B,2,0)),"\\192.168.0.4\Produtos\PRODUTO_PRONTA_ENTREGA\static\IMAGENS_PRODUTOS\SEM IMAGEM.jpg")</f>
        <v>\\192.168.0.4\Produtos\PRODUTO_PRONTA_ENTREGA\static\IMAGENS_PRODUTOS\SEM IMAGEM.jpg</v>
      </c>
    </row>
    <row r="776" spans="1:22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42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43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44"/>
        <v>1</v>
      </c>
      <c r="U776" s="10" t="str">
        <f>IFERROR((VLOOKUP(A776,Planilha1!A:B,2,0)),"\\192.168.0.4\Produtos\PRODUTO_PRONTA_ENTREGA\static\IMAGENS_PRODUTOS\SEM IMAGEM.jpg")</f>
        <v>\\192.168.0.4\Produtos\PRODUTO_PRONTA_ENTREGA\static\IMAGENS_PRODUTOS\SEM IMAGEM.jpg</v>
      </c>
      <c r="V776" t="str">
        <f>IFERROR((VLOOKUP(A776,Planilha1!A:B,2,0)),"\\192.168.0.4\Produtos\PRODUTO_PRONTA_ENTREGA\static\IMAGENS_PRODUTOS\SEM IMAGEM.jpg")</f>
        <v>\\192.168.0.4\Produtos\PRODUTO_PRONTA_ENTREGA\static\IMAGENS_PRODUTOS\SEM IMAGEM.jpg</v>
      </c>
    </row>
    <row r="777" spans="1:22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42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43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44"/>
        <v>2</v>
      </c>
      <c r="U777" s="10" t="str">
        <f>IFERROR((VLOOKUP(A777,Planilha1!A:B,2,0)),"\\192.168.0.4\Produtos\PRODUTO_PRONTA_ENTREGA\static\IMAGENS_PRODUTOS\SEM IMAGEM.jpg")</f>
        <v>\\192.168.0.4\Produtos\PRODUTO_PRONTA_ENTREGA\static\IMAGENS_PRODUTOS\SEM IMAGEM.jpg</v>
      </c>
      <c r="V777" t="str">
        <f>IFERROR((VLOOKUP(A777,Planilha1!A:B,2,0)),"\\192.168.0.4\Produtos\PRODUTO_PRONTA_ENTREGA\static\IMAGENS_PRODUTOS\SEM IMAGEM.jpg")</f>
        <v>\\192.168.0.4\Produtos\PRODUTO_PRONTA_ENTREGA\static\IMAGENS_PRODUTOS\SEM IMAGEM.jpg</v>
      </c>
    </row>
    <row r="778" spans="1:22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42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43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44"/>
        <v>2</v>
      </c>
      <c r="U778" s="10" t="str">
        <f>IFERROR((VLOOKUP(A778,Planilha1!A:B,2,0)),"\\192.168.0.4\Produtos\PRODUTO_PRONTA_ENTREGA\static\IMAGENS_PRODUTOS\SEM IMAGEM.jpg")</f>
        <v>\\192.168.0.4\Produtos\PRODUTO_PRONTA_ENTREGA\static\IMAGENS_PRODUTOS\SEM IMAGEM.jpg</v>
      </c>
      <c r="V778" t="str">
        <f>IFERROR((VLOOKUP(A778,Planilha1!A:B,2,0)),"\\192.168.0.4\Produtos\PRODUTO_PRONTA_ENTREGA\static\IMAGENS_PRODUTOS\SEM IMAGEM.jpg")</f>
        <v>\\192.168.0.4\Produtos\PRODUTO_PRONTA_ENTREGA\static\IMAGENS_PRODUTOS\SEM IMAGEM.jpg</v>
      </c>
    </row>
    <row r="779" spans="1:22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42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43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44"/>
        <v>1</v>
      </c>
      <c r="U779" s="10" t="str">
        <f>IFERROR((VLOOKUP(A779,Planilha1!A:B,2,0)),"\\192.168.0.4\Produtos\PRODUTO_PRONTA_ENTREGA\static\IMAGENS_PRODUTOS\SEM IMAGEM.jpg")</f>
        <v>\\192.168.0.4\Produtos\PRODUTO_PRONTA_ENTREGA\static\IMAGENS_PRODUTOS\SEM IMAGEM.jpg</v>
      </c>
      <c r="V779" t="str">
        <f>IFERROR((VLOOKUP(A779,Planilha1!A:B,2,0)),"\\192.168.0.4\Produtos\PRODUTO_PRONTA_ENTREGA\static\IMAGENS_PRODUTOS\SEM IMAGEM.jpg")</f>
        <v>\\192.168.0.4\Produtos\PRODUTO_PRONTA_ENTREGA\static\IMAGENS_PRODUTOS\SEM IMAGEM.jpg</v>
      </c>
    </row>
    <row r="780" spans="1:22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42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43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44"/>
        <v>2</v>
      </c>
      <c r="U780" s="10" t="str">
        <f>IFERROR((VLOOKUP(A780,Planilha1!A:B,2,0)),"\\192.168.0.4\Produtos\PRODUTO_PRONTA_ENTREGA\static\IMAGENS_PRODUTOS\SEM IMAGEM.jpg")</f>
        <v>\\192.168.0.4\Produtos\PRODUTO_PRONTA_ENTREGA\static\IMAGENS_PRODUTOS\SEM IMAGEM.jpg</v>
      </c>
      <c r="V780" t="str">
        <f>IFERROR((VLOOKUP(A780,Planilha1!A:B,2,0)),"\\192.168.0.4\Produtos\PRODUTO_PRONTA_ENTREGA\static\IMAGENS_PRODUTOS\SEM IMAGEM.jpg")</f>
        <v>\\192.168.0.4\Produtos\PRODUTO_PRONTA_ENTREGA\static\IMAGENS_PRODUTOS\SEM IMAGEM.jpg</v>
      </c>
    </row>
    <row r="781" spans="1:22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42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43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44"/>
        <v>2</v>
      </c>
      <c r="U781" s="10" t="str">
        <f>IFERROR((VLOOKUP(A781,Planilha1!A:B,2,0)),"\\192.168.0.4\Produtos\PRODUTO_PRONTA_ENTREGA\static\IMAGENS_PRODUTOS\SEM IMAGEM.jpg")</f>
        <v>\\192.168.0.4\Produtos\PRODUTO_PRONTA_ENTREGA\static\IMAGENS_PRODUTOS\SEM IMAGEM.jpg</v>
      </c>
      <c r="V781" t="str">
        <f>IFERROR((VLOOKUP(A781,Planilha1!A:B,2,0)),"\\192.168.0.4\Produtos\PRODUTO_PRONTA_ENTREGA\static\IMAGENS_PRODUTOS\SEM IMAGEM.jpg")</f>
        <v>\\192.168.0.4\Produtos\PRODUTO_PRONTA_ENTREGA\static\IMAGENS_PRODUTOS\SEM IMAGEM.jpg</v>
      </c>
    </row>
    <row r="782" spans="1:22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42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43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44"/>
        <v>1</v>
      </c>
      <c r="U782" s="10" t="str">
        <f>IFERROR((VLOOKUP(A782,Planilha1!A:B,2,0)),"\\192.168.0.4\Produtos\PRODUTO_PRONTA_ENTREGA\static\IMAGENS_PRODUTOS\SEM IMAGEM.jpg")</f>
        <v>\\192.168.0.4\Produtos\PRODUTO_PRONTA_ENTREGA\static\IMAGENS_PRODUTOS\POLTRONA MONDRIAN_379528.jpg</v>
      </c>
      <c r="V782" t="str">
        <f>IFERROR((VLOOKUP(A782,Planilha1!A:B,2,0)),"\\192.168.0.4\Produtos\PRODUTO_PRONTA_ENTREGA\static\IMAGENS_PRODUTOS\SEM IMAGEM.jpg")</f>
        <v>\\192.168.0.4\Produtos\PRODUTO_PRONTA_ENTREGA\static\IMAGENS_PRODUTOS\POLTRONA MONDRIAN_379528.jpg</v>
      </c>
    </row>
    <row r="783" spans="1:22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42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43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44"/>
        <v>2</v>
      </c>
      <c r="U783" s="10" t="str">
        <f>IFERROR((VLOOKUP(A783,Planilha1!A:B,2,0)),"\\192.168.0.4\Produtos\PRODUTO_PRONTA_ENTREGA\static\IMAGENS_PRODUTOS\SEM IMAGEM.jpg")</f>
        <v>\\192.168.0.4\Produtos\PRODUTO_PRONTA_ENTREGA\static\IMAGENS_PRODUTOS\POLTRONA GALAPAGOS_379023.jpg</v>
      </c>
      <c r="V783" t="str">
        <f>IFERROR((VLOOKUP(A783,Planilha1!A:B,2,0)),"\\192.168.0.4\Produtos\PRODUTO_PRONTA_ENTREGA\static\IMAGENS_PRODUTOS\SEM IMAGEM.jpg")</f>
        <v>\\192.168.0.4\Produtos\PRODUTO_PRONTA_ENTREGA\static\IMAGENS_PRODUTOS\POLTRONA GALAPAGOS_379023.jpg</v>
      </c>
    </row>
    <row r="784" spans="1:22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42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43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44"/>
        <v>1</v>
      </c>
      <c r="U784" s="10" t="str">
        <f>IFERROR((VLOOKUP(A784,Planilha1!A:B,2,0)),"\\192.168.0.4\Produtos\PRODUTO_PRONTA_ENTREGA\static\IMAGENS_PRODUTOS\SEM IMAGEM.jpg")</f>
        <v>\\192.168.0.4\Produtos\PRODUTO_PRONTA_ENTREGA\static\IMAGENS_PRODUTOS\SEM IMAGEM.jpg</v>
      </c>
      <c r="V784" t="str">
        <f>IFERROR((VLOOKUP(A784,Planilha1!A:B,2,0)),"\\192.168.0.4\Produtos\PRODUTO_PRONTA_ENTREGA\static\IMAGENS_PRODUTOS\SEM IMAGEM.jpg")</f>
        <v>\\192.168.0.4\Produtos\PRODUTO_PRONTA_ENTREGA\static\IMAGENS_PRODUTOS\SEM IMAGEM.jpg</v>
      </c>
    </row>
    <row r="785" spans="1:22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42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43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44"/>
        <v>1</v>
      </c>
      <c r="U785" s="10" t="str">
        <f>IFERROR((VLOOKUP(A785,Planilha1!A:B,2,0)),"\\192.168.0.4\Produtos\PRODUTO_PRONTA_ENTREGA\static\IMAGENS_PRODUTOS\SEM IMAGEM.jpg")</f>
        <v>\\192.168.0.4\Produtos\PRODUTO_PRONTA_ENTREGA\static\IMAGENS_PRODUTOS\SEM IMAGEM.jpg</v>
      </c>
      <c r="V785" t="str">
        <f>IFERROR((VLOOKUP(A785,Planilha1!A:B,2,0)),"\\192.168.0.4\Produtos\PRODUTO_PRONTA_ENTREGA\static\IMAGENS_PRODUTOS\SEM IMAGEM.jpg")</f>
        <v>\\192.168.0.4\Produtos\PRODUTO_PRONTA_ENTREGA\static\IMAGENS_PRODUTOS\SEM IMAGEM.jpg</v>
      </c>
    </row>
    <row r="786" spans="1:22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42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43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44"/>
        <v>1</v>
      </c>
      <c r="U786" s="10" t="str">
        <f>IFERROR((VLOOKUP(A786,Planilha1!A:B,2,0)),"\\192.168.0.4\Produtos\PRODUTO_PRONTA_ENTREGA\static\IMAGENS_PRODUTOS\SEM IMAGEM.jpg")</f>
        <v>\\192.168.0.4\Produtos\PRODUTO_PRONTA_ENTREGA\static\IMAGENS_PRODUTOS\SEM IMAGEM.jpg</v>
      </c>
      <c r="V786" t="str">
        <f>IFERROR((VLOOKUP(A786,Planilha1!A:B,2,0)),"\\192.168.0.4\Produtos\PRODUTO_PRONTA_ENTREGA\static\IMAGENS_PRODUTOS\SEM IMAGEM.jpg")</f>
        <v>\\192.168.0.4\Produtos\PRODUTO_PRONTA_ENTREGA\static\IMAGENS_PRODUTOS\SEM IMAGEM.jpg</v>
      </c>
    </row>
    <row r="787" spans="1:22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42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43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44"/>
        <v>2</v>
      </c>
      <c r="U787" s="10" t="str">
        <f>IFERROR((VLOOKUP(A787,Planilha1!A:B,2,0)),"\\192.168.0.4\Produtos\PRODUTO_PRONTA_ENTREGA\static\IMAGENS_PRODUTOS\SEM IMAGEM.jpg")</f>
        <v>\\192.168.0.4\Produtos\PRODUTO_PRONTA_ENTREGA\static\IMAGENS_PRODUTOS\SEM IMAGEM.jpg</v>
      </c>
      <c r="V787" t="str">
        <f>IFERROR((VLOOKUP(A787,Planilha1!A:B,2,0)),"\\192.168.0.4\Produtos\PRODUTO_PRONTA_ENTREGA\static\IMAGENS_PRODUTOS\SEM IMAGEM.jpg")</f>
        <v>\\192.168.0.4\Produtos\PRODUTO_PRONTA_ENTREGA\static\IMAGENS_PRODUTOS\SEM IMAGEM.jpg</v>
      </c>
    </row>
    <row r="788" spans="1:22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42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43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44"/>
        <v>1</v>
      </c>
      <c r="U788" s="10" t="str">
        <f>IFERROR((VLOOKUP(A788,Planilha1!A:B,2,0)),"\\192.168.0.4\Produtos\PRODUTO_PRONTA_ENTREGA\static\IMAGENS_PRODUTOS\SEM IMAGEM.jpg")</f>
        <v>\\192.168.0.4\Produtos\PRODUTO_PRONTA_ENTREGA\static\IMAGENS_PRODUTOS\POLTRONA BUBA_362425.jpg</v>
      </c>
      <c r="V788" t="str">
        <f>IFERROR((VLOOKUP(A788,Planilha1!A:B,2,0)),"\\192.168.0.4\Produtos\PRODUTO_PRONTA_ENTREGA\static\IMAGENS_PRODUTOS\SEM IMAGEM.jpg")</f>
        <v>\\192.168.0.4\Produtos\PRODUTO_PRONTA_ENTREGA\static\IMAGENS_PRODUTOS\POLTRONA BUBA_362425.jpg</v>
      </c>
    </row>
    <row r="789" spans="1:22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42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43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44"/>
        <v>1</v>
      </c>
      <c r="U789" s="10" t="str">
        <f>IFERROR((VLOOKUP(A789,Planilha1!A:B,2,0)),"\\192.168.0.4\Produtos\PRODUTO_PRONTA_ENTREGA\static\IMAGENS_PRODUTOS\SEM IMAGEM.jpg")</f>
        <v>\\192.168.0.4\Produtos\PRODUTO_PRONTA_ENTREGA\static\IMAGENS_PRODUTOS\POLTRONA_BANQUETA CACAU_330635_330637.jpg</v>
      </c>
      <c r="V789" t="str">
        <f>IFERROR((VLOOKUP(A789,Planilha1!A:B,2,0)),"\\192.168.0.4\Produtos\PRODUTO_PRONTA_ENTREGA\static\IMAGENS_PRODUTOS\SEM IMAGEM.jpg")</f>
        <v>\\192.168.0.4\Produtos\PRODUTO_PRONTA_ENTREGA\static\IMAGENS_PRODUTOS\POLTRONA_BANQUETA CACAU_330635_330637.jpg</v>
      </c>
    </row>
    <row r="790" spans="1:22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42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43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44"/>
        <v>1</v>
      </c>
      <c r="U790" s="10" t="str">
        <f>IFERROR((VLOOKUP(A790,Planilha1!A:B,2,0)),"\\192.168.0.4\Produtos\PRODUTO_PRONTA_ENTREGA\static\IMAGENS_PRODUTOS\SEM IMAGEM.jpg")</f>
        <v>\\192.168.0.4\Produtos\PRODUTO_PRONTA_ENTREGA\static\IMAGENS_PRODUTOS\SEM IMAGEM.jpg</v>
      </c>
      <c r="V790" t="str">
        <f>IFERROR((VLOOKUP(A790,Planilha1!A:B,2,0)),"\\192.168.0.4\Produtos\PRODUTO_PRONTA_ENTREGA\static\IMAGENS_PRODUTOS\SEM IMAGEM.jpg")</f>
        <v>\\192.168.0.4\Produtos\PRODUTO_PRONTA_ENTREGA\static\IMAGENS_PRODUTOS\SEM IMAGEM.jpg</v>
      </c>
    </row>
    <row r="791" spans="1:22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42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43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44"/>
        <v>2</v>
      </c>
      <c r="U791" s="10" t="str">
        <f>IFERROR((VLOOKUP(A791,Planilha1!A:B,2,0)),"\\192.168.0.4\Produtos\PRODUTO_PRONTA_ENTREGA\static\IMAGENS_PRODUTOS\SEM IMAGEM.jpg")</f>
        <v>\\192.168.0.4\Produtos\PRODUTO_PRONTA_ENTREGA\static\IMAGENS_PRODUTOS\SEM IMAGEM.jpg</v>
      </c>
      <c r="V791" t="str">
        <f>IFERROR((VLOOKUP(A791,Planilha1!A:B,2,0)),"\\192.168.0.4\Produtos\PRODUTO_PRONTA_ENTREGA\static\IMAGENS_PRODUTOS\SEM IMAGEM.jpg")</f>
        <v>\\192.168.0.4\Produtos\PRODUTO_PRONTA_ENTREGA\static\IMAGENS_PRODUTOS\SEM IMAGEM.jpg</v>
      </c>
    </row>
    <row r="792" spans="1:22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42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43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44"/>
        <v>2</v>
      </c>
      <c r="U792" s="10" t="str">
        <f>IFERROR((VLOOKUP(A792,Planilha1!A:B,2,0)),"\\192.168.0.4\Produtos\PRODUTO_PRONTA_ENTREGA\static\IMAGENS_PRODUTOS\SEM IMAGEM.jpg")</f>
        <v>\\192.168.0.4\Produtos\PRODUTO_PRONTA_ENTREGA\static\IMAGENS_PRODUTOS\SEM IMAGEM.jpg</v>
      </c>
      <c r="V792" t="str">
        <f>IFERROR((VLOOKUP(A792,Planilha1!A:B,2,0)),"\\192.168.0.4\Produtos\PRODUTO_PRONTA_ENTREGA\static\IMAGENS_PRODUTOS\SEM IMAGEM.jpg")</f>
        <v>\\192.168.0.4\Produtos\PRODUTO_PRONTA_ENTREGA\static\IMAGENS_PRODUTOS\SEM IMAGEM.jpg</v>
      </c>
    </row>
    <row r="793" spans="1:22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42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43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44"/>
        <v>1</v>
      </c>
      <c r="U793" s="10" t="str">
        <f>IFERROR((VLOOKUP(A793,Planilha1!A:B,2,0)),"\\192.168.0.4\Produtos\PRODUTO_PRONTA_ENTREGA\static\IMAGENS_PRODUTOS\SEM IMAGEM.jpg")</f>
        <v>\\192.168.0.4\Produtos\PRODUTO_PRONTA_ENTREGA\static\IMAGENS_PRODUTOS\SEM IMAGEM.jpg</v>
      </c>
      <c r="V793" t="str">
        <f>IFERROR((VLOOKUP(A793,Planilha1!A:B,2,0)),"\\192.168.0.4\Produtos\PRODUTO_PRONTA_ENTREGA\static\IMAGENS_PRODUTOS\SEM IMAGEM.jpg")</f>
        <v>\\192.168.0.4\Produtos\PRODUTO_PRONTA_ENTREGA\static\IMAGENS_PRODUTOS\SEM IMAGEM.jpg</v>
      </c>
    </row>
    <row r="794" spans="1:22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42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43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44"/>
        <v>1</v>
      </c>
      <c r="U794" s="10" t="str">
        <f>IFERROR((VLOOKUP(A794,Planilha1!A:B,2,0)),"\\192.168.0.4\Produtos\PRODUTO_PRONTA_ENTREGA\static\IMAGENS_PRODUTOS\SEM IMAGEM.jpg")</f>
        <v>\\192.168.0.4\Produtos\PRODUTO_PRONTA_ENTREGA\static\IMAGENS_PRODUTOS\POLTRONA MOI_234735.jpg</v>
      </c>
      <c r="V794" t="str">
        <f>IFERROR((VLOOKUP(A794,Planilha1!A:B,2,0)),"\\192.168.0.4\Produtos\PRODUTO_PRONTA_ENTREGA\static\IMAGENS_PRODUTOS\SEM IMAGEM.jpg")</f>
        <v>\\192.168.0.4\Produtos\PRODUTO_PRONTA_ENTREGA\static\IMAGENS_PRODUTOS\POLTRONA MOI_234735.jpg</v>
      </c>
    </row>
    <row r="795" spans="1:22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42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43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44"/>
        <v>3</v>
      </c>
      <c r="U795" s="10" t="str">
        <f>IFERROR((VLOOKUP(A795,Planilha1!A:B,2,0)),"\\192.168.0.4\Produtos\PRODUTO_PRONTA_ENTREGA\static\IMAGENS_PRODUTOS\SEM IMAGEM.jpg")</f>
        <v>\\192.168.0.4\Produtos\PRODUTO_PRONTA_ENTREGA\static\IMAGENS_PRODUTOS\POLTRONA ALE_223320.jpg</v>
      </c>
      <c r="V795" t="str">
        <f>IFERROR((VLOOKUP(A795,Planilha1!A:B,2,0)),"\\192.168.0.4\Produtos\PRODUTO_PRONTA_ENTREGA\static\IMAGENS_PRODUTOS\SEM IMAGEM.jpg")</f>
        <v>\\192.168.0.4\Produtos\PRODUTO_PRONTA_ENTREGA\static\IMAGENS_PRODUTOS\POLTRONA ALE_223320.jpg</v>
      </c>
    </row>
    <row r="796" spans="1:22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42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43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44"/>
        <v>2</v>
      </c>
      <c r="U796" s="10" t="str">
        <f>IFERROR((VLOOKUP(A796,Planilha1!A:B,2,0)),"\\192.168.0.4\Produtos\PRODUTO_PRONTA_ENTREGA\static\IMAGENS_PRODUTOS\SEM IMAGEM.jpg")</f>
        <v>\\192.168.0.4\Produtos\PRODUTO_PRONTA_ENTREGA\static\IMAGENS_PRODUTOS\SEM IMAGEM.jpg</v>
      </c>
      <c r="V796" t="str">
        <f>IFERROR((VLOOKUP(A796,Planilha1!A:B,2,0)),"\\192.168.0.4\Produtos\PRODUTO_PRONTA_ENTREGA\static\IMAGENS_PRODUTOS\SEM IMAGEM.jpg")</f>
        <v>\\192.168.0.4\Produtos\PRODUTO_PRONTA_ENTREGA\static\IMAGENS_PRODUTOS\SEM IMAGEM.jpg</v>
      </c>
    </row>
    <row r="797" spans="1:22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42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43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44"/>
        <v>2</v>
      </c>
      <c r="U797" s="10" t="str">
        <f>IFERROR((VLOOKUP(A797,Planilha1!A:B,2,0)),"\\192.168.0.4\Produtos\PRODUTO_PRONTA_ENTREGA\static\IMAGENS_PRODUTOS\SEM IMAGEM.jpg")</f>
        <v>\\192.168.0.4\Produtos\PRODUTO_PRONTA_ENTREGA\static\IMAGENS_PRODUTOS\SEM IMAGEM.jpg</v>
      </c>
      <c r="V797" t="str">
        <f>IFERROR((VLOOKUP(A797,Planilha1!A:B,2,0)),"\\192.168.0.4\Produtos\PRODUTO_PRONTA_ENTREGA\static\IMAGENS_PRODUTOS\SEM IMAGEM.jpg")</f>
        <v>\\192.168.0.4\Produtos\PRODUTO_PRONTA_ENTREGA\static\IMAGENS_PRODUTOS\SEM IMAGEM.jpg</v>
      </c>
    </row>
    <row r="798" spans="1:22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42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43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44"/>
        <v>2</v>
      </c>
      <c r="U798" s="10" t="str">
        <f>IFERROR((VLOOKUP(A798,Planilha1!A:B,2,0)),"\\192.168.0.4\Produtos\PRODUTO_PRONTA_ENTREGA\static\IMAGENS_PRODUTOS\SEM IMAGEM.jpg")</f>
        <v>\\192.168.0.4\Produtos\PRODUTO_PRONTA_ENTREGA\static\IMAGENS_PRODUTOS\SEM IMAGEM.jpg</v>
      </c>
      <c r="V798" t="str">
        <f>IFERROR((VLOOKUP(A798,Planilha1!A:B,2,0)),"\\192.168.0.4\Produtos\PRODUTO_PRONTA_ENTREGA\static\IMAGENS_PRODUTOS\SEM IMAGEM.jpg")</f>
        <v>\\192.168.0.4\Produtos\PRODUTO_PRONTA_ENTREGA\static\IMAGENS_PRODUTOS\SEM IMAGEM.jpg</v>
      </c>
    </row>
    <row r="799" spans="1:22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42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43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44"/>
        <v>1</v>
      </c>
      <c r="U799" s="10" t="str">
        <f>IFERROR((VLOOKUP(A799,Planilha1!A:B,2,0)),"\\192.168.0.4\Produtos\PRODUTO_PRONTA_ENTREGA\static\IMAGENS_PRODUTOS\SEM IMAGEM.jpg")</f>
        <v>\\192.168.0.4\Produtos\PRODUTO_PRONTA_ENTREGA\static\IMAGENS_PRODUTOS\POLTRONA PIAF_353120.jpg</v>
      </c>
      <c r="V799" t="str">
        <f>IFERROR((VLOOKUP(A799,Planilha1!A:B,2,0)),"\\192.168.0.4\Produtos\PRODUTO_PRONTA_ENTREGA\static\IMAGENS_PRODUTOS\SEM IMAGEM.jpg")</f>
        <v>\\192.168.0.4\Produtos\PRODUTO_PRONTA_ENTREGA\static\IMAGENS_PRODUTOS\POLTRONA PIAF_353120.jpg</v>
      </c>
    </row>
    <row r="800" spans="1:22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42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43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44"/>
        <v>1</v>
      </c>
      <c r="U800" s="10" t="str">
        <f>IFERROR((VLOOKUP(A800,Planilha1!A:B,2,0)),"\\192.168.0.4\Produtos\PRODUTO_PRONTA_ENTREGA\static\IMAGENS_PRODUTOS\SEM IMAGEM.jpg")</f>
        <v>\\192.168.0.4\Produtos\PRODUTO_PRONTA_ENTREGA\static\IMAGENS_PRODUTOS\POLTRONA_BANQUETA CACAU_334189_334190.jpg</v>
      </c>
      <c r="V800" t="str">
        <f>IFERROR((VLOOKUP(A800,Planilha1!A:B,2,0)),"\\192.168.0.4\Produtos\PRODUTO_PRONTA_ENTREGA\static\IMAGENS_PRODUTOS\SEM IMAGEM.jpg")</f>
        <v>\\192.168.0.4\Produtos\PRODUTO_PRONTA_ENTREGA\static\IMAGENS_PRODUTOS\POLTRONA_BANQUETA CACAU_334189_334190.jpg</v>
      </c>
    </row>
    <row r="801" spans="1:22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42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43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44"/>
        <v>2</v>
      </c>
      <c r="U801" s="10" t="str">
        <f>IFERROR((VLOOKUP(A801,Planilha1!A:B,2,0)),"\\192.168.0.4\Produtos\PRODUTO_PRONTA_ENTREGA\static\IMAGENS_PRODUTOS\SEM IMAGEM.jpg")</f>
        <v>\\192.168.0.4\Produtos\PRODUTO_PRONTA_ENTREGA\static\IMAGENS_PRODUTOS\POLTRONA KAZZ_328005.jpg</v>
      </c>
      <c r="V801" t="str">
        <f>IFERROR((VLOOKUP(A801,Planilha1!A:B,2,0)),"\\192.168.0.4\Produtos\PRODUTO_PRONTA_ENTREGA\static\IMAGENS_PRODUTOS\SEM IMAGEM.jpg")</f>
        <v>\\192.168.0.4\Produtos\PRODUTO_PRONTA_ENTREGA\static\IMAGENS_PRODUTOS\POLTRONA KAZZ_328005.jpg</v>
      </c>
    </row>
    <row r="802" spans="1:22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42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43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44"/>
        <v>2</v>
      </c>
      <c r="U802" s="10" t="str">
        <f>IFERROR((VLOOKUP(A802,Planilha1!A:B,2,0)),"\\192.168.0.4\Produtos\PRODUTO_PRONTA_ENTREGA\static\IMAGENS_PRODUTOS\SEM IMAGEM.jpg")</f>
        <v>\\192.168.0.4\Produtos\PRODUTO_PRONTA_ENTREGA\static\IMAGENS_PRODUTOS\POLTRONA PATER _334175.jpg</v>
      </c>
      <c r="V802" t="str">
        <f>IFERROR((VLOOKUP(A802,Planilha1!A:B,2,0)),"\\192.168.0.4\Produtos\PRODUTO_PRONTA_ENTREGA\static\IMAGENS_PRODUTOS\SEM IMAGEM.jpg")</f>
        <v>\\192.168.0.4\Produtos\PRODUTO_PRONTA_ENTREGA\static\IMAGENS_PRODUTOS\POLTRONA PATER _334175.jpg</v>
      </c>
    </row>
    <row r="803" spans="1:22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42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43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44"/>
        <v>1</v>
      </c>
      <c r="U803" s="10" t="str">
        <f>IFERROR((VLOOKUP(A803,Planilha1!A:B,2,0)),"\\192.168.0.4\Produtos\PRODUTO_PRONTA_ENTREGA\static\IMAGENS_PRODUTOS\SEM IMAGEM.jpg")</f>
        <v>\\192.168.0.4\Produtos\PRODUTO_PRONTA_ENTREGA\static\IMAGENS_PRODUTOS\POLTRONA_BANQUETA PATER_320759_337717.jpg</v>
      </c>
      <c r="V803" t="str">
        <f>IFERROR((VLOOKUP(A803,Planilha1!A:B,2,0)),"\\192.168.0.4\Produtos\PRODUTO_PRONTA_ENTREGA\static\IMAGENS_PRODUTOS\SEM IMAGEM.jpg")</f>
        <v>\\192.168.0.4\Produtos\PRODUTO_PRONTA_ENTREGA\static\IMAGENS_PRODUTOS\POLTRONA_BANQUETA PATER_320759_337717.jpg</v>
      </c>
    </row>
    <row r="804" spans="1:22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42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43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44"/>
        <v>1</v>
      </c>
      <c r="U804" s="10" t="str">
        <f>IFERROR((VLOOKUP(A804,Planilha1!A:B,2,0)),"\\192.168.0.4\Produtos\PRODUTO_PRONTA_ENTREGA\static\IMAGENS_PRODUTOS\SEM IMAGEM.jpg")</f>
        <v>\\192.168.0.4\Produtos\PRODUTO_PRONTA_ENTREGA\static\IMAGENS_PRODUTOS\SEM IMAGEM.jpg</v>
      </c>
      <c r="V804" t="str">
        <f>IFERROR((VLOOKUP(A804,Planilha1!A:B,2,0)),"\\192.168.0.4\Produtos\PRODUTO_PRONTA_ENTREGA\static\IMAGENS_PRODUTOS\SEM IMAGEM.jpg")</f>
        <v>\\192.168.0.4\Produtos\PRODUTO_PRONTA_ENTREGA\static\IMAGENS_PRODUTOS\SEM IMAGEM.jpg</v>
      </c>
    </row>
    <row r="805" spans="1:22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42"/>
        <v/>
      </c>
      <c r="L805" s="7" t="str">
        <f>IF(VLOOKUP(A805,'[1]LISTA ETIQUETAS'!O:AB,14,0)="","",(VLOOKUP(A805,'[1]LISTA ETIQUETAS'!O:AB,14,0)))</f>
        <v/>
      </c>
      <c r="M805" s="8"/>
      <c r="N805" s="9">
        <f t="shared" si="43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44"/>
        <v>1</v>
      </c>
      <c r="U805" s="10" t="str">
        <f>IFERROR((VLOOKUP(A805,Planilha1!A:B,2,0)),"\\192.168.0.4\Produtos\PRODUTO_PRONTA_ENTREGA\static\IMAGENS_PRODUTOS\SEM IMAGEM.jpg")</f>
        <v>\\192.168.0.4\Produtos\PRODUTO_PRONTA_ENTREGA\static\IMAGENS_PRODUTOS\POLTRONA LILAH_77886.jpg</v>
      </c>
      <c r="V805" t="str">
        <f>IFERROR((VLOOKUP(A805,Planilha1!A:B,2,0)),"\\192.168.0.4\Produtos\PRODUTO_PRONTA_ENTREGA\static\IMAGENS_PRODUTOS\SEM IMAGEM.jpg")</f>
        <v>\\192.168.0.4\Produtos\PRODUTO_PRONTA_ENTREGA\static\IMAGENS_PRODUTOS\POLTRONA LILAH_77886.jpg</v>
      </c>
    </row>
    <row r="806" spans="1:22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42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43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44"/>
        <v>1</v>
      </c>
      <c r="U806" s="10" t="str">
        <f>IFERROR((VLOOKUP(A806,Planilha1!A:B,2,0)),"\\192.168.0.4\Produtos\PRODUTO_PRONTA_ENTREGA\static\IMAGENS_PRODUTOS\SEM IMAGEM.jpg")</f>
        <v>\\192.168.0.4\Produtos\PRODUTO_PRONTA_ENTREGA\static\IMAGENS_PRODUTOS\POLTRONA SU (MILA)_69099.jpg</v>
      </c>
      <c r="V806" t="str">
        <f>IFERROR((VLOOKUP(A806,Planilha1!A:B,2,0)),"\\192.168.0.4\Produtos\PRODUTO_PRONTA_ENTREGA\static\IMAGENS_PRODUTOS\SEM IMAGEM.jpg")</f>
        <v>\\192.168.0.4\Produtos\PRODUTO_PRONTA_ENTREGA\static\IMAGENS_PRODUTOS\POLTRONA SU (MILA)_69099.jpg</v>
      </c>
    </row>
    <row r="807" spans="1:22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42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43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44"/>
        <v>2</v>
      </c>
      <c r="U807" s="10" t="str">
        <f>IFERROR((VLOOKUP(A807,Planilha1!A:B,2,0)),"\\192.168.0.4\Produtos\PRODUTO_PRONTA_ENTREGA\static\IMAGENS_PRODUTOS\SEM IMAGEM.jpg")</f>
        <v>\\192.168.0.4\Produtos\PRODUTO_PRONTA_ENTREGA\static\IMAGENS_PRODUTOS\POLTRONA CROCCO_80044.jpg</v>
      </c>
      <c r="V807" t="str">
        <f>IFERROR((VLOOKUP(A807,Planilha1!A:B,2,0)),"\\192.168.0.4\Produtos\PRODUTO_PRONTA_ENTREGA\static\IMAGENS_PRODUTOS\SEM IMAGEM.jpg")</f>
        <v>\\192.168.0.4\Produtos\PRODUTO_PRONTA_ENTREGA\static\IMAGENS_PRODUTOS\POLTRONA CROCCO_80044.jpg</v>
      </c>
    </row>
    <row r="808" spans="1:22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42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43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44"/>
        <v>1</v>
      </c>
      <c r="U808" s="10" t="str">
        <f>IFERROR((VLOOKUP(A808,Planilha1!A:B,2,0)),"\\192.168.0.4\Produtos\PRODUTO_PRONTA_ENTREGA\static\IMAGENS_PRODUTOS\SEM IMAGEM.jpg")</f>
        <v>\\192.168.0.4\Produtos\PRODUTO_PRONTA_ENTREGA\static\IMAGENS_PRODUTOS\POLTRONA TOLEDO_82950.jpg</v>
      </c>
      <c r="V808" t="str">
        <f>IFERROR((VLOOKUP(A808,Planilha1!A:B,2,0)),"\\192.168.0.4\Produtos\PRODUTO_PRONTA_ENTREGA\static\IMAGENS_PRODUTOS\SEM IMAGEM.jpg")</f>
        <v>\\192.168.0.4\Produtos\PRODUTO_PRONTA_ENTREGA\static\IMAGENS_PRODUTOS\POLTRONA TOLEDO_82950.jpg</v>
      </c>
    </row>
    <row r="809" spans="1:22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42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43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44"/>
        <v>1</v>
      </c>
      <c r="U809" s="10" t="str">
        <f>IFERROR((VLOOKUP(A809,Planilha1!A:B,2,0)),"\\192.168.0.4\Produtos\PRODUTO_PRONTA_ENTREGA\static\IMAGENS_PRODUTOS\SEM IMAGEM.jpg")</f>
        <v>\\192.168.0.4\Produtos\PRODUTO_PRONTA_ENTREGA\static\IMAGENS_PRODUTOS\POLTRONA ITA_76776.jpg</v>
      </c>
      <c r="V809" t="str">
        <f>IFERROR((VLOOKUP(A809,Planilha1!A:B,2,0)),"\\192.168.0.4\Produtos\PRODUTO_PRONTA_ENTREGA\static\IMAGENS_PRODUTOS\SEM IMAGEM.jpg")</f>
        <v>\\192.168.0.4\Produtos\PRODUTO_PRONTA_ENTREGA\static\IMAGENS_PRODUTOS\POLTRONA ITA_76776.jpg</v>
      </c>
    </row>
    <row r="810" spans="1:22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42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43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44"/>
        <v>1</v>
      </c>
      <c r="U810" s="10" t="str">
        <f>IFERROR((VLOOKUP(A810,Planilha1!A:B,2,0)),"\\192.168.0.4\Produtos\PRODUTO_PRONTA_ENTREGA\static\IMAGENS_PRODUTOS\SEM IMAGEM.jpg")</f>
        <v>\\192.168.0.4\Produtos\PRODUTO_PRONTA_ENTREGA\static\IMAGENS_PRODUTOS\POLTRONA REF_63561.jpg</v>
      </c>
      <c r="V810" t="str">
        <f>IFERROR((VLOOKUP(A810,Planilha1!A:B,2,0)),"\\192.168.0.4\Produtos\PRODUTO_PRONTA_ENTREGA\static\IMAGENS_PRODUTOS\SEM IMAGEM.jpg")</f>
        <v>\\192.168.0.4\Produtos\PRODUTO_PRONTA_ENTREGA\static\IMAGENS_PRODUTOS\POLTRONA REF_63561.jpg</v>
      </c>
    </row>
    <row r="811" spans="1:22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42"/>
        <v/>
      </c>
      <c r="L811" s="7" t="str">
        <f>IF(VLOOKUP(A811,'[1]LISTA ETIQUETAS'!O:AB,14,0)="","",(VLOOKUP(A811,'[1]LISTA ETIQUETAS'!O:AB,14,0)))</f>
        <v/>
      </c>
      <c r="M811" s="8"/>
      <c r="N811" s="9">
        <f t="shared" si="43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44"/>
        <v>1</v>
      </c>
      <c r="U811" s="10" t="str">
        <f>IFERROR((VLOOKUP(A811,Planilha1!A:B,2,0)),"\\192.168.0.4\Produtos\PRODUTO_PRONTA_ENTREGA\static\IMAGENS_PRODUTOS\SEM IMAGEM.jpg")</f>
        <v>\\192.168.0.4\Produtos\PRODUTO_PRONTA_ENTREGA\static\IMAGENS_PRODUTOS\POLTRONA POLTRONETE_65397.jpg</v>
      </c>
      <c r="V811" t="str">
        <f>IFERROR((VLOOKUP(A811,Planilha1!A:B,2,0)),"\\192.168.0.4\Produtos\PRODUTO_PRONTA_ENTREGA\static\IMAGENS_PRODUTOS\SEM IMAGEM.jpg")</f>
        <v>\\192.168.0.4\Produtos\PRODUTO_PRONTA_ENTREGA\static\IMAGENS_PRODUTOS\POLTRONA POLTRONETE_65397.jpg</v>
      </c>
    </row>
    <row r="812" spans="1:22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42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43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44"/>
        <v>1</v>
      </c>
      <c r="U812" s="10" t="str">
        <f>IFERROR((VLOOKUP(A812,Planilha1!A:B,2,0)),"\\192.168.0.4\Produtos\PRODUTO_PRONTA_ENTREGA\static\IMAGENS_PRODUTOS\SEM IMAGEM.jpg")</f>
        <v>\\192.168.0.4\Produtos\PRODUTO_PRONTA_ENTREGA\static\IMAGENS_PRODUTOS\POLTRONA BEATRIZ_89424.jpg</v>
      </c>
      <c r="V812" t="str">
        <f>IFERROR((VLOOKUP(A812,Planilha1!A:B,2,0)),"\\192.168.0.4\Produtos\PRODUTO_PRONTA_ENTREGA\static\IMAGENS_PRODUTOS\SEM IMAGEM.jpg")</f>
        <v>\\192.168.0.4\Produtos\PRODUTO_PRONTA_ENTREGA\static\IMAGENS_PRODUTOS\POLTRONA BEATRIZ_89424.jpg</v>
      </c>
    </row>
    <row r="813" spans="1:22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42"/>
        <v/>
      </c>
      <c r="L813" s="7" t="str">
        <f>IF(VLOOKUP(A813,'[1]LISTA ETIQUETAS'!O:AB,14,0)="","",(VLOOKUP(A813,'[1]LISTA ETIQUETAS'!O:AB,14,0)))</f>
        <v/>
      </c>
      <c r="M813" s="8"/>
      <c r="N813" s="9">
        <f t="shared" si="43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44"/>
        <v>1</v>
      </c>
      <c r="U813" s="10" t="str">
        <f>IFERROR((VLOOKUP(A813,Planilha1!A:B,2,0)),"\\192.168.0.4\Produtos\PRODUTO_PRONTA_ENTREGA\static\IMAGENS_PRODUTOS\SEM IMAGEM.jpg")</f>
        <v>\\192.168.0.4\Produtos\PRODUTO_PRONTA_ENTREGA\static\IMAGENS_PRODUTOS\POLTRONA JOBS_117364_117365.jpg</v>
      </c>
      <c r="V813" t="str">
        <f>IFERROR((VLOOKUP(A813,Planilha1!A:B,2,0)),"\\192.168.0.4\Produtos\PRODUTO_PRONTA_ENTREGA\static\IMAGENS_PRODUTOS\SEM IMAGEM.jpg")</f>
        <v>\\192.168.0.4\Produtos\PRODUTO_PRONTA_ENTREGA\static\IMAGENS_PRODUTOS\POLTRONA JOBS_117364_117365.jpg</v>
      </c>
    </row>
    <row r="814" spans="1:22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42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43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44"/>
        <v>1</v>
      </c>
      <c r="U814" s="10" t="str">
        <f>IFERROR((VLOOKUP(A814,Planilha1!A:B,2,0)),"\\192.168.0.4\Produtos\PRODUTO_PRONTA_ENTREGA\static\IMAGENS_PRODUTOS\SEM IMAGEM.jpg")</f>
        <v>\\192.168.0.4\Produtos\PRODUTO_PRONTA_ENTREGA\static\IMAGENS_PRODUTOS\POLTRONA TOLEDO_123299.jpg</v>
      </c>
      <c r="V814" t="str">
        <f>IFERROR((VLOOKUP(A814,Planilha1!A:B,2,0)),"\\192.168.0.4\Produtos\PRODUTO_PRONTA_ENTREGA\static\IMAGENS_PRODUTOS\SEM IMAGEM.jpg")</f>
        <v>\\192.168.0.4\Produtos\PRODUTO_PRONTA_ENTREGA\static\IMAGENS_PRODUTOS\POLTRONA TOLEDO_123299.jpg</v>
      </c>
    </row>
    <row r="815" spans="1:22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42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43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44"/>
        <v>1</v>
      </c>
      <c r="U815" s="10" t="str">
        <f>IFERROR((VLOOKUP(A815,Planilha1!A:B,2,0)),"\\192.168.0.4\Produtos\PRODUTO_PRONTA_ENTREGA\static\IMAGENS_PRODUTOS\SEM IMAGEM.jpg")</f>
        <v>\\192.168.0.4\Produtos\PRODUTO_PRONTA_ENTREGA\static\IMAGENS_PRODUTOS\POLTRONA BEBELA_120615.jpg</v>
      </c>
      <c r="V815" t="str">
        <f>IFERROR((VLOOKUP(A815,Planilha1!A:B,2,0)),"\\192.168.0.4\Produtos\PRODUTO_PRONTA_ENTREGA\static\IMAGENS_PRODUTOS\SEM IMAGEM.jpg")</f>
        <v>\\192.168.0.4\Produtos\PRODUTO_PRONTA_ENTREGA\static\IMAGENS_PRODUTOS\POLTRONA BEBELA_120615.jpg</v>
      </c>
    </row>
    <row r="816" spans="1:22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42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43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44"/>
        <v>1</v>
      </c>
      <c r="U816" s="10" t="str">
        <f>IFERROR((VLOOKUP(A816,Planilha1!A:B,2,0)),"\\192.168.0.4\Produtos\PRODUTO_PRONTA_ENTREGA\static\IMAGENS_PRODUTOS\SEM IMAGEM.jpg")</f>
        <v>\\192.168.0.4\Produtos\PRODUTO_PRONTA_ENTREGA\static\IMAGENS_PRODUTOS\POLTRONA CANADA_65456.jpg</v>
      </c>
      <c r="V816" t="str">
        <f>IFERROR((VLOOKUP(A816,Planilha1!A:B,2,0)),"\\192.168.0.4\Produtos\PRODUTO_PRONTA_ENTREGA\static\IMAGENS_PRODUTOS\SEM IMAGEM.jpg")</f>
        <v>\\192.168.0.4\Produtos\PRODUTO_PRONTA_ENTREGA\static\IMAGENS_PRODUTOS\POLTRONA CANADA_65456.jpg</v>
      </c>
    </row>
    <row r="817" spans="1:22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42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43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44"/>
        <v>1</v>
      </c>
      <c r="U817" s="10" t="str">
        <f>IFERROR((VLOOKUP(A817,Planilha1!A:B,2,0)),"\\192.168.0.4\Produtos\PRODUTO_PRONTA_ENTREGA\static\IMAGENS_PRODUTOS\SEM IMAGEM.jpg")</f>
        <v>\\192.168.0.4\Produtos\PRODUTO_PRONTA_ENTREGA\static\IMAGENS_PRODUTOS\POLTRONA MILAO_63557.jpg</v>
      </c>
      <c r="V817" t="str">
        <f>IFERROR((VLOOKUP(A817,Planilha1!A:B,2,0)),"\\192.168.0.4\Produtos\PRODUTO_PRONTA_ENTREGA\static\IMAGENS_PRODUTOS\SEM IMAGEM.jpg")</f>
        <v>\\192.168.0.4\Produtos\PRODUTO_PRONTA_ENTREGA\static\IMAGENS_PRODUTOS\POLTRONA MILAO_63557.jpg</v>
      </c>
    </row>
    <row r="818" spans="1:22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42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43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44"/>
        <v>1</v>
      </c>
      <c r="U818" s="10" t="str">
        <f>IFERROR((VLOOKUP(A818,Planilha1!A:B,2,0)),"\\192.168.0.4\Produtos\PRODUTO_PRONTA_ENTREGA\static\IMAGENS_PRODUTOS\SEM IMAGEM.jpg")</f>
        <v>\\192.168.0.4\Produtos\PRODUTO_PRONTA_ENTREGA\static\IMAGENS_PRODUTOS\POLTRONA BEBELA_113384.jpg</v>
      </c>
      <c r="V818" t="str">
        <f>IFERROR((VLOOKUP(A818,Planilha1!A:B,2,0)),"\\192.168.0.4\Produtos\PRODUTO_PRONTA_ENTREGA\static\IMAGENS_PRODUTOS\SEM IMAGEM.jpg")</f>
        <v>\\192.168.0.4\Produtos\PRODUTO_PRONTA_ENTREGA\static\IMAGENS_PRODUTOS\POLTRONA BEBELA_113384.jpg</v>
      </c>
    </row>
    <row r="819" spans="1:22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42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43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44"/>
        <v>2</v>
      </c>
      <c r="U819" s="10" t="str">
        <f>IFERROR((VLOOKUP(A819,Planilha1!A:B,2,0)),"\\192.168.0.4\Produtos\PRODUTO_PRONTA_ENTREGA\static\IMAGENS_PRODUTOS\SEM IMAGEM.jpg")</f>
        <v>\\192.168.0.4\Produtos\PRODUTO_PRONTA_ENTREGA\static\IMAGENS_PRODUTOS\POLTRONA MARIA_113370.jpg</v>
      </c>
      <c r="V819" t="str">
        <f>IFERROR((VLOOKUP(A819,Planilha1!A:B,2,0)),"\\192.168.0.4\Produtos\PRODUTO_PRONTA_ENTREGA\static\IMAGENS_PRODUTOS\SEM IMAGEM.jpg")</f>
        <v>\\192.168.0.4\Produtos\PRODUTO_PRONTA_ENTREGA\static\IMAGENS_PRODUTOS\POLTRONA MARIA_113370.jpg</v>
      </c>
    </row>
    <row r="820" spans="1:22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42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43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44"/>
        <v>1</v>
      </c>
      <c r="U820" s="10" t="str">
        <f>IFERROR((VLOOKUP(A820,Planilha1!A:B,2,0)),"\\192.168.0.4\Produtos\PRODUTO_PRONTA_ENTREGA\static\IMAGENS_PRODUTOS\SEM IMAGEM.jpg")</f>
        <v>\\192.168.0.4\Produtos\PRODUTO_PRONTA_ENTREGA\static\IMAGENS_PRODUTOS\POLTRONA MOON_63559.jpg</v>
      </c>
      <c r="V820" t="str">
        <f>IFERROR((VLOOKUP(A820,Planilha1!A:B,2,0)),"\\192.168.0.4\Produtos\PRODUTO_PRONTA_ENTREGA\static\IMAGENS_PRODUTOS\SEM IMAGEM.jpg")</f>
        <v>\\192.168.0.4\Produtos\PRODUTO_PRONTA_ENTREGA\static\IMAGENS_PRODUTOS\POLTRONA MOON_63559.jpg</v>
      </c>
    </row>
    <row r="821" spans="1:22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42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43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44"/>
        <v>1</v>
      </c>
      <c r="U821" s="10" t="str">
        <f>IFERROR((VLOOKUP(A821,Planilha1!A:B,2,0)),"\\192.168.0.4\Produtos\PRODUTO_PRONTA_ENTREGA\static\IMAGENS_PRODUTOS\SEM IMAGEM.jpg")</f>
        <v>\\192.168.0.4\Produtos\PRODUTO_PRONTA_ENTREGA\static\IMAGENS_PRODUTOS\POLTRONA MIRAH_124936.jpg</v>
      </c>
      <c r="V821" t="str">
        <f>IFERROR((VLOOKUP(A821,Planilha1!A:B,2,0)),"\\192.168.0.4\Produtos\PRODUTO_PRONTA_ENTREGA\static\IMAGENS_PRODUTOS\SEM IMAGEM.jpg")</f>
        <v>\\192.168.0.4\Produtos\PRODUTO_PRONTA_ENTREGA\static\IMAGENS_PRODUTOS\POLTRONA MIRAH_124936.jpg</v>
      </c>
    </row>
    <row r="822" spans="1:22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42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43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44"/>
        <v>1</v>
      </c>
      <c r="U822" s="10" t="str">
        <f>IFERROR((VLOOKUP(A822,Planilha1!A:B,2,0)),"\\192.168.0.4\Produtos\PRODUTO_PRONTA_ENTREGA\static\IMAGENS_PRODUTOS\SEM IMAGEM.jpg")</f>
        <v>\\192.168.0.4\Produtos\PRODUTO_PRONTA_ENTREGA\static\IMAGENS_PRODUTOS\POLTRONA CUSCO_128711.jpg</v>
      </c>
      <c r="V822" t="str">
        <f>IFERROR((VLOOKUP(A822,Planilha1!A:B,2,0)),"\\192.168.0.4\Produtos\PRODUTO_PRONTA_ENTREGA\static\IMAGENS_PRODUTOS\SEM IMAGEM.jpg")</f>
        <v>\\192.168.0.4\Produtos\PRODUTO_PRONTA_ENTREGA\static\IMAGENS_PRODUTOS\POLTRONA CUSCO_128711.jpg</v>
      </c>
    </row>
    <row r="823" spans="1:22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42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43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44"/>
        <v>2</v>
      </c>
      <c r="U823" s="10" t="str">
        <f>IFERROR((VLOOKUP(A823,Planilha1!A:B,2,0)),"\\192.168.0.4\Produtos\PRODUTO_PRONTA_ENTREGA\static\IMAGENS_PRODUTOS\SEM IMAGEM.jpg")</f>
        <v>\\192.168.0.4\Produtos\PRODUTO_PRONTA_ENTREGA\static\IMAGENS_PRODUTOS\POLTRONA DORA_151023.jpg</v>
      </c>
      <c r="V823" t="str">
        <f>IFERROR((VLOOKUP(A823,Planilha1!A:B,2,0)),"\\192.168.0.4\Produtos\PRODUTO_PRONTA_ENTREGA\static\IMAGENS_PRODUTOS\SEM IMAGEM.jpg")</f>
        <v>\\192.168.0.4\Produtos\PRODUTO_PRONTA_ENTREGA\static\IMAGENS_PRODUTOS\POLTRONA DORA_151023.jpg</v>
      </c>
    </row>
    <row r="824" spans="1:22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42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43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44"/>
        <v>1</v>
      </c>
      <c r="U824" s="10" t="str">
        <f>IFERROR((VLOOKUP(A824,Planilha1!A:B,2,0)),"\\192.168.0.4\Produtos\PRODUTO_PRONTA_ENTREGA\static\IMAGENS_PRODUTOS\SEM IMAGEM.jpg")</f>
        <v>\\192.168.0.4\Produtos\PRODUTO_PRONTA_ENTREGA\static\IMAGENS_PRODUTOS\SEM IMAGEM.jpg</v>
      </c>
      <c r="V824" t="str">
        <f>IFERROR((VLOOKUP(A824,Planilha1!A:B,2,0)),"\\192.168.0.4\Produtos\PRODUTO_PRONTA_ENTREGA\static\IMAGENS_PRODUTOS\SEM IMAGEM.jpg")</f>
        <v>\\192.168.0.4\Produtos\PRODUTO_PRONTA_ENTREGA\static\IMAGENS_PRODUTOS\SEM IMAGEM.jpg</v>
      </c>
    </row>
    <row r="825" spans="1:22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42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43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44"/>
        <v>1</v>
      </c>
      <c r="U825" s="10" t="str">
        <f>IFERROR((VLOOKUP(A825,Planilha1!A:B,2,0)),"\\192.168.0.4\Produtos\PRODUTO_PRONTA_ENTREGA\static\IMAGENS_PRODUTOS\SEM IMAGEM.jpg")</f>
        <v>\\192.168.0.4\Produtos\PRODUTO_PRONTA_ENTREGA\static\IMAGENS_PRODUTOS\POLTRONA STUART_151548.jpg</v>
      </c>
      <c r="V825" t="str">
        <f>IFERROR((VLOOKUP(A825,Planilha1!A:B,2,0)),"\\192.168.0.4\Produtos\PRODUTO_PRONTA_ENTREGA\static\IMAGENS_PRODUTOS\SEM IMAGEM.jpg")</f>
        <v>\\192.168.0.4\Produtos\PRODUTO_PRONTA_ENTREGA\static\IMAGENS_PRODUTOS\POLTRONA STUART_151548.jpg</v>
      </c>
    </row>
    <row r="826" spans="1:22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42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43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44"/>
        <v>4</v>
      </c>
      <c r="U826" s="10" t="str">
        <f>IFERROR((VLOOKUP(A826,Planilha1!A:B,2,0)),"\\192.168.0.4\Produtos\PRODUTO_PRONTA_ENTREGA\static\IMAGENS_PRODUTOS\SEM IMAGEM.jpg")</f>
        <v>\\192.168.0.4\Produtos\PRODUTO_PRONTA_ENTREGA\static\IMAGENS_PRODUTOS\POLTRONA VEGA_151612.jpg</v>
      </c>
      <c r="V826" t="str">
        <f>IFERROR((VLOOKUP(A826,Planilha1!A:B,2,0)),"\\192.168.0.4\Produtos\PRODUTO_PRONTA_ENTREGA\static\IMAGENS_PRODUTOS\SEM IMAGEM.jpg")</f>
        <v>\\192.168.0.4\Produtos\PRODUTO_PRONTA_ENTREGA\static\IMAGENS_PRODUTOS\POLTRONA VEGA_151612.jpg</v>
      </c>
    </row>
    <row r="827" spans="1:22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42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43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44"/>
        <v>1</v>
      </c>
      <c r="U827" s="10" t="str">
        <f>IFERROR((VLOOKUP(A827,Planilha1!A:B,2,0)),"\\192.168.0.4\Produtos\PRODUTO_PRONTA_ENTREGA\static\IMAGENS_PRODUTOS\SEM IMAGEM.jpg")</f>
        <v>\\192.168.0.4\Produtos\PRODUTO_PRONTA_ENTREGA\static\IMAGENS_PRODUTOS\POLTRONA SOLAR_151467.jpg</v>
      </c>
      <c r="V827" t="str">
        <f>IFERROR((VLOOKUP(A827,Planilha1!A:B,2,0)),"\\192.168.0.4\Produtos\PRODUTO_PRONTA_ENTREGA\static\IMAGENS_PRODUTOS\SEM IMAGEM.jpg")</f>
        <v>\\192.168.0.4\Produtos\PRODUTO_PRONTA_ENTREGA\static\IMAGENS_PRODUTOS\POLTRONA SOLAR_151467.jpg</v>
      </c>
    </row>
    <row r="828" spans="1:22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42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43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44"/>
        <v>10</v>
      </c>
      <c r="U828" s="10" t="str">
        <f>IFERROR((VLOOKUP(A828,Planilha1!A:B,2,0)),"\\192.168.0.4\Produtos\PRODUTO_PRONTA_ENTREGA\static\IMAGENS_PRODUTOS\SEM IMAGEM.jpg")</f>
        <v>\\192.168.0.4\Produtos\PRODUTO_PRONTA_ENTREGA\static\IMAGENS_PRODUTOS\POLTRONA JULIA_151468.jpg</v>
      </c>
      <c r="V828" t="str">
        <f>IFERROR((VLOOKUP(A828,Planilha1!A:B,2,0)),"\\192.168.0.4\Produtos\PRODUTO_PRONTA_ENTREGA\static\IMAGENS_PRODUTOS\SEM IMAGEM.jpg")</f>
        <v>\\192.168.0.4\Produtos\PRODUTO_PRONTA_ENTREGA\static\IMAGENS_PRODUTOS\POLTRONA JULIA_151468.jpg</v>
      </c>
    </row>
    <row r="829" spans="1:22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42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43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44"/>
        <v>1</v>
      </c>
      <c r="U829" s="10" t="str">
        <f>IFERROR((VLOOKUP(A829,Planilha1!A:B,2,0)),"\\192.168.0.4\Produtos\PRODUTO_PRONTA_ENTREGA\static\IMAGENS_PRODUTOS\SEM IMAGEM.jpg")</f>
        <v>\\192.168.0.4\Produtos\PRODUTO_PRONTA_ENTREGA\static\IMAGENS_PRODUTOS\POLTRONA ROVERE_150911.jpg</v>
      </c>
      <c r="V829" t="str">
        <f>IFERROR((VLOOKUP(A829,Planilha1!A:B,2,0)),"\\192.168.0.4\Produtos\PRODUTO_PRONTA_ENTREGA\static\IMAGENS_PRODUTOS\SEM IMAGEM.jpg")</f>
        <v>\\192.168.0.4\Produtos\PRODUTO_PRONTA_ENTREGA\static\IMAGENS_PRODUTOS\POLTRONA ROVERE_150911.jpg</v>
      </c>
    </row>
    <row r="830" spans="1:22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42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43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44"/>
        <v>1</v>
      </c>
      <c r="U830" s="10" t="str">
        <f>IFERROR((VLOOKUP(A830,Planilha1!A:B,2,0)),"\\192.168.0.4\Produtos\PRODUTO_PRONTA_ENTREGA\static\IMAGENS_PRODUTOS\SEM IMAGEM.jpg")</f>
        <v>\\192.168.0.4\Produtos\PRODUTO_PRONTA_ENTREGA\static\IMAGENS_PRODUTOS\POLTRONA GAVEA_151317.jpg</v>
      </c>
      <c r="V830" t="str">
        <f>IFERROR((VLOOKUP(A830,Planilha1!A:B,2,0)),"\\192.168.0.4\Produtos\PRODUTO_PRONTA_ENTREGA\static\IMAGENS_PRODUTOS\SEM IMAGEM.jpg")</f>
        <v>\\192.168.0.4\Produtos\PRODUTO_PRONTA_ENTREGA\static\IMAGENS_PRODUTOS\POLTRONA GAVEA_151317.jpg</v>
      </c>
    </row>
    <row r="831" spans="1:22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42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43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44"/>
        <v>2</v>
      </c>
      <c r="U831" s="10" t="str">
        <f>IFERROR((VLOOKUP(A831,Planilha1!A:B,2,0)),"\\192.168.0.4\Produtos\PRODUTO_PRONTA_ENTREGA\static\IMAGENS_PRODUTOS\SEM IMAGEM.jpg")</f>
        <v>\\192.168.0.4\Produtos\PRODUTO_PRONTA_ENTREGA\static\IMAGENS_PRODUTOS\POLTRONA ARENA_151312.jpg</v>
      </c>
      <c r="V831" t="str">
        <f>IFERROR((VLOOKUP(A831,Planilha1!A:B,2,0)),"\\192.168.0.4\Produtos\PRODUTO_PRONTA_ENTREGA\static\IMAGENS_PRODUTOS\SEM IMAGEM.jpg")</f>
        <v>\\192.168.0.4\Produtos\PRODUTO_PRONTA_ENTREGA\static\IMAGENS_PRODUTOS\POLTRONA ARENA_151312.jpg</v>
      </c>
    </row>
    <row r="832" spans="1:22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42"/>
        <v/>
      </c>
      <c r="L832" s="7" t="str">
        <f>IF(VLOOKUP(A832,'[1]LISTA ETIQUETAS'!O:AB,14,0)="","",(VLOOKUP(A832,'[1]LISTA ETIQUETAS'!O:AB,14,0)))</f>
        <v/>
      </c>
      <c r="M832" s="8"/>
      <c r="N832" s="9">
        <f t="shared" si="43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44"/>
        <v>1</v>
      </c>
      <c r="U832" s="10" t="str">
        <f>IFERROR((VLOOKUP(A832,Planilha1!A:B,2,0)),"\\192.168.0.4\Produtos\PRODUTO_PRONTA_ENTREGA\static\IMAGENS_PRODUTOS\SEM IMAGEM.jpg")</f>
        <v>\\192.168.0.4\Produtos\PRODUTO_PRONTA_ENTREGA\static\IMAGENS_PRODUTOS\POLTRONA FIRENZE_151546.jpg</v>
      </c>
      <c r="V832" t="str">
        <f>IFERROR((VLOOKUP(A832,Planilha1!A:B,2,0)),"\\192.168.0.4\Produtos\PRODUTO_PRONTA_ENTREGA\static\IMAGENS_PRODUTOS\SEM IMAGEM.jpg")</f>
        <v>\\192.168.0.4\Produtos\PRODUTO_PRONTA_ENTREGA\static\IMAGENS_PRODUTOS\POLTRONA FIRENZE_151546.jpg</v>
      </c>
    </row>
    <row r="833" spans="1:22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42"/>
        <v/>
      </c>
      <c r="L833" s="7" t="str">
        <f>IF(VLOOKUP(A833,'[1]LISTA ETIQUETAS'!O:AB,14,0)="","",(VLOOKUP(A833,'[1]LISTA ETIQUETAS'!O:AB,14,0)))</f>
        <v/>
      </c>
      <c r="M833" s="8"/>
      <c r="N833" s="9">
        <f t="shared" si="43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44"/>
        <v>4</v>
      </c>
      <c r="U833" s="10" t="str">
        <f>IFERROR((VLOOKUP(A833,Planilha1!A:B,2,0)),"\\192.168.0.4\Produtos\PRODUTO_PRONTA_ENTREGA\static\IMAGENS_PRODUTOS\SEM IMAGEM.jpg")</f>
        <v>\\192.168.0.4\Produtos\PRODUTO_PRONTA_ENTREGA\static\IMAGENS_PRODUTOS\POLTRONA FIBRA_151327.jpg</v>
      </c>
      <c r="V833" t="str">
        <f>IFERROR((VLOOKUP(A833,Planilha1!A:B,2,0)),"\\192.168.0.4\Produtos\PRODUTO_PRONTA_ENTREGA\static\IMAGENS_PRODUTOS\SEM IMAGEM.jpg")</f>
        <v>\\192.168.0.4\Produtos\PRODUTO_PRONTA_ENTREGA\static\IMAGENS_PRODUTOS\POLTRONA FIBRA_151327.jpg</v>
      </c>
    </row>
    <row r="834" spans="1:22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42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43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44"/>
        <v>1</v>
      </c>
      <c r="U834" s="10" t="str">
        <f>IFERROR((VLOOKUP(A834,Planilha1!A:B,2,0)),"\\192.168.0.4\Produtos\PRODUTO_PRONTA_ENTREGA\static\IMAGENS_PRODUTOS\SEM IMAGEM.jpg")</f>
        <v>\\192.168.0.4\Produtos\PRODUTO_PRONTA_ENTREGA\static\IMAGENS_PRODUTOS\POLTRONA HAPI_151224.jpg</v>
      </c>
      <c r="V834" t="str">
        <f>IFERROR((VLOOKUP(A834,Planilha1!A:B,2,0)),"\\192.168.0.4\Produtos\PRODUTO_PRONTA_ENTREGA\static\IMAGENS_PRODUTOS\SEM IMAGEM.jpg")</f>
        <v>\\192.168.0.4\Produtos\PRODUTO_PRONTA_ENTREGA\static\IMAGENS_PRODUTOS\POLTRONA HAPI_151224.jpg</v>
      </c>
    </row>
    <row r="835" spans="1:22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45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43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44"/>
        <v>3</v>
      </c>
      <c r="U835" s="10" t="str">
        <f>IFERROR((VLOOKUP(A835,Planilha1!A:B,2,0)),"\\192.168.0.4\Produtos\PRODUTO_PRONTA_ENTREGA\static\IMAGENS_PRODUTOS\SEM IMAGEM.jpg")</f>
        <v>\\192.168.0.4\Produtos\PRODUTO_PRONTA_ENTREGA\static\IMAGENS_PRODUTOS\POLTRONA KORINA_151611.jpg</v>
      </c>
      <c r="V835" t="str">
        <f>IFERROR((VLOOKUP(A835,Planilha1!A:B,2,0)),"\\192.168.0.4\Produtos\PRODUTO_PRONTA_ENTREGA\static\IMAGENS_PRODUTOS\SEM IMAGEM.jpg")</f>
        <v>\\192.168.0.4\Produtos\PRODUTO_PRONTA_ENTREGA\static\IMAGENS_PRODUTOS\POLTRONA KORINA_151611.jpg</v>
      </c>
    </row>
    <row r="836" spans="1:22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45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46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47">SUM(O836:S836)</f>
        <v>1</v>
      </c>
      <c r="U836" s="10" t="str">
        <f>IFERROR((VLOOKUP(A836,Planilha1!A:B,2,0)),"\\192.168.0.4\Produtos\PRODUTO_PRONTA_ENTREGA\static\IMAGENS_PRODUTOS\SEM IMAGEM.jpg")</f>
        <v>\\192.168.0.4\Produtos\PRODUTO_PRONTA_ENTREGA\static\IMAGENS_PRODUTOS\POLTRONA CENA_163878.jpg</v>
      </c>
      <c r="V836" t="str">
        <f>IFERROR((VLOOKUP(A836,Planilha1!A:B,2,0)),"\\192.168.0.4\Produtos\PRODUTO_PRONTA_ENTREGA\static\IMAGENS_PRODUTOS\SEM IMAGEM.jpg")</f>
        <v>\\192.168.0.4\Produtos\PRODUTO_PRONTA_ENTREGA\static\IMAGENS_PRODUTOS\POLTRONA CENA_163878.jpg</v>
      </c>
    </row>
    <row r="837" spans="1:22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45"/>
        <v/>
      </c>
      <c r="L837" s="7" t="str">
        <f>IF(VLOOKUP(A837,'[1]LISTA ETIQUETAS'!O:AB,14,0)="","",(VLOOKUP(A837,'[1]LISTA ETIQUETAS'!O:AB,14,0)))</f>
        <v/>
      </c>
      <c r="M837" s="8"/>
      <c r="N837" s="9">
        <f t="shared" si="46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47"/>
        <v>1</v>
      </c>
      <c r="U837" s="10" t="str">
        <f>IFERROR((VLOOKUP(A837,Planilha1!A:B,2,0)),"\\192.168.0.4\Produtos\PRODUTO_PRONTA_ENTREGA\static\IMAGENS_PRODUTOS\SEM IMAGEM.jpg")</f>
        <v>\\192.168.0.4\Produtos\PRODUTO_PRONTA_ENTREGA\static\IMAGENS_PRODUTOS\POLTRONA NADI_173863.jpg</v>
      </c>
      <c r="V837" t="str">
        <f>IFERROR((VLOOKUP(A837,Planilha1!A:B,2,0)),"\\192.168.0.4\Produtos\PRODUTO_PRONTA_ENTREGA\static\IMAGENS_PRODUTOS\SEM IMAGEM.jpg")</f>
        <v>\\192.168.0.4\Produtos\PRODUTO_PRONTA_ENTREGA\static\IMAGENS_PRODUTOS\POLTRONA NADI_173863.jpg</v>
      </c>
    </row>
    <row r="838" spans="1:22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45"/>
        <v/>
      </c>
      <c r="L838" s="7" t="str">
        <f>IF(VLOOKUP(A838,'[1]LISTA ETIQUETAS'!O:AB,14,0)="","",(VLOOKUP(A838,'[1]LISTA ETIQUETAS'!O:AB,14,0)))</f>
        <v/>
      </c>
      <c r="M838" s="8"/>
      <c r="N838" s="9">
        <f t="shared" si="46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47"/>
        <v>1</v>
      </c>
      <c r="U838" s="10" t="str">
        <f>IFERROR((VLOOKUP(A838,Planilha1!A:B,2,0)),"\\192.168.0.4\Produtos\PRODUTO_PRONTA_ENTREGA\static\IMAGENS_PRODUTOS\SEM IMAGEM.jpg")</f>
        <v>\\192.168.0.4\Produtos\PRODUTO_PRONTA_ENTREGA\static\IMAGENS_PRODUTOS\POLTRONA DORA_176798.jpg</v>
      </c>
      <c r="V838" t="str">
        <f>IFERROR((VLOOKUP(A838,Planilha1!A:B,2,0)),"\\192.168.0.4\Produtos\PRODUTO_PRONTA_ENTREGA\static\IMAGENS_PRODUTOS\SEM IMAGEM.jpg")</f>
        <v>\\192.168.0.4\Produtos\PRODUTO_PRONTA_ENTREGA\static\IMAGENS_PRODUTOS\POLTRONA DORA_176798.jpg</v>
      </c>
    </row>
    <row r="839" spans="1:22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45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46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47"/>
        <v>2</v>
      </c>
      <c r="U839" s="10" t="str">
        <f>IFERROR((VLOOKUP(A839,Planilha1!A:B,2,0)),"\\192.168.0.4\Produtos\PRODUTO_PRONTA_ENTREGA\static\IMAGENS_PRODUTOS\SEM IMAGEM.jpg")</f>
        <v>\\192.168.0.4\Produtos\PRODUTO_PRONTA_ENTREGA\static\IMAGENS_PRODUTOS\POLTRONA PAINEIRAS_182607.jpg</v>
      </c>
      <c r="V839" t="str">
        <f>IFERROR((VLOOKUP(A839,Planilha1!A:B,2,0)),"\\192.168.0.4\Produtos\PRODUTO_PRONTA_ENTREGA\static\IMAGENS_PRODUTOS\SEM IMAGEM.jpg")</f>
        <v>\\192.168.0.4\Produtos\PRODUTO_PRONTA_ENTREGA\static\IMAGENS_PRODUTOS\POLTRONA PAINEIRAS_182607.jpg</v>
      </c>
    </row>
    <row r="840" spans="1:22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45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46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47"/>
        <v>1</v>
      </c>
      <c r="U840" s="10" t="str">
        <f>IFERROR((VLOOKUP(A840,Planilha1!A:B,2,0)),"\\192.168.0.4\Produtos\PRODUTO_PRONTA_ENTREGA\static\IMAGENS_PRODUTOS\SEM IMAGEM.jpg")</f>
        <v>\\192.168.0.4\Produtos\PRODUTO_PRONTA_ENTREGA\static\IMAGENS_PRODUTOS\POLTRONA NANA_178083.jpg</v>
      </c>
      <c r="V840" t="str">
        <f>IFERROR((VLOOKUP(A840,Planilha1!A:B,2,0)),"\\192.168.0.4\Produtos\PRODUTO_PRONTA_ENTREGA\static\IMAGENS_PRODUTOS\SEM IMAGEM.jpg")</f>
        <v>\\192.168.0.4\Produtos\PRODUTO_PRONTA_ENTREGA\static\IMAGENS_PRODUTOS\POLTRONA NANA_178083.jpg</v>
      </c>
    </row>
    <row r="841" spans="1:22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45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46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47"/>
        <v>2</v>
      </c>
      <c r="U841" s="10" t="str">
        <f>IFERROR((VLOOKUP(A841,Planilha1!A:B,2,0)),"\\192.168.0.4\Produtos\PRODUTO_PRONTA_ENTREGA\static\IMAGENS_PRODUTOS\SEM IMAGEM.jpg")</f>
        <v>\\192.168.0.4\Produtos\PRODUTO_PRONTA_ENTREGA\static\IMAGENS_PRODUTOS\POLTRONA FLEX_179149.jpg</v>
      </c>
      <c r="V841" t="str">
        <f>IFERROR((VLOOKUP(A841,Planilha1!A:B,2,0)),"\\192.168.0.4\Produtos\PRODUTO_PRONTA_ENTREGA\static\IMAGENS_PRODUTOS\SEM IMAGEM.jpg")</f>
        <v>\\192.168.0.4\Produtos\PRODUTO_PRONTA_ENTREGA\static\IMAGENS_PRODUTOS\POLTRONA FLEX_179149.jpg</v>
      </c>
    </row>
    <row r="842" spans="1:22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45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46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47"/>
        <v>2</v>
      </c>
      <c r="U842" s="10" t="str">
        <f>IFERROR((VLOOKUP(A842,Planilha1!A:B,2,0)),"\\192.168.0.4\Produtos\PRODUTO_PRONTA_ENTREGA\static\IMAGENS_PRODUTOS\SEM IMAGEM.jpg")</f>
        <v>\\192.168.0.4\Produtos\PRODUTO_PRONTA_ENTREGA\static\IMAGENS_PRODUTOS\POLTRONA CUBO ECO_178920.jpg</v>
      </c>
      <c r="V842" t="str">
        <f>IFERROR((VLOOKUP(A842,Planilha1!A:B,2,0)),"\\192.168.0.4\Produtos\PRODUTO_PRONTA_ENTREGA\static\IMAGENS_PRODUTOS\SEM IMAGEM.jpg")</f>
        <v>\\192.168.0.4\Produtos\PRODUTO_PRONTA_ENTREGA\static\IMAGENS_PRODUTOS\POLTRONA CUBO ECO_178920.jpg</v>
      </c>
    </row>
    <row r="843" spans="1:22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45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46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47"/>
        <v>2</v>
      </c>
      <c r="U843" s="10" t="str">
        <f>IFERROR((VLOOKUP(A843,Planilha1!A:B,2,0)),"\\192.168.0.4\Produtos\PRODUTO_PRONTA_ENTREGA\static\IMAGENS_PRODUTOS\SEM IMAGEM.jpg")</f>
        <v>\\192.168.0.4\Produtos\PRODUTO_PRONTA_ENTREGA\static\IMAGENS_PRODUTOS\POLTRONA COOL_174976.jpg</v>
      </c>
      <c r="V843" t="str">
        <f>IFERROR((VLOOKUP(A843,Planilha1!A:B,2,0)),"\\192.168.0.4\Produtos\PRODUTO_PRONTA_ENTREGA\static\IMAGENS_PRODUTOS\SEM IMAGEM.jpg")</f>
        <v>\\192.168.0.4\Produtos\PRODUTO_PRONTA_ENTREGA\static\IMAGENS_PRODUTOS\POLTRONA COOL_174976.jpg</v>
      </c>
    </row>
    <row r="844" spans="1:22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45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46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47"/>
        <v>1</v>
      </c>
      <c r="U844" s="10" t="str">
        <f>IFERROR((VLOOKUP(A844,Planilha1!A:B,2,0)),"\\192.168.0.4\Produtos\PRODUTO_PRONTA_ENTREGA\static\IMAGENS_PRODUTOS\SEM IMAGEM.jpg")</f>
        <v>\\192.168.0.4\Produtos\PRODUTO_PRONTA_ENTREGA\static\IMAGENS_PRODUTOS\POLTRONA ACCOR_164393.jpg</v>
      </c>
      <c r="V844" t="str">
        <f>IFERROR((VLOOKUP(A844,Planilha1!A:B,2,0)),"\\192.168.0.4\Produtos\PRODUTO_PRONTA_ENTREGA\static\IMAGENS_PRODUTOS\SEM IMAGEM.jpg")</f>
        <v>\\192.168.0.4\Produtos\PRODUTO_PRONTA_ENTREGA\static\IMAGENS_PRODUTOS\POLTRONA ACCOR_164393.jpg</v>
      </c>
    </row>
    <row r="845" spans="1:22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45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46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47"/>
        <v>1</v>
      </c>
      <c r="U845" s="10" t="str">
        <f>IFERROR((VLOOKUP(A845,Planilha1!A:B,2,0)),"\\192.168.0.4\Produtos\PRODUTO_PRONTA_ENTREGA\static\IMAGENS_PRODUTOS\SEM IMAGEM.jpg")</f>
        <v>\\192.168.0.4\Produtos\PRODUTO_PRONTA_ENTREGA\static\IMAGENS_PRODUTOS\POLTRONA DORA_157358.jpg</v>
      </c>
      <c r="V845" t="str">
        <f>IFERROR((VLOOKUP(A845,Planilha1!A:B,2,0)),"\\192.168.0.4\Produtos\PRODUTO_PRONTA_ENTREGA\static\IMAGENS_PRODUTOS\SEM IMAGEM.jpg")</f>
        <v>\\192.168.0.4\Produtos\PRODUTO_PRONTA_ENTREGA\static\IMAGENS_PRODUTOS\POLTRONA DORA_157358.jpg</v>
      </c>
    </row>
    <row r="846" spans="1:22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45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46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47"/>
        <v>1</v>
      </c>
      <c r="U846" s="10" t="str">
        <f>IFERROR((VLOOKUP(A846,Planilha1!A:B,2,0)),"\\192.168.0.4\Produtos\PRODUTO_PRONTA_ENTREGA\static\IMAGENS_PRODUTOS\SEM IMAGEM.jpg")</f>
        <v>\\192.168.0.4\Produtos\PRODUTO_PRONTA_ENTREGA\static\IMAGENS_PRODUTOS\POLTRONA PAETA_203130.jpg</v>
      </c>
      <c r="V846" t="str">
        <f>IFERROR((VLOOKUP(A846,Planilha1!A:B,2,0)),"\\192.168.0.4\Produtos\PRODUTO_PRONTA_ENTREGA\static\IMAGENS_PRODUTOS\SEM IMAGEM.jpg")</f>
        <v>\\192.168.0.4\Produtos\PRODUTO_PRONTA_ENTREGA\static\IMAGENS_PRODUTOS\POLTRONA PAETA_203130.jpg</v>
      </c>
    </row>
    <row r="847" spans="1:22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45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46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47"/>
        <v>1</v>
      </c>
      <c r="U847" s="10" t="str">
        <f>IFERROR((VLOOKUP(A847,Planilha1!A:B,2,0)),"\\192.168.0.4\Produtos\PRODUTO_PRONTA_ENTREGA\static\IMAGENS_PRODUTOS\SEM IMAGEM.jpg")</f>
        <v>\\192.168.0.4\Produtos\PRODUTO_PRONTA_ENTREGA\static\IMAGENS_PRODUTOS\POLTRONA VOGUE_203139.jpg</v>
      </c>
      <c r="V847" t="str">
        <f>IFERROR((VLOOKUP(A847,Planilha1!A:B,2,0)),"\\192.168.0.4\Produtos\PRODUTO_PRONTA_ENTREGA\static\IMAGENS_PRODUTOS\SEM IMAGEM.jpg")</f>
        <v>\\192.168.0.4\Produtos\PRODUTO_PRONTA_ENTREGA\static\IMAGENS_PRODUTOS\POLTRONA VOGUE_203139.jpg</v>
      </c>
    </row>
    <row r="848" spans="1:22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45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46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47"/>
        <v>1</v>
      </c>
      <c r="U848" s="10" t="str">
        <f>IFERROR((VLOOKUP(A848,Planilha1!A:B,2,0)),"\\192.168.0.4\Produtos\PRODUTO_PRONTA_ENTREGA\static\IMAGENS_PRODUTOS\SEM IMAGEM.jpg")</f>
        <v>\\192.168.0.4\Produtos\PRODUTO_PRONTA_ENTREGA\static\IMAGENS_PRODUTOS\POLTRONA DONNA_201241.jpg</v>
      </c>
      <c r="V848" t="str">
        <f>IFERROR((VLOOKUP(A848,Planilha1!A:B,2,0)),"\\192.168.0.4\Produtos\PRODUTO_PRONTA_ENTREGA\static\IMAGENS_PRODUTOS\SEM IMAGEM.jpg")</f>
        <v>\\192.168.0.4\Produtos\PRODUTO_PRONTA_ENTREGA\static\IMAGENS_PRODUTOS\POLTRONA DONNA_201241.jpg</v>
      </c>
    </row>
    <row r="849" spans="1:22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45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46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47"/>
        <v>1</v>
      </c>
      <c r="U849" s="10" t="str">
        <f>IFERROR((VLOOKUP(A849,Planilha1!A:B,2,0)),"\\192.168.0.4\Produtos\PRODUTO_PRONTA_ENTREGA\static\IMAGENS_PRODUTOS\SEM IMAGEM.jpg")</f>
        <v>\\192.168.0.4\Produtos\PRODUTO_PRONTA_ENTREGA\static\IMAGENS_PRODUTOS\POLTRONA EIXO_196058.jpg</v>
      </c>
      <c r="V849" t="str">
        <f>IFERROR((VLOOKUP(A849,Planilha1!A:B,2,0)),"\\192.168.0.4\Produtos\PRODUTO_PRONTA_ENTREGA\static\IMAGENS_PRODUTOS\SEM IMAGEM.jpg")</f>
        <v>\\192.168.0.4\Produtos\PRODUTO_PRONTA_ENTREGA\static\IMAGENS_PRODUTOS\POLTRONA EIXO_196058.jpg</v>
      </c>
    </row>
    <row r="850" spans="1:22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45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46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47"/>
        <v>2</v>
      </c>
      <c r="U850" s="10" t="str">
        <f>IFERROR((VLOOKUP(A850,Planilha1!A:B,2,0)),"\\192.168.0.4\Produtos\PRODUTO_PRONTA_ENTREGA\static\IMAGENS_PRODUTOS\SEM IMAGEM.jpg")</f>
        <v>\\192.168.0.4\Produtos\PRODUTO_PRONTA_ENTREGA\static\IMAGENS_PRODUTOS\POLTRONA FLY_196059.jpg</v>
      </c>
      <c r="V850" t="str">
        <f>IFERROR((VLOOKUP(A850,Planilha1!A:B,2,0)),"\\192.168.0.4\Produtos\PRODUTO_PRONTA_ENTREGA\static\IMAGENS_PRODUTOS\SEM IMAGEM.jpg")</f>
        <v>\\192.168.0.4\Produtos\PRODUTO_PRONTA_ENTREGA\static\IMAGENS_PRODUTOS\POLTRONA FLY_196059.jpg</v>
      </c>
    </row>
    <row r="851" spans="1:22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45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46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47"/>
        <v>1</v>
      </c>
      <c r="U851" s="10" t="str">
        <f>IFERROR((VLOOKUP(A851,Planilha1!A:B,2,0)),"\\192.168.0.4\Produtos\PRODUTO_PRONTA_ENTREGA\static\IMAGENS_PRODUTOS\SEM IMAGEM.jpg")</f>
        <v>\\192.168.0.4\Produtos\PRODUTO_PRONTA_ENTREGA\static\IMAGENS_PRODUTOS\POLTRONA LIVEA_186330.jpg</v>
      </c>
      <c r="V851" t="str">
        <f>IFERROR((VLOOKUP(A851,Planilha1!A:B,2,0)),"\\192.168.0.4\Produtos\PRODUTO_PRONTA_ENTREGA\static\IMAGENS_PRODUTOS\SEM IMAGEM.jpg")</f>
        <v>\\192.168.0.4\Produtos\PRODUTO_PRONTA_ENTREGA\static\IMAGENS_PRODUTOS\POLTRONA LIVEA_186330.jpg</v>
      </c>
    </row>
    <row r="852" spans="1:22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45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46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47"/>
        <v>1</v>
      </c>
      <c r="U852" s="10" t="str">
        <f>IFERROR((VLOOKUP(A852,Planilha1!A:B,2,0)),"\\192.168.0.4\Produtos\PRODUTO_PRONTA_ENTREGA\static\IMAGENS_PRODUTOS\SEM IMAGEM.jpg")</f>
        <v>\\192.168.0.4\Produtos\PRODUTO_PRONTA_ENTREGA\static\IMAGENS_PRODUTOS\POLTRONA CUBO ECO_190129.jpg</v>
      </c>
      <c r="V852" t="str">
        <f>IFERROR((VLOOKUP(A852,Planilha1!A:B,2,0)),"\\192.168.0.4\Produtos\PRODUTO_PRONTA_ENTREGA\static\IMAGENS_PRODUTOS\SEM IMAGEM.jpg")</f>
        <v>\\192.168.0.4\Produtos\PRODUTO_PRONTA_ENTREGA\static\IMAGENS_PRODUTOS\POLTRONA CUBO ECO_190129.jpg</v>
      </c>
    </row>
    <row r="853" spans="1:22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45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46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47"/>
        <v>1</v>
      </c>
      <c r="U853" s="10" t="str">
        <f>IFERROR((VLOOKUP(A853,Planilha1!A:B,2,0)),"\\192.168.0.4\Produtos\PRODUTO_PRONTA_ENTREGA\static\IMAGENS_PRODUTOS\SEM IMAGEM.jpg")</f>
        <v>\\192.168.0.4\Produtos\PRODUTO_PRONTA_ENTREGA\static\IMAGENS_PRODUTOS\POLTRONA CAPITU_187162.jpg</v>
      </c>
      <c r="V853" t="str">
        <f>IFERROR((VLOOKUP(A853,Planilha1!A:B,2,0)),"\\192.168.0.4\Produtos\PRODUTO_PRONTA_ENTREGA\static\IMAGENS_PRODUTOS\SEM IMAGEM.jpg")</f>
        <v>\\192.168.0.4\Produtos\PRODUTO_PRONTA_ENTREGA\static\IMAGENS_PRODUTOS\POLTRONA CAPITU_187162.jpg</v>
      </c>
    </row>
    <row r="854" spans="1:22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45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46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47"/>
        <v>1</v>
      </c>
      <c r="U854" s="10" t="str">
        <f>IFERROR((VLOOKUP(A854,Planilha1!A:B,2,0)),"\\192.168.0.4\Produtos\PRODUTO_PRONTA_ENTREGA\static\IMAGENS_PRODUTOS\SEM IMAGEM.jpg")</f>
        <v>\\192.168.0.4\Produtos\PRODUTO_PRONTA_ENTREGA\static\IMAGENS_PRODUTOS\POLTRONA DIONE_191066.jpg</v>
      </c>
      <c r="V854" t="str">
        <f>IFERROR((VLOOKUP(A854,Planilha1!A:B,2,0)),"\\192.168.0.4\Produtos\PRODUTO_PRONTA_ENTREGA\static\IMAGENS_PRODUTOS\SEM IMAGEM.jpg")</f>
        <v>\\192.168.0.4\Produtos\PRODUTO_PRONTA_ENTREGA\static\IMAGENS_PRODUTOS\POLTRONA DIONE_191066.jpg</v>
      </c>
    </row>
    <row r="855" spans="1:22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45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46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47"/>
        <v>1</v>
      </c>
      <c r="U855" s="10" t="str">
        <f>IFERROR((VLOOKUP(A855,Planilha1!A:B,2,0)),"\\192.168.0.4\Produtos\PRODUTO_PRONTA_ENTREGA\static\IMAGENS_PRODUTOS\SEM IMAGEM.jpg")</f>
        <v>\\192.168.0.4\Produtos\PRODUTO_PRONTA_ENTREGA\static\IMAGENS_PRODUTOS\POLTRONA DORA_206955.jpg</v>
      </c>
      <c r="V855" t="str">
        <f>IFERROR((VLOOKUP(A855,Planilha1!A:B,2,0)),"\\192.168.0.4\Produtos\PRODUTO_PRONTA_ENTREGA\static\IMAGENS_PRODUTOS\SEM IMAGEM.jpg")</f>
        <v>\\192.168.0.4\Produtos\PRODUTO_PRONTA_ENTREGA\static\IMAGENS_PRODUTOS\POLTRONA DORA_206955.jpg</v>
      </c>
    </row>
    <row r="856" spans="1:22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45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46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47"/>
        <v>1</v>
      </c>
      <c r="U856" s="10" t="str">
        <f>IFERROR((VLOOKUP(A856,Planilha1!A:B,2,0)),"\\192.168.0.4\Produtos\PRODUTO_PRONTA_ENTREGA\static\IMAGENS_PRODUTOS\SEM IMAGEM.jpg")</f>
        <v>\\192.168.0.4\Produtos\PRODUTO_PRONTA_ENTREGA\static\IMAGENS_PRODUTOS\SEM IMAGEM.jpg</v>
      </c>
      <c r="V856" t="str">
        <f>IFERROR((VLOOKUP(A856,Planilha1!A:B,2,0)),"\\192.168.0.4\Produtos\PRODUTO_PRONTA_ENTREGA\static\IMAGENS_PRODUTOS\SEM IMAGEM.jpg")</f>
        <v>\\192.168.0.4\Produtos\PRODUTO_PRONTA_ENTREGA\static\IMAGENS_PRODUTOS\SEM IMAGEM.jpg</v>
      </c>
    </row>
    <row r="857" spans="1:22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45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46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47"/>
        <v>2</v>
      </c>
      <c r="U857" s="10" t="str">
        <f>IFERROR((VLOOKUP(A857,Planilha1!A:B,2,0)),"\\192.168.0.4\Produtos\PRODUTO_PRONTA_ENTREGA\static\IMAGENS_PRODUTOS\SEM IMAGEM.jpg")</f>
        <v>\\192.168.0.4\Produtos\PRODUTO_PRONTA_ENTREGA\static\IMAGENS_PRODUTOS\POLTRONA IRIS_210383.jpg</v>
      </c>
      <c r="V857" t="str">
        <f>IFERROR((VLOOKUP(A857,Planilha1!A:B,2,0)),"\\192.168.0.4\Produtos\PRODUTO_PRONTA_ENTREGA\static\IMAGENS_PRODUTOS\SEM IMAGEM.jpg")</f>
        <v>\\192.168.0.4\Produtos\PRODUTO_PRONTA_ENTREGA\static\IMAGENS_PRODUTOS\POLTRONA IRIS_210383.jpg</v>
      </c>
    </row>
    <row r="858" spans="1:22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45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46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47"/>
        <v>2</v>
      </c>
      <c r="U858" s="10" t="str">
        <f>IFERROR((VLOOKUP(A858,Planilha1!A:B,2,0)),"\\192.168.0.4\Produtos\PRODUTO_PRONTA_ENTREGA\static\IMAGENS_PRODUTOS\SEM IMAGEM.jpg")</f>
        <v>\\192.168.0.4\Produtos\PRODUTO_PRONTA_ENTREGA\static\IMAGENS_PRODUTOS\POLTRONA CUSCO_210392.jpg</v>
      </c>
      <c r="V858" t="str">
        <f>IFERROR((VLOOKUP(A858,Planilha1!A:B,2,0)),"\\192.168.0.4\Produtos\PRODUTO_PRONTA_ENTREGA\static\IMAGENS_PRODUTOS\SEM IMAGEM.jpg")</f>
        <v>\\192.168.0.4\Produtos\PRODUTO_PRONTA_ENTREGA\static\IMAGENS_PRODUTOS\POLTRONA CUSCO_210392.jpg</v>
      </c>
    </row>
    <row r="859" spans="1:22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45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46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47"/>
        <v>1</v>
      </c>
      <c r="U859" s="10" t="str">
        <f>IFERROR((VLOOKUP(A859,Planilha1!A:B,2,0)),"\\192.168.0.4\Produtos\PRODUTO_PRONTA_ENTREGA\static\IMAGENS_PRODUTOS\SEM IMAGEM.jpg")</f>
        <v>\\192.168.0.4\Produtos\PRODUTO_PRONTA_ENTREGA\static\IMAGENS_PRODUTOS\POLTRONA DIX_223340.jpg</v>
      </c>
      <c r="V859" t="str">
        <f>IFERROR((VLOOKUP(A859,Planilha1!A:B,2,0)),"\\192.168.0.4\Produtos\PRODUTO_PRONTA_ENTREGA\static\IMAGENS_PRODUTOS\SEM IMAGEM.jpg")</f>
        <v>\\192.168.0.4\Produtos\PRODUTO_PRONTA_ENTREGA\static\IMAGENS_PRODUTOS\POLTRONA DIX_223340.jpg</v>
      </c>
    </row>
    <row r="860" spans="1:22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45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46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47"/>
        <v>2</v>
      </c>
      <c r="U860" s="10" t="str">
        <f>IFERROR((VLOOKUP(A860,Planilha1!A:B,2,0)),"\\192.168.0.4\Produtos\PRODUTO_PRONTA_ENTREGA\static\IMAGENS_PRODUTOS\SEM IMAGEM.jpg")</f>
        <v>\\192.168.0.4\Produtos\PRODUTO_PRONTA_ENTREGA\static\IMAGENS_PRODUTOS\POLTRONA DORA_223331.jpg</v>
      </c>
      <c r="V860" t="str">
        <f>IFERROR((VLOOKUP(A860,Planilha1!A:B,2,0)),"\\192.168.0.4\Produtos\PRODUTO_PRONTA_ENTREGA\static\IMAGENS_PRODUTOS\SEM IMAGEM.jpg")</f>
        <v>\\192.168.0.4\Produtos\PRODUTO_PRONTA_ENTREGA\static\IMAGENS_PRODUTOS\POLTRONA DORA_223331.jpg</v>
      </c>
    </row>
    <row r="861" spans="1:22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45"/>
        <v/>
      </c>
      <c r="L861" s="7" t="str">
        <f>IF(VLOOKUP(A861,'[1]LISTA ETIQUETAS'!O:AB,14,0)="","",(VLOOKUP(A861,'[1]LISTA ETIQUETAS'!O:AB,14,0)))</f>
        <v/>
      </c>
      <c r="M861" s="8"/>
      <c r="N861" s="9">
        <f t="shared" si="46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47"/>
        <v>1</v>
      </c>
      <c r="U861" s="10" t="str">
        <f>IFERROR((VLOOKUP(A861,Planilha1!A:B,2,0)),"\\192.168.0.4\Produtos\PRODUTO_PRONTA_ENTREGA\static\IMAGENS_PRODUTOS\SEM IMAGEM.jpg")</f>
        <v>\\192.168.0.4\Produtos\PRODUTO_PRONTA_ENTREGA\static\IMAGENS_PRODUTOS\POLTRONA_BANQUETA 150_248944.jpg</v>
      </c>
      <c r="V861" t="str">
        <f>IFERROR((VLOOKUP(A861,Planilha1!A:B,2,0)),"\\192.168.0.4\Produtos\PRODUTO_PRONTA_ENTREGA\static\IMAGENS_PRODUTOS\SEM IMAGEM.jpg")</f>
        <v>\\192.168.0.4\Produtos\PRODUTO_PRONTA_ENTREGA\static\IMAGENS_PRODUTOS\POLTRONA_BANQUETA 150_248944.jpg</v>
      </c>
    </row>
    <row r="862" spans="1:22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45"/>
        <v/>
      </c>
      <c r="L862" s="7" t="str">
        <f>IF(VLOOKUP(A862,'[1]LISTA ETIQUETAS'!O:AB,14,0)="","",(VLOOKUP(A862,'[1]LISTA ETIQUETAS'!O:AB,14,0)))</f>
        <v/>
      </c>
      <c r="M862" s="8"/>
      <c r="N862" s="9">
        <f t="shared" si="46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47"/>
        <v>1</v>
      </c>
      <c r="U862" s="10" t="str">
        <f>IFERROR((VLOOKUP(A862,Planilha1!A:B,2,0)),"\\192.168.0.4\Produtos\PRODUTO_PRONTA_ENTREGA\static\IMAGENS_PRODUTOS\SEM IMAGEM.jpg")</f>
        <v>\\192.168.0.4\Produtos\PRODUTO_PRONTA_ENTREGA\static\IMAGENS_PRODUTOS\POLTRONA MOON_233539.jpg</v>
      </c>
      <c r="V862" t="str">
        <f>IFERROR((VLOOKUP(A862,Planilha1!A:B,2,0)),"\\192.168.0.4\Produtos\PRODUTO_PRONTA_ENTREGA\static\IMAGENS_PRODUTOS\SEM IMAGEM.jpg")</f>
        <v>\\192.168.0.4\Produtos\PRODUTO_PRONTA_ENTREGA\static\IMAGENS_PRODUTOS\POLTRONA MOON_233539.jpg</v>
      </c>
    </row>
    <row r="863" spans="1:22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45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46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47"/>
        <v>2</v>
      </c>
      <c r="U863" s="10" t="str">
        <f>IFERROR((VLOOKUP(A863,Planilha1!A:B,2,0)),"\\192.168.0.4\Produtos\PRODUTO_PRONTA_ENTREGA\static\IMAGENS_PRODUTOS\SEM IMAGEM.jpg")</f>
        <v>\\192.168.0.4\Produtos\PRODUTO_PRONTA_ENTREGA\static\IMAGENS_PRODUTOS\POLTRONA EOS_253546.jpg</v>
      </c>
      <c r="V863" t="str">
        <f>IFERROR((VLOOKUP(A863,Planilha1!A:B,2,0)),"\\192.168.0.4\Produtos\PRODUTO_PRONTA_ENTREGA\static\IMAGENS_PRODUTOS\SEM IMAGEM.jpg")</f>
        <v>\\192.168.0.4\Produtos\PRODUTO_PRONTA_ENTREGA\static\IMAGENS_PRODUTOS\POLTRONA EOS_253546.jpg</v>
      </c>
    </row>
    <row r="864" spans="1:22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45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46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47"/>
        <v>4</v>
      </c>
      <c r="U864" s="10" t="str">
        <f>IFERROR((VLOOKUP(A864,Planilha1!A:B,2,0)),"\\192.168.0.4\Produtos\PRODUTO_PRONTA_ENTREGA\static\IMAGENS_PRODUTOS\SEM IMAGEM.jpg")</f>
        <v>\\192.168.0.4\Produtos\PRODUTO_PRONTA_ENTREGA\static\IMAGENS_PRODUTOS\POLTRONA LUNA_252101.jpg</v>
      </c>
      <c r="V864" t="str">
        <f>IFERROR((VLOOKUP(A864,Planilha1!A:B,2,0)),"\\192.168.0.4\Produtos\PRODUTO_PRONTA_ENTREGA\static\IMAGENS_PRODUTOS\SEM IMAGEM.jpg")</f>
        <v>\\192.168.0.4\Produtos\PRODUTO_PRONTA_ENTREGA\static\IMAGENS_PRODUTOS\POLTRONA LUNA_252101.jpg</v>
      </c>
    </row>
    <row r="865" spans="1:22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45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46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47"/>
        <v>2</v>
      </c>
      <c r="U865" s="10" t="str">
        <f>IFERROR((VLOOKUP(A865,Planilha1!A:B,2,0)),"\\192.168.0.4\Produtos\PRODUTO_PRONTA_ENTREGA\static\IMAGENS_PRODUTOS\SEM IMAGEM.jpg")</f>
        <v>\\192.168.0.4\Produtos\PRODUTO_PRONTA_ENTREGA\static\IMAGENS_PRODUTOS\POLTRONA LUNA_252100.jpg</v>
      </c>
      <c r="V865" t="str">
        <f>IFERROR((VLOOKUP(A865,Planilha1!A:B,2,0)),"\\192.168.0.4\Produtos\PRODUTO_PRONTA_ENTREGA\static\IMAGENS_PRODUTOS\SEM IMAGEM.jpg")</f>
        <v>\\192.168.0.4\Produtos\PRODUTO_PRONTA_ENTREGA\static\IMAGENS_PRODUTOS\POLTRONA LUNA_252100.jpg</v>
      </c>
    </row>
    <row r="866" spans="1:22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45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46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47"/>
        <v>1</v>
      </c>
      <c r="U866" s="10" t="str">
        <f>IFERROR((VLOOKUP(A866,Planilha1!A:B,2,0)),"\\192.168.0.4\Produtos\PRODUTO_PRONTA_ENTREGA\static\IMAGENS_PRODUTOS\SEM IMAGEM.jpg")</f>
        <v>\\192.168.0.4\Produtos\PRODUTO_PRONTA_ENTREGA\static\IMAGENS_PRODUTOS\POLTRONA COLLANA GIR_250021.jpg</v>
      </c>
      <c r="V866" t="str">
        <f>IFERROR((VLOOKUP(A866,Planilha1!A:B,2,0)),"\\192.168.0.4\Produtos\PRODUTO_PRONTA_ENTREGA\static\IMAGENS_PRODUTOS\SEM IMAGEM.jpg")</f>
        <v>\\192.168.0.4\Produtos\PRODUTO_PRONTA_ENTREGA\static\IMAGENS_PRODUTOS\POLTRONA COLLANA GIR_250021.jpg</v>
      </c>
    </row>
    <row r="867" spans="1:22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45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46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47"/>
        <v>2</v>
      </c>
      <c r="U867" s="10" t="str">
        <f>IFERROR((VLOOKUP(A867,Planilha1!A:B,2,0)),"\\192.168.0.4\Produtos\PRODUTO_PRONTA_ENTREGA\static\IMAGENS_PRODUTOS\SEM IMAGEM.jpg")</f>
        <v>\\192.168.0.4\Produtos\PRODUTO_PRONTA_ENTREGA\static\IMAGENS_PRODUTOS\POLTRONA MENTARI_151504.jpg</v>
      </c>
      <c r="V867" t="str">
        <f>IFERROR((VLOOKUP(A867,Planilha1!A:B,2,0)),"\\192.168.0.4\Produtos\PRODUTO_PRONTA_ENTREGA\static\IMAGENS_PRODUTOS\SEM IMAGEM.jpg")</f>
        <v>\\192.168.0.4\Produtos\PRODUTO_PRONTA_ENTREGA\static\IMAGENS_PRODUTOS\POLTRONA MENTARI_151504.jpg</v>
      </c>
    </row>
    <row r="868" spans="1:22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45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46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47"/>
        <v>2</v>
      </c>
      <c r="U868" s="10" t="str">
        <f>IFERROR((VLOOKUP(A868,Planilha1!A:B,2,0)),"\\192.168.0.4\Produtos\PRODUTO_PRONTA_ENTREGA\static\IMAGENS_PRODUTOS\SEM IMAGEM.jpg")</f>
        <v>\\192.168.0.4\Produtos\PRODUTO_PRONTA_ENTREGA\static\IMAGENS_PRODUTOS\POLTRONA ABAS_232131.jpg</v>
      </c>
      <c r="V868" t="str">
        <f>IFERROR((VLOOKUP(A868,Planilha1!A:B,2,0)),"\\192.168.0.4\Produtos\PRODUTO_PRONTA_ENTREGA\static\IMAGENS_PRODUTOS\SEM IMAGEM.jpg")</f>
        <v>\\192.168.0.4\Produtos\PRODUTO_PRONTA_ENTREGA\static\IMAGENS_PRODUTOS\POLTRONA ABAS_232131.jpg</v>
      </c>
    </row>
    <row r="869" spans="1:22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45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46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47"/>
        <v>1</v>
      </c>
      <c r="U869" s="10" t="str">
        <f>IFERROR((VLOOKUP(A869,Planilha1!A:B,2,0)),"\\192.168.0.4\Produtos\PRODUTO_PRONTA_ENTREGA\static\IMAGENS_PRODUTOS\SEM IMAGEM.jpg")</f>
        <v>\\192.168.0.4\Produtos\PRODUTO_PRONTA_ENTREGA\static\IMAGENS_PRODUTOS\POLTRONA SOHO_221623.jpg</v>
      </c>
      <c r="V869" t="str">
        <f>IFERROR((VLOOKUP(A869,Planilha1!A:B,2,0)),"\\192.168.0.4\Produtos\PRODUTO_PRONTA_ENTREGA\static\IMAGENS_PRODUTOS\SEM IMAGEM.jpg")</f>
        <v>\\192.168.0.4\Produtos\PRODUTO_PRONTA_ENTREGA\static\IMAGENS_PRODUTOS\POLTRONA SOHO_221623.jpg</v>
      </c>
    </row>
    <row r="870" spans="1:22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45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46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47"/>
        <v>1</v>
      </c>
      <c r="U870" s="10" t="str">
        <f>IFERROR((VLOOKUP(A870,Planilha1!A:B,2,0)),"\\192.168.0.4\Produtos\PRODUTO_PRONTA_ENTREGA\static\IMAGENS_PRODUTOS\SEM IMAGEM.jpg")</f>
        <v>\\192.168.0.4\Produtos\PRODUTO_PRONTA_ENTREGA\static\IMAGENS_PRODUTOS\POLTRONA PIAF_270723.jpg</v>
      </c>
      <c r="V870" t="str">
        <f>IFERROR((VLOOKUP(A870,Planilha1!A:B,2,0)),"\\192.168.0.4\Produtos\PRODUTO_PRONTA_ENTREGA\static\IMAGENS_PRODUTOS\SEM IMAGEM.jpg")</f>
        <v>\\192.168.0.4\Produtos\PRODUTO_PRONTA_ENTREGA\static\IMAGENS_PRODUTOS\POLTRONA PIAF_270723.jpg</v>
      </c>
    </row>
    <row r="871" spans="1:22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45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46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47"/>
        <v>1</v>
      </c>
      <c r="U871" s="10" t="str">
        <f>IFERROR((VLOOKUP(A871,Planilha1!A:B,2,0)),"\\192.168.0.4\Produtos\PRODUTO_PRONTA_ENTREGA\static\IMAGENS_PRODUTOS\SEM IMAGEM.jpg")</f>
        <v>\\192.168.0.4\Produtos\PRODUTO_PRONTA_ENTREGA\static\IMAGENS_PRODUTOS\POLTRONA LEYVA_270701.jpg</v>
      </c>
      <c r="V871" t="str">
        <f>IFERROR((VLOOKUP(A871,Planilha1!A:B,2,0)),"\\192.168.0.4\Produtos\PRODUTO_PRONTA_ENTREGA\static\IMAGENS_PRODUTOS\SEM IMAGEM.jpg")</f>
        <v>\\192.168.0.4\Produtos\PRODUTO_PRONTA_ENTREGA\static\IMAGENS_PRODUTOS\POLTRONA LEYVA_270701.jpg</v>
      </c>
    </row>
    <row r="872" spans="1:22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45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46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47"/>
        <v>4</v>
      </c>
      <c r="U872" s="10" t="str">
        <f>IFERROR((VLOOKUP(A872,Planilha1!A:B,2,0)),"\\192.168.0.4\Produtos\PRODUTO_PRONTA_ENTREGA\static\IMAGENS_PRODUTOS\SEM IMAGEM.jpg")</f>
        <v>\\192.168.0.4\Produtos\PRODUTO_PRONTA_ENTREGA\static\IMAGENS_PRODUTOS\POLTRONA APOLLO_270480.jpg</v>
      </c>
      <c r="V872" t="str">
        <f>IFERROR((VLOOKUP(A872,Planilha1!A:B,2,0)),"\\192.168.0.4\Produtos\PRODUTO_PRONTA_ENTREGA\static\IMAGENS_PRODUTOS\SEM IMAGEM.jpg")</f>
        <v>\\192.168.0.4\Produtos\PRODUTO_PRONTA_ENTREGA\static\IMAGENS_PRODUTOS\POLTRONA APOLLO_270480.jpg</v>
      </c>
    </row>
    <row r="873" spans="1:22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45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46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47"/>
        <v>1</v>
      </c>
      <c r="U873" s="10" t="str">
        <f>IFERROR((VLOOKUP(A873,Planilha1!A:B,2,0)),"\\192.168.0.4\Produtos\PRODUTO_PRONTA_ENTREGA\static\IMAGENS_PRODUTOS\SEM IMAGEM.jpg")</f>
        <v>\\192.168.0.4\Produtos\PRODUTO_PRONTA_ENTREGA\static\IMAGENS_PRODUTOS\POLTRONA AMBURANA_270599.jpg</v>
      </c>
      <c r="V873" t="str">
        <f>IFERROR((VLOOKUP(A873,Planilha1!A:B,2,0)),"\\192.168.0.4\Produtos\PRODUTO_PRONTA_ENTREGA\static\IMAGENS_PRODUTOS\SEM IMAGEM.jpg")</f>
        <v>\\192.168.0.4\Produtos\PRODUTO_PRONTA_ENTREGA\static\IMAGENS_PRODUTOS\POLTRONA AMBURANA_270599.jpg</v>
      </c>
    </row>
    <row r="874" spans="1:22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45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46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2</v>
      </c>
      <c r="T874" s="9">
        <f t="shared" si="47"/>
        <v>2</v>
      </c>
      <c r="U874" s="10" t="str">
        <f>IFERROR((VLOOKUP(A874,Planilha1!A:B,2,0)),"\\192.168.0.4\Produtos\PRODUTO_PRONTA_ENTREGA\static\IMAGENS_PRODUTOS\SEM IMAGEM.jpg")</f>
        <v>\\192.168.0.4\Produtos\PRODUTO_PRONTA_ENTREGA\static\IMAGENS_PRODUTOS\POLTRONA MARTHA_257362.jpg</v>
      </c>
      <c r="V874" t="str">
        <f>IFERROR((VLOOKUP(A874,Planilha1!A:B,2,0)),"\\192.168.0.4\Produtos\PRODUTO_PRONTA_ENTREGA\static\IMAGENS_PRODUTOS\SEM IMAGEM.jpg")</f>
        <v>\\192.168.0.4\Produtos\PRODUTO_PRONTA_ENTREGA\static\IMAGENS_PRODUTOS\POLTRONA MARTHA_257362.jpg</v>
      </c>
    </row>
    <row r="875" spans="1:22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45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46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47"/>
        <v>1</v>
      </c>
      <c r="U875" s="10" t="str">
        <f>IFERROR((VLOOKUP(A875,Planilha1!A:B,2,0)),"\\192.168.0.4\Produtos\PRODUTO_PRONTA_ENTREGA\static\IMAGENS_PRODUTOS\SEM IMAGEM.jpg")</f>
        <v>\\192.168.0.4\Produtos\PRODUTO_PRONTA_ENTREGA\static\IMAGENS_PRODUTOS\POLTRONA_BANQUETA MARE_277923_277920.jpg</v>
      </c>
      <c r="V875" t="str">
        <f>IFERROR((VLOOKUP(A875,Planilha1!A:B,2,0)),"\\192.168.0.4\Produtos\PRODUTO_PRONTA_ENTREGA\static\IMAGENS_PRODUTOS\SEM IMAGEM.jpg")</f>
        <v>\\192.168.0.4\Produtos\PRODUTO_PRONTA_ENTREGA\static\IMAGENS_PRODUTOS\POLTRONA_BANQUETA MARE_277923_277920.jpg</v>
      </c>
    </row>
    <row r="876" spans="1:22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45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46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47"/>
        <v>1</v>
      </c>
      <c r="U876" s="10" t="str">
        <f>IFERROR((VLOOKUP(A876,Planilha1!A:B,2,0)),"\\192.168.0.4\Produtos\PRODUTO_PRONTA_ENTREGA\static\IMAGENS_PRODUTOS\SEM IMAGEM.jpg")</f>
        <v>\\192.168.0.4\Produtos\PRODUTO_PRONTA_ENTREGA\static\IMAGENS_PRODUTOS\POLTRONA_BANQUETA MARE_277919_277922.jpg</v>
      </c>
      <c r="V876" t="str">
        <f>IFERROR((VLOOKUP(A876,Planilha1!A:B,2,0)),"\\192.168.0.4\Produtos\PRODUTO_PRONTA_ENTREGA\static\IMAGENS_PRODUTOS\SEM IMAGEM.jpg")</f>
        <v>\\192.168.0.4\Produtos\PRODUTO_PRONTA_ENTREGA\static\IMAGENS_PRODUTOS\POLTRONA_BANQUETA MARE_277919_277922.jpg</v>
      </c>
    </row>
    <row r="877" spans="1:22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45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46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2</v>
      </c>
      <c r="T877" s="9">
        <f t="shared" si="47"/>
        <v>4</v>
      </c>
      <c r="U877" s="10" t="str">
        <f>IFERROR((VLOOKUP(A877,Planilha1!A:B,2,0)),"\\192.168.0.4\Produtos\PRODUTO_PRONTA_ENTREGA\static\IMAGENS_PRODUTOS\SEM IMAGEM.jpg")</f>
        <v>\\192.168.0.4\Produtos\PRODUTO_PRONTA_ENTREGA\static\IMAGENS_PRODUTOS\POLTRONA CAIOBA_275032.jpg</v>
      </c>
      <c r="V877" t="str">
        <f>IFERROR((VLOOKUP(A877,Planilha1!A:B,2,0)),"\\192.168.0.4\Produtos\PRODUTO_PRONTA_ENTREGA\static\IMAGENS_PRODUTOS\SEM IMAGEM.jpg")</f>
        <v>\\192.168.0.4\Produtos\PRODUTO_PRONTA_ENTREGA\static\IMAGENS_PRODUTOS\POLTRONA CAIOBA_275032.jpg</v>
      </c>
    </row>
    <row r="878" spans="1:22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45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46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47"/>
        <v>1</v>
      </c>
      <c r="U878" s="10" t="str">
        <f>IFERROR((VLOOKUP(A878,Planilha1!A:B,2,0)),"\\192.168.0.4\Produtos\PRODUTO_PRONTA_ENTREGA\static\IMAGENS_PRODUTOS\SEM IMAGEM.jpg")</f>
        <v>\\192.168.0.4\Produtos\PRODUTO_PRONTA_ENTREGA\static\IMAGENS_PRODUTOS\POLTRONA ALBA_377429.jpg</v>
      </c>
      <c r="V878" t="str">
        <f>IFERROR((VLOOKUP(A878,Planilha1!A:B,2,0)),"\\192.168.0.4\Produtos\PRODUTO_PRONTA_ENTREGA\static\IMAGENS_PRODUTOS\SEM IMAGEM.jpg")</f>
        <v>\\192.168.0.4\Produtos\PRODUTO_PRONTA_ENTREGA\static\IMAGENS_PRODUTOS\POLTRONA ALBA_377429.jpg</v>
      </c>
    </row>
    <row r="879" spans="1:22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45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46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47"/>
        <v>1</v>
      </c>
      <c r="U879" s="10" t="str">
        <f>IFERROR((VLOOKUP(A879,Planilha1!A:B,2,0)),"\\192.168.0.4\Produtos\PRODUTO_PRONTA_ENTREGA\static\IMAGENS_PRODUTOS\SEM IMAGEM.jpg")</f>
        <v>\\192.168.0.4\Produtos\PRODUTO_PRONTA_ENTREGA\static\IMAGENS_PRODUTOS\POLTRONA ORION_364785.jpg</v>
      </c>
      <c r="V879" t="str">
        <f>IFERROR((VLOOKUP(A879,Planilha1!A:B,2,0)),"\\192.168.0.4\Produtos\PRODUTO_PRONTA_ENTREGA\static\IMAGENS_PRODUTOS\SEM IMAGEM.jpg")</f>
        <v>\\192.168.0.4\Produtos\PRODUTO_PRONTA_ENTREGA\static\IMAGENS_PRODUTOS\POLTRONA ORION_364785.jpg</v>
      </c>
    </row>
    <row r="880" spans="1:22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45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46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47"/>
        <v>1</v>
      </c>
      <c r="U880" s="10" t="str">
        <f>IFERROR((VLOOKUP(A880,Planilha1!A:B,2,0)),"\\192.168.0.4\Produtos\PRODUTO_PRONTA_ENTREGA\static\IMAGENS_PRODUTOS\SEM IMAGEM.jpg")</f>
        <v>\\192.168.0.4\Produtos\PRODUTO_PRONTA_ENTREGA\static\IMAGENS_PRODUTOS\POLTRONA_BANQUETA ONDA_344048_344045.jpg</v>
      </c>
      <c r="V880" t="str">
        <f>IFERROR((VLOOKUP(A880,Planilha1!A:B,2,0)),"\\192.168.0.4\Produtos\PRODUTO_PRONTA_ENTREGA\static\IMAGENS_PRODUTOS\SEM IMAGEM.jpg")</f>
        <v>\\192.168.0.4\Produtos\PRODUTO_PRONTA_ENTREGA\static\IMAGENS_PRODUTOS\POLTRONA_BANQUETA ONDA_344048_344045.jpg</v>
      </c>
    </row>
    <row r="881" spans="1:22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45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46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47"/>
        <v>1</v>
      </c>
      <c r="U881" s="10" t="str">
        <f>IFERROR((VLOOKUP(A881,Planilha1!A:B,2,0)),"\\192.168.0.4\Produtos\PRODUTO_PRONTA_ENTREGA\static\IMAGENS_PRODUTOS\SEM IMAGEM.jpg")</f>
        <v>\\192.168.0.4\Produtos\PRODUTO_PRONTA_ENTREGA\static\IMAGENS_PRODUTOS\SEM IMAGEM.jpg</v>
      </c>
      <c r="V881" t="str">
        <f>IFERROR((VLOOKUP(A881,Planilha1!A:B,2,0)),"\\192.168.0.4\Produtos\PRODUTO_PRONTA_ENTREGA\static\IMAGENS_PRODUTOS\SEM IMAGEM.jpg")</f>
        <v>\\192.168.0.4\Produtos\PRODUTO_PRONTA_ENTREGA\static\IMAGENS_PRODUTOS\SEM IMAGEM.jpg</v>
      </c>
    </row>
    <row r="882" spans="1:22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45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46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47"/>
        <v>1</v>
      </c>
      <c r="U882" s="10" t="str">
        <f>IFERROR((VLOOKUP(A882,Planilha1!A:B,2,0)),"\\192.168.0.4\Produtos\PRODUTO_PRONTA_ENTREGA\static\IMAGENS_PRODUTOS\SEM IMAGEM.jpg")</f>
        <v>\\192.168.0.4\Produtos\PRODUTO_PRONTA_ENTREGA\static\IMAGENS_PRODUTOS\POLTRONA ONDAS_344043.jpg</v>
      </c>
      <c r="V882" t="str">
        <f>IFERROR((VLOOKUP(A882,Planilha1!A:B,2,0)),"\\192.168.0.4\Produtos\PRODUTO_PRONTA_ENTREGA\static\IMAGENS_PRODUTOS\SEM IMAGEM.jpg")</f>
        <v>\\192.168.0.4\Produtos\PRODUTO_PRONTA_ENTREGA\static\IMAGENS_PRODUTOS\POLTRONA ONDAS_344043.jpg</v>
      </c>
    </row>
    <row r="883" spans="1:22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45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46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47"/>
        <v>2</v>
      </c>
      <c r="U883" s="10" t="str">
        <f>IFERROR((VLOOKUP(A883,Planilha1!A:B,2,0)),"\\192.168.0.4\Produtos\PRODUTO_PRONTA_ENTREGA\static\IMAGENS_PRODUTOS\SEM IMAGEM.jpg")</f>
        <v>\\192.168.0.4\Produtos\PRODUTO_PRONTA_ENTREGA\static\IMAGENS_PRODUTOS\POLTRONA ALBA_334436.jpg</v>
      </c>
      <c r="V883" t="str">
        <f>IFERROR((VLOOKUP(A883,Planilha1!A:B,2,0)),"\\192.168.0.4\Produtos\PRODUTO_PRONTA_ENTREGA\static\IMAGENS_PRODUTOS\SEM IMAGEM.jpg")</f>
        <v>\\192.168.0.4\Produtos\PRODUTO_PRONTA_ENTREGA\static\IMAGENS_PRODUTOS\POLTRONA ALBA_334436.jpg</v>
      </c>
    </row>
    <row r="884" spans="1:22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45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46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47"/>
        <v>2</v>
      </c>
      <c r="U884" s="10" t="str">
        <f>IFERROR((VLOOKUP(A884,Planilha1!A:B,2,0)),"\\192.168.0.4\Produtos\PRODUTO_PRONTA_ENTREGA\static\IMAGENS_PRODUTOS\SEM IMAGEM.jpg")</f>
        <v>\\192.168.0.4\Produtos\PRODUTO_PRONTA_ENTREGA\static\IMAGENS_PRODUTOS\SEM IMAGEM.jpg</v>
      </c>
      <c r="V884" t="str">
        <f>IFERROR((VLOOKUP(A884,Planilha1!A:B,2,0)),"\\192.168.0.4\Produtos\PRODUTO_PRONTA_ENTREGA\static\IMAGENS_PRODUTOS\SEM IMAGEM.jpg")</f>
        <v>\\192.168.0.4\Produtos\PRODUTO_PRONTA_ENTREGA\static\IMAGENS_PRODUTOS\SEM IMAGEM.jpg</v>
      </c>
    </row>
    <row r="885" spans="1:22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45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46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47"/>
        <v>1</v>
      </c>
      <c r="U885" s="10" t="str">
        <f>IFERROR((VLOOKUP(A885,Planilha1!A:B,2,0)),"\\192.168.0.4\Produtos\PRODUTO_PRONTA_ENTREGA\static\IMAGENS_PRODUTOS\SEM IMAGEM.jpg")</f>
        <v>\\192.168.0.4\Produtos\PRODUTO_PRONTA_ENTREGA\static\IMAGENS_PRODUTOS\POLTRONA_BANQUETA MARE_334447_334446.jpg</v>
      </c>
      <c r="V885" t="str">
        <f>IFERROR((VLOOKUP(A885,Planilha1!A:B,2,0)),"\\192.168.0.4\Produtos\PRODUTO_PRONTA_ENTREGA\static\IMAGENS_PRODUTOS\SEM IMAGEM.jpg")</f>
        <v>\\192.168.0.4\Produtos\PRODUTO_PRONTA_ENTREGA\static\IMAGENS_PRODUTOS\POLTRONA_BANQUETA MARE_334447_334446.jpg</v>
      </c>
    </row>
    <row r="886" spans="1:22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45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46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47"/>
        <v>3</v>
      </c>
      <c r="U886" s="10" t="str">
        <f>IFERROR((VLOOKUP(A886,Planilha1!A:B,2,0)),"\\192.168.0.4\Produtos\PRODUTO_PRONTA_ENTREGA\static\IMAGENS_PRODUTOS\SEM IMAGEM.jpg")</f>
        <v>\\192.168.0.4\Produtos\PRODUTO_PRONTA_ENTREGA\static\IMAGENS_PRODUTOS\POLTRONA 164_316487.jpg</v>
      </c>
      <c r="V886" t="str">
        <f>IFERROR((VLOOKUP(A886,Planilha1!A:B,2,0)),"\\192.168.0.4\Produtos\PRODUTO_PRONTA_ENTREGA\static\IMAGENS_PRODUTOS\SEM IMAGEM.jpg")</f>
        <v>\\192.168.0.4\Produtos\PRODUTO_PRONTA_ENTREGA\static\IMAGENS_PRODUTOS\POLTRONA 164_316487.jpg</v>
      </c>
    </row>
    <row r="887" spans="1:22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45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46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47"/>
        <v>1</v>
      </c>
      <c r="U887" s="10" t="str">
        <f>IFERROR((VLOOKUP(A887,Planilha1!A:B,2,0)),"\\192.168.0.4\Produtos\PRODUTO_PRONTA_ENTREGA\static\IMAGENS_PRODUTOS\SEM IMAGEM.jpg")</f>
        <v>\\192.168.0.4\Produtos\PRODUTO_PRONTA_ENTREGA\static\IMAGENS_PRODUTOS\SEM IMAGEM.jpg</v>
      </c>
      <c r="V887" t="str">
        <f>IFERROR((VLOOKUP(A887,Planilha1!A:B,2,0)),"\\192.168.0.4\Produtos\PRODUTO_PRONTA_ENTREGA\static\IMAGENS_PRODUTOS\SEM IMAGEM.jpg")</f>
        <v>\\192.168.0.4\Produtos\PRODUTO_PRONTA_ENTREGA\static\IMAGENS_PRODUTOS\SEM IMAGEM.jpg</v>
      </c>
    </row>
    <row r="888" spans="1:22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45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46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47"/>
        <v>1</v>
      </c>
      <c r="U888" s="10" t="str">
        <f>IFERROR((VLOOKUP(A888,Planilha1!A:B,2,0)),"\\192.168.0.4\Produtos\PRODUTO_PRONTA_ENTREGA\static\IMAGENS_PRODUTOS\SEM IMAGEM.jpg")</f>
        <v>\\192.168.0.4\Produtos\PRODUTO_PRONTA_ENTREGA\static\IMAGENS_PRODUTOS\SEM IMAGEM.jpg</v>
      </c>
      <c r="V888" t="str">
        <f>IFERROR((VLOOKUP(A888,Planilha1!A:B,2,0)),"\\192.168.0.4\Produtos\PRODUTO_PRONTA_ENTREGA\static\IMAGENS_PRODUTOS\SEM IMAGEM.jpg")</f>
        <v>\\192.168.0.4\Produtos\PRODUTO_PRONTA_ENTREGA\static\IMAGENS_PRODUTOS\SEM IMAGEM.jpg</v>
      </c>
    </row>
    <row r="889" spans="1:22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45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46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47"/>
        <v>2</v>
      </c>
      <c r="U889" s="10" t="str">
        <f>IFERROR((VLOOKUP(A889,Planilha1!A:B,2,0)),"\\192.168.0.4\Produtos\PRODUTO_PRONTA_ENTREGA\static\IMAGENS_PRODUTOS\SEM IMAGEM.jpg")</f>
        <v>\\192.168.0.4\Produtos\PRODUTO_PRONTA_ENTREGA\static\IMAGENS_PRODUTOS\PUFF OLY_299525.jpg</v>
      </c>
      <c r="V889" t="str">
        <f>IFERROR((VLOOKUP(A889,Planilha1!A:B,2,0)),"\\192.168.0.4\Produtos\PRODUTO_PRONTA_ENTREGA\static\IMAGENS_PRODUTOS\SEM IMAGEM.jpg")</f>
        <v>\\192.168.0.4\Produtos\PRODUTO_PRONTA_ENTREGA\static\IMAGENS_PRODUTOS\PUFF OLY_299525.jpg</v>
      </c>
    </row>
    <row r="890" spans="1:22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45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46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47"/>
        <v>1</v>
      </c>
      <c r="U890" s="10" t="str">
        <f>IFERROR((VLOOKUP(A890,Planilha1!A:B,2,0)),"\\192.168.0.4\Produtos\PRODUTO_PRONTA_ENTREGA\static\IMAGENS_PRODUTOS\SEM IMAGEM.jpg")</f>
        <v>\\192.168.0.4\Produtos\PRODUTO_PRONTA_ENTREGA\static\IMAGENS_PRODUTOS\SEM IMAGEM.jpg</v>
      </c>
      <c r="V890" t="str">
        <f>IFERROR((VLOOKUP(A890,Planilha1!A:B,2,0)),"\\192.168.0.4\Produtos\PRODUTO_PRONTA_ENTREGA\static\IMAGENS_PRODUTOS\SEM IMAGEM.jpg")</f>
        <v>\\192.168.0.4\Produtos\PRODUTO_PRONTA_ENTREGA\static\IMAGENS_PRODUTOS\SEM IMAGEM.jpg</v>
      </c>
    </row>
    <row r="891" spans="1:22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45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46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47"/>
        <v>3</v>
      </c>
      <c r="U891" s="10" t="str">
        <f>IFERROR((VLOOKUP(A891,Planilha1!A:B,2,0)),"\\192.168.0.4\Produtos\PRODUTO_PRONTA_ENTREGA\static\IMAGENS_PRODUTOS\SEM IMAGEM.jpg")</f>
        <v>\\192.168.0.4\Produtos\PRODUTO_PRONTA_ENTREGA\static\IMAGENS_PRODUTOS\PUFF ALCALA_274740.jpg</v>
      </c>
      <c r="V891" t="str">
        <f>IFERROR((VLOOKUP(A891,Planilha1!A:B,2,0)),"\\192.168.0.4\Produtos\PRODUTO_PRONTA_ENTREGA\static\IMAGENS_PRODUTOS\SEM IMAGEM.jpg")</f>
        <v>\\192.168.0.4\Produtos\PRODUTO_PRONTA_ENTREGA\static\IMAGENS_PRODUTOS\PUFF ALCALA_274740.jpg</v>
      </c>
    </row>
    <row r="892" spans="1:22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45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46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47"/>
        <v>1</v>
      </c>
      <c r="U892" s="10" t="str">
        <f>IFERROR((VLOOKUP(A892,Planilha1!A:B,2,0)),"\\192.168.0.4\Produtos\PRODUTO_PRONTA_ENTREGA\static\IMAGENS_PRODUTOS\SEM IMAGEM.jpg")</f>
        <v>\\192.168.0.4\Produtos\PRODUTO_PRONTA_ENTREGA\static\IMAGENS_PRODUTOS\SEM IMAGEM.jpg</v>
      </c>
      <c r="V892" t="str">
        <f>IFERROR((VLOOKUP(A892,Planilha1!A:B,2,0)),"\\192.168.0.4\Produtos\PRODUTO_PRONTA_ENTREGA\static\IMAGENS_PRODUTOS\SEM IMAGEM.jpg")</f>
        <v>\\192.168.0.4\Produtos\PRODUTO_PRONTA_ENTREGA\static\IMAGENS_PRODUTOS\SEM IMAGEM.jpg</v>
      </c>
    </row>
    <row r="893" spans="1:22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45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46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47"/>
        <v>1</v>
      </c>
      <c r="U893" s="10" t="str">
        <f>IFERROR((VLOOKUP(A893,Planilha1!A:B,2,0)),"\\192.168.0.4\Produtos\PRODUTO_PRONTA_ENTREGA\static\IMAGENS_PRODUTOS\SEM IMAGEM.jpg")</f>
        <v>\\192.168.0.4\Produtos\PRODUTO_PRONTA_ENTREGA\static\IMAGENS_PRODUTOS\SEM IMAGEM.jpg</v>
      </c>
      <c r="V893" t="str">
        <f>IFERROR((VLOOKUP(A893,Planilha1!A:B,2,0)),"\\192.168.0.4\Produtos\PRODUTO_PRONTA_ENTREGA\static\IMAGENS_PRODUTOS\SEM IMAGEM.jpg")</f>
        <v>\\192.168.0.4\Produtos\PRODUTO_PRONTA_ENTREGA\static\IMAGENS_PRODUTOS\SEM IMAGEM.jpg</v>
      </c>
    </row>
    <row r="894" spans="1:22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45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46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47"/>
        <v>2</v>
      </c>
      <c r="U894" s="10" t="str">
        <f>IFERROR((VLOOKUP(A894,Planilha1!A:B,2,0)),"\\192.168.0.4\Produtos\PRODUTO_PRONTA_ENTREGA\static\IMAGENS_PRODUTOS\SEM IMAGEM.jpg")</f>
        <v>\\192.168.0.4\Produtos\PRODUTO_PRONTA_ENTREGA\static\IMAGENS_PRODUTOS\SEM IMAGEM.jpg</v>
      </c>
      <c r="V894" t="str">
        <f>IFERROR((VLOOKUP(A894,Planilha1!A:B,2,0)),"\\192.168.0.4\Produtos\PRODUTO_PRONTA_ENTREGA\static\IMAGENS_PRODUTOS\SEM IMAGEM.jpg")</f>
        <v>\\192.168.0.4\Produtos\PRODUTO_PRONTA_ENTREGA\static\IMAGENS_PRODUTOS\SEM IMAGEM.jpg</v>
      </c>
    </row>
    <row r="895" spans="1:22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45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46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47"/>
        <v>1</v>
      </c>
      <c r="U895" s="10" t="str">
        <f>IFERROR((VLOOKUP(A895,Planilha1!A:B,2,0)),"\\192.168.0.4\Produtos\PRODUTO_PRONTA_ENTREGA\static\IMAGENS_PRODUTOS\SEM IMAGEM.jpg")</f>
        <v>\\192.168.0.4\Produtos\PRODUTO_PRONTA_ENTREGA\static\IMAGENS_PRODUTOS\PUFF POMME_363831.jpg</v>
      </c>
      <c r="V895" t="str">
        <f>IFERROR((VLOOKUP(A895,Planilha1!A:B,2,0)),"\\192.168.0.4\Produtos\PRODUTO_PRONTA_ENTREGA\static\IMAGENS_PRODUTOS\SEM IMAGEM.jpg")</f>
        <v>\\192.168.0.4\Produtos\PRODUTO_PRONTA_ENTREGA\static\IMAGENS_PRODUTOS\PUFF POMME_363831.jpg</v>
      </c>
    </row>
    <row r="896" spans="1:22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45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46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47"/>
        <v>1</v>
      </c>
      <c r="U896" s="10" t="str">
        <f>IFERROR((VLOOKUP(A896,Planilha1!A:B,2,0)),"\\192.168.0.4\Produtos\PRODUTO_PRONTA_ENTREGA\static\IMAGENS_PRODUTOS\SEM IMAGEM.jpg")</f>
        <v>\\192.168.0.4\Produtos\PRODUTO_PRONTA_ENTREGA\static\IMAGENS_PRODUTOS\PUFF POMME_363881.jpg</v>
      </c>
      <c r="V896" t="str">
        <f>IFERROR((VLOOKUP(A896,Planilha1!A:B,2,0)),"\\192.168.0.4\Produtos\PRODUTO_PRONTA_ENTREGA\static\IMAGENS_PRODUTOS\SEM IMAGEM.jpg")</f>
        <v>\\192.168.0.4\Produtos\PRODUTO_PRONTA_ENTREGA\static\IMAGENS_PRODUTOS\PUFF POMME_363881.jpg</v>
      </c>
    </row>
    <row r="897" spans="1:22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45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46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47"/>
        <v>2</v>
      </c>
      <c r="U897" s="10" t="str">
        <f>IFERROR((VLOOKUP(A897,Planilha1!A:B,2,0)),"\\192.168.0.4\Produtos\PRODUTO_PRONTA_ENTREGA\static\IMAGENS_PRODUTOS\SEM IMAGEM.jpg")</f>
        <v>\\192.168.0.4\Produtos\PRODUTO_PRONTA_ENTREGA\static\IMAGENS_PRODUTOS\SEM IMAGEM.jpg</v>
      </c>
      <c r="V897" t="str">
        <f>IFERROR((VLOOKUP(A897,Planilha1!A:B,2,0)),"\\192.168.0.4\Produtos\PRODUTO_PRONTA_ENTREGA\static\IMAGENS_PRODUTOS\SEM IMAGEM.jpg")</f>
        <v>\\192.168.0.4\Produtos\PRODUTO_PRONTA_ENTREGA\static\IMAGENS_PRODUTOS\SEM IMAGEM.jpg</v>
      </c>
    </row>
    <row r="898" spans="1:22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45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46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47"/>
        <v>1</v>
      </c>
      <c r="U898" s="10" t="str">
        <f>IFERROR((VLOOKUP(A898,Planilha1!A:B,2,0)),"\\192.168.0.4\Produtos\PRODUTO_PRONTA_ENTREGA\static\IMAGENS_PRODUTOS\SEM IMAGEM.jpg")</f>
        <v>\\192.168.0.4\Produtos\PRODUTO_PRONTA_ENTREGA\static\IMAGENS_PRODUTOS\PUFF ALCALA_328653.jpg</v>
      </c>
      <c r="V898" t="str">
        <f>IFERROR((VLOOKUP(A898,Planilha1!A:B,2,0)),"\\192.168.0.4\Produtos\PRODUTO_PRONTA_ENTREGA\static\IMAGENS_PRODUTOS\SEM IMAGEM.jpg")</f>
        <v>\\192.168.0.4\Produtos\PRODUTO_PRONTA_ENTREGA\static\IMAGENS_PRODUTOS\PUFF ALCALA_328653.jpg</v>
      </c>
    </row>
    <row r="899" spans="1:22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48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46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47"/>
        <v>1</v>
      </c>
      <c r="U899" s="10" t="str">
        <f>IFERROR((VLOOKUP(A899,Planilha1!A:B,2,0)),"\\192.168.0.4\Produtos\PRODUTO_PRONTA_ENTREGA\static\IMAGENS_PRODUTOS\SEM IMAGEM.jpg")</f>
        <v>\\192.168.0.4\Produtos\PRODUTO_PRONTA_ENTREGA\static\IMAGENS_PRODUTOS\SEM IMAGEM.jpg</v>
      </c>
      <c r="V899" t="str">
        <f>IFERROR((VLOOKUP(A899,Planilha1!A:B,2,0)),"\\192.168.0.4\Produtos\PRODUTO_PRONTA_ENTREGA\static\IMAGENS_PRODUTOS\SEM IMAGEM.jpg")</f>
        <v>\\192.168.0.4\Produtos\PRODUTO_PRONTA_ENTREGA\static\IMAGENS_PRODUTOS\SEM IMAGEM.jpg</v>
      </c>
    </row>
    <row r="900" spans="1:22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48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49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50">SUM(O900:S900)</f>
        <v>2</v>
      </c>
      <c r="U900" s="10" t="str">
        <f>IFERROR((VLOOKUP(A900,Planilha1!A:B,2,0)),"\\192.168.0.4\Produtos\PRODUTO_PRONTA_ENTREGA\static\IMAGENS_PRODUTOS\SEM IMAGEM.jpg")</f>
        <v>\\192.168.0.4\Produtos\PRODUTO_PRONTA_ENTREGA\static\IMAGENS_PRODUTOS\PUFF OLY_334521.jpg</v>
      </c>
      <c r="V900" t="str">
        <f>IFERROR((VLOOKUP(A900,Planilha1!A:B,2,0)),"\\192.168.0.4\Produtos\PRODUTO_PRONTA_ENTREGA\static\IMAGENS_PRODUTOS\SEM IMAGEM.jpg")</f>
        <v>\\192.168.0.4\Produtos\PRODUTO_PRONTA_ENTREGA\static\IMAGENS_PRODUTOS\PUFF OLY_334521.jpg</v>
      </c>
    </row>
    <row r="901" spans="1:22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48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49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50"/>
        <v>1</v>
      </c>
      <c r="U901" s="10" t="str">
        <f>IFERROR((VLOOKUP(A901,Planilha1!A:B,2,0)),"\\192.168.0.4\Produtos\PRODUTO_PRONTA_ENTREGA\static\IMAGENS_PRODUTOS\SEM IMAGEM.jpg")</f>
        <v>\\192.168.0.4\Produtos\PRODUTO_PRONTA_ENTREGA\static\IMAGENS_PRODUTOS\PUFF ALCALA_361893.jpg</v>
      </c>
      <c r="V901" t="str">
        <f>IFERROR((VLOOKUP(A901,Planilha1!A:B,2,0)),"\\192.168.0.4\Produtos\PRODUTO_PRONTA_ENTREGA\static\IMAGENS_PRODUTOS\SEM IMAGEM.jpg")</f>
        <v>\\192.168.0.4\Produtos\PRODUTO_PRONTA_ENTREGA\static\IMAGENS_PRODUTOS\PUFF ALCALA_361893.jpg</v>
      </c>
    </row>
    <row r="902" spans="1:22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48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49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50"/>
        <v>2</v>
      </c>
      <c r="U902" s="10" t="str">
        <f>IFERROR((VLOOKUP(A902,Planilha1!A:B,2,0)),"\\192.168.0.4\Produtos\PRODUTO_PRONTA_ENTREGA\static\IMAGENS_PRODUTOS\SEM IMAGEM.jpg")</f>
        <v>\\192.168.0.4\Produtos\PRODUTO_PRONTA_ENTREGA\static\IMAGENS_PRODUTOS\PUFF SOHO_217687.jpg</v>
      </c>
      <c r="V902" t="str">
        <f>IFERROR((VLOOKUP(A902,Planilha1!A:B,2,0)),"\\192.168.0.4\Produtos\PRODUTO_PRONTA_ENTREGA\static\IMAGENS_PRODUTOS\SEM IMAGEM.jpg")</f>
        <v>\\192.168.0.4\Produtos\PRODUTO_PRONTA_ENTREGA\static\IMAGENS_PRODUTOS\PUFF SOHO_217687.jpg</v>
      </c>
    </row>
    <row r="903" spans="1:22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48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49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50"/>
        <v>2</v>
      </c>
      <c r="U903" s="10" t="str">
        <f>IFERROR((VLOOKUP(A903,Planilha1!A:B,2,0)),"\\192.168.0.4\Produtos\PRODUTO_PRONTA_ENTREGA\static\IMAGENS_PRODUTOS\SEM IMAGEM.jpg")</f>
        <v>\\192.168.0.4\Produtos\PRODUTO_PRONTA_ENTREGA\static\IMAGENS_PRODUTOS\PUFF ELLUS_174077.jpg</v>
      </c>
      <c r="V903" t="str">
        <f>IFERROR((VLOOKUP(A903,Planilha1!A:B,2,0)),"\\192.168.0.4\Produtos\PRODUTO_PRONTA_ENTREGA\static\IMAGENS_PRODUTOS\SEM IMAGEM.jpg")</f>
        <v>\\192.168.0.4\Produtos\PRODUTO_PRONTA_ENTREGA\static\IMAGENS_PRODUTOS\PUFF ELLUS_174077.jpg</v>
      </c>
    </row>
    <row r="904" spans="1:22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48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49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50"/>
        <v>1</v>
      </c>
      <c r="U904" s="10" t="str">
        <f>IFERROR((VLOOKUP(A904,Planilha1!A:B,2,0)),"\\192.168.0.4\Produtos\PRODUTO_PRONTA_ENTREGA\static\IMAGENS_PRODUTOS\SEM IMAGEM.jpg")</f>
        <v>\\192.168.0.4\Produtos\PRODUTO_PRONTA_ENTREGA\static\IMAGENS_PRODUTOS\PUFF TOPOGRAFIA_120867.jpg</v>
      </c>
      <c r="V904" t="str">
        <f>IFERROR((VLOOKUP(A904,Planilha1!A:B,2,0)),"\\192.168.0.4\Produtos\PRODUTO_PRONTA_ENTREGA\static\IMAGENS_PRODUTOS\SEM IMAGEM.jpg")</f>
        <v>\\192.168.0.4\Produtos\PRODUTO_PRONTA_ENTREGA\static\IMAGENS_PRODUTOS\PUFF TOPOGRAFIA_120867.jpg</v>
      </c>
    </row>
    <row r="905" spans="1:22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48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49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50"/>
        <v>1</v>
      </c>
      <c r="U905" s="10" t="str">
        <f>IFERROR((VLOOKUP(A905,Planilha1!A:B,2,0)),"\\192.168.0.4\Produtos\PRODUTO_PRONTA_ENTREGA\static\IMAGENS_PRODUTOS\SEM IMAGEM.jpg")</f>
        <v>\\192.168.0.4\Produtos\PRODUTO_PRONTA_ENTREGA\static\IMAGENS_PRODUTOS\PUFF SEIXOS_111890.jpg</v>
      </c>
      <c r="V905" t="str">
        <f>IFERROR((VLOOKUP(A905,Planilha1!A:B,2,0)),"\\192.168.0.4\Produtos\PRODUTO_PRONTA_ENTREGA\static\IMAGENS_PRODUTOS\SEM IMAGEM.jpg")</f>
        <v>\\192.168.0.4\Produtos\PRODUTO_PRONTA_ENTREGA\static\IMAGENS_PRODUTOS\PUFF SEIXOS_111890.jpg</v>
      </c>
    </row>
    <row r="906" spans="1:22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48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49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50"/>
        <v>3</v>
      </c>
      <c r="U906" s="10" t="str">
        <f>IFERROR((VLOOKUP(A906,Planilha1!A:B,2,0)),"\\192.168.0.4\Produtos\PRODUTO_PRONTA_ENTREGA\static\IMAGENS_PRODUTOS\SEM IMAGEM.jpg")</f>
        <v>\\192.168.0.4\Produtos\PRODUTO_PRONTA_ENTREGA\static\IMAGENS_PRODUTOS\PUFF BISTROL_151387.jpg</v>
      </c>
      <c r="V906" t="str">
        <f>IFERROR((VLOOKUP(A906,Planilha1!A:B,2,0)),"\\192.168.0.4\Produtos\PRODUTO_PRONTA_ENTREGA\static\IMAGENS_PRODUTOS\SEM IMAGEM.jpg")</f>
        <v>\\192.168.0.4\Produtos\PRODUTO_PRONTA_ENTREGA\static\IMAGENS_PRODUTOS\PUFF BISTROL_151387.jpg</v>
      </c>
    </row>
    <row r="907" spans="1:22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48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49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50"/>
        <v>1</v>
      </c>
      <c r="U907" s="10" t="str">
        <f>IFERROR((VLOOKUP(A907,Planilha1!A:B,2,0)),"\\192.168.0.4\Produtos\PRODUTO_PRONTA_ENTREGA\static\IMAGENS_PRODUTOS\SEM IMAGEM.jpg")</f>
        <v>\\192.168.0.4\Produtos\PRODUTO_PRONTA_ENTREGA\static\IMAGENS_PRODUTOS\PUFF RAVENNA_151462.jpg</v>
      </c>
      <c r="V907" t="str">
        <f>IFERROR((VLOOKUP(A907,Planilha1!A:B,2,0)),"\\192.168.0.4\Produtos\PRODUTO_PRONTA_ENTREGA\static\IMAGENS_PRODUTOS\SEM IMAGEM.jpg")</f>
        <v>\\192.168.0.4\Produtos\PRODUTO_PRONTA_ENTREGA\static\IMAGENS_PRODUTOS\PUFF RAVENNA_151462.jpg</v>
      </c>
    </row>
    <row r="908" spans="1:22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48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49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50"/>
        <v>1</v>
      </c>
      <c r="U908" s="10" t="str">
        <f>IFERROR((VLOOKUP(A908,Planilha1!A:B,2,0)),"\\192.168.0.4\Produtos\PRODUTO_PRONTA_ENTREGA\static\IMAGENS_PRODUTOS\SEM IMAGEM.jpg")</f>
        <v>\\192.168.0.4\Produtos\PRODUTO_PRONTA_ENTREGA\static\IMAGENS_PRODUTOS\SEM IMAGEM.jpg</v>
      </c>
      <c r="V908" t="str">
        <f>IFERROR((VLOOKUP(A908,Planilha1!A:B,2,0)),"\\192.168.0.4\Produtos\PRODUTO_PRONTA_ENTREGA\static\IMAGENS_PRODUTOS\SEM IMAGEM.jpg")</f>
        <v>\\192.168.0.4\Produtos\PRODUTO_PRONTA_ENTREGA\static\IMAGENS_PRODUTOS\SEM IMAGEM.jpg</v>
      </c>
    </row>
    <row r="909" spans="1:22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48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49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50"/>
        <v>2</v>
      </c>
      <c r="U909" s="10" t="str">
        <f>IFERROR((VLOOKUP(A909,Planilha1!A:B,2,0)),"\\192.168.0.4\Produtos\PRODUTO_PRONTA_ENTREGA\static\IMAGENS_PRODUTOS\SEM IMAGEM.jpg")</f>
        <v>\\192.168.0.4\Produtos\PRODUTO_PRONTA_ENTREGA\static\IMAGENS_PRODUTOS\SEM IMAGEM.jpg</v>
      </c>
      <c r="V909" t="str">
        <f>IFERROR((VLOOKUP(A909,Planilha1!A:B,2,0)),"\\192.168.0.4\Produtos\PRODUTO_PRONTA_ENTREGA\static\IMAGENS_PRODUTOS\SEM IMAGEM.jpg")</f>
        <v>\\192.168.0.4\Produtos\PRODUTO_PRONTA_ENTREGA\static\IMAGENS_PRODUTOS\SEM IMAGEM.jpg</v>
      </c>
    </row>
    <row r="910" spans="1:22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48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49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50"/>
        <v>4</v>
      </c>
      <c r="U910" s="10" t="str">
        <f>IFERROR((VLOOKUP(A910,Planilha1!A:B,2,0)),"\\192.168.0.4\Produtos\PRODUTO_PRONTA_ENTREGA\static\IMAGENS_PRODUTOS\SEM IMAGEM.jpg")</f>
        <v>\\192.168.0.4\Produtos\PRODUTO_PRONTA_ENTREGA\static\IMAGENS_PRODUTOS\PUFF TOPOGRAFIA_178949.jpg</v>
      </c>
      <c r="V910" t="str">
        <f>IFERROR((VLOOKUP(A910,Planilha1!A:B,2,0)),"\\192.168.0.4\Produtos\PRODUTO_PRONTA_ENTREGA\static\IMAGENS_PRODUTOS\SEM IMAGEM.jpg")</f>
        <v>\\192.168.0.4\Produtos\PRODUTO_PRONTA_ENTREGA\static\IMAGENS_PRODUTOS\PUFF TOPOGRAFIA_178949.jpg</v>
      </c>
    </row>
    <row r="911" spans="1:22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48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49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50"/>
        <v>2</v>
      </c>
      <c r="U911" s="10" t="str">
        <f>IFERROR((VLOOKUP(A911,Planilha1!A:B,2,0)),"\\192.168.0.4\Produtos\PRODUTO_PRONTA_ENTREGA\static\IMAGENS_PRODUTOS\SEM IMAGEM.jpg")</f>
        <v>\\192.168.0.4\Produtos\PRODUTO_PRONTA_ENTREGA\static\IMAGENS_PRODUTOS\PUFF CHEIG_191239.jpg</v>
      </c>
      <c r="V911" t="str">
        <f>IFERROR((VLOOKUP(A911,Planilha1!A:B,2,0)),"\\192.168.0.4\Produtos\PRODUTO_PRONTA_ENTREGA\static\IMAGENS_PRODUTOS\SEM IMAGEM.jpg")</f>
        <v>\\192.168.0.4\Produtos\PRODUTO_PRONTA_ENTREGA\static\IMAGENS_PRODUTOS\PUFF CHEIG_191239.jpg</v>
      </c>
    </row>
    <row r="912" spans="1:22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48"/>
        <v/>
      </c>
      <c r="L912" s="7" t="str">
        <f>IF(VLOOKUP(A912,'[1]LISTA ETIQUETAS'!O:AB,14,0)="","",(VLOOKUP(A912,'[1]LISTA ETIQUETAS'!O:AB,14,0)))</f>
        <v/>
      </c>
      <c r="M912" s="8"/>
      <c r="N912" s="9">
        <f t="shared" si="49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50"/>
        <v>1</v>
      </c>
      <c r="U912" s="10" t="str">
        <f>IFERROR((VLOOKUP(A912,Planilha1!A:B,2,0)),"\\192.168.0.4\Produtos\PRODUTO_PRONTA_ENTREGA\static\IMAGENS_PRODUTOS\SEM IMAGEM.jpg")</f>
        <v>\\192.168.0.4\Produtos\PRODUTO_PRONTA_ENTREGA\static\IMAGENS_PRODUTOS\PUFF 150 _184969.jpg</v>
      </c>
      <c r="V912" t="str">
        <f>IFERROR((VLOOKUP(A912,Planilha1!A:B,2,0)),"\\192.168.0.4\Produtos\PRODUTO_PRONTA_ENTREGA\static\IMAGENS_PRODUTOS\SEM IMAGEM.jpg")</f>
        <v>\\192.168.0.4\Produtos\PRODUTO_PRONTA_ENTREGA\static\IMAGENS_PRODUTOS\PUFF 150 _184969.jpg</v>
      </c>
    </row>
    <row r="913" spans="1:22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48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49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50"/>
        <v>2</v>
      </c>
      <c r="U913" s="10" t="str">
        <f>IFERROR((VLOOKUP(A913,Planilha1!A:B,2,0)),"\\192.168.0.4\Produtos\PRODUTO_PRONTA_ENTREGA\static\IMAGENS_PRODUTOS\SEM IMAGEM.jpg")</f>
        <v>\\192.168.0.4\Produtos\PRODUTO_PRONTA_ENTREGA\static\IMAGENS_PRODUTOS\PUFF FREMONT_203621.jpg</v>
      </c>
      <c r="V913" t="str">
        <f>IFERROR((VLOOKUP(A913,Planilha1!A:B,2,0)),"\\192.168.0.4\Produtos\PRODUTO_PRONTA_ENTREGA\static\IMAGENS_PRODUTOS\SEM IMAGEM.jpg")</f>
        <v>\\192.168.0.4\Produtos\PRODUTO_PRONTA_ENTREGA\static\IMAGENS_PRODUTOS\PUFF FREMONT_203621.jpg</v>
      </c>
    </row>
    <row r="914" spans="1:22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48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49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50"/>
        <v>2</v>
      </c>
      <c r="U914" s="10" t="str">
        <f>IFERROR((VLOOKUP(A914,Planilha1!A:B,2,0)),"\\192.168.0.4\Produtos\PRODUTO_PRONTA_ENTREGA\static\IMAGENS_PRODUTOS\SEM IMAGEM.jpg")</f>
        <v>\\192.168.0.4\Produtos\PRODUTO_PRONTA_ENTREGA\static\IMAGENS_PRODUTOS\SEM IMAGEM.jpg</v>
      </c>
      <c r="V914" t="str">
        <f>IFERROR((VLOOKUP(A914,Planilha1!A:B,2,0)),"\\192.168.0.4\Produtos\PRODUTO_PRONTA_ENTREGA\static\IMAGENS_PRODUTOS\SEM IMAGEM.jpg")</f>
        <v>\\192.168.0.4\Produtos\PRODUTO_PRONTA_ENTREGA\static\IMAGENS_PRODUTOS\SEM IMAGEM.jpg</v>
      </c>
    </row>
    <row r="915" spans="1:22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48"/>
        <v/>
      </c>
      <c r="L915" s="7" t="str">
        <f>IF(VLOOKUP(A915,'[1]LISTA ETIQUETAS'!O:AB,14,0)="","",(VLOOKUP(A915,'[1]LISTA ETIQUETAS'!O:AB,14,0)))</f>
        <v/>
      </c>
      <c r="M915" s="8"/>
      <c r="N915" s="9">
        <f t="shared" si="49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50"/>
        <v>1</v>
      </c>
      <c r="U915" s="10" t="str">
        <f>IFERROR((VLOOKUP(A915,Planilha1!A:B,2,0)),"\\192.168.0.4\Produtos\PRODUTO_PRONTA_ENTREGA\static\IMAGENS_PRODUTOS\SEM IMAGEM.jpg")</f>
        <v>\\192.168.0.4\Produtos\PRODUTO_PRONTA_ENTREGA\static\IMAGENS_PRODUTOS\PUFF DINN_223242.jpg</v>
      </c>
      <c r="V915" t="str">
        <f>IFERROR((VLOOKUP(A915,Planilha1!A:B,2,0)),"\\192.168.0.4\Produtos\PRODUTO_PRONTA_ENTREGA\static\IMAGENS_PRODUTOS\SEM IMAGEM.jpg")</f>
        <v>\\192.168.0.4\Produtos\PRODUTO_PRONTA_ENTREGA\static\IMAGENS_PRODUTOS\PUFF DINN_223242.jpg</v>
      </c>
    </row>
    <row r="916" spans="1:22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48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49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50"/>
        <v>2</v>
      </c>
      <c r="U916" s="10" t="str">
        <f>IFERROR((VLOOKUP(A916,Planilha1!A:B,2,0)),"\\192.168.0.4\Produtos\PRODUTO_PRONTA_ENTREGA\static\IMAGENS_PRODUTOS\SEM IMAGEM.jpg")</f>
        <v>\\192.168.0.4\Produtos\PRODUTO_PRONTA_ENTREGA\static\IMAGENS_PRODUTOS\PUFF DINN_233669.jpg</v>
      </c>
      <c r="V916" t="str">
        <f>IFERROR((VLOOKUP(A916,Planilha1!A:B,2,0)),"\\192.168.0.4\Produtos\PRODUTO_PRONTA_ENTREGA\static\IMAGENS_PRODUTOS\SEM IMAGEM.jpg")</f>
        <v>\\192.168.0.4\Produtos\PRODUTO_PRONTA_ENTREGA\static\IMAGENS_PRODUTOS\PUFF DINN_233669.jpg</v>
      </c>
    </row>
    <row r="917" spans="1:22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48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49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50"/>
        <v>1</v>
      </c>
      <c r="U917" s="10" t="str">
        <f>IFERROR((VLOOKUP(A917,Planilha1!A:B,2,0)),"\\192.168.0.4\Produtos\PRODUTO_PRONTA_ENTREGA\static\IMAGENS_PRODUTOS\SEM IMAGEM.jpg")</f>
        <v>\\192.168.0.4\Produtos\PRODUTO_PRONTA_ENTREGA\static\IMAGENS_PRODUTOS\PUFF RED_252391.jpg</v>
      </c>
      <c r="V917" t="str">
        <f>IFERROR((VLOOKUP(A917,Planilha1!A:B,2,0)),"\\192.168.0.4\Produtos\PRODUTO_PRONTA_ENTREGA\static\IMAGENS_PRODUTOS\SEM IMAGEM.jpg")</f>
        <v>\\192.168.0.4\Produtos\PRODUTO_PRONTA_ENTREGA\static\IMAGENS_PRODUTOS\PUFF RED_252391.jpg</v>
      </c>
    </row>
    <row r="918" spans="1:22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48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49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50"/>
        <v>2</v>
      </c>
      <c r="U918" s="10" t="str">
        <f>IFERROR((VLOOKUP(A918,Planilha1!A:B,2,0)),"\\192.168.0.4\Produtos\PRODUTO_PRONTA_ENTREGA\static\IMAGENS_PRODUTOS\SEM IMAGEM.jpg")</f>
        <v>\\192.168.0.4\Produtos\PRODUTO_PRONTA_ENTREGA\static\IMAGENS_PRODUTOS\PUFF MAFALDA_250144.jpg</v>
      </c>
      <c r="V918" t="str">
        <f>IFERROR((VLOOKUP(A918,Planilha1!A:B,2,0)),"\\192.168.0.4\Produtos\PRODUTO_PRONTA_ENTREGA\static\IMAGENS_PRODUTOS\SEM IMAGEM.jpg")</f>
        <v>\\192.168.0.4\Produtos\PRODUTO_PRONTA_ENTREGA\static\IMAGENS_PRODUTOS\PUFF MAFALDA_250144.jpg</v>
      </c>
    </row>
    <row r="919" spans="1:22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48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49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50"/>
        <v>1</v>
      </c>
      <c r="U919" s="10" t="str">
        <f>IFERROR((VLOOKUP(A919,Planilha1!A:B,2,0)),"\\192.168.0.4\Produtos\PRODUTO_PRONTA_ENTREGA\static\IMAGENS_PRODUTOS\SEM IMAGEM.jpg")</f>
        <v>\\192.168.0.4\Produtos\PRODUTO_PRONTA_ENTREGA\static\IMAGENS_PRODUTOS\PUFF MAFALDA_250143.jpg</v>
      </c>
      <c r="V919" t="str">
        <f>IFERROR((VLOOKUP(A919,Planilha1!A:B,2,0)),"\\192.168.0.4\Produtos\PRODUTO_PRONTA_ENTREGA\static\IMAGENS_PRODUTOS\SEM IMAGEM.jpg")</f>
        <v>\\192.168.0.4\Produtos\PRODUTO_PRONTA_ENTREGA\static\IMAGENS_PRODUTOS\PUFF MAFALDA_250143.jpg</v>
      </c>
    </row>
    <row r="920" spans="1:22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48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49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50"/>
        <v>1</v>
      </c>
      <c r="U920" s="10" t="str">
        <f>IFERROR((VLOOKUP(A920,Planilha1!A:B,2,0)),"\\192.168.0.4\Produtos\PRODUTO_PRONTA_ENTREGA\static\IMAGENS_PRODUTOS\SEM IMAGEM.jpg")</f>
        <v>\\192.168.0.4\Produtos\PRODUTO_PRONTA_ENTREGA\static\IMAGENS_PRODUTOS\SOFA AUSTIN_151503.jpg</v>
      </c>
      <c r="V920" t="str">
        <f>IFERROR((VLOOKUP(A920,Planilha1!A:B,2,0)),"\\192.168.0.4\Produtos\PRODUTO_PRONTA_ENTREGA\static\IMAGENS_PRODUTOS\SEM IMAGEM.jpg")</f>
        <v>\\192.168.0.4\Produtos\PRODUTO_PRONTA_ENTREGA\static\IMAGENS_PRODUTOS\SOFA AUSTIN_151503.jpg</v>
      </c>
    </row>
    <row r="921" spans="1:22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48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49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50"/>
        <v>2</v>
      </c>
      <c r="U921" s="10" t="str">
        <f>IFERROR((VLOOKUP(A921,Planilha1!A:B,2,0)),"\\192.168.0.4\Produtos\PRODUTO_PRONTA_ENTREGA\static\IMAGENS_PRODUTOS\SEM IMAGEM.jpg")</f>
        <v>\\192.168.0.4\Produtos\PRODUTO_PRONTA_ENTREGA\static\IMAGENS_PRODUTOS\PUFF UFO_233159.jpg</v>
      </c>
      <c r="V921" t="str">
        <f>IFERROR((VLOOKUP(A921,Planilha1!A:B,2,0)),"\\192.168.0.4\Produtos\PRODUTO_PRONTA_ENTREGA\static\IMAGENS_PRODUTOS\SEM IMAGEM.jpg")</f>
        <v>\\192.168.0.4\Produtos\PRODUTO_PRONTA_ENTREGA\static\IMAGENS_PRODUTOS\PUFF UFO_233159.jpg</v>
      </c>
    </row>
    <row r="922" spans="1:22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48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49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50"/>
        <v>1</v>
      </c>
      <c r="U922" s="10" t="str">
        <f>IFERROR((VLOOKUP(A922,Planilha1!A:B,2,0)),"\\192.168.0.4\Produtos\PRODUTO_PRONTA_ENTREGA\static\IMAGENS_PRODUTOS\SEM IMAGEM.jpg")</f>
        <v>\\192.168.0.4\Produtos\PRODUTO_PRONTA_ENTREGA\static\IMAGENS_PRODUTOS\PUFF UFO_233160.jpg</v>
      </c>
      <c r="V922" t="str">
        <f>IFERROR((VLOOKUP(A922,Planilha1!A:B,2,0)),"\\192.168.0.4\Produtos\PRODUTO_PRONTA_ENTREGA\static\IMAGENS_PRODUTOS\SEM IMAGEM.jpg")</f>
        <v>\\192.168.0.4\Produtos\PRODUTO_PRONTA_ENTREGA\static\IMAGENS_PRODUTOS\PUFF UFO_233160.jpg</v>
      </c>
    </row>
    <row r="923" spans="1:22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48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49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50"/>
        <v>1</v>
      </c>
      <c r="U923" s="10" t="str">
        <f>IFERROR((VLOOKUP(A923,Planilha1!A:B,2,0)),"\\192.168.0.4\Produtos\PRODUTO_PRONTA_ENTREGA\static\IMAGENS_PRODUTOS\SEM IMAGEM.jpg")</f>
        <v>\\192.168.0.4\Produtos\PRODUTO_PRONTA_ENTREGA\static\IMAGENS_PRODUTOS\PUFF BABI_252251.jpg</v>
      </c>
      <c r="V923" t="str">
        <f>IFERROR((VLOOKUP(A923,Planilha1!A:B,2,0)),"\\192.168.0.4\Produtos\PRODUTO_PRONTA_ENTREGA\static\IMAGENS_PRODUTOS\SEM IMAGEM.jpg")</f>
        <v>\\192.168.0.4\Produtos\PRODUTO_PRONTA_ENTREGA\static\IMAGENS_PRODUTOS\PUFF BABI_252251.jpg</v>
      </c>
    </row>
    <row r="924" spans="1:22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48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49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50"/>
        <v>1</v>
      </c>
      <c r="U924" s="10" t="str">
        <f>IFERROR((VLOOKUP(A924,Planilha1!A:B,2,0)),"\\192.168.0.4\Produtos\PRODUTO_PRONTA_ENTREGA\static\IMAGENS_PRODUTOS\SEM IMAGEM.jpg")</f>
        <v>\\192.168.0.4\Produtos\PRODUTO_PRONTA_ENTREGA\static\IMAGENS_PRODUTOS\SEM IMAGEM.jpg</v>
      </c>
      <c r="V924" t="str">
        <f>IFERROR((VLOOKUP(A924,Planilha1!A:B,2,0)),"\\192.168.0.4\Produtos\PRODUTO_PRONTA_ENTREGA\static\IMAGENS_PRODUTOS\SEM IMAGEM.jpg")</f>
        <v>\\192.168.0.4\Produtos\PRODUTO_PRONTA_ENTREGA\static\IMAGENS_PRODUTOS\SEM IMAGEM.jpg</v>
      </c>
    </row>
    <row r="925" spans="1:22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48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49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50"/>
        <v>1</v>
      </c>
      <c r="U925" s="10" t="str">
        <f>IFERROR((VLOOKUP(A925,Planilha1!A:B,2,0)),"\\192.168.0.4\Produtos\PRODUTO_PRONTA_ENTREGA\static\IMAGENS_PRODUTOS\SEM IMAGEM.jpg")</f>
        <v>\\192.168.0.4\Produtos\PRODUTO_PRONTA_ENTREGA\static\IMAGENS_PRODUTOS\SEM IMAGEM.jpg</v>
      </c>
      <c r="V925" t="str">
        <f>IFERROR((VLOOKUP(A925,Planilha1!A:B,2,0)),"\\192.168.0.4\Produtos\PRODUTO_PRONTA_ENTREGA\static\IMAGENS_PRODUTOS\SEM IMAGEM.jpg")</f>
        <v>\\192.168.0.4\Produtos\PRODUTO_PRONTA_ENTREGA\static\IMAGENS_PRODUTOS\SEM IMAGEM.jpg</v>
      </c>
    </row>
    <row r="926" spans="1:22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48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49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50"/>
        <v>1</v>
      </c>
      <c r="U926" s="10" t="str">
        <f>IFERROR((VLOOKUP(A926,Planilha1!A:B,2,0)),"\\192.168.0.4\Produtos\PRODUTO_PRONTA_ENTREGA\static\IMAGENS_PRODUTOS\SEM IMAGEM.jpg")</f>
        <v>\\192.168.0.4\Produtos\PRODUTO_PRONTA_ENTREGA\static\IMAGENS_PRODUTOS\SEM IMAGEM.jpg</v>
      </c>
      <c r="V926" t="str">
        <f>IFERROR((VLOOKUP(A926,Planilha1!A:B,2,0)),"\\192.168.0.4\Produtos\PRODUTO_PRONTA_ENTREGA\static\IMAGENS_PRODUTOS\SEM IMAGEM.jpg")</f>
        <v>\\192.168.0.4\Produtos\PRODUTO_PRONTA_ENTREGA\static\IMAGENS_PRODUTOS\SEM IMAGEM.jpg</v>
      </c>
    </row>
    <row r="927" spans="1:22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48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49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50"/>
        <v>1</v>
      </c>
      <c r="U927" s="10" t="str">
        <f>IFERROR((VLOOKUP(A927,Planilha1!A:B,2,0)),"\\192.168.0.4\Produtos\PRODUTO_PRONTA_ENTREGA\static\IMAGENS_PRODUTOS\SEM IMAGEM.jpg")</f>
        <v>\\192.168.0.4\Produtos\PRODUTO_PRONTA_ENTREGA\static\IMAGENS_PRODUTOS\PUFF IZADORA_271762.jpg</v>
      </c>
      <c r="V927" t="str">
        <f>IFERROR((VLOOKUP(A927,Planilha1!A:B,2,0)),"\\192.168.0.4\Produtos\PRODUTO_PRONTA_ENTREGA\static\IMAGENS_PRODUTOS\SEM IMAGEM.jpg")</f>
        <v>\\192.168.0.4\Produtos\PRODUTO_PRONTA_ENTREGA\static\IMAGENS_PRODUTOS\PUFF IZADORA_271762.jpg</v>
      </c>
    </row>
    <row r="928" spans="1:22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48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49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50"/>
        <v>1</v>
      </c>
      <c r="U928" s="10" t="str">
        <f>IFERROR((VLOOKUP(A928,Planilha1!A:B,2,0)),"\\192.168.0.4\Produtos\PRODUTO_PRONTA_ENTREGA\static\IMAGENS_PRODUTOS\SEM IMAGEM.jpg")</f>
        <v>\\192.168.0.4\Produtos\PRODUTO_PRONTA_ENTREGA\static\IMAGENS_PRODUTOS\CHAISE TARANTO_270755.jpg</v>
      </c>
      <c r="V928" t="str">
        <f>IFERROR((VLOOKUP(A928,Planilha1!A:B,2,0)),"\\192.168.0.4\Produtos\PRODUTO_PRONTA_ENTREGA\static\IMAGENS_PRODUTOS\SEM IMAGEM.jpg")</f>
        <v>\\192.168.0.4\Produtos\PRODUTO_PRONTA_ENTREGA\static\IMAGENS_PRODUTOS\CHAISE TARANTO_270755.jpg</v>
      </c>
    </row>
    <row r="929" spans="1:22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48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49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50"/>
        <v>1</v>
      </c>
      <c r="U929" s="10" t="str">
        <f>IFERROR((VLOOKUP(A929,Planilha1!A:B,2,0)),"\\192.168.0.4\Produtos\PRODUTO_PRONTA_ENTREGA\static\IMAGENS_PRODUTOS\SEM IMAGEM.jpg")</f>
        <v>\\192.168.0.4\Produtos\PRODUTO_PRONTA_ENTREGA\static\IMAGENS_PRODUTOS\SOFA ANDROS_271264.jpg</v>
      </c>
      <c r="V929" t="str">
        <f>IFERROR((VLOOKUP(A929,Planilha1!A:B,2,0)),"\\192.168.0.4\Produtos\PRODUTO_PRONTA_ENTREGA\static\IMAGENS_PRODUTOS\SEM IMAGEM.jpg")</f>
        <v>\\192.168.0.4\Produtos\PRODUTO_PRONTA_ENTREGA\static\IMAGENS_PRODUTOS\SOFA ANDROS_271264.jpg</v>
      </c>
    </row>
    <row r="930" spans="1:22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48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49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50"/>
        <v>2</v>
      </c>
      <c r="U930" s="10" t="str">
        <f>IFERROR((VLOOKUP(A930,Planilha1!A:B,2,0)),"\\192.168.0.4\Produtos\PRODUTO_PRONTA_ENTREGA\static\IMAGENS_PRODUTOS\SEM IMAGEM.jpg")</f>
        <v>\\192.168.0.4\Produtos\PRODUTO_PRONTA_ENTREGA\static\IMAGENS_PRODUTOS\PUFF DIXON_255776.jpg</v>
      </c>
      <c r="V930" t="str">
        <f>IFERROR((VLOOKUP(A930,Planilha1!A:B,2,0)),"\\192.168.0.4\Produtos\PRODUTO_PRONTA_ENTREGA\static\IMAGENS_PRODUTOS\SEM IMAGEM.jpg")</f>
        <v>\\192.168.0.4\Produtos\PRODUTO_PRONTA_ENTREGA\static\IMAGENS_PRODUTOS\PUFF DIXON_255776.jpg</v>
      </c>
    </row>
    <row r="931" spans="1:22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48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49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50"/>
        <v>1</v>
      </c>
      <c r="U931" s="10" t="str">
        <f>IFERROR((VLOOKUP(A931,Planilha1!A:B,2,0)),"\\192.168.0.4\Produtos\PRODUTO_PRONTA_ENTREGA\static\IMAGENS_PRODUTOS\SEM IMAGEM.jpg")</f>
        <v>\\192.168.0.4\Produtos\PRODUTO_PRONTA_ENTREGA\static\IMAGENS_PRODUTOS\SEM IMAGEM.jpg</v>
      </c>
      <c r="V931" t="str">
        <f>IFERROR((VLOOKUP(A931,Planilha1!A:B,2,0)),"\\192.168.0.4\Produtos\PRODUTO_PRONTA_ENTREGA\static\IMAGENS_PRODUTOS\SEM IMAGEM.jpg")</f>
        <v>\\192.168.0.4\Produtos\PRODUTO_PRONTA_ENTREGA\static\IMAGENS_PRODUTOS\SEM IMAGEM.jpg</v>
      </c>
    </row>
    <row r="932" spans="1:22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48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49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50"/>
        <v>2</v>
      </c>
      <c r="U932" s="10" t="str">
        <f>IFERROR((VLOOKUP(A932,Planilha1!A:B,2,0)),"\\192.168.0.4\Produtos\PRODUTO_PRONTA_ENTREGA\static\IMAGENS_PRODUTOS\SEM IMAGEM.jpg")</f>
        <v>\\192.168.0.4\Produtos\PRODUTO_PRONTA_ENTREGA\static\IMAGENS_PRODUTOS\SEM IMAGEM.jpg</v>
      </c>
      <c r="V932" t="str">
        <f>IFERROR((VLOOKUP(A932,Planilha1!A:B,2,0)),"\\192.168.0.4\Produtos\PRODUTO_PRONTA_ENTREGA\static\IMAGENS_PRODUTOS\SEM IMAGEM.jpg")</f>
        <v>\\192.168.0.4\Produtos\PRODUTO_PRONTA_ENTREGA\static\IMAGENS_PRODUTOS\SEM IMAGEM.jpg</v>
      </c>
    </row>
    <row r="933" spans="1:22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48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49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50"/>
        <v>5</v>
      </c>
      <c r="U933" s="10" t="str">
        <f>IFERROR((VLOOKUP(A933,Planilha1!A:B,2,0)),"\\192.168.0.4\Produtos\PRODUTO_PRONTA_ENTREGA\static\IMAGENS_PRODUTOS\SEM IMAGEM.jpg")</f>
        <v>\\192.168.0.4\Produtos\PRODUTO_PRONTA_ENTREGA\static\IMAGENS_PRODUTOS\SEM IMAGEM.jpg</v>
      </c>
      <c r="V933" t="str">
        <f>IFERROR((VLOOKUP(A933,Planilha1!A:B,2,0)),"\\192.168.0.4\Produtos\PRODUTO_PRONTA_ENTREGA\static\IMAGENS_PRODUTOS\SEM IMAGEM.jpg")</f>
        <v>\\192.168.0.4\Produtos\PRODUTO_PRONTA_ENTREGA\static\IMAGENS_PRODUTOS\SEM IMAGEM.jpg</v>
      </c>
    </row>
    <row r="934" spans="1:22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48"/>
        <v/>
      </c>
      <c r="L934" s="7" t="str">
        <f>IF(VLOOKUP(A934,'[1]LISTA ETIQUETAS'!O:AB,14,0)="","",(VLOOKUP(A934,'[1]LISTA ETIQUETAS'!O:AB,14,0)))</f>
        <v/>
      </c>
      <c r="M934" s="8"/>
      <c r="N934" s="9">
        <f t="shared" si="49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50"/>
        <v>1</v>
      </c>
      <c r="U934" s="10" t="str">
        <f>IFERROR((VLOOKUP(A934,Planilha1!A:B,2,0)),"\\192.168.0.4\Produtos\PRODUTO_PRONTA_ENTREGA\static\IMAGENS_PRODUTOS\SEM IMAGEM.jpg")</f>
        <v>\\192.168.0.4\Produtos\PRODUTO_PRONTA_ENTREGA\static\IMAGENS_PRODUTOS\SEM IMAGEM.jpg</v>
      </c>
      <c r="V934" t="str">
        <f>IFERROR((VLOOKUP(A934,Planilha1!A:B,2,0)),"\\192.168.0.4\Produtos\PRODUTO_PRONTA_ENTREGA\static\IMAGENS_PRODUTOS\SEM IMAGEM.jpg")</f>
        <v>\\192.168.0.4\Produtos\PRODUTO_PRONTA_ENTREGA\static\IMAGENS_PRODUTOS\SEM IMAGEM.jpg</v>
      </c>
    </row>
    <row r="935" spans="1:22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48"/>
        <v/>
      </c>
      <c r="L935" s="7" t="str">
        <f>IF(VLOOKUP(A935,'[1]LISTA ETIQUETAS'!O:AB,14,0)="","",(VLOOKUP(A935,'[1]LISTA ETIQUETAS'!O:AB,14,0)))</f>
        <v/>
      </c>
      <c r="M935" s="8"/>
      <c r="N935" s="9">
        <f t="shared" si="49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50"/>
        <v>1</v>
      </c>
      <c r="U935" s="10" t="str">
        <f>IFERROR((VLOOKUP(A935,Planilha1!A:B,2,0)),"\\192.168.0.4\Produtos\PRODUTO_PRONTA_ENTREGA\static\IMAGENS_PRODUTOS\SEM IMAGEM.jpg")</f>
        <v>\\192.168.0.4\Produtos\PRODUTO_PRONTA_ENTREGA\static\IMAGENS_PRODUTOS\SEM IMAGEM.jpg</v>
      </c>
      <c r="V935" t="str">
        <f>IFERROR((VLOOKUP(A935,Planilha1!A:B,2,0)),"\\192.168.0.4\Produtos\PRODUTO_PRONTA_ENTREGA\static\IMAGENS_PRODUTOS\SEM IMAGEM.jpg")</f>
        <v>\\192.168.0.4\Produtos\PRODUTO_PRONTA_ENTREGA\static\IMAGENS_PRODUTOS\SEM IMAGEM.jpg</v>
      </c>
    </row>
    <row r="936" spans="1:22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48"/>
        <v/>
      </c>
      <c r="L936" s="7" t="str">
        <f>IF(VLOOKUP(A936,'[1]LISTA ETIQUETAS'!O:AB,14,0)="","",(VLOOKUP(A936,'[1]LISTA ETIQUETAS'!O:AB,14,0)))</f>
        <v/>
      </c>
      <c r="M936" s="8"/>
      <c r="N936" s="9">
        <f t="shared" si="49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50"/>
        <v>1</v>
      </c>
      <c r="U936" s="10" t="str">
        <f>IFERROR((VLOOKUP(A936,Planilha1!A:B,2,0)),"\\192.168.0.4\Produtos\PRODUTO_PRONTA_ENTREGA\static\IMAGENS_PRODUTOS\SEM IMAGEM.jpg")</f>
        <v>\\192.168.0.4\Produtos\PRODUTO_PRONTA_ENTREGA\static\IMAGENS_PRODUTOS\SEM IMAGEM.jpg</v>
      </c>
      <c r="V936" t="str">
        <f>IFERROR((VLOOKUP(A936,Planilha1!A:B,2,0)),"\\192.168.0.4\Produtos\PRODUTO_PRONTA_ENTREGA\static\IMAGENS_PRODUTOS\SEM IMAGEM.jpg")</f>
        <v>\\192.168.0.4\Produtos\PRODUTO_PRONTA_ENTREGA\static\IMAGENS_PRODUTOS\SEM IMAGEM.jpg</v>
      </c>
    </row>
    <row r="937" spans="1:22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48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49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50"/>
        <v>1</v>
      </c>
      <c r="U937" s="10" t="str">
        <f>IFERROR((VLOOKUP(A937,Planilha1!A:B,2,0)),"\\192.168.0.4\Produtos\PRODUTO_PRONTA_ENTREGA\static\IMAGENS_PRODUTOS\SEM IMAGEM.jpg")</f>
        <v>\\192.168.0.4\Produtos\PRODUTO_PRONTA_ENTREGA\static\IMAGENS_PRODUTOS\SOFA OCA_365800.jpg</v>
      </c>
      <c r="V937" t="str">
        <f>IFERROR((VLOOKUP(A937,Planilha1!A:B,2,0)),"\\192.168.0.4\Produtos\PRODUTO_PRONTA_ENTREGA\static\IMAGENS_PRODUTOS\SEM IMAGEM.jpg")</f>
        <v>\\192.168.0.4\Produtos\PRODUTO_PRONTA_ENTREGA\static\IMAGENS_PRODUTOS\SOFA OCA_365800.jpg</v>
      </c>
    </row>
    <row r="938" spans="1:22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48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49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50"/>
        <v>1</v>
      </c>
      <c r="U938" s="10" t="str">
        <f>IFERROR((VLOOKUP(A938,Planilha1!A:B,2,0)),"\\192.168.0.4\Produtos\PRODUTO_PRONTA_ENTREGA\static\IMAGENS_PRODUTOS\SEM IMAGEM.jpg")</f>
        <v>\\192.168.0.4\Produtos\PRODUTO_PRONTA_ENTREGA\static\IMAGENS_PRODUTOS\SEM IMAGEM.jpg</v>
      </c>
      <c r="V938" t="str">
        <f>IFERROR((VLOOKUP(A938,Planilha1!A:B,2,0)),"\\192.168.0.4\Produtos\PRODUTO_PRONTA_ENTREGA\static\IMAGENS_PRODUTOS\SEM IMAGEM.jpg")</f>
        <v>\\192.168.0.4\Produtos\PRODUTO_PRONTA_ENTREGA\static\IMAGENS_PRODUTOS\SEM IMAGEM.jpg</v>
      </c>
    </row>
    <row r="939" spans="1:22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48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49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50"/>
        <v>1</v>
      </c>
      <c r="U939" s="10" t="str">
        <f>IFERROR((VLOOKUP(A939,Planilha1!A:B,2,0)),"\\192.168.0.4\Produtos\PRODUTO_PRONTA_ENTREGA\static\IMAGENS_PRODUTOS\SEM IMAGEM.jpg")</f>
        <v>\\192.168.0.4\Produtos\PRODUTO_PRONTA_ENTREGA\static\IMAGENS_PRODUTOS\SOFA LENCOIS M MODULO PUFF ENCOSTO_354853_35485.jpg</v>
      </c>
      <c r="V939" t="str">
        <f>IFERROR((VLOOKUP(A939,Planilha1!A:B,2,0)),"\\192.168.0.4\Produtos\PRODUTO_PRONTA_ENTREGA\static\IMAGENS_PRODUTOS\SEM IMAGEM.jpg")</f>
        <v>\\192.168.0.4\Produtos\PRODUTO_PRONTA_ENTREGA\static\IMAGENS_PRODUTOS\SOFA LENCOIS M MODULO PUFF ENCOSTO_354853_35485.jpg</v>
      </c>
    </row>
    <row r="940" spans="1:22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48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49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50"/>
        <v>1</v>
      </c>
      <c r="U940" s="10" t="str">
        <f>IFERROR((VLOOKUP(A940,Planilha1!A:B,2,0)),"\\192.168.0.4\Produtos\PRODUTO_PRONTA_ENTREGA\static\IMAGENS_PRODUTOS\SEM IMAGEM.jpg")</f>
        <v>\\192.168.0.4\Produtos\PRODUTO_PRONTA_ENTREGA\static\IMAGENS_PRODUTOS\SOFA TARANTO_353140_353141_353142.jpg</v>
      </c>
      <c r="V940" t="str">
        <f>IFERROR((VLOOKUP(A940,Planilha1!A:B,2,0)),"\\192.168.0.4\Produtos\PRODUTO_PRONTA_ENTREGA\static\IMAGENS_PRODUTOS\SEM IMAGEM.jpg")</f>
        <v>\\192.168.0.4\Produtos\PRODUTO_PRONTA_ENTREGA\static\IMAGENS_PRODUTOS\SOFA TARANTO_353140_353141_353142.jpg</v>
      </c>
    </row>
    <row r="941" spans="1:22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48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49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50"/>
        <v>1</v>
      </c>
      <c r="U941" s="10" t="str">
        <f>IFERROR((VLOOKUP(A941,Planilha1!A:B,2,0)),"\\192.168.0.4\Produtos\PRODUTO_PRONTA_ENTREGA\static\IMAGENS_PRODUTOS\SEM IMAGEM.jpg")</f>
        <v>\\192.168.0.4\Produtos\PRODUTO_PRONTA_ENTREGA\static\IMAGENS_PRODUTOS\SOFA OCA_334454.jpg</v>
      </c>
      <c r="V941" t="str">
        <f>IFERROR((VLOOKUP(A941,Planilha1!A:B,2,0)),"\\192.168.0.4\Produtos\PRODUTO_PRONTA_ENTREGA\static\IMAGENS_PRODUTOS\SEM IMAGEM.jpg")</f>
        <v>\\192.168.0.4\Produtos\PRODUTO_PRONTA_ENTREGA\static\IMAGENS_PRODUTOS\SOFA OCA_334454.jpg</v>
      </c>
    </row>
    <row r="942" spans="1:22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48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49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50"/>
        <v>1</v>
      </c>
      <c r="U942" s="10" t="str">
        <f>IFERROR((VLOOKUP(A942,Planilha1!A:B,2,0)),"\\192.168.0.4\Produtos\PRODUTO_PRONTA_ENTREGA\static\IMAGENS_PRODUTOS\SEM IMAGEM.jpg")</f>
        <v>\\192.168.0.4\Produtos\PRODUTO_PRONTA_ENTREGA\static\IMAGENS_PRODUTOS\SEM IMAGEM.jpg</v>
      </c>
      <c r="V942" t="str">
        <f>IFERROR((VLOOKUP(A942,Planilha1!A:B,2,0)),"\\192.168.0.4\Produtos\PRODUTO_PRONTA_ENTREGA\static\IMAGENS_PRODUTOS\SEM IMAGEM.jpg")</f>
        <v>\\192.168.0.4\Produtos\PRODUTO_PRONTA_ENTREGA\static\IMAGENS_PRODUTOS\SEM IMAGEM.jpg</v>
      </c>
    </row>
    <row r="943" spans="1:22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48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49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50"/>
        <v>1</v>
      </c>
      <c r="U943" s="10" t="str">
        <f>IFERROR((VLOOKUP(A943,Planilha1!A:B,2,0)),"\\192.168.0.4\Produtos\PRODUTO_PRONTA_ENTREGA\static\IMAGENS_PRODUTOS\SEM IMAGEM.jpg")</f>
        <v>\\192.168.0.4\Produtos\PRODUTO_PRONTA_ENTREGA\static\IMAGENS_PRODUTOS\SEM IMAGEM.jpg</v>
      </c>
      <c r="V943" t="str">
        <f>IFERROR((VLOOKUP(A943,Planilha1!A:B,2,0)),"\\192.168.0.4\Produtos\PRODUTO_PRONTA_ENTREGA\static\IMAGENS_PRODUTOS\SEM IMAGEM.jpg")</f>
        <v>\\192.168.0.4\Produtos\PRODUTO_PRONTA_ENTREGA\static\IMAGENS_PRODUTOS\SEM IMAGEM.jpg</v>
      </c>
    </row>
    <row r="944" spans="1:22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48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49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50"/>
        <v>1</v>
      </c>
      <c r="U944" s="10" t="str">
        <f>IFERROR((VLOOKUP(A944,Planilha1!A:B,2,0)),"\\192.168.0.4\Produtos\PRODUTO_PRONTA_ENTREGA\static\IMAGENS_PRODUTOS\SEM IMAGEM.jpg")</f>
        <v>\\192.168.0.4\Produtos\PRODUTO_PRONTA_ENTREGA\static\IMAGENS_PRODUTOS\SEM IMAGEM.jpg</v>
      </c>
      <c r="V944" t="str">
        <f>IFERROR((VLOOKUP(A944,Planilha1!A:B,2,0)),"\\192.168.0.4\Produtos\PRODUTO_PRONTA_ENTREGA\static\IMAGENS_PRODUTOS\SEM IMAGEM.jpg")</f>
        <v>\\192.168.0.4\Produtos\PRODUTO_PRONTA_ENTREGA\static\IMAGENS_PRODUTOS\SEM IMAGEM.jpg</v>
      </c>
    </row>
    <row r="945" spans="1:22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48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49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50"/>
        <v>1</v>
      </c>
      <c r="U945" s="10" t="str">
        <f>IFERROR((VLOOKUP(A945,Planilha1!A:B,2,0)),"\\192.168.0.4\Produtos\PRODUTO_PRONTA_ENTREGA\static\IMAGENS_PRODUTOS\SEM IMAGEM.jpg")</f>
        <v>\\192.168.0.4\Produtos\PRODUTO_PRONTA_ENTREGA\static\IMAGENS_PRODUTOS\SEM IMAGEM.jpg</v>
      </c>
      <c r="V945" t="str">
        <f>IFERROR((VLOOKUP(A945,Planilha1!A:B,2,0)),"\\192.168.0.4\Produtos\PRODUTO_PRONTA_ENTREGA\static\IMAGENS_PRODUTOS\SEM IMAGEM.jpg")</f>
        <v>\\192.168.0.4\Produtos\PRODUTO_PRONTA_ENTREGA\static\IMAGENS_PRODUTOS\SEM IMAGEM.jpg</v>
      </c>
    </row>
    <row r="946" spans="1:22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48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49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50"/>
        <v>2</v>
      </c>
      <c r="U946" s="10" t="str">
        <f>IFERROR((VLOOKUP(A946,Planilha1!A:B,2,0)),"\\192.168.0.4\Produtos\PRODUTO_PRONTA_ENTREGA\static\IMAGENS_PRODUTOS\SEM IMAGEM.jpg")</f>
        <v>\\192.168.0.4\Produtos\PRODUTO_PRONTA_ENTREGA\static\IMAGENS_PRODUTOS\SEM IMAGEM.jpg</v>
      </c>
      <c r="V946" t="str">
        <f>IFERROR((VLOOKUP(A946,Planilha1!A:B,2,0)),"\\192.168.0.4\Produtos\PRODUTO_PRONTA_ENTREGA\static\IMAGENS_PRODUTOS\SEM IMAGEM.jpg")</f>
        <v>\\192.168.0.4\Produtos\PRODUTO_PRONTA_ENTREGA\static\IMAGENS_PRODUTOS\SEM IMAGEM.jpg</v>
      </c>
    </row>
    <row r="947" spans="1:22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48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49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50"/>
        <v>2</v>
      </c>
      <c r="U947" s="10" t="str">
        <f>IFERROR((VLOOKUP(A947,Planilha1!A:B,2,0)),"\\192.168.0.4\Produtos\PRODUTO_PRONTA_ENTREGA\static\IMAGENS_PRODUTOS\SEM IMAGEM.jpg")</f>
        <v>\\192.168.0.4\Produtos\PRODUTO_PRONTA_ENTREGA\static\IMAGENS_PRODUTOS\SEM IMAGEM.jpg</v>
      </c>
      <c r="V947" t="str">
        <f>IFERROR((VLOOKUP(A947,Planilha1!A:B,2,0)),"\\192.168.0.4\Produtos\PRODUTO_PRONTA_ENTREGA\static\IMAGENS_PRODUTOS\SEM IMAGEM.jpg")</f>
        <v>\\192.168.0.4\Produtos\PRODUTO_PRONTA_ENTREGA\static\IMAGENS_PRODUTOS\SEM IMAGEM.jpg</v>
      </c>
    </row>
    <row r="948" spans="1:22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48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49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50"/>
        <v>1</v>
      </c>
      <c r="U948" s="10" t="str">
        <f>IFERROR((VLOOKUP(A948,Planilha1!A:B,2,0)),"\\192.168.0.4\Produtos\PRODUTO_PRONTA_ENTREGA\static\IMAGENS_PRODUTOS\SEM IMAGEM.jpg")</f>
        <v>\\192.168.0.4\Produtos\PRODUTO_PRONTA_ENTREGA\static\IMAGENS_PRODUTOS\SEM IMAGEM.jpg</v>
      </c>
      <c r="V948" t="str">
        <f>IFERROR((VLOOKUP(A948,Planilha1!A:B,2,0)),"\\192.168.0.4\Produtos\PRODUTO_PRONTA_ENTREGA\static\IMAGENS_PRODUTOS\SEM IMAGEM.jpg")</f>
        <v>\\192.168.0.4\Produtos\PRODUTO_PRONTA_ENTREGA\static\IMAGENS_PRODUTOS\SEM IMAGEM.jpg</v>
      </c>
    </row>
    <row r="949" spans="1:22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48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49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50"/>
        <v>1</v>
      </c>
      <c r="U949" s="10" t="str">
        <f>IFERROR((VLOOKUP(A949,Planilha1!A:B,2,0)),"\\192.168.0.4\Produtos\PRODUTO_PRONTA_ENTREGA\static\IMAGENS_PRODUTOS\SEM IMAGEM.jpg")</f>
        <v>\\192.168.0.4\Produtos\PRODUTO_PRONTA_ENTREGA\static\IMAGENS_PRODUTOS\SEM IMAGEM.jpg</v>
      </c>
      <c r="V949" t="str">
        <f>IFERROR((VLOOKUP(A949,Planilha1!A:B,2,0)),"\\192.168.0.4\Produtos\PRODUTO_PRONTA_ENTREGA\static\IMAGENS_PRODUTOS\SEM IMAGEM.jpg")</f>
        <v>\\192.168.0.4\Produtos\PRODUTO_PRONTA_ENTREGA\static\IMAGENS_PRODUTOS\SEM IMAGEM.jpg</v>
      </c>
    </row>
    <row r="950" spans="1:22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48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49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50"/>
        <v>3</v>
      </c>
      <c r="U950" s="10" t="str">
        <f>IFERROR((VLOOKUP(A950,Planilha1!A:B,2,0)),"\\192.168.0.4\Produtos\PRODUTO_PRONTA_ENTREGA\static\IMAGENS_PRODUTOS\SEM IMAGEM.jpg")</f>
        <v>\\192.168.0.4\Produtos\PRODUTO_PRONTA_ENTREGA\static\IMAGENS_PRODUTOS\SEM IMAGEM.jpg</v>
      </c>
      <c r="V950" t="str">
        <f>IFERROR((VLOOKUP(A950,Planilha1!A:B,2,0)),"\\192.168.0.4\Produtos\PRODUTO_PRONTA_ENTREGA\static\IMAGENS_PRODUTOS\SEM IMAGEM.jpg")</f>
        <v>\\192.168.0.4\Produtos\PRODUTO_PRONTA_ENTREGA\static\IMAGENS_PRODUTOS\SEM IMAGEM.jpg</v>
      </c>
    </row>
    <row r="951" spans="1:22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48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49"/>
        <v>334162</v>
      </c>
      <c r="O951" s="2">
        <f>_xlfn.XLOOKUP($A951,'[1]LISTA ETIQUETAS'!$O:$O,'[1]LISTA ETIQUETAS'!C:C,"",0)</f>
        <v>1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0</v>
      </c>
      <c r="T951" s="9">
        <f t="shared" si="50"/>
        <v>1</v>
      </c>
      <c r="U951" s="10" t="str">
        <f>IFERROR((VLOOKUP(A951,Planilha1!A:B,2,0)),"\\192.168.0.4\Produtos\PRODUTO_PRONTA_ENTREGA\static\IMAGENS_PRODUTOS\SEM IMAGEM.jpg")</f>
        <v>\\192.168.0.4\Produtos\PRODUTO_PRONTA_ENTREGA\static\IMAGENS_PRODUTOS\SEM IMAGEM.jpg</v>
      </c>
      <c r="V951" t="str">
        <f>IFERROR((VLOOKUP(A951,Planilha1!A:B,2,0)),"\\192.168.0.4\Produtos\PRODUTO_PRONTA_ENTREGA\static\IMAGENS_PRODUTOS\SEM IMAGEM.jpg")</f>
        <v>\\192.168.0.4\Produtos\PRODUTO_PRONTA_ENTREGA\static\IMAGENS_PRODUTOS\SEM IMAGEM.jpg</v>
      </c>
    </row>
    <row r="952" spans="1:22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48"/>
        <v/>
      </c>
      <c r="L952" s="7" t="str">
        <f>IF(VLOOKUP(A952,'[1]LISTA ETIQUETAS'!O:AB,14,0)="","",(VLOOKUP(A952,'[1]LISTA ETIQUETAS'!O:AB,14,0)))</f>
        <v/>
      </c>
      <c r="M952" s="8"/>
      <c r="N952" s="9">
        <f t="shared" si="49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50"/>
        <v>1</v>
      </c>
      <c r="U952" s="10" t="str">
        <f>IFERROR((VLOOKUP(A952,Planilha1!A:B,2,0)),"\\192.168.0.4\Produtos\PRODUTO_PRONTA_ENTREGA\static\IMAGENS_PRODUTOS\SEM IMAGEM.jpg")</f>
        <v>\\192.168.0.4\Produtos\PRODUTO_PRONTA_ENTREGA\static\IMAGENS_PRODUTOS\SEM IMAGEM.jpg</v>
      </c>
      <c r="V952" t="str">
        <f>IFERROR((VLOOKUP(A952,Planilha1!A:B,2,0)),"\\192.168.0.4\Produtos\PRODUTO_PRONTA_ENTREGA\static\IMAGENS_PRODUTOS\SEM IMAGEM.jpg")</f>
        <v>\\192.168.0.4\Produtos\PRODUTO_PRONTA_ENTREGA\static\IMAGENS_PRODUTOS\SEM IMAGEM.jpg</v>
      </c>
    </row>
    <row r="953" spans="1:22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48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49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50"/>
        <v>1</v>
      </c>
      <c r="U953" s="10" t="str">
        <f>IFERROR((VLOOKUP(A953,Planilha1!A:B,2,0)),"\\192.168.0.4\Produtos\PRODUTO_PRONTA_ENTREGA\static\IMAGENS_PRODUTOS\SEM IMAGEM.jpg")</f>
        <v>\\192.168.0.4\Produtos\PRODUTO_PRONTA_ENTREGA\static\IMAGENS_PRODUTOS\SOFA DALOA_327346_327347_300252.jpg</v>
      </c>
      <c r="V953" t="str">
        <f>IFERROR((VLOOKUP(A953,Planilha1!A:B,2,0)),"\\192.168.0.4\Produtos\PRODUTO_PRONTA_ENTREGA\static\IMAGENS_PRODUTOS\SEM IMAGEM.jpg")</f>
        <v>\\192.168.0.4\Produtos\PRODUTO_PRONTA_ENTREGA\static\IMAGENS_PRODUTOS\SOFA DALOA_327346_327347_300252.jpg</v>
      </c>
    </row>
    <row r="954" spans="1:22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48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49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50"/>
        <v>1</v>
      </c>
      <c r="U954" s="10" t="str">
        <f>IFERROR((VLOOKUP(A954,Planilha1!A:B,2,0)),"\\192.168.0.4\Produtos\PRODUTO_PRONTA_ENTREGA\static\IMAGENS_PRODUTOS\SEM IMAGEM.jpg")</f>
        <v>\\192.168.0.4\Produtos\PRODUTO_PRONTA_ENTREGA\static\IMAGENS_PRODUTOS\PUFF LENCOIS M_274900PUFF LENCOIS M_274900.jpg</v>
      </c>
      <c r="V954" t="str">
        <f>IFERROR((VLOOKUP(A954,Planilha1!A:B,2,0)),"\\192.168.0.4\Produtos\PRODUTO_PRONTA_ENTREGA\static\IMAGENS_PRODUTOS\SEM IMAGEM.jpg")</f>
        <v>\\192.168.0.4\Produtos\PRODUTO_PRONTA_ENTREGA\static\IMAGENS_PRODUTOS\PUFF LENCOIS M_274900PUFF LENCOIS M_274900.jpg</v>
      </c>
    </row>
    <row r="955" spans="1:22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48"/>
        <v/>
      </c>
      <c r="L955" s="7" t="str">
        <f>IF(VLOOKUP(A955,'[1]LISTA ETIQUETAS'!O:AB,14,0)="","",(VLOOKUP(A955,'[1]LISTA ETIQUETAS'!O:AB,14,0)))</f>
        <v/>
      </c>
      <c r="M955" s="8"/>
      <c r="N955" s="9">
        <f t="shared" si="49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50"/>
        <v>1</v>
      </c>
      <c r="U955" s="10" t="str">
        <f>IFERROR((VLOOKUP(A955,Planilha1!A:B,2,0)),"\\192.168.0.4\Produtos\PRODUTO_PRONTA_ENTREGA\static\IMAGENS_PRODUTOS\SEM IMAGEM.jpg")</f>
        <v>\\192.168.0.4\Produtos\PRODUTO_PRONTA_ENTREGA\static\IMAGENS_PRODUTOS\SEM IMAGEM.jpg</v>
      </c>
      <c r="V955" t="str">
        <f>IFERROR((VLOOKUP(A955,Planilha1!A:B,2,0)),"\\192.168.0.4\Produtos\PRODUTO_PRONTA_ENTREGA\static\IMAGENS_PRODUTOS\SEM IMAGEM.jpg")</f>
        <v>\\192.168.0.4\Produtos\PRODUTO_PRONTA_ENTREGA\static\IMAGENS_PRODUTOS\SEM IMAGEM.jpg</v>
      </c>
    </row>
    <row r="956" spans="1:22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48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49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50"/>
        <v>1</v>
      </c>
      <c r="U956" s="10" t="str">
        <f>IFERROR((VLOOKUP(A956,Planilha1!A:B,2,0)),"\\192.168.0.4\Produtos\PRODUTO_PRONTA_ENTREGA\static\IMAGENS_PRODUTOS\SEM IMAGEM.jpg")</f>
        <v>\\192.168.0.4\Produtos\PRODUTO_PRONTA_ENTREGA\static\IMAGENS_PRODUTOS\SOFA CHATEAU_213130.jpg</v>
      </c>
      <c r="V956" t="str">
        <f>IFERROR((VLOOKUP(A956,Planilha1!A:B,2,0)),"\\192.168.0.4\Produtos\PRODUTO_PRONTA_ENTREGA\static\IMAGENS_PRODUTOS\SEM IMAGEM.jpg")</f>
        <v>\\192.168.0.4\Produtos\PRODUTO_PRONTA_ENTREGA\static\IMAGENS_PRODUTOS\SOFA CHATEAU_213130.jpg</v>
      </c>
    </row>
    <row r="957" spans="1:22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48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49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50"/>
        <v>1</v>
      </c>
      <c r="U957" s="10" t="str">
        <f>IFERROR((VLOOKUP(A957,Planilha1!A:B,2,0)),"\\192.168.0.4\Produtos\PRODUTO_PRONTA_ENTREGA\static\IMAGENS_PRODUTOS\SEM IMAGEM.jpg")</f>
        <v>\\192.168.0.4\Produtos\PRODUTO_PRONTA_ENTREGA\static\IMAGENS_PRODUTOS\SOFA ILHA BELA_80909.jpg</v>
      </c>
      <c r="V957" t="str">
        <f>IFERROR((VLOOKUP(A957,Planilha1!A:B,2,0)),"\\192.168.0.4\Produtos\PRODUTO_PRONTA_ENTREGA\static\IMAGENS_PRODUTOS\SEM IMAGEM.jpg")</f>
        <v>\\192.168.0.4\Produtos\PRODUTO_PRONTA_ENTREGA\static\IMAGENS_PRODUTOS\SOFA ILHA BELA_80909.jpg</v>
      </c>
    </row>
    <row r="958" spans="1:22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48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49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50"/>
        <v>1</v>
      </c>
      <c r="U958" s="10" t="str">
        <f>IFERROR((VLOOKUP(A958,Planilha1!A:B,2,0)),"\\192.168.0.4\Produtos\PRODUTO_PRONTA_ENTREGA\static\IMAGENS_PRODUTOS\SEM IMAGEM.jpg")</f>
        <v>\\192.168.0.4\Produtos\PRODUTO_PRONTA_ENTREGA\static\IMAGENS_PRODUTOS\SEM IMAGEM.jpg</v>
      </c>
      <c r="V958" t="str">
        <f>IFERROR((VLOOKUP(A958,Planilha1!A:B,2,0)),"\\192.168.0.4\Produtos\PRODUTO_PRONTA_ENTREGA\static\IMAGENS_PRODUTOS\SEM IMAGEM.jpg")</f>
        <v>\\192.168.0.4\Produtos\PRODUTO_PRONTA_ENTREGA\static\IMAGENS_PRODUTOS\SEM IMAGEM.jpg</v>
      </c>
    </row>
    <row r="959" spans="1:22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48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49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50"/>
        <v>1</v>
      </c>
      <c r="U959" s="10" t="str">
        <f>IFERROR((VLOOKUP(A959,Planilha1!A:B,2,0)),"\\192.168.0.4\Produtos\PRODUTO_PRONTA_ENTREGA\static\IMAGENS_PRODUTOS\SEM IMAGEM.jpg")</f>
        <v>\\192.168.0.4\Produtos\PRODUTO_PRONTA_ENTREGA\static\IMAGENS_PRODUTOS\SOFA LINA_63753.jpg</v>
      </c>
      <c r="V959" t="str">
        <f>IFERROR((VLOOKUP(A959,Planilha1!A:B,2,0)),"\\192.168.0.4\Produtos\PRODUTO_PRONTA_ENTREGA\static\IMAGENS_PRODUTOS\SEM IMAGEM.jpg")</f>
        <v>\\192.168.0.4\Produtos\PRODUTO_PRONTA_ENTREGA\static\IMAGENS_PRODUTOS\SOFA LINA_63753.jpg</v>
      </c>
    </row>
    <row r="960" spans="1:22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48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49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50"/>
        <v>1</v>
      </c>
      <c r="U960" s="10" t="str">
        <f>IFERROR((VLOOKUP(A960,Planilha1!A:B,2,0)),"\\192.168.0.4\Produtos\PRODUTO_PRONTA_ENTREGA\static\IMAGENS_PRODUTOS\SEM IMAGEM.jpg")</f>
        <v>\\192.168.0.4\Produtos\PRODUTO_PRONTA_ENTREGA\static\IMAGENS_PRODUTOS\SOFA CLOUD_139906.jpg</v>
      </c>
      <c r="V960" t="str">
        <f>IFERROR((VLOOKUP(A960,Planilha1!A:B,2,0)),"\\192.168.0.4\Produtos\PRODUTO_PRONTA_ENTREGA\static\IMAGENS_PRODUTOS\SEM IMAGEM.jpg")</f>
        <v>\\192.168.0.4\Produtos\PRODUTO_PRONTA_ENTREGA\static\IMAGENS_PRODUTOS\SOFA CLOUD_139906.jpg</v>
      </c>
    </row>
    <row r="961" spans="1:22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48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49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50"/>
        <v>1</v>
      </c>
      <c r="U961" s="10" t="str">
        <f>IFERROR((VLOOKUP(A961,Planilha1!A:B,2,0)),"\\192.168.0.4\Produtos\PRODUTO_PRONTA_ENTREGA\static\IMAGENS_PRODUTOS\SEM IMAGEM.jpg")</f>
        <v>\\192.168.0.4\Produtos\PRODUTO_PRONTA_ENTREGA\static\IMAGENS_PRODUTOS\SOFA GENEVA_151391.jpg</v>
      </c>
      <c r="V961" t="str">
        <f>IFERROR((VLOOKUP(A961,Planilha1!A:B,2,0)),"\\192.168.0.4\Produtos\PRODUTO_PRONTA_ENTREGA\static\IMAGENS_PRODUTOS\SEM IMAGEM.jpg")</f>
        <v>\\192.168.0.4\Produtos\PRODUTO_PRONTA_ENTREGA\static\IMAGENS_PRODUTOS\SOFA GENEVA_151391.jpg</v>
      </c>
    </row>
    <row r="962" spans="1:22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48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49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50"/>
        <v>1</v>
      </c>
      <c r="U962" s="10" t="str">
        <f>IFERROR((VLOOKUP(A962,Planilha1!A:B,2,0)),"\\192.168.0.4\Produtos\PRODUTO_PRONTA_ENTREGA\static\IMAGENS_PRODUTOS\SEM IMAGEM.jpg")</f>
        <v>\\192.168.0.4\Produtos\PRODUTO_PRONTA_ENTREGA\static\IMAGENS_PRODUTOS\POLTRONA NAMORADEIRA STUART_151549.jpg</v>
      </c>
      <c r="V962" t="str">
        <f>IFERROR((VLOOKUP(A962,Planilha1!A:B,2,0)),"\\192.168.0.4\Produtos\PRODUTO_PRONTA_ENTREGA\static\IMAGENS_PRODUTOS\SEM IMAGEM.jpg")</f>
        <v>\\192.168.0.4\Produtos\PRODUTO_PRONTA_ENTREGA\static\IMAGENS_PRODUTOS\POLTRONA NAMORADEIRA STUART_151549.jpg</v>
      </c>
    </row>
    <row r="963" spans="1:22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51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49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50"/>
        <v>1</v>
      </c>
      <c r="U963" s="10" t="str">
        <f>IFERROR((VLOOKUP(A963,Planilha1!A:B,2,0)),"\\192.168.0.4\Produtos\PRODUTO_PRONTA_ENTREGA\static\IMAGENS_PRODUTOS\SEM IMAGEM.jpg")</f>
        <v>\\192.168.0.4\Produtos\PRODUTO_PRONTA_ENTREGA\static\IMAGENS_PRODUTOS\SOFA BRISTOL_151382.jpg</v>
      </c>
      <c r="V963" t="str">
        <f>IFERROR((VLOOKUP(A963,Planilha1!A:B,2,0)),"\\192.168.0.4\Produtos\PRODUTO_PRONTA_ENTREGA\static\IMAGENS_PRODUTOS\SEM IMAGEM.jpg")</f>
        <v>\\192.168.0.4\Produtos\PRODUTO_PRONTA_ENTREGA\static\IMAGENS_PRODUTOS\SOFA BRISTOL_151382.jpg</v>
      </c>
    </row>
    <row r="964" spans="1:22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51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52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53">SUM(O964:S964)</f>
        <v>1</v>
      </c>
      <c r="U964" s="10" t="str">
        <f>IFERROR((VLOOKUP(A964,Planilha1!A:B,2,0)),"\\192.168.0.4\Produtos\PRODUTO_PRONTA_ENTREGA\static\IMAGENS_PRODUTOS\SEM IMAGEM.jpg")</f>
        <v>\\192.168.0.4\Produtos\PRODUTO_PRONTA_ENTREGA\static\IMAGENS_PRODUTOS\SOFA REVERE_150912.jpg</v>
      </c>
      <c r="V964" t="str">
        <f>IFERROR((VLOOKUP(A964,Planilha1!A:B,2,0)),"\\192.168.0.4\Produtos\PRODUTO_PRONTA_ENTREGA\static\IMAGENS_PRODUTOS\SEM IMAGEM.jpg")</f>
        <v>\\192.168.0.4\Produtos\PRODUTO_PRONTA_ENTREGA\static\IMAGENS_PRODUTOS\SOFA REVERE_150912.jpg</v>
      </c>
    </row>
    <row r="965" spans="1:22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51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52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53"/>
        <v>1</v>
      </c>
      <c r="U965" s="10" t="str">
        <f>IFERROR((VLOOKUP(A965,Planilha1!A:B,2,0)),"\\192.168.0.4\Produtos\PRODUTO_PRONTA_ENTREGA\static\IMAGENS_PRODUTOS\SEM IMAGEM.jpg")</f>
        <v>\\192.168.0.4\Produtos\PRODUTO_PRONTA_ENTREGA\static\IMAGENS_PRODUTOS\SOFA ARMANI_176810.jpg</v>
      </c>
      <c r="V965" t="str">
        <f>IFERROR((VLOOKUP(A965,Planilha1!A:B,2,0)),"\\192.168.0.4\Produtos\PRODUTO_PRONTA_ENTREGA\static\IMAGENS_PRODUTOS\SEM IMAGEM.jpg")</f>
        <v>\\192.168.0.4\Produtos\PRODUTO_PRONTA_ENTREGA\static\IMAGENS_PRODUTOS\SOFA ARMANI_176810.jpg</v>
      </c>
    </row>
    <row r="966" spans="1:22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51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52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53"/>
        <v>1</v>
      </c>
      <c r="U966" s="10" t="str">
        <f>IFERROR((VLOOKUP(A966,Planilha1!A:B,2,0)),"\\192.168.0.4\Produtos\PRODUTO_PRONTA_ENTREGA\static\IMAGENS_PRODUTOS\SEM IMAGEM.jpg")</f>
        <v>\\192.168.0.4\Produtos\PRODUTO_PRONTA_ENTREGA\static\IMAGENS_PRODUTOS\SOFA ZEUS_186064.jpg</v>
      </c>
      <c r="V966" t="str">
        <f>IFERROR((VLOOKUP(A966,Planilha1!A:B,2,0)),"\\192.168.0.4\Produtos\PRODUTO_PRONTA_ENTREGA\static\IMAGENS_PRODUTOS\SEM IMAGEM.jpg")</f>
        <v>\\192.168.0.4\Produtos\PRODUTO_PRONTA_ENTREGA\static\IMAGENS_PRODUTOS\SOFA ZEUS_186064.jpg</v>
      </c>
    </row>
    <row r="967" spans="1:22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51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52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53"/>
        <v>1</v>
      </c>
      <c r="U967" s="10" t="str">
        <f>IFERROR((VLOOKUP(A967,Planilha1!A:B,2,0)),"\\192.168.0.4\Produtos\PRODUTO_PRONTA_ENTREGA\static\IMAGENS_PRODUTOS\SEM IMAGEM.jpg")</f>
        <v>\\192.168.0.4\Produtos\PRODUTO_PRONTA_ENTREGA\static\IMAGENS_PRODUTOS\CHAISE SFTONE_187342.jpg</v>
      </c>
      <c r="V967" t="str">
        <f>IFERROR((VLOOKUP(A967,Planilha1!A:B,2,0)),"\\192.168.0.4\Produtos\PRODUTO_PRONTA_ENTREGA\static\IMAGENS_PRODUTOS\SEM IMAGEM.jpg")</f>
        <v>\\192.168.0.4\Produtos\PRODUTO_PRONTA_ENTREGA\static\IMAGENS_PRODUTOS\CHAISE SFTONE_187342.jpg</v>
      </c>
    </row>
    <row r="968" spans="1:22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51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52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53"/>
        <v>1</v>
      </c>
      <c r="U968" s="10" t="str">
        <f>IFERROR((VLOOKUP(A968,Planilha1!A:B,2,0)),"\\192.168.0.4\Produtos\PRODUTO_PRONTA_ENTREGA\static\IMAGENS_PRODUTOS\SEM IMAGEM.jpg")</f>
        <v>\\192.168.0.4\Produtos\PRODUTO_PRONTA_ENTREGA\static\IMAGENS_PRODUTOS\SEM IMAGEM.jpg</v>
      </c>
      <c r="V968" t="str">
        <f>IFERROR((VLOOKUP(A968,Planilha1!A:B,2,0)),"\\192.168.0.4\Produtos\PRODUTO_PRONTA_ENTREGA\static\IMAGENS_PRODUTOS\SEM IMAGEM.jpg")</f>
        <v>\\192.168.0.4\Produtos\PRODUTO_PRONTA_ENTREGA\static\IMAGENS_PRODUTOS\SEM IMAGEM.jpg</v>
      </c>
    </row>
    <row r="969" spans="1:22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51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52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53"/>
        <v>3</v>
      </c>
      <c r="U969" s="10" t="str">
        <f>IFERROR((VLOOKUP(A969,Planilha1!A:B,2,0)),"\\192.168.0.4\Produtos\PRODUTO_PRONTA_ENTREGA\static\IMAGENS_PRODUTOS\SEM IMAGEM.jpg")</f>
        <v>\\192.168.0.4\Produtos\PRODUTO_PRONTA_ENTREGA\static\IMAGENS_PRODUTOS\SOFA TABLE POSITANO_182715.jpg</v>
      </c>
      <c r="V969" t="str">
        <f>IFERROR((VLOOKUP(A969,Planilha1!A:B,2,0)),"\\192.168.0.4\Produtos\PRODUTO_PRONTA_ENTREGA\static\IMAGENS_PRODUTOS\SEM IMAGEM.jpg")</f>
        <v>\\192.168.0.4\Produtos\PRODUTO_PRONTA_ENTREGA\static\IMAGENS_PRODUTOS\SOFA TABLE POSITANO_182715.jpg</v>
      </c>
    </row>
    <row r="970" spans="1:22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51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52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53"/>
        <v>3</v>
      </c>
      <c r="U970" s="10" t="str">
        <f>IFERROR((VLOOKUP(A970,Planilha1!A:B,2,0)),"\\192.168.0.4\Produtos\PRODUTO_PRONTA_ENTREGA\static\IMAGENS_PRODUTOS\SEM IMAGEM.jpg")</f>
        <v>\\192.168.0.4\Produtos\PRODUTO_PRONTA_ENTREGA\static\IMAGENS_PRODUTOS\SOFA TABLE COOLER_255782.jpg</v>
      </c>
      <c r="V970" t="str">
        <f>IFERROR((VLOOKUP(A970,Planilha1!A:B,2,0)),"\\192.168.0.4\Produtos\PRODUTO_PRONTA_ENTREGA\static\IMAGENS_PRODUTOS\SEM IMAGEM.jpg")</f>
        <v>\\192.168.0.4\Produtos\PRODUTO_PRONTA_ENTREGA\static\IMAGENS_PRODUTOS\SOFA TABLE COOLER_255782.jpg</v>
      </c>
    </row>
    <row r="971" spans="1:22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51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52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53"/>
        <v>2</v>
      </c>
      <c r="U971" s="10" t="str">
        <f>IFERROR((VLOOKUP(A971,Planilha1!A:B,2,0)),"\\192.168.0.4\Produtos\PRODUTO_PRONTA_ENTREGA\static\IMAGENS_PRODUTOS\SEM IMAGEM.jpg")</f>
        <v>\\192.168.0.4\Produtos\PRODUTO_PRONTA_ENTREGA\static\IMAGENS_PRODUTOS\TAPETE TROPICAL (LISO) _324007.jpg</v>
      </c>
      <c r="V971" t="str">
        <f>IFERROR((VLOOKUP(A971,Planilha1!A:B,2,0)),"\\192.168.0.4\Produtos\PRODUTO_PRONTA_ENTREGA\static\IMAGENS_PRODUTOS\SEM IMAGEM.jpg")</f>
        <v>\\192.168.0.4\Produtos\PRODUTO_PRONTA_ENTREGA\static\IMAGENS_PRODUTOS\TAPETE TROPICAL (LISO) _324007.jpg</v>
      </c>
    </row>
    <row r="972" spans="1:22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51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52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53"/>
        <v>1</v>
      </c>
      <c r="U972" s="10" t="str">
        <f>IFERROR((VLOOKUP(A972,Planilha1!A:B,2,0)),"\\192.168.0.4\Produtos\PRODUTO_PRONTA_ENTREGA\static\IMAGENS_PRODUTOS\SEM IMAGEM.jpg")</f>
        <v>\\192.168.0.4\Produtos\PRODUTO_PRONTA_ENTREGA\static\IMAGENS_PRODUTOS\SEM IMAGEM.jpg</v>
      </c>
      <c r="V972" t="str">
        <f>IFERROR((VLOOKUP(A972,Planilha1!A:B,2,0)),"\\192.168.0.4\Produtos\PRODUTO_PRONTA_ENTREGA\static\IMAGENS_PRODUTOS\SEM IMAGEM.jpg")</f>
        <v>\\192.168.0.4\Produtos\PRODUTO_PRONTA_ENTREGA\static\IMAGENS_PRODUTOS\SEM IMAGEM.jpg</v>
      </c>
    </row>
    <row r="973" spans="1:22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51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52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53"/>
        <v>1</v>
      </c>
      <c r="U973" s="10" t="str">
        <f>IFERROR((VLOOKUP(A973,Planilha1!A:B,2,0)),"\\192.168.0.4\Produtos\PRODUTO_PRONTA_ENTREGA\static\IMAGENS_PRODUTOS\SEM IMAGEM.jpg")</f>
        <v>\\192.168.0.4\Produtos\PRODUTO_PRONTA_ENTREGA\static\IMAGENS_PRODUTOS\TAPETE AREIA_324014.jpg</v>
      </c>
      <c r="V973" t="str">
        <f>IFERROR((VLOOKUP(A973,Planilha1!A:B,2,0)),"\\192.168.0.4\Produtos\PRODUTO_PRONTA_ENTREGA\static\IMAGENS_PRODUTOS\SEM IMAGEM.jpg")</f>
        <v>\\192.168.0.4\Produtos\PRODUTO_PRONTA_ENTREGA\static\IMAGENS_PRODUTOS\TAPETE AREIA_324014.jpg</v>
      </c>
    </row>
    <row r="974" spans="1:22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51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52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53"/>
        <v>2</v>
      </c>
      <c r="U974" s="10" t="str">
        <f>IFERROR((VLOOKUP(A974,Planilha1!A:B,2,0)),"\\192.168.0.4\Produtos\PRODUTO_PRONTA_ENTREGA\static\IMAGENS_PRODUTOS\SEM IMAGEM.jpg")</f>
        <v>\\192.168.0.4\Produtos\PRODUTO_PRONTA_ENTREGA\static\IMAGENS_PRODUTOS\TAPETE_324011.jpg</v>
      </c>
      <c r="V974" t="str">
        <f>IFERROR((VLOOKUP(A974,Planilha1!A:B,2,0)),"\\192.168.0.4\Produtos\PRODUTO_PRONTA_ENTREGA\static\IMAGENS_PRODUTOS\SEM IMAGEM.jpg")</f>
        <v>\\192.168.0.4\Produtos\PRODUTO_PRONTA_ENTREGA\static\IMAGENS_PRODUTOS\TAPETE_324011.jpg</v>
      </c>
    </row>
    <row r="975" spans="1:22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51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52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53"/>
        <v>1</v>
      </c>
      <c r="U975" s="10" t="str">
        <f>IFERROR((VLOOKUP(A975,Planilha1!A:B,2,0)),"\\192.168.0.4\Produtos\PRODUTO_PRONTA_ENTREGA\static\IMAGENS_PRODUTOS\SEM IMAGEM.jpg")</f>
        <v>\\192.168.0.4\Produtos\PRODUTO_PRONTA_ENTREGA\static\IMAGENS_PRODUTOS\TAPETE_378391.jpg</v>
      </c>
      <c r="V975" t="str">
        <f>IFERROR((VLOOKUP(A975,Planilha1!A:B,2,0)),"\\192.168.0.4\Produtos\PRODUTO_PRONTA_ENTREGA\static\IMAGENS_PRODUTOS\SEM IMAGEM.jpg")</f>
        <v>\\192.168.0.4\Produtos\PRODUTO_PRONTA_ENTREGA\static\IMAGENS_PRODUTOS\TAPETE_378391.jpg</v>
      </c>
    </row>
    <row r="976" spans="1:22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51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52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53"/>
        <v>2</v>
      </c>
      <c r="U976" s="10" t="str">
        <f>IFERROR((VLOOKUP(A976,Planilha1!A:B,2,0)),"\\192.168.0.4\Produtos\PRODUTO_PRONTA_ENTREGA\static\IMAGENS_PRODUTOS\SEM IMAGEM.jpg")</f>
        <v>\\192.168.0.4\Produtos\PRODUTO_PRONTA_ENTREGA\static\IMAGENS_PRODUTOS\TAPETE_378394.jpg</v>
      </c>
      <c r="V976" t="str">
        <f>IFERROR((VLOOKUP(A976,Planilha1!A:B,2,0)),"\\192.168.0.4\Produtos\PRODUTO_PRONTA_ENTREGA\static\IMAGENS_PRODUTOS\SEM IMAGEM.jpg")</f>
        <v>\\192.168.0.4\Produtos\PRODUTO_PRONTA_ENTREGA\static\IMAGENS_PRODUTOS\TAPETE_378394.jpg</v>
      </c>
    </row>
    <row r="977" spans="1:22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51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52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53"/>
        <v>1</v>
      </c>
      <c r="U977" s="10" t="str">
        <f>IFERROR((VLOOKUP(A977,Planilha1!A:B,2,0)),"\\192.168.0.4\Produtos\PRODUTO_PRONTA_ENTREGA\static\IMAGENS_PRODUTOS\SEM IMAGEM.jpg")</f>
        <v>\\192.168.0.4\Produtos\PRODUTO_PRONTA_ENTREGA\static\IMAGENS_PRODUTOS\SEM IMAGEM.jpg</v>
      </c>
      <c r="V977" t="str">
        <f>IFERROR((VLOOKUP(A977,Planilha1!A:B,2,0)),"\\192.168.0.4\Produtos\PRODUTO_PRONTA_ENTREGA\static\IMAGENS_PRODUTOS\SEM IMAGEM.jpg")</f>
        <v>\\192.168.0.4\Produtos\PRODUTO_PRONTA_ENTREGA\static\IMAGENS_PRODUTOS\SEM IMAGEM.jpg</v>
      </c>
    </row>
    <row r="978" spans="1:22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51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52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53"/>
        <v>3</v>
      </c>
      <c r="U978" s="10" t="str">
        <f>IFERROR((VLOOKUP(A978,Planilha1!A:B,2,0)),"\\192.168.0.4\Produtos\PRODUTO_PRONTA_ENTREGA\static\IMAGENS_PRODUTOS\SEM IMAGEM.jpg")</f>
        <v>\\192.168.0.4\Produtos\PRODUTO_PRONTA_ENTREGA\static\IMAGENS_PRODUTOS\SEM IMAGEM.jpg</v>
      </c>
      <c r="V978" t="str">
        <f>IFERROR((VLOOKUP(A978,Planilha1!A:B,2,0)),"\\192.168.0.4\Produtos\PRODUTO_PRONTA_ENTREGA\static\IMAGENS_PRODUTOS\SEM IMAGEM.jpg")</f>
        <v>\\192.168.0.4\Produtos\PRODUTO_PRONTA_ENTREGA\static\IMAGENS_PRODUTOS\SEM IMAGEM.jpg</v>
      </c>
    </row>
    <row r="979" spans="1:22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51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52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53"/>
        <v>1</v>
      </c>
      <c r="U979" s="10" t="str">
        <f>IFERROR((VLOOKUP(A979,Planilha1!A:B,2,0)),"\\192.168.0.4\Produtos\PRODUTO_PRONTA_ENTREGA\static\IMAGENS_PRODUTOS\SEM IMAGEM.jpg")</f>
        <v>\\192.168.0.4\Produtos\PRODUTO_PRONTA_ENTREGA\static\IMAGENS_PRODUTOS\TAPETE_324029.jpg</v>
      </c>
      <c r="V979" t="str">
        <f>IFERROR((VLOOKUP(A979,Planilha1!A:B,2,0)),"\\192.168.0.4\Produtos\PRODUTO_PRONTA_ENTREGA\static\IMAGENS_PRODUTOS\SEM IMAGEM.jpg")</f>
        <v>\\192.168.0.4\Produtos\PRODUTO_PRONTA_ENTREGA\static\IMAGENS_PRODUTOS\TAPETE_324029.jpg</v>
      </c>
    </row>
    <row r="980" spans="1:22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51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52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53"/>
        <v>2</v>
      </c>
      <c r="U980" s="10" t="str">
        <f>IFERROR((VLOOKUP(A980,Planilha1!A:B,2,0)),"\\192.168.0.4\Produtos\PRODUTO_PRONTA_ENTREGA\static\IMAGENS_PRODUTOS\SEM IMAGEM.jpg")</f>
        <v>\\192.168.0.4\Produtos\PRODUTO_PRONTA_ENTREGA\static\IMAGENS_PRODUTOS\SEM IMAGEM.jpg</v>
      </c>
      <c r="V980" t="str">
        <f>IFERROR((VLOOKUP(A980,Planilha1!A:B,2,0)),"\\192.168.0.4\Produtos\PRODUTO_PRONTA_ENTREGA\static\IMAGENS_PRODUTOS\SEM IMAGEM.jpg")</f>
        <v>\\192.168.0.4\Produtos\PRODUTO_PRONTA_ENTREGA\static\IMAGENS_PRODUTOS\SEM IMAGEM.jpg</v>
      </c>
    </row>
    <row r="981" spans="1:22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51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52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53"/>
        <v>2</v>
      </c>
      <c r="U981" s="10" t="str">
        <f>IFERROR((VLOOKUP(A981,Planilha1!A:B,2,0)),"\\192.168.0.4\Produtos\PRODUTO_PRONTA_ENTREGA\static\IMAGENS_PRODUTOS\SEM IMAGEM.jpg")</f>
        <v>\\192.168.0.4\Produtos\PRODUTO_PRONTA_ENTREGA\static\IMAGENS_PRODUTOS\TAPETE ONDA (ESCULPIDO)_324020.jpg</v>
      </c>
      <c r="V981" t="str">
        <f>IFERROR((VLOOKUP(A981,Planilha1!A:B,2,0)),"\\192.168.0.4\Produtos\PRODUTO_PRONTA_ENTREGA\static\IMAGENS_PRODUTOS\SEM IMAGEM.jpg")</f>
        <v>\\192.168.0.4\Produtos\PRODUTO_PRONTA_ENTREGA\static\IMAGENS_PRODUTOS\TAPETE ONDA (ESCULPIDO)_324020.jpg</v>
      </c>
    </row>
    <row r="982" spans="1:22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51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52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53"/>
        <v>1</v>
      </c>
      <c r="U982" s="10" t="str">
        <f>IFERROR((VLOOKUP(A982,Planilha1!A:B,2,0)),"\\192.168.0.4\Produtos\PRODUTO_PRONTA_ENTREGA\static\IMAGENS_PRODUTOS\SEM IMAGEM.jpg")</f>
        <v>\\192.168.0.4\Produtos\PRODUTO_PRONTA_ENTREGA\static\IMAGENS_PRODUTOS\SEM IMAGEM.jpg</v>
      </c>
      <c r="V982" t="str">
        <f>IFERROR((VLOOKUP(A982,Planilha1!A:B,2,0)),"\\192.168.0.4\Produtos\PRODUTO_PRONTA_ENTREGA\static\IMAGENS_PRODUTOS\SEM IMAGEM.jpg")</f>
        <v>\\192.168.0.4\Produtos\PRODUTO_PRONTA_ENTREGA\static\IMAGENS_PRODUTOS\SEM IMAGEM.jpg</v>
      </c>
    </row>
    <row r="983" spans="1:22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51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52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53"/>
        <v>2</v>
      </c>
      <c r="U983" s="10" t="str">
        <f>IFERROR((VLOOKUP(A983,Planilha1!A:B,2,0)),"\\192.168.0.4\Produtos\PRODUTO_PRONTA_ENTREGA\static\IMAGENS_PRODUTOS\SEM IMAGEM.jpg")</f>
        <v>\\192.168.0.4\Produtos\PRODUTO_PRONTA_ENTREGA\static\IMAGENS_PRODUTOS\SEM IMAGEM.jpg</v>
      </c>
      <c r="V983" t="str">
        <f>IFERROR((VLOOKUP(A983,Planilha1!A:B,2,0)),"\\192.168.0.4\Produtos\PRODUTO_PRONTA_ENTREGA\static\IMAGENS_PRODUTOS\SEM IMAGEM.jpg")</f>
        <v>\\192.168.0.4\Produtos\PRODUTO_PRONTA_ENTREGA\static\IMAGENS_PRODUTOS\SEM IMAGEM.jpg</v>
      </c>
    </row>
    <row r="984" spans="1:22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51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52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53"/>
        <v>1</v>
      </c>
      <c r="U984" s="10" t="str">
        <f>IFERROR((VLOOKUP(A984,Planilha1!A:B,2,0)),"\\192.168.0.4\Produtos\PRODUTO_PRONTA_ENTREGA\static\IMAGENS_PRODUTOS\SEM IMAGEM.jpg")</f>
        <v>\\192.168.0.4\Produtos\PRODUTO_PRONTA_ENTREGA\static\IMAGENS_PRODUTOS\SEM IMAGEM.jpg</v>
      </c>
      <c r="V984" t="str">
        <f>IFERROR((VLOOKUP(A984,Planilha1!A:B,2,0)),"\\192.168.0.4\Produtos\PRODUTO_PRONTA_ENTREGA\static\IMAGENS_PRODUTOS\SEM IMAGEM.jpg")</f>
        <v>\\192.168.0.4\Produtos\PRODUTO_PRONTA_ENTREGA\static\IMAGENS_PRODUTOS\SEM IMAGEM.jpg</v>
      </c>
    </row>
    <row r="985" spans="1:22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51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52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53"/>
        <v>2</v>
      </c>
      <c r="U985" s="10" t="str">
        <f>IFERROR((VLOOKUP(A985,Planilha1!A:B,2,0)),"\\192.168.0.4\Produtos\PRODUTO_PRONTA_ENTREGA\static\IMAGENS_PRODUTOS\SEM IMAGEM.jpg")</f>
        <v>\\192.168.0.4\Produtos\PRODUTO_PRONTA_ENTREGA\static\IMAGENS_PRODUTOS\SEM IMAGEM.jpg</v>
      </c>
      <c r="V985" t="str">
        <f>IFERROR((VLOOKUP(A985,Planilha1!A:B,2,0)),"\\192.168.0.4\Produtos\PRODUTO_PRONTA_ENTREGA\static\IMAGENS_PRODUTOS\SEM IMAGEM.jpg")</f>
        <v>\\192.168.0.4\Produtos\PRODUTO_PRONTA_ENTREGA\static\IMAGENS_PRODUTOS\SEM IMAGEM.jpg</v>
      </c>
    </row>
    <row r="986" spans="1:22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51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52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53"/>
        <v>2</v>
      </c>
      <c r="U986" s="10" t="str">
        <f>IFERROR((VLOOKUP(A986,Planilha1!A:B,2,0)),"\\192.168.0.4\Produtos\PRODUTO_PRONTA_ENTREGA\static\IMAGENS_PRODUTOS\SEM IMAGEM.jpg")</f>
        <v>\\192.168.0.4\Produtos\PRODUTO_PRONTA_ENTREGA\static\IMAGENS_PRODUTOS\SEM IMAGEM.jpg</v>
      </c>
      <c r="V986" t="str">
        <f>IFERROR((VLOOKUP(A986,Planilha1!A:B,2,0)),"\\192.168.0.4\Produtos\PRODUTO_PRONTA_ENTREGA\static\IMAGENS_PRODUTOS\SEM IMAGEM.jpg")</f>
        <v>\\192.168.0.4\Produtos\PRODUTO_PRONTA_ENTREGA\static\IMAGENS_PRODUTOS\SEM IMAGEM.jpg</v>
      </c>
    </row>
    <row r="987" spans="1:22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51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52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53"/>
        <v>2</v>
      </c>
      <c r="U987" s="10" t="str">
        <f>IFERROR((VLOOKUP(A987,Planilha1!A:B,2,0)),"\\192.168.0.4\Produtos\PRODUTO_PRONTA_ENTREGA\static\IMAGENS_PRODUTOS\SEM IMAGEM.jpg")</f>
        <v>\\192.168.0.4\Produtos\PRODUTO_PRONTA_ENTREGA\static\IMAGENS_PRODUTOS\SEM IMAGEM.jpg</v>
      </c>
      <c r="V987" t="str">
        <f>IFERROR((VLOOKUP(A987,Planilha1!A:B,2,0)),"\\192.168.0.4\Produtos\PRODUTO_PRONTA_ENTREGA\static\IMAGENS_PRODUTOS\SEM IMAGEM.jpg")</f>
        <v>\\192.168.0.4\Produtos\PRODUTO_PRONTA_ENTREGA\static\IMAGENS_PRODUTOS\SEM IMAGEM.jpg</v>
      </c>
    </row>
    <row r="988" spans="1:22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51"/>
        <v/>
      </c>
      <c r="L988" s="7" t="str">
        <f>IF(VLOOKUP(A988,'[1]LISTA ETIQUETAS'!O:AB,14,0)="","",(VLOOKUP(A988,'[1]LISTA ETIQUETAS'!O:AB,14,0)))</f>
        <v/>
      </c>
      <c r="M988" s="8"/>
      <c r="N988" s="9">
        <f t="shared" si="52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53"/>
        <v>1</v>
      </c>
      <c r="U988" s="10" t="str">
        <f>IFERROR((VLOOKUP(A988,Planilha1!A:B,2,0)),"\\192.168.0.4\Produtos\PRODUTO_PRONTA_ENTREGA\static\IMAGENS_PRODUTOS\SEM IMAGEM.jpg")</f>
        <v>\\192.168.0.4\Produtos\PRODUTO_PRONTA_ENTREGA\static\IMAGENS_PRODUTOS\SEM IMAGEM.jpg</v>
      </c>
      <c r="V988" t="str">
        <f>IFERROR((VLOOKUP(A988,Planilha1!A:B,2,0)),"\\192.168.0.4\Produtos\PRODUTO_PRONTA_ENTREGA\static\IMAGENS_PRODUTOS\SEM IMAGEM.jpg")</f>
        <v>\\192.168.0.4\Produtos\PRODUTO_PRONTA_ENTREGA\static\IMAGENS_PRODUTOS\SEM IMAGEM.jpg</v>
      </c>
    </row>
    <row r="989" spans="1:22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51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52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53"/>
        <v>1</v>
      </c>
      <c r="U989" s="10" t="str">
        <f>IFERROR((VLOOKUP(A989,Planilha1!A:B,2,0)),"\\192.168.0.4\Produtos\PRODUTO_PRONTA_ENTREGA\static\IMAGENS_PRODUTOS\SEM IMAGEM.jpg")</f>
        <v>\\192.168.0.4\Produtos\PRODUTO_PRONTA_ENTREGA\static\IMAGENS_PRODUTOS\SEM IMAGEM.jpg</v>
      </c>
      <c r="V989" t="str">
        <f>IFERROR((VLOOKUP(A989,Planilha1!A:B,2,0)),"\\192.168.0.4\Produtos\PRODUTO_PRONTA_ENTREGA\static\IMAGENS_PRODUTOS\SEM IMAGEM.jpg")</f>
        <v>\\192.168.0.4\Produtos\PRODUTO_PRONTA_ENTREGA\static\IMAGENS_PRODUTOS\SEM IMAGEM.jpg</v>
      </c>
    </row>
    <row r="990" spans="1:22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51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52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53"/>
        <v>1</v>
      </c>
      <c r="U990" s="10" t="str">
        <f>IFERROR((VLOOKUP(A990,Planilha1!A:B,2,0)),"\\192.168.0.4\Produtos\PRODUTO_PRONTA_ENTREGA\static\IMAGENS_PRODUTOS\SEM IMAGEM.jpg")</f>
        <v>\\192.168.0.4\Produtos\PRODUTO_PRONTA_ENTREGA\static\IMAGENS_PRODUTOS\SEM IMAGEM.jpg</v>
      </c>
      <c r="V990" t="str">
        <f>IFERROR((VLOOKUP(A990,Planilha1!A:B,2,0)),"\\192.168.0.4\Produtos\PRODUTO_PRONTA_ENTREGA\static\IMAGENS_PRODUTOS\SEM IMAGEM.jpg")</f>
        <v>\\192.168.0.4\Produtos\PRODUTO_PRONTA_ENTREGA\static\IMAGENS_PRODUTOS\SEM IMAGEM.jpg</v>
      </c>
    </row>
    <row r="991" spans="1:22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51"/>
        <v/>
      </c>
      <c r="L991" s="7" t="str">
        <f>IF(VLOOKUP(A991,'[1]LISTA ETIQUETAS'!O:AB,14,0)="","",(VLOOKUP(A991,'[1]LISTA ETIQUETAS'!O:AB,14,0)))</f>
        <v/>
      </c>
      <c r="M991" s="8"/>
      <c r="N991" s="9">
        <f t="shared" si="52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53"/>
        <v>1</v>
      </c>
      <c r="U991" s="10" t="str">
        <f>IFERROR((VLOOKUP(A991,Planilha1!A:B,2,0)),"\\192.168.0.4\Produtos\PRODUTO_PRONTA_ENTREGA\static\IMAGENS_PRODUTOS\SEM IMAGEM.jpg")</f>
        <v>\\192.168.0.4\Produtos\PRODUTO_PRONTA_ENTREGA\static\IMAGENS_PRODUTOS\SEM IMAGEM.jpg</v>
      </c>
      <c r="V991" t="str">
        <f>IFERROR((VLOOKUP(A991,Planilha1!A:B,2,0)),"\\192.168.0.4\Produtos\PRODUTO_PRONTA_ENTREGA\static\IMAGENS_PRODUTOS\SEM IMAGEM.jpg")</f>
        <v>\\192.168.0.4\Produtos\PRODUTO_PRONTA_ENTREGA\static\IMAGENS_PRODUTOS\SEM IMAGEM.jpg</v>
      </c>
    </row>
    <row r="992" spans="1:22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51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52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53"/>
        <v>1</v>
      </c>
      <c r="U992" s="10" t="str">
        <f>IFERROR((VLOOKUP(A992,Planilha1!A:B,2,0)),"\\192.168.0.4\Produtos\PRODUTO_PRONTA_ENTREGA\static\IMAGENS_PRODUTOS\SEM IMAGEM.jpg")</f>
        <v>\\192.168.0.4\Produtos\PRODUTO_PRONTA_ENTREGA\static\IMAGENS_PRODUTOS\SEM IMAGEM.jpg</v>
      </c>
      <c r="V992" t="str">
        <f>IFERROR((VLOOKUP(A992,Planilha1!A:B,2,0)),"\\192.168.0.4\Produtos\PRODUTO_PRONTA_ENTREGA\static\IMAGENS_PRODUTOS\SEM IMAGEM.jpg")</f>
        <v>\\192.168.0.4\Produtos\PRODUTO_PRONTA_ENTREGA\static\IMAGENS_PRODUTOS\SEM IMAGEM.jpg</v>
      </c>
    </row>
    <row r="993" spans="1:22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51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52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53"/>
        <v>1</v>
      </c>
      <c r="U993" s="10" t="str">
        <f>IFERROR((VLOOKUP(A993,Planilha1!A:B,2,0)),"\\192.168.0.4\Produtos\PRODUTO_PRONTA_ENTREGA\static\IMAGENS_PRODUTOS\SEM IMAGEM.jpg")</f>
        <v>\\192.168.0.4\Produtos\PRODUTO_PRONTA_ENTREGA\static\IMAGENS_PRODUTOS\SEM IMAGEM.jpg</v>
      </c>
      <c r="V993" t="str">
        <f>IFERROR((VLOOKUP(A993,Planilha1!A:B,2,0)),"\\192.168.0.4\Produtos\PRODUTO_PRONTA_ENTREGA\static\IMAGENS_PRODUTOS\SEM IMAGEM.jpg")</f>
        <v>\\192.168.0.4\Produtos\PRODUTO_PRONTA_ENTREGA\static\IMAGENS_PRODUTOS\SEM IMAGEM.jpg</v>
      </c>
    </row>
    <row r="994" spans="1:22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51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52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53"/>
        <v>1</v>
      </c>
      <c r="U994" s="10" t="str">
        <f>IFERROR((VLOOKUP(A994,Planilha1!A:B,2,0)),"\\192.168.0.4\Produtos\PRODUTO_PRONTA_ENTREGA\static\IMAGENS_PRODUTOS\SEM IMAGEM.jpg")</f>
        <v>\\192.168.0.4\Produtos\PRODUTO_PRONTA_ENTREGA\static\IMAGENS_PRODUTOS\SEM IMAGEM.jpg</v>
      </c>
      <c r="V994" t="str">
        <f>IFERROR((VLOOKUP(A994,Planilha1!A:B,2,0)),"\\192.168.0.4\Produtos\PRODUTO_PRONTA_ENTREGA\static\IMAGENS_PRODUTOS\SEM IMAGEM.jpg")</f>
        <v>\\192.168.0.4\Produtos\PRODUTO_PRONTA_ENTREGA\static\IMAGENS_PRODUTOS\SEM IMAGEM.jpg</v>
      </c>
    </row>
    <row r="995" spans="1:22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51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52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53"/>
        <v>1</v>
      </c>
      <c r="U995" s="10" t="str">
        <f>IFERROR((VLOOKUP(A995,Planilha1!A:B,2,0)),"\\192.168.0.4\Produtos\PRODUTO_PRONTA_ENTREGA\static\IMAGENS_PRODUTOS\SEM IMAGEM.jpg")</f>
        <v>\\192.168.0.4\Produtos\PRODUTO_PRONTA_ENTREGA\static\IMAGENS_PRODUTOS\SEM IMAGEM.jpg</v>
      </c>
      <c r="V995" t="str">
        <f>IFERROR((VLOOKUP(A995,Planilha1!A:B,2,0)),"\\192.168.0.4\Produtos\PRODUTO_PRONTA_ENTREGA\static\IMAGENS_PRODUTOS\SEM IMAGEM.jpg")</f>
        <v>\\192.168.0.4\Produtos\PRODUTO_PRONTA_ENTREGA\static\IMAGENS_PRODUTOS\SEM IMAGEM.jpg</v>
      </c>
    </row>
    <row r="996" spans="1:22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51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52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53"/>
        <v>1</v>
      </c>
      <c r="U996" s="10" t="str">
        <f>IFERROR((VLOOKUP(A996,Planilha1!A:B,2,0)),"\\192.168.0.4\Produtos\PRODUTO_PRONTA_ENTREGA\static\IMAGENS_PRODUTOS\SEM IMAGEM.jpg")</f>
        <v>\\192.168.0.4\Produtos\PRODUTO_PRONTA_ENTREGA\static\IMAGENS_PRODUTOS\SEM IMAGEM.jpg</v>
      </c>
      <c r="V996" t="str">
        <f>IFERROR((VLOOKUP(A996,Planilha1!A:B,2,0)),"\\192.168.0.4\Produtos\PRODUTO_PRONTA_ENTREGA\static\IMAGENS_PRODUTOS\SEM IMAGEM.jpg")</f>
        <v>\\192.168.0.4\Produtos\PRODUTO_PRONTA_ENTREGA\static\IMAGENS_PRODUTOS\SEM IMAGEM.jpg</v>
      </c>
    </row>
    <row r="997" spans="1:22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51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52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53"/>
        <v>1</v>
      </c>
      <c r="U997" s="10" t="str">
        <f>IFERROR((VLOOKUP(A997,Planilha1!A:B,2,0)),"\\192.168.0.4\Produtos\PRODUTO_PRONTA_ENTREGA\static\IMAGENS_PRODUTOS\SEM IMAGEM.jpg")</f>
        <v>\\192.168.0.4\Produtos\PRODUTO_PRONTA_ENTREGA\static\IMAGENS_PRODUTOS\SEM IMAGEM.jpg</v>
      </c>
      <c r="V997" t="str">
        <f>IFERROR((VLOOKUP(A997,Planilha1!A:B,2,0)),"\\192.168.0.4\Produtos\PRODUTO_PRONTA_ENTREGA\static\IMAGENS_PRODUTOS\SEM IMAGEM.jpg")</f>
        <v>\\192.168.0.4\Produtos\PRODUTO_PRONTA_ENTREGA\static\IMAGENS_PRODUTOS\SEM IMAGEM.jpg</v>
      </c>
    </row>
    <row r="998" spans="1:22" x14ac:dyDescent="0.25">
      <c r="A998" s="5">
        <v>380312</v>
      </c>
      <c r="B998" t="str">
        <f>IFERROR((VLOOKUP(A998,'[1]LISTA ETIQUETAS'!O:X,3,0)),"PRODUTO SEM ESTOQUE")</f>
        <v>PRODUTO SEM ESTOQUE</v>
      </c>
      <c r="C998" s="10" t="s">
        <v>113</v>
      </c>
      <c r="D998" s="10" t="s">
        <v>114</v>
      </c>
      <c r="E998" s="11" t="e">
        <f>IF(VLOOKUP(A998,'[1]LISTA ETIQUETAS'!O:W,4,0)="",(VLOOKUP(A998,'[1]LISTA ETIQUETAS'!O:W,6,0)),(VLOOKUP(A998,'[1]LISTA ETIQUETAS'!O:W,4,0)))</f>
        <v>#N/A</v>
      </c>
      <c r="F998" s="11" t="e">
        <f>IF(VLOOKUP(A998,'[1]LISTA ETIQUETAS'!O:W,5,0)="",(VLOOKUP(A998,'[1]LISTA ETIQUETAS'!O:W,7,0)),(VLOOKUP(A998,'[1]LISTA ETIQUETAS'!O:W,5,0)))</f>
        <v>#N/A</v>
      </c>
      <c r="G998" s="11" t="str">
        <f>IFERROR((VLOOKUP(A998,'[1]LISTA ETIQUETAS'!O:X,8,0)),"")</f>
        <v/>
      </c>
      <c r="H998" s="11" t="str">
        <f>IFERROR((VLOOKUP(A998,'[1]LISTA ETIQUETAS'!O:X,9,0)),"")</f>
        <v/>
      </c>
      <c r="I998" s="12" t="str">
        <f>IFERROR((VLOOKUP(A998,'[1]LISTA ETIQUETAS'!O:Y,11,0)),"")</f>
        <v/>
      </c>
      <c r="J998" s="6">
        <v>0</v>
      </c>
      <c r="K998" s="12" t="str">
        <f t="shared" si="51"/>
        <v/>
      </c>
      <c r="L998" s="7" t="str">
        <f>IF(VLOOKUP(A998,'[1]LISTA ETIQUETAS'!O:AB,14,0)="","",(VLOOKUP(A998,'[1]LISTA ETIQUETAS'!O:AB,14,0)))</f>
        <v/>
      </c>
      <c r="M998" s="8"/>
      <c r="N998" s="9">
        <f t="shared" si="52"/>
        <v>380312</v>
      </c>
      <c r="O998" s="2" t="e">
        <f>_xlfn.XLOOKUP($A998,'[1]LISTA ETIQUETAS'!$O:$O,'[1]LISTA ETIQUETAS'!C:C,"",0)</f>
        <v>#N/A</v>
      </c>
      <c r="P998" s="2" t="e">
        <f>_xlfn.XLOOKUP($A998,'[1]LISTA ETIQUETAS'!$O:$O,'[1]LISTA ETIQUETAS'!D:D,"",0)</f>
        <v>#N/A</v>
      </c>
      <c r="Q998" s="2" t="e">
        <f>_xlfn.XLOOKUP($A998,'[1]LISTA ETIQUETAS'!$O:$O,'[1]LISTA ETIQUETAS'!E:E,"",0)</f>
        <v>#N/A</v>
      </c>
      <c r="R998" s="2" t="e">
        <f>_xlfn.XLOOKUP($A998,'[1]LISTA ETIQUETAS'!$O:$O,'[1]LISTA ETIQUETAS'!F:F,"",0)</f>
        <v>#N/A</v>
      </c>
      <c r="S998" s="2" t="e">
        <f>_xlfn.XLOOKUP($A998,'[1]LISTA ETIQUETAS'!$O:$O,'[1]LISTA ETIQUETAS'!H:H,"",0)</f>
        <v>#N/A</v>
      </c>
      <c r="T998" s="9" t="e">
        <f t="shared" si="53"/>
        <v>#N/A</v>
      </c>
      <c r="U998" s="10" t="str">
        <f>IFERROR((VLOOKUP(A998,Planilha1!A:B,2,0)),"\\192.168.0.4\Produtos\PRODUTO_PRONTA_ENTREGA\static\IMAGENS_PRODUTOS\SEM IMAGEM.jpg")</f>
        <v>\\192.168.0.4\Produtos\PRODUTO_PRONTA_ENTREGA\static\IMAGENS_PRODUTOS\SEM IMAGEM.jpg</v>
      </c>
      <c r="V998" t="str">
        <f>IFERROR((VLOOKUP(A998,Planilha1!A:B,2,0)),"\\192.168.0.4\Produtos\PRODUTO_PRONTA_ENTREGA\static\IMAGENS_PRODUTOS\SEM IMAGEM.jpg")</f>
        <v>\\192.168.0.4\Produtos\PRODUTO_PRONTA_ENTREGA\static\IMAGENS_PRODUTOS\SEM IMAGEM.jpg</v>
      </c>
    </row>
    <row r="999" spans="1:22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51"/>
        <v/>
      </c>
      <c r="L999" s="7" t="str">
        <f>IF(VLOOKUP(A999,'[1]LISTA ETIQUETAS'!O:AB,14,0)="","",(VLOOKUP(A999,'[1]LISTA ETIQUETAS'!O:AB,14,0)))</f>
        <v/>
      </c>
      <c r="M999" s="8"/>
      <c r="N999" s="9">
        <f t="shared" si="52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53"/>
        <v>1</v>
      </c>
      <c r="U999" s="10" t="str">
        <f>IFERROR((VLOOKUP(A999,Planilha1!A:B,2,0)),"\\192.168.0.4\Produtos\PRODUTO_PRONTA_ENTREGA\static\IMAGENS_PRODUTOS\SEM IMAGEM.jpg")</f>
        <v>\\192.168.0.4\Produtos\PRODUTO_PRONTA_ENTREGA\static\IMAGENS_PRODUTOS\SEM IMAGEM.jpg</v>
      </c>
      <c r="V999" t="str">
        <f>IFERROR((VLOOKUP(A999,Planilha1!A:B,2,0)),"\\192.168.0.4\Produtos\PRODUTO_PRONTA_ENTREGA\static\IMAGENS_PRODUTOS\SEM IMAGEM.jpg")</f>
        <v>\\192.168.0.4\Produtos\PRODUTO_PRONTA_ENTREGA\static\IMAGENS_PRODUTOS\SEM IMAGEM.jpg</v>
      </c>
    </row>
    <row r="1000" spans="1:22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51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52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53"/>
        <v>3</v>
      </c>
      <c r="U1000" s="10" t="str">
        <f>IFERROR((VLOOKUP(A1000,Planilha1!A:B,2,0)),"\\192.168.0.4\Produtos\PRODUTO_PRONTA_ENTREGA\static\IMAGENS_PRODUTOS\SEM IMAGEM.jpg")</f>
        <v>\\192.168.0.4\Produtos\PRODUTO_PRONTA_ENTREGA\static\IMAGENS_PRODUTOS\SEM IMAGEM.jpg</v>
      </c>
      <c r="V1000" t="str">
        <f>IFERROR((VLOOKUP(A1000,Planilha1!A:B,2,0)),"\\192.168.0.4\Produtos\PRODUTO_PRONTA_ENTREGA\static\IMAGENS_PRODUTOS\SEM IMAGEM.jpg")</f>
        <v>\\192.168.0.4\Produtos\PRODUTO_PRONTA_ENTREGA\static\IMAGENS_PRODUTOS\SEM IMAGEM.jpg</v>
      </c>
    </row>
    <row r="1001" spans="1:22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51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52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53"/>
        <v>1</v>
      </c>
      <c r="U1001" s="10" t="str">
        <f>IFERROR((VLOOKUP(A1001,Planilha1!A:B,2,0)),"\\192.168.0.4\Produtos\PRODUTO_PRONTA_ENTREGA\static\IMAGENS_PRODUTOS\SEM IMAGEM.jpg")</f>
        <v>\\192.168.0.4\Produtos\PRODUTO_PRONTA_ENTREGA\static\IMAGENS_PRODUTOS\SEM IMAGEM.jpg</v>
      </c>
      <c r="V1001" t="str">
        <f>IFERROR((VLOOKUP(A1001,Planilha1!A:B,2,0)),"\\192.168.0.4\Produtos\PRODUTO_PRONTA_ENTREGA\static\IMAGENS_PRODUTOS\SEM IMAGEM.jpg")</f>
        <v>\\192.168.0.4\Produtos\PRODUTO_PRONTA_ENTREGA\static\IMAGENS_PRODUTOS\SEM IMAGEM.jpg</v>
      </c>
    </row>
    <row r="1002" spans="1:22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51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52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53"/>
        <v>1</v>
      </c>
      <c r="U1002" s="10" t="str">
        <f>IFERROR((VLOOKUP(A1002,Planilha1!A:B,2,0)),"\\192.168.0.4\Produtos\PRODUTO_PRONTA_ENTREGA\static\IMAGENS_PRODUTOS\SEM IMAGEM.jpg")</f>
        <v>\\192.168.0.4\Produtos\PRODUTO_PRONTA_ENTREGA\static\IMAGENS_PRODUTOS\SEM IMAGEM.jpg</v>
      </c>
      <c r="V1002" t="str">
        <f>IFERROR((VLOOKUP(A1002,Planilha1!A:B,2,0)),"\\192.168.0.4\Produtos\PRODUTO_PRONTA_ENTREGA\static\IMAGENS_PRODUTOS\SEM IMAGEM.jpg")</f>
        <v>\\192.168.0.4\Produtos\PRODUTO_PRONTA_ENTREGA\static\IMAGENS_PRODUTOS\SEM IMAGEM.jpg</v>
      </c>
    </row>
    <row r="1003" spans="1:22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51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52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53"/>
        <v>1</v>
      </c>
      <c r="U1003" s="10" t="str">
        <f>IFERROR((VLOOKUP(A1003,Planilha1!A:B,2,0)),"\\192.168.0.4\Produtos\PRODUTO_PRONTA_ENTREGA\static\IMAGENS_PRODUTOS\SEM IMAGEM.jpg")</f>
        <v>\\192.168.0.4\Produtos\PRODUTO_PRONTA_ENTREGA\static\IMAGENS_PRODUTOS\SEM IMAGEM.jpg</v>
      </c>
      <c r="V1003" t="str">
        <f>IFERROR((VLOOKUP(A1003,Planilha1!A:B,2,0)),"\\192.168.0.4\Produtos\PRODUTO_PRONTA_ENTREGA\static\IMAGENS_PRODUTOS\SEM IMAGEM.jpg")</f>
        <v>\\192.168.0.4\Produtos\PRODUTO_PRONTA_ENTREGA\static\IMAGENS_PRODUTOS\SEM IMAGEM.jpg</v>
      </c>
    </row>
    <row r="1004" spans="1:22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51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52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53"/>
        <v>2</v>
      </c>
      <c r="U1004" s="10" t="str">
        <f>IFERROR((VLOOKUP(A1004,Planilha1!A:B,2,0)),"\\192.168.0.4\Produtos\PRODUTO_PRONTA_ENTREGA\static\IMAGENS_PRODUTOS\SEM IMAGEM.jpg")</f>
        <v>\\192.168.0.4\Produtos\PRODUTO_PRONTA_ENTREGA\static\IMAGENS_PRODUTOS\SEM IMAGEM.jpg</v>
      </c>
      <c r="V1004" t="str">
        <f>IFERROR((VLOOKUP(A1004,Planilha1!A:B,2,0)),"\\192.168.0.4\Produtos\PRODUTO_PRONTA_ENTREGA\static\IMAGENS_PRODUTOS\SEM IMAGEM.jpg")</f>
        <v>\\192.168.0.4\Produtos\PRODUTO_PRONTA_ENTREGA\static\IMAGENS_PRODUTOS\SEM IMAGEM.jpg</v>
      </c>
    </row>
    <row r="1005" spans="1:22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51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52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53"/>
        <v>1</v>
      </c>
      <c r="U1005" s="10" t="str">
        <f>IFERROR((VLOOKUP(A1005,Planilha1!A:B,2,0)),"\\192.168.0.4\Produtos\PRODUTO_PRONTA_ENTREGA\static\IMAGENS_PRODUTOS\SEM IMAGEM.jpg")</f>
        <v>\\192.168.0.4\Produtos\PRODUTO_PRONTA_ENTREGA\static\IMAGENS_PRODUTOS\SEM IMAGEM.jpg</v>
      </c>
      <c r="V1005" t="str">
        <f>IFERROR((VLOOKUP(A1005,Planilha1!A:B,2,0)),"\\192.168.0.4\Produtos\PRODUTO_PRONTA_ENTREGA\static\IMAGENS_PRODUTOS\SEM IMAGEM.jpg")</f>
        <v>\\192.168.0.4\Produtos\PRODUTO_PRONTA_ENTREGA\static\IMAGENS_PRODUTOS\SEM IMAGEM.jpg</v>
      </c>
    </row>
    <row r="1006" spans="1:22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51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52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53"/>
        <v>2</v>
      </c>
      <c r="U1006" s="10" t="str">
        <f>IFERROR((VLOOKUP(A1006,Planilha1!A:B,2,0)),"\\192.168.0.4\Produtos\PRODUTO_PRONTA_ENTREGA\static\IMAGENS_PRODUTOS\SEM IMAGEM.jpg")</f>
        <v>\\192.168.0.4\Produtos\PRODUTO_PRONTA_ENTREGA\static\IMAGENS_PRODUTOS\SEM IMAGEM.jpg</v>
      </c>
      <c r="V1006" t="str">
        <f>IFERROR((VLOOKUP(A1006,Planilha1!A:B,2,0)),"\\192.168.0.4\Produtos\PRODUTO_PRONTA_ENTREGA\static\IMAGENS_PRODUTOS\SEM IMAGEM.jpg")</f>
        <v>\\192.168.0.4\Produtos\PRODUTO_PRONTA_ENTREGA\static\IMAGENS_PRODUTOS\SEM IMAGEM.jpg</v>
      </c>
    </row>
    <row r="1007" spans="1:22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51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52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53"/>
        <v>1</v>
      </c>
      <c r="U1007" s="10" t="str">
        <f>IFERROR((VLOOKUP(A1007,Planilha1!A:B,2,0)),"\\192.168.0.4\Produtos\PRODUTO_PRONTA_ENTREGA\static\IMAGENS_PRODUTOS\SEM IMAGEM.jpg")</f>
        <v>\\192.168.0.4\Produtos\PRODUTO_PRONTA_ENTREGA\static\IMAGENS_PRODUTOS\SEM IMAGEM.jpg</v>
      </c>
      <c r="V1007" t="str">
        <f>IFERROR((VLOOKUP(A1007,Planilha1!A:B,2,0)),"\\192.168.0.4\Produtos\PRODUTO_PRONTA_ENTREGA\static\IMAGENS_PRODUTOS\SEM IMAGEM.jpg")</f>
        <v>\\192.168.0.4\Produtos\PRODUTO_PRONTA_ENTREGA\static\IMAGENS_PRODUTOS\SEM IMAGEM.jpg</v>
      </c>
    </row>
    <row r="1008" spans="1:22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51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52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53"/>
        <v>1</v>
      </c>
      <c r="U1008" s="10" t="str">
        <f>IFERROR((VLOOKUP(A1008,Planilha1!A:B,2,0)),"\\192.168.0.4\Produtos\PRODUTO_PRONTA_ENTREGA\static\IMAGENS_PRODUTOS\SEM IMAGEM.jpg")</f>
        <v>\\192.168.0.4\Produtos\PRODUTO_PRONTA_ENTREGA\static\IMAGENS_PRODUTOS\SEM IMAGEM.jpg</v>
      </c>
      <c r="V1008" t="str">
        <f>IFERROR((VLOOKUP(A1008,Planilha1!A:B,2,0)),"\\192.168.0.4\Produtos\PRODUTO_PRONTA_ENTREGA\static\IMAGENS_PRODUTOS\SEM IMAGEM.jpg")</f>
        <v>\\192.168.0.4\Produtos\PRODUTO_PRONTA_ENTREGA\static\IMAGENS_PRODUTOS\SEM IMAGEM.jpg</v>
      </c>
    </row>
    <row r="1009" spans="1:22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51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52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53"/>
        <v>1</v>
      </c>
      <c r="U1009" s="10" t="str">
        <f>IFERROR((VLOOKUP(A1009,Planilha1!A:B,2,0)),"\\192.168.0.4\Produtos\PRODUTO_PRONTA_ENTREGA\static\IMAGENS_PRODUTOS\SEM IMAGEM.jpg")</f>
        <v>\\192.168.0.4\Produtos\PRODUTO_PRONTA_ENTREGA\static\IMAGENS_PRODUTOS\SEM IMAGEM.jpg</v>
      </c>
      <c r="V1009" t="str">
        <f>IFERROR((VLOOKUP(A1009,Planilha1!A:B,2,0)),"\\192.168.0.4\Produtos\PRODUTO_PRONTA_ENTREGA\static\IMAGENS_PRODUTOS\SEM IMAGEM.jpg")</f>
        <v>\\192.168.0.4\Produtos\PRODUTO_PRONTA_ENTREGA\static\IMAGENS_PRODUTOS\SEM IMAGEM.jpg</v>
      </c>
    </row>
    <row r="1010" spans="1:22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51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52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53"/>
        <v>1</v>
      </c>
      <c r="U1010" s="10" t="str">
        <f>IFERROR((VLOOKUP(A1010,Planilha1!A:B,2,0)),"\\192.168.0.4\Produtos\PRODUTO_PRONTA_ENTREGA\static\IMAGENS_PRODUTOS\SEM IMAGEM.jpg")</f>
        <v>\\192.168.0.4\Produtos\PRODUTO_PRONTA_ENTREGA\static\IMAGENS_PRODUTOS\SEM IMAGEM.jpg</v>
      </c>
      <c r="V1010" t="str">
        <f>IFERROR((VLOOKUP(A1010,Planilha1!A:B,2,0)),"\\192.168.0.4\Produtos\PRODUTO_PRONTA_ENTREGA\static\IMAGENS_PRODUTOS\SEM IMAGEM.jpg")</f>
        <v>\\192.168.0.4\Produtos\PRODUTO_PRONTA_ENTREGA\static\IMAGENS_PRODUTOS\SEM IMAGEM.jpg</v>
      </c>
    </row>
    <row r="1011" spans="1:22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51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52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53"/>
        <v>1</v>
      </c>
      <c r="U1011" s="10" t="str">
        <f>IFERROR((VLOOKUP(A1011,Planilha1!A:B,2,0)),"\\192.168.0.4\Produtos\PRODUTO_PRONTA_ENTREGA\static\IMAGENS_PRODUTOS\SEM IMAGEM.jpg")</f>
        <v>\\192.168.0.4\Produtos\PRODUTO_PRONTA_ENTREGA\static\IMAGENS_PRODUTOS\SEM IMAGEM.jpg</v>
      </c>
      <c r="V1011" t="str">
        <f>IFERROR((VLOOKUP(A1011,Planilha1!A:B,2,0)),"\\192.168.0.4\Produtos\PRODUTO_PRONTA_ENTREGA\static\IMAGENS_PRODUTOS\SEM IMAGEM.jpg")</f>
        <v>\\192.168.0.4\Produtos\PRODUTO_PRONTA_ENTREGA\static\IMAGENS_PRODUTOS\SEM IMAGEM.jpg</v>
      </c>
    </row>
  </sheetData>
  <autoFilter ref="A2:AB1011" xr:uid="{A797188C-EE6D-4103-9686-A7EF3C02BDEA}"/>
  <mergeCells count="1"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F2" sqref="F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1479</v>
      </c>
      <c r="B1" t="s">
        <v>1479</v>
      </c>
      <c r="C1" t="s">
        <v>1479</v>
      </c>
      <c r="D1" t="s">
        <v>1479</v>
      </c>
      <c r="E1" t="s">
        <v>1479</v>
      </c>
      <c r="F1" t="s">
        <v>1479</v>
      </c>
    </row>
    <row r="2" spans="1:6" x14ac:dyDescent="0.25">
      <c r="A2">
        <v>234552</v>
      </c>
      <c r="B2" s="15" t="s">
        <v>635</v>
      </c>
      <c r="C2" t="s">
        <v>1482</v>
      </c>
      <c r="D2">
        <v>234552</v>
      </c>
      <c r="F2" s="15" t="s">
        <v>1416</v>
      </c>
    </row>
    <row r="3" spans="1:6" x14ac:dyDescent="0.25">
      <c r="A3">
        <v>274937</v>
      </c>
      <c r="B3" t="s">
        <v>636</v>
      </c>
      <c r="C3" t="s">
        <v>1483</v>
      </c>
      <c r="D3">
        <v>274937</v>
      </c>
    </row>
    <row r="4" spans="1:6" x14ac:dyDescent="0.25">
      <c r="A4">
        <v>378480</v>
      </c>
      <c r="B4" t="s">
        <v>637</v>
      </c>
      <c r="C4" t="s">
        <v>1484</v>
      </c>
      <c r="D4">
        <v>378480</v>
      </c>
    </row>
    <row r="5" spans="1:6" x14ac:dyDescent="0.25">
      <c r="A5">
        <v>157048</v>
      </c>
      <c r="B5" t="s">
        <v>638</v>
      </c>
      <c r="C5" t="s">
        <v>1485</v>
      </c>
      <c r="D5">
        <v>157048</v>
      </c>
    </row>
    <row r="6" spans="1:6" x14ac:dyDescent="0.25">
      <c r="A6">
        <v>336562</v>
      </c>
      <c r="B6" t="s">
        <v>639</v>
      </c>
      <c r="C6" t="s">
        <v>152</v>
      </c>
      <c r="D6">
        <v>336562</v>
      </c>
    </row>
    <row r="7" spans="1:6" x14ac:dyDescent="0.25">
      <c r="A7">
        <v>182711</v>
      </c>
      <c r="B7" t="s">
        <v>640</v>
      </c>
      <c r="C7" t="s">
        <v>1486</v>
      </c>
      <c r="D7">
        <v>182711</v>
      </c>
    </row>
    <row r="8" spans="1:6" x14ac:dyDescent="0.25">
      <c r="A8">
        <v>151597</v>
      </c>
      <c r="B8" t="s">
        <v>641</v>
      </c>
      <c r="C8" t="s">
        <v>1487</v>
      </c>
      <c r="D8">
        <v>151597</v>
      </c>
    </row>
    <row r="9" spans="1:6" x14ac:dyDescent="0.25">
      <c r="A9">
        <v>210381</v>
      </c>
      <c r="B9" t="s">
        <v>642</v>
      </c>
      <c r="C9" t="s">
        <v>1488</v>
      </c>
      <c r="D9">
        <v>210381</v>
      </c>
    </row>
    <row r="10" spans="1:6" x14ac:dyDescent="0.25">
      <c r="A10">
        <v>151450</v>
      </c>
      <c r="B10" t="s">
        <v>643</v>
      </c>
      <c r="C10" t="s">
        <v>1489</v>
      </c>
      <c r="D10">
        <v>151450</v>
      </c>
    </row>
    <row r="11" spans="1:6" x14ac:dyDescent="0.25">
      <c r="A11">
        <v>228598</v>
      </c>
      <c r="B11" t="s">
        <v>644</v>
      </c>
      <c r="C11" t="s">
        <v>1490</v>
      </c>
      <c r="D11">
        <v>228598</v>
      </c>
    </row>
    <row r="12" spans="1:6" x14ac:dyDescent="0.25">
      <c r="A12">
        <v>127041</v>
      </c>
      <c r="B12" t="s">
        <v>645</v>
      </c>
      <c r="C12" t="s">
        <v>1491</v>
      </c>
      <c r="D12">
        <v>127041</v>
      </c>
    </row>
    <row r="13" spans="1:6" x14ac:dyDescent="0.25">
      <c r="A13">
        <v>63439</v>
      </c>
      <c r="B13" t="s">
        <v>646</v>
      </c>
      <c r="C13" t="s">
        <v>1492</v>
      </c>
      <c r="D13">
        <v>63439</v>
      </c>
    </row>
    <row r="14" spans="1:6" x14ac:dyDescent="0.25">
      <c r="A14">
        <v>210409</v>
      </c>
      <c r="B14" t="s">
        <v>647</v>
      </c>
      <c r="C14" t="s">
        <v>1493</v>
      </c>
      <c r="D14">
        <v>210409</v>
      </c>
    </row>
    <row r="15" spans="1:6" x14ac:dyDescent="0.25">
      <c r="A15">
        <v>336616</v>
      </c>
      <c r="B15" t="s">
        <v>648</v>
      </c>
      <c r="C15" t="s">
        <v>150</v>
      </c>
      <c r="D15">
        <v>336616</v>
      </c>
    </row>
    <row r="16" spans="1:6" x14ac:dyDescent="0.25">
      <c r="A16">
        <v>151718</v>
      </c>
      <c r="B16" t="s">
        <v>649</v>
      </c>
      <c r="C16" t="s">
        <v>1494</v>
      </c>
      <c r="D16">
        <v>151718</v>
      </c>
    </row>
    <row r="17" spans="1:4" x14ac:dyDescent="0.25">
      <c r="A17">
        <v>151366</v>
      </c>
      <c r="B17" t="s">
        <v>650</v>
      </c>
      <c r="C17" t="s">
        <v>1495</v>
      </c>
      <c r="D17">
        <v>151366</v>
      </c>
    </row>
    <row r="18" spans="1:4" x14ac:dyDescent="0.25">
      <c r="A18">
        <v>203827</v>
      </c>
      <c r="B18" t="s">
        <v>651</v>
      </c>
      <c r="C18" t="s">
        <v>1495</v>
      </c>
      <c r="D18">
        <v>203827</v>
      </c>
    </row>
    <row r="19" spans="1:4" x14ac:dyDescent="0.25">
      <c r="A19">
        <v>152614</v>
      </c>
      <c r="B19" t="s">
        <v>652</v>
      </c>
      <c r="C19" t="s">
        <v>151</v>
      </c>
      <c r="D19">
        <v>152614</v>
      </c>
    </row>
    <row r="20" spans="1:4" x14ac:dyDescent="0.25">
      <c r="A20">
        <v>180739</v>
      </c>
      <c r="B20" t="s">
        <v>653</v>
      </c>
      <c r="C20" t="s">
        <v>1496</v>
      </c>
      <c r="D20">
        <v>180739</v>
      </c>
    </row>
    <row r="21" spans="1:4" x14ac:dyDescent="0.25">
      <c r="A21">
        <v>299531</v>
      </c>
      <c r="B21" t="s">
        <v>654</v>
      </c>
      <c r="C21" t="s">
        <v>147</v>
      </c>
      <c r="D21">
        <v>299531</v>
      </c>
    </row>
    <row r="22" spans="1:4" x14ac:dyDescent="0.25">
      <c r="A22">
        <v>231134</v>
      </c>
      <c r="B22" t="s">
        <v>655</v>
      </c>
      <c r="C22" t="s">
        <v>1497</v>
      </c>
      <c r="D22">
        <v>231134</v>
      </c>
    </row>
    <row r="23" spans="1:4" x14ac:dyDescent="0.25">
      <c r="A23">
        <v>334167</v>
      </c>
      <c r="B23" t="s">
        <v>656</v>
      </c>
      <c r="C23" t="s">
        <v>1497</v>
      </c>
      <c r="D23">
        <v>334167</v>
      </c>
    </row>
    <row r="24" spans="1:4" x14ac:dyDescent="0.25">
      <c r="A24">
        <v>223338</v>
      </c>
      <c r="B24" t="s">
        <v>657</v>
      </c>
      <c r="C24" t="s">
        <v>1498</v>
      </c>
      <c r="D24">
        <v>223338</v>
      </c>
    </row>
    <row r="25" spans="1:4" x14ac:dyDescent="0.25">
      <c r="A25">
        <v>224044</v>
      </c>
      <c r="B25" t="s">
        <v>658</v>
      </c>
      <c r="C25" t="s">
        <v>1499</v>
      </c>
      <c r="D25">
        <v>224044</v>
      </c>
    </row>
    <row r="26" spans="1:4" x14ac:dyDescent="0.25">
      <c r="A26">
        <v>253860</v>
      </c>
      <c r="B26" t="s">
        <v>659</v>
      </c>
      <c r="C26" t="s">
        <v>148</v>
      </c>
      <c r="D26">
        <v>253860</v>
      </c>
    </row>
    <row r="27" spans="1:4" x14ac:dyDescent="0.25">
      <c r="A27">
        <v>336715</v>
      </c>
      <c r="B27" t="s">
        <v>660</v>
      </c>
      <c r="C27" t="s">
        <v>1500</v>
      </c>
      <c r="D27">
        <v>336715</v>
      </c>
    </row>
    <row r="28" spans="1:4" x14ac:dyDescent="0.25">
      <c r="A28">
        <v>336641</v>
      </c>
      <c r="B28" t="s">
        <v>661</v>
      </c>
      <c r="C28" t="s">
        <v>1501</v>
      </c>
      <c r="D28">
        <v>336641</v>
      </c>
    </row>
    <row r="29" spans="1:4" x14ac:dyDescent="0.25">
      <c r="A29">
        <v>151719</v>
      </c>
      <c r="B29" t="s">
        <v>662</v>
      </c>
      <c r="C29" t="s">
        <v>1502</v>
      </c>
      <c r="D29">
        <v>151719</v>
      </c>
    </row>
    <row r="30" spans="1:4" x14ac:dyDescent="0.25">
      <c r="A30">
        <v>334176</v>
      </c>
      <c r="B30" t="s">
        <v>663</v>
      </c>
      <c r="C30" t="s">
        <v>1503</v>
      </c>
      <c r="D30">
        <v>334176</v>
      </c>
    </row>
    <row r="31" spans="1:4" x14ac:dyDescent="0.25">
      <c r="A31">
        <v>329025</v>
      </c>
      <c r="B31" t="s">
        <v>664</v>
      </c>
      <c r="C31" t="s">
        <v>149</v>
      </c>
      <c r="D31">
        <v>329025</v>
      </c>
    </row>
    <row r="32" spans="1:4" x14ac:dyDescent="0.25">
      <c r="A32">
        <v>142219</v>
      </c>
      <c r="B32" t="s">
        <v>665</v>
      </c>
      <c r="C32" t="s">
        <v>1504</v>
      </c>
      <c r="D32">
        <v>142219</v>
      </c>
    </row>
    <row r="33" spans="1:4" x14ac:dyDescent="0.25">
      <c r="A33">
        <v>142210</v>
      </c>
      <c r="B33" t="s">
        <v>666</v>
      </c>
      <c r="C33" t="s">
        <v>1505</v>
      </c>
      <c r="D33">
        <v>142210</v>
      </c>
    </row>
    <row r="34" spans="1:4" x14ac:dyDescent="0.25">
      <c r="A34">
        <v>179057</v>
      </c>
      <c r="B34" t="s">
        <v>667</v>
      </c>
      <c r="C34" t="s">
        <v>1505</v>
      </c>
      <c r="D34">
        <v>179057</v>
      </c>
    </row>
    <row r="35" spans="1:4" x14ac:dyDescent="0.25">
      <c r="A35">
        <v>151452</v>
      </c>
      <c r="B35" t="s">
        <v>668</v>
      </c>
      <c r="C35" t="s">
        <v>1506</v>
      </c>
      <c r="D35">
        <v>151452</v>
      </c>
    </row>
    <row r="36" spans="1:4" x14ac:dyDescent="0.25">
      <c r="A36">
        <v>187157</v>
      </c>
      <c r="B36" t="s">
        <v>669</v>
      </c>
      <c r="C36" t="s">
        <v>1507</v>
      </c>
      <c r="D36">
        <v>187157</v>
      </c>
    </row>
    <row r="37" spans="1:4" x14ac:dyDescent="0.25">
      <c r="A37">
        <v>178893</v>
      </c>
      <c r="B37" t="s">
        <v>670</v>
      </c>
      <c r="C37" t="s">
        <v>1508</v>
      </c>
      <c r="D37">
        <v>178893</v>
      </c>
    </row>
    <row r="38" spans="1:4" x14ac:dyDescent="0.25">
      <c r="A38">
        <v>183815</v>
      </c>
      <c r="B38" t="s">
        <v>671</v>
      </c>
      <c r="C38" t="s">
        <v>1509</v>
      </c>
      <c r="D38">
        <v>183815</v>
      </c>
    </row>
    <row r="39" spans="1:4" x14ac:dyDescent="0.25">
      <c r="A39">
        <v>183816</v>
      </c>
      <c r="B39" t="s">
        <v>671</v>
      </c>
      <c r="C39" t="s">
        <v>1509</v>
      </c>
      <c r="D39">
        <v>183816</v>
      </c>
    </row>
    <row r="40" spans="1:4" x14ac:dyDescent="0.25">
      <c r="A40">
        <v>80189</v>
      </c>
      <c r="B40" t="s">
        <v>672</v>
      </c>
      <c r="C40" t="s">
        <v>1510</v>
      </c>
      <c r="D40">
        <v>80189</v>
      </c>
    </row>
    <row r="41" spans="1:4" x14ac:dyDescent="0.25">
      <c r="A41">
        <v>319905</v>
      </c>
      <c r="B41" t="s">
        <v>673</v>
      </c>
      <c r="C41" t="s">
        <v>182</v>
      </c>
      <c r="D41">
        <v>319905</v>
      </c>
    </row>
    <row r="42" spans="1:4" x14ac:dyDescent="0.25">
      <c r="A42">
        <v>222587</v>
      </c>
      <c r="B42" t="s">
        <v>674</v>
      </c>
      <c r="C42" t="s">
        <v>1511</v>
      </c>
      <c r="D42">
        <v>222587</v>
      </c>
    </row>
    <row r="43" spans="1:4" x14ac:dyDescent="0.25">
      <c r="A43">
        <v>113388</v>
      </c>
      <c r="B43" t="s">
        <v>675</v>
      </c>
      <c r="C43" t="s">
        <v>1512</v>
      </c>
      <c r="D43">
        <v>113388</v>
      </c>
    </row>
    <row r="44" spans="1:4" x14ac:dyDescent="0.25">
      <c r="A44">
        <v>336654</v>
      </c>
      <c r="B44" t="s">
        <v>676</v>
      </c>
      <c r="C44" t="s">
        <v>1513</v>
      </c>
      <c r="D44">
        <v>336654</v>
      </c>
    </row>
    <row r="45" spans="1:4" x14ac:dyDescent="0.25">
      <c r="A45">
        <v>254163</v>
      </c>
      <c r="B45" t="s">
        <v>677</v>
      </c>
      <c r="C45" t="s">
        <v>1514</v>
      </c>
      <c r="D45">
        <v>254163</v>
      </c>
    </row>
    <row r="46" spans="1:4" x14ac:dyDescent="0.25">
      <c r="A46">
        <v>254166</v>
      </c>
      <c r="B46" t="s">
        <v>678</v>
      </c>
      <c r="C46" t="s">
        <v>1514</v>
      </c>
      <c r="D46">
        <v>254166</v>
      </c>
    </row>
    <row r="47" spans="1:4" x14ac:dyDescent="0.25">
      <c r="A47">
        <v>254168</v>
      </c>
      <c r="B47" t="s">
        <v>679</v>
      </c>
      <c r="C47" t="s">
        <v>1514</v>
      </c>
      <c r="D47">
        <v>254168</v>
      </c>
    </row>
    <row r="48" spans="1:4" x14ac:dyDescent="0.25">
      <c r="A48">
        <v>82236</v>
      </c>
      <c r="B48" t="s">
        <v>680</v>
      </c>
      <c r="C48" t="s">
        <v>1515</v>
      </c>
      <c r="D48">
        <v>82236</v>
      </c>
    </row>
    <row r="49" spans="1:4" x14ac:dyDescent="0.25">
      <c r="A49">
        <v>210359</v>
      </c>
      <c r="B49" t="s">
        <v>681</v>
      </c>
      <c r="C49" t="s">
        <v>1516</v>
      </c>
      <c r="D49">
        <v>210359</v>
      </c>
    </row>
    <row r="50" spans="1:4" x14ac:dyDescent="0.25">
      <c r="A50">
        <v>147533</v>
      </c>
      <c r="B50" t="s">
        <v>682</v>
      </c>
      <c r="C50" t="s">
        <v>1517</v>
      </c>
      <c r="D50">
        <v>147533</v>
      </c>
    </row>
    <row r="51" spans="1:4" x14ac:dyDescent="0.25">
      <c r="A51">
        <v>147539</v>
      </c>
      <c r="B51" t="s">
        <v>683</v>
      </c>
      <c r="C51" t="s">
        <v>1517</v>
      </c>
      <c r="D51">
        <v>147539</v>
      </c>
    </row>
    <row r="52" spans="1:4" x14ac:dyDescent="0.25">
      <c r="A52">
        <v>147559</v>
      </c>
      <c r="B52" t="s">
        <v>684</v>
      </c>
      <c r="C52" t="s">
        <v>1517</v>
      </c>
      <c r="D52">
        <v>147559</v>
      </c>
    </row>
    <row r="53" spans="1:4" x14ac:dyDescent="0.25">
      <c r="A53">
        <v>151376</v>
      </c>
      <c r="B53" t="s">
        <v>685</v>
      </c>
      <c r="C53" t="s">
        <v>1517</v>
      </c>
      <c r="D53">
        <v>151376</v>
      </c>
    </row>
    <row r="54" spans="1:4" x14ac:dyDescent="0.25">
      <c r="A54">
        <v>147571</v>
      </c>
      <c r="B54" t="s">
        <v>686</v>
      </c>
      <c r="C54" t="s">
        <v>1518</v>
      </c>
      <c r="D54">
        <v>147571</v>
      </c>
    </row>
    <row r="55" spans="1:4" x14ac:dyDescent="0.25">
      <c r="A55">
        <v>129391</v>
      </c>
      <c r="B55" t="s">
        <v>687</v>
      </c>
      <c r="C55" t="s">
        <v>1519</v>
      </c>
      <c r="D55">
        <v>129391</v>
      </c>
    </row>
    <row r="56" spans="1:4" x14ac:dyDescent="0.25">
      <c r="A56">
        <v>191298</v>
      </c>
      <c r="B56" t="s">
        <v>688</v>
      </c>
      <c r="C56" t="s">
        <v>1519</v>
      </c>
      <c r="D56">
        <v>191298</v>
      </c>
    </row>
    <row r="57" spans="1:4" x14ac:dyDescent="0.25">
      <c r="A57">
        <v>142198</v>
      </c>
      <c r="B57" t="s">
        <v>689</v>
      </c>
      <c r="C57" t="s">
        <v>1520</v>
      </c>
      <c r="D57">
        <v>142198</v>
      </c>
    </row>
    <row r="58" spans="1:4" x14ac:dyDescent="0.25">
      <c r="A58">
        <v>86812</v>
      </c>
      <c r="B58" t="s">
        <v>690</v>
      </c>
      <c r="C58" t="s">
        <v>1521</v>
      </c>
      <c r="D58">
        <v>86812</v>
      </c>
    </row>
    <row r="59" spans="1:4" x14ac:dyDescent="0.25">
      <c r="A59">
        <v>112452</v>
      </c>
      <c r="B59" t="s">
        <v>691</v>
      </c>
      <c r="C59" t="s">
        <v>1522</v>
      </c>
      <c r="D59">
        <v>112452</v>
      </c>
    </row>
    <row r="60" spans="1:4" x14ac:dyDescent="0.25">
      <c r="A60">
        <v>151242</v>
      </c>
      <c r="B60" t="s">
        <v>692</v>
      </c>
      <c r="C60" t="s">
        <v>1523</v>
      </c>
      <c r="D60">
        <v>151242</v>
      </c>
    </row>
    <row r="61" spans="1:4" x14ac:dyDescent="0.25">
      <c r="A61">
        <v>230075</v>
      </c>
      <c r="B61" t="s">
        <v>693</v>
      </c>
      <c r="C61" t="s">
        <v>1524</v>
      </c>
      <c r="D61">
        <v>230075</v>
      </c>
    </row>
    <row r="62" spans="1:4" x14ac:dyDescent="0.25">
      <c r="A62">
        <v>63998</v>
      </c>
      <c r="B62" t="s">
        <v>694</v>
      </c>
      <c r="C62" t="s">
        <v>1525</v>
      </c>
      <c r="D62">
        <v>63998</v>
      </c>
    </row>
    <row r="63" spans="1:4" x14ac:dyDescent="0.25">
      <c r="A63">
        <v>77883</v>
      </c>
      <c r="B63" t="s">
        <v>695</v>
      </c>
      <c r="C63" t="s">
        <v>1526</v>
      </c>
      <c r="D63">
        <v>77883</v>
      </c>
    </row>
    <row r="64" spans="1:4" x14ac:dyDescent="0.25">
      <c r="A64">
        <v>216681</v>
      </c>
      <c r="B64" t="s">
        <v>696</v>
      </c>
      <c r="C64" t="s">
        <v>1527</v>
      </c>
      <c r="D64">
        <v>216681</v>
      </c>
    </row>
    <row r="65" spans="1:4" x14ac:dyDescent="0.25">
      <c r="A65">
        <v>230249</v>
      </c>
      <c r="B65" t="s">
        <v>697</v>
      </c>
      <c r="C65" t="s">
        <v>1528</v>
      </c>
      <c r="D65">
        <v>230249</v>
      </c>
    </row>
    <row r="66" spans="1:4" x14ac:dyDescent="0.25">
      <c r="A66">
        <v>178054</v>
      </c>
      <c r="B66" t="s">
        <v>698</v>
      </c>
      <c r="C66" t="s">
        <v>1529</v>
      </c>
      <c r="D66">
        <v>178054</v>
      </c>
    </row>
    <row r="67" spans="1:4" x14ac:dyDescent="0.25">
      <c r="A67">
        <v>210423</v>
      </c>
      <c r="B67" t="s">
        <v>699</v>
      </c>
      <c r="C67" t="s">
        <v>1530</v>
      </c>
      <c r="D67">
        <v>210423</v>
      </c>
    </row>
    <row r="68" spans="1:4" x14ac:dyDescent="0.25">
      <c r="A68">
        <v>163874</v>
      </c>
      <c r="B68" t="s">
        <v>700</v>
      </c>
      <c r="C68" t="s">
        <v>1531</v>
      </c>
      <c r="D68">
        <v>163874</v>
      </c>
    </row>
    <row r="69" spans="1:4" x14ac:dyDescent="0.25">
      <c r="A69">
        <v>102495</v>
      </c>
      <c r="B69" t="s">
        <v>701</v>
      </c>
      <c r="C69" t="s">
        <v>1532</v>
      </c>
      <c r="D69">
        <v>102495</v>
      </c>
    </row>
    <row r="70" spans="1:4" x14ac:dyDescent="0.25">
      <c r="A70">
        <v>271727</v>
      </c>
      <c r="B70" t="s">
        <v>702</v>
      </c>
      <c r="C70" t="s">
        <v>1533</v>
      </c>
      <c r="D70">
        <v>271727</v>
      </c>
    </row>
    <row r="71" spans="1:4" x14ac:dyDescent="0.25">
      <c r="A71">
        <v>191295</v>
      </c>
      <c r="B71" t="s">
        <v>703</v>
      </c>
      <c r="C71" t="s">
        <v>1534</v>
      </c>
      <c r="D71">
        <v>191295</v>
      </c>
    </row>
    <row r="72" spans="1:4" x14ac:dyDescent="0.25">
      <c r="A72">
        <v>271729</v>
      </c>
      <c r="B72" t="s">
        <v>704</v>
      </c>
      <c r="C72" t="s">
        <v>1535</v>
      </c>
      <c r="D72">
        <v>271729</v>
      </c>
    </row>
    <row r="73" spans="1:4" x14ac:dyDescent="0.25">
      <c r="A73">
        <v>234337</v>
      </c>
      <c r="B73" t="s">
        <v>705</v>
      </c>
      <c r="C73" t="s">
        <v>1536</v>
      </c>
      <c r="D73">
        <v>234337</v>
      </c>
    </row>
    <row r="74" spans="1:4" x14ac:dyDescent="0.25">
      <c r="A74">
        <v>234338</v>
      </c>
      <c r="B74" t="s">
        <v>706</v>
      </c>
      <c r="C74" t="s">
        <v>1536</v>
      </c>
      <c r="D74">
        <v>234338</v>
      </c>
    </row>
    <row r="75" spans="1:4" x14ac:dyDescent="0.25">
      <c r="A75">
        <v>147634</v>
      </c>
      <c r="B75" t="s">
        <v>707</v>
      </c>
      <c r="C75" t="s">
        <v>1537</v>
      </c>
      <c r="D75">
        <v>147634</v>
      </c>
    </row>
    <row r="76" spans="1:4" x14ac:dyDescent="0.25">
      <c r="A76">
        <v>187467</v>
      </c>
      <c r="B76" t="s">
        <v>708</v>
      </c>
      <c r="C76" t="s">
        <v>1538</v>
      </c>
      <c r="D76">
        <v>187467</v>
      </c>
    </row>
    <row r="77" spans="1:4" x14ac:dyDescent="0.25">
      <c r="A77">
        <v>351057</v>
      </c>
      <c r="B77" t="s">
        <v>709</v>
      </c>
      <c r="C77" t="s">
        <v>1539</v>
      </c>
      <c r="D77">
        <v>351057</v>
      </c>
    </row>
    <row r="78" spans="1:4" x14ac:dyDescent="0.25">
      <c r="A78">
        <v>351060</v>
      </c>
      <c r="B78" t="s">
        <v>710</v>
      </c>
      <c r="C78" t="s">
        <v>1539</v>
      </c>
      <c r="D78">
        <v>351060</v>
      </c>
    </row>
    <row r="79" spans="1:4" x14ac:dyDescent="0.25">
      <c r="A79">
        <v>271725</v>
      </c>
      <c r="B79" t="s">
        <v>711</v>
      </c>
      <c r="C79" t="s">
        <v>1540</v>
      </c>
      <c r="D79">
        <v>271725</v>
      </c>
    </row>
    <row r="80" spans="1:4" x14ac:dyDescent="0.25">
      <c r="A80">
        <v>255055</v>
      </c>
      <c r="B80" t="s">
        <v>712</v>
      </c>
      <c r="C80" t="s">
        <v>1541</v>
      </c>
      <c r="D80">
        <v>255055</v>
      </c>
    </row>
    <row r="81" spans="1:4" x14ac:dyDescent="0.25">
      <c r="A81">
        <v>176086</v>
      </c>
      <c r="B81" t="s">
        <v>713</v>
      </c>
      <c r="C81" t="s">
        <v>1542</v>
      </c>
      <c r="D81">
        <v>176086</v>
      </c>
    </row>
    <row r="82" spans="1:4" x14ac:dyDescent="0.25">
      <c r="A82">
        <v>219523</v>
      </c>
      <c r="B82" t="s">
        <v>714</v>
      </c>
      <c r="C82" t="s">
        <v>1542</v>
      </c>
      <c r="D82">
        <v>219523</v>
      </c>
    </row>
    <row r="83" spans="1:4" x14ac:dyDescent="0.25">
      <c r="A83">
        <v>230856</v>
      </c>
      <c r="B83" t="s">
        <v>715</v>
      </c>
      <c r="C83" t="s">
        <v>1542</v>
      </c>
      <c r="D83">
        <v>230856</v>
      </c>
    </row>
    <row r="84" spans="1:4" x14ac:dyDescent="0.25">
      <c r="A84">
        <v>268060</v>
      </c>
      <c r="B84" t="s">
        <v>716</v>
      </c>
      <c r="C84" t="s">
        <v>1543</v>
      </c>
      <c r="D84">
        <v>268060</v>
      </c>
    </row>
    <row r="85" spans="1:4" x14ac:dyDescent="0.25">
      <c r="A85">
        <v>270552</v>
      </c>
      <c r="B85" t="s">
        <v>717</v>
      </c>
      <c r="C85" t="s">
        <v>1544</v>
      </c>
      <c r="D85">
        <v>270552</v>
      </c>
    </row>
    <row r="86" spans="1:4" x14ac:dyDescent="0.25">
      <c r="A86">
        <v>210555</v>
      </c>
      <c r="B86" t="s">
        <v>718</v>
      </c>
      <c r="C86" t="s">
        <v>1545</v>
      </c>
      <c r="D86">
        <v>210555</v>
      </c>
    </row>
    <row r="87" spans="1:4" x14ac:dyDescent="0.25">
      <c r="A87">
        <v>214530</v>
      </c>
      <c r="B87" t="s">
        <v>719</v>
      </c>
      <c r="C87" t="s">
        <v>1545</v>
      </c>
      <c r="D87">
        <v>214530</v>
      </c>
    </row>
    <row r="88" spans="1:4" x14ac:dyDescent="0.25">
      <c r="A88">
        <v>181321</v>
      </c>
      <c r="B88" t="s">
        <v>721</v>
      </c>
      <c r="C88" t="s">
        <v>1546</v>
      </c>
      <c r="D88">
        <v>181321</v>
      </c>
    </row>
    <row r="89" spans="1:4" x14ac:dyDescent="0.25">
      <c r="A89">
        <v>204057</v>
      </c>
      <c r="B89" t="s">
        <v>722</v>
      </c>
      <c r="C89" t="s">
        <v>1546</v>
      </c>
      <c r="D89">
        <v>204057</v>
      </c>
    </row>
    <row r="90" spans="1:4" x14ac:dyDescent="0.25">
      <c r="A90">
        <v>82483</v>
      </c>
      <c r="B90" t="s">
        <v>720</v>
      </c>
      <c r="C90" t="s">
        <v>1546</v>
      </c>
      <c r="D90">
        <v>82483</v>
      </c>
    </row>
    <row r="91" spans="1:4" x14ac:dyDescent="0.25">
      <c r="A91">
        <v>120741</v>
      </c>
      <c r="B91" t="s">
        <v>723</v>
      </c>
      <c r="C91" t="s">
        <v>1547</v>
      </c>
      <c r="D91">
        <v>120741</v>
      </c>
    </row>
    <row r="92" spans="1:4" x14ac:dyDescent="0.25">
      <c r="A92">
        <v>235153</v>
      </c>
      <c r="B92" t="s">
        <v>724</v>
      </c>
      <c r="C92" t="s">
        <v>1548</v>
      </c>
      <c r="D92">
        <v>235153</v>
      </c>
    </row>
    <row r="93" spans="1:4" x14ac:dyDescent="0.25">
      <c r="A93">
        <v>235154</v>
      </c>
      <c r="B93" t="s">
        <v>724</v>
      </c>
      <c r="C93" t="s">
        <v>1548</v>
      </c>
      <c r="D93">
        <v>235154</v>
      </c>
    </row>
    <row r="94" spans="1:4" x14ac:dyDescent="0.25">
      <c r="A94">
        <v>230260</v>
      </c>
      <c r="B94" t="s">
        <v>725</v>
      </c>
      <c r="C94" t="s">
        <v>1549</v>
      </c>
      <c r="D94">
        <v>230260</v>
      </c>
    </row>
    <row r="95" spans="1:4" x14ac:dyDescent="0.25">
      <c r="A95">
        <v>250026</v>
      </c>
      <c r="B95" t="s">
        <v>726</v>
      </c>
      <c r="C95" t="s">
        <v>1550</v>
      </c>
      <c r="D95">
        <v>250026</v>
      </c>
    </row>
    <row r="96" spans="1:4" x14ac:dyDescent="0.25">
      <c r="A96">
        <v>250027</v>
      </c>
      <c r="B96" t="s">
        <v>727</v>
      </c>
      <c r="C96" t="s">
        <v>1550</v>
      </c>
      <c r="D96">
        <v>250027</v>
      </c>
    </row>
    <row r="97" spans="1:4" x14ac:dyDescent="0.25">
      <c r="A97">
        <v>112408</v>
      </c>
      <c r="B97" t="s">
        <v>728</v>
      </c>
      <c r="C97" t="s">
        <v>1551</v>
      </c>
      <c r="D97">
        <v>112408</v>
      </c>
    </row>
    <row r="98" spans="1:4" x14ac:dyDescent="0.25">
      <c r="A98">
        <v>129593</v>
      </c>
      <c r="B98" t="s">
        <v>729</v>
      </c>
      <c r="C98" t="s">
        <v>1551</v>
      </c>
      <c r="D98">
        <v>129593</v>
      </c>
    </row>
    <row r="99" spans="1:4" x14ac:dyDescent="0.25">
      <c r="A99">
        <v>98952</v>
      </c>
      <c r="B99" t="s">
        <v>730</v>
      </c>
      <c r="C99" t="s">
        <v>1552</v>
      </c>
      <c r="D99">
        <v>98952</v>
      </c>
    </row>
    <row r="100" spans="1:4" x14ac:dyDescent="0.25">
      <c r="A100">
        <v>210370</v>
      </c>
      <c r="B100" t="s">
        <v>731</v>
      </c>
      <c r="C100" t="s">
        <v>1553</v>
      </c>
      <c r="D100">
        <v>210370</v>
      </c>
    </row>
    <row r="101" spans="1:4" x14ac:dyDescent="0.25">
      <c r="A101">
        <v>374368</v>
      </c>
      <c r="B101" t="s">
        <v>732</v>
      </c>
      <c r="C101" t="s">
        <v>1554</v>
      </c>
      <c r="D101">
        <v>374368</v>
      </c>
    </row>
    <row r="102" spans="1:4" x14ac:dyDescent="0.25">
      <c r="A102">
        <v>270551</v>
      </c>
      <c r="B102" t="s">
        <v>733</v>
      </c>
      <c r="C102" t="s">
        <v>1555</v>
      </c>
      <c r="D102">
        <v>270551</v>
      </c>
    </row>
    <row r="103" spans="1:4" x14ac:dyDescent="0.25">
      <c r="A103">
        <v>62482</v>
      </c>
      <c r="B103" t="s">
        <v>734</v>
      </c>
      <c r="C103" t="s">
        <v>1556</v>
      </c>
      <c r="D103">
        <v>62482</v>
      </c>
    </row>
    <row r="104" spans="1:4" x14ac:dyDescent="0.25">
      <c r="A104">
        <v>386949</v>
      </c>
      <c r="B104" t="s">
        <v>735</v>
      </c>
      <c r="C104" t="s">
        <v>221</v>
      </c>
      <c r="D104">
        <v>386949</v>
      </c>
    </row>
    <row r="105" spans="1:4" x14ac:dyDescent="0.25">
      <c r="A105">
        <v>385723</v>
      </c>
      <c r="B105" t="s">
        <v>736</v>
      </c>
      <c r="C105" t="s">
        <v>218</v>
      </c>
      <c r="D105">
        <v>385723</v>
      </c>
    </row>
    <row r="106" spans="1:4" x14ac:dyDescent="0.25">
      <c r="A106">
        <v>217682</v>
      </c>
      <c r="B106" t="s">
        <v>737</v>
      </c>
      <c r="C106" t="s">
        <v>1557</v>
      </c>
      <c r="D106">
        <v>217682</v>
      </c>
    </row>
    <row r="107" spans="1:4" x14ac:dyDescent="0.25">
      <c r="A107">
        <v>112239</v>
      </c>
      <c r="B107" t="s">
        <v>738</v>
      </c>
      <c r="C107" t="s">
        <v>1558</v>
      </c>
      <c r="D107">
        <v>112239</v>
      </c>
    </row>
    <row r="108" spans="1:4" x14ac:dyDescent="0.25">
      <c r="A108">
        <v>157538</v>
      </c>
      <c r="B108" t="s">
        <v>739</v>
      </c>
      <c r="C108" t="s">
        <v>1558</v>
      </c>
      <c r="D108">
        <v>157538</v>
      </c>
    </row>
    <row r="109" spans="1:4" x14ac:dyDescent="0.25">
      <c r="A109">
        <v>212975</v>
      </c>
      <c r="B109" t="s">
        <v>740</v>
      </c>
      <c r="C109" t="s">
        <v>1559</v>
      </c>
      <c r="D109">
        <v>212975</v>
      </c>
    </row>
    <row r="110" spans="1:4" x14ac:dyDescent="0.25">
      <c r="A110">
        <v>219312</v>
      </c>
      <c r="B110" t="s">
        <v>741</v>
      </c>
      <c r="C110" t="s">
        <v>1559</v>
      </c>
      <c r="D110">
        <v>219312</v>
      </c>
    </row>
    <row r="111" spans="1:4" x14ac:dyDescent="0.25">
      <c r="A111">
        <v>212974</v>
      </c>
      <c r="B111" t="s">
        <v>742</v>
      </c>
      <c r="C111" t="s">
        <v>1560</v>
      </c>
      <c r="D111">
        <v>212974</v>
      </c>
    </row>
    <row r="112" spans="1:4" x14ac:dyDescent="0.25">
      <c r="A112">
        <v>336729</v>
      </c>
      <c r="B112" t="s">
        <v>743</v>
      </c>
      <c r="C112" t="s">
        <v>1561</v>
      </c>
      <c r="D112">
        <v>336729</v>
      </c>
    </row>
    <row r="113" spans="1:4" x14ac:dyDescent="0.25">
      <c r="A113">
        <v>214577</v>
      </c>
      <c r="B113" t="s">
        <v>744</v>
      </c>
      <c r="C113" t="s">
        <v>1562</v>
      </c>
      <c r="D113">
        <v>214577</v>
      </c>
    </row>
    <row r="114" spans="1:4" x14ac:dyDescent="0.25">
      <c r="A114">
        <v>379914</v>
      </c>
      <c r="B114" t="s">
        <v>745</v>
      </c>
      <c r="C114" t="s">
        <v>1563</v>
      </c>
      <c r="D114">
        <v>379914</v>
      </c>
    </row>
    <row r="115" spans="1:4" x14ac:dyDescent="0.25">
      <c r="A115">
        <v>210389</v>
      </c>
      <c r="B115" t="s">
        <v>746</v>
      </c>
      <c r="C115" t="s">
        <v>1564</v>
      </c>
      <c r="D115">
        <v>210389</v>
      </c>
    </row>
    <row r="116" spans="1:4" x14ac:dyDescent="0.25">
      <c r="A116">
        <v>250460</v>
      </c>
      <c r="B116" t="s">
        <v>747</v>
      </c>
      <c r="C116" t="s">
        <v>206</v>
      </c>
      <c r="D116">
        <v>250460</v>
      </c>
    </row>
    <row r="117" spans="1:4" x14ac:dyDescent="0.25">
      <c r="A117">
        <v>292636</v>
      </c>
      <c r="B117" t="s">
        <v>748</v>
      </c>
      <c r="C117" t="s">
        <v>1565</v>
      </c>
      <c r="D117">
        <v>292636</v>
      </c>
    </row>
    <row r="118" spans="1:4" x14ac:dyDescent="0.25">
      <c r="A118">
        <v>255749</v>
      </c>
      <c r="B118" t="s">
        <v>749</v>
      </c>
      <c r="C118" t="s">
        <v>1566</v>
      </c>
      <c r="D118">
        <v>255749</v>
      </c>
    </row>
    <row r="119" spans="1:4" x14ac:dyDescent="0.25">
      <c r="A119">
        <v>275006</v>
      </c>
      <c r="B119" t="s">
        <v>750</v>
      </c>
      <c r="C119" t="s">
        <v>1567</v>
      </c>
      <c r="D119">
        <v>275006</v>
      </c>
    </row>
    <row r="120" spans="1:4" x14ac:dyDescent="0.25">
      <c r="A120">
        <v>80036</v>
      </c>
      <c r="B120" t="s">
        <v>751</v>
      </c>
      <c r="C120" t="s">
        <v>1568</v>
      </c>
      <c r="D120">
        <v>80036</v>
      </c>
    </row>
    <row r="121" spans="1:4" x14ac:dyDescent="0.25">
      <c r="A121">
        <v>163826</v>
      </c>
      <c r="B121" t="s">
        <v>752</v>
      </c>
      <c r="C121" t="s">
        <v>1569</v>
      </c>
      <c r="D121">
        <v>163826</v>
      </c>
    </row>
    <row r="122" spans="1:4" x14ac:dyDescent="0.25">
      <c r="A122">
        <v>275024</v>
      </c>
      <c r="B122" t="s">
        <v>753</v>
      </c>
      <c r="C122" t="s">
        <v>1570</v>
      </c>
      <c r="D122">
        <v>275024</v>
      </c>
    </row>
    <row r="123" spans="1:4" x14ac:dyDescent="0.25">
      <c r="A123">
        <v>308716</v>
      </c>
      <c r="B123" t="s">
        <v>754</v>
      </c>
      <c r="C123" t="s">
        <v>1570</v>
      </c>
      <c r="D123">
        <v>308716</v>
      </c>
    </row>
    <row r="124" spans="1:4" x14ac:dyDescent="0.25">
      <c r="A124">
        <v>238171</v>
      </c>
      <c r="B124" t="s">
        <v>755</v>
      </c>
      <c r="C124" t="s">
        <v>1571</v>
      </c>
      <c r="D124">
        <v>238171</v>
      </c>
    </row>
    <row r="125" spans="1:4" x14ac:dyDescent="0.25">
      <c r="A125">
        <v>175157</v>
      </c>
      <c r="B125" t="s">
        <v>756</v>
      </c>
      <c r="C125" t="s">
        <v>1572</v>
      </c>
      <c r="D125">
        <v>175157</v>
      </c>
    </row>
    <row r="126" spans="1:4" x14ac:dyDescent="0.25">
      <c r="A126">
        <v>274992</v>
      </c>
      <c r="B126" t="s">
        <v>757</v>
      </c>
      <c r="C126" t="s">
        <v>1573</v>
      </c>
      <c r="D126">
        <v>274992</v>
      </c>
    </row>
    <row r="127" spans="1:4" x14ac:dyDescent="0.25">
      <c r="A127">
        <v>128597</v>
      </c>
      <c r="B127" t="s">
        <v>758</v>
      </c>
      <c r="C127" t="s">
        <v>1574</v>
      </c>
      <c r="D127">
        <v>128597</v>
      </c>
    </row>
    <row r="128" spans="1:4" x14ac:dyDescent="0.25">
      <c r="A128">
        <v>224531</v>
      </c>
      <c r="B128" t="s">
        <v>759</v>
      </c>
      <c r="C128" t="s">
        <v>1575</v>
      </c>
      <c r="D128">
        <v>224531</v>
      </c>
    </row>
    <row r="129" spans="1:4" x14ac:dyDescent="0.25">
      <c r="A129">
        <v>233119</v>
      </c>
      <c r="B129" t="s">
        <v>761</v>
      </c>
      <c r="C129" t="s">
        <v>1576</v>
      </c>
      <c r="D129">
        <v>233119</v>
      </c>
    </row>
    <row r="130" spans="1:4" x14ac:dyDescent="0.25">
      <c r="A130">
        <v>88590</v>
      </c>
      <c r="B130" t="s">
        <v>760</v>
      </c>
      <c r="C130" t="s">
        <v>1576</v>
      </c>
      <c r="D130">
        <v>88590</v>
      </c>
    </row>
    <row r="131" spans="1:4" x14ac:dyDescent="0.25">
      <c r="A131">
        <v>190079</v>
      </c>
      <c r="B131" t="s">
        <v>762</v>
      </c>
      <c r="C131" t="s">
        <v>1577</v>
      </c>
      <c r="D131">
        <v>190079</v>
      </c>
    </row>
    <row r="132" spans="1:4" x14ac:dyDescent="0.25">
      <c r="A132">
        <v>147629</v>
      </c>
      <c r="B132" t="s">
        <v>763</v>
      </c>
      <c r="C132" t="s">
        <v>1578</v>
      </c>
      <c r="D132">
        <v>147629</v>
      </c>
    </row>
    <row r="133" spans="1:4" x14ac:dyDescent="0.25">
      <c r="A133">
        <v>212906</v>
      </c>
      <c r="B133" t="s">
        <v>768</v>
      </c>
      <c r="C133" t="s">
        <v>1580</v>
      </c>
      <c r="D133">
        <v>212906</v>
      </c>
    </row>
    <row r="134" spans="1:4" x14ac:dyDescent="0.25">
      <c r="A134">
        <v>151433</v>
      </c>
      <c r="B134" t="s">
        <v>769</v>
      </c>
      <c r="C134" t="s">
        <v>1581</v>
      </c>
      <c r="D134">
        <v>151433</v>
      </c>
    </row>
    <row r="135" spans="1:4" x14ac:dyDescent="0.25">
      <c r="A135">
        <v>151438</v>
      </c>
      <c r="B135" t="s">
        <v>770</v>
      </c>
      <c r="C135" t="s">
        <v>1581</v>
      </c>
      <c r="D135">
        <v>151438</v>
      </c>
    </row>
    <row r="136" spans="1:4" x14ac:dyDescent="0.25">
      <c r="A136">
        <v>151437</v>
      </c>
      <c r="B136" t="s">
        <v>771</v>
      </c>
      <c r="C136" t="s">
        <v>1582</v>
      </c>
      <c r="D136">
        <v>151437</v>
      </c>
    </row>
    <row r="137" spans="1:4" x14ac:dyDescent="0.25">
      <c r="A137">
        <v>308799</v>
      </c>
      <c r="B137" t="s">
        <v>764</v>
      </c>
      <c r="C137" t="s">
        <v>1579</v>
      </c>
      <c r="D137">
        <v>308799</v>
      </c>
    </row>
    <row r="138" spans="1:4" x14ac:dyDescent="0.25">
      <c r="A138">
        <v>308800</v>
      </c>
      <c r="B138" t="s">
        <v>765</v>
      </c>
      <c r="C138" t="s">
        <v>1579</v>
      </c>
      <c r="D138">
        <v>308800</v>
      </c>
    </row>
    <row r="139" spans="1:4" x14ac:dyDescent="0.25">
      <c r="A139">
        <v>334160</v>
      </c>
      <c r="B139" t="s">
        <v>766</v>
      </c>
      <c r="C139" t="s">
        <v>1579</v>
      </c>
      <c r="D139">
        <v>334160</v>
      </c>
    </row>
    <row r="140" spans="1:4" x14ac:dyDescent="0.25">
      <c r="A140">
        <v>372730</v>
      </c>
      <c r="B140" t="s">
        <v>767</v>
      </c>
      <c r="C140" t="s">
        <v>1579</v>
      </c>
      <c r="D140">
        <v>372730</v>
      </c>
    </row>
    <row r="141" spans="1:4" x14ac:dyDescent="0.25">
      <c r="A141">
        <v>234734</v>
      </c>
      <c r="B141" t="s">
        <v>772</v>
      </c>
      <c r="C141" t="s">
        <v>270</v>
      </c>
      <c r="D141">
        <v>234734</v>
      </c>
    </row>
    <row r="142" spans="1:4" x14ac:dyDescent="0.25">
      <c r="A142">
        <v>334238</v>
      </c>
      <c r="B142" t="s">
        <v>773</v>
      </c>
      <c r="C142" t="s">
        <v>270</v>
      </c>
      <c r="D142">
        <v>334238</v>
      </c>
    </row>
    <row r="143" spans="1:4" x14ac:dyDescent="0.25">
      <c r="A143">
        <v>120814</v>
      </c>
      <c r="B143" t="s">
        <v>774</v>
      </c>
      <c r="C143" t="s">
        <v>1583</v>
      </c>
      <c r="D143">
        <v>120814</v>
      </c>
    </row>
    <row r="144" spans="1:4" x14ac:dyDescent="0.25">
      <c r="A144">
        <v>261228</v>
      </c>
      <c r="B144" t="s">
        <v>775</v>
      </c>
      <c r="C144" t="s">
        <v>1584</v>
      </c>
      <c r="D144">
        <v>261228</v>
      </c>
    </row>
    <row r="145" spans="1:4" x14ac:dyDescent="0.25">
      <c r="A145">
        <v>234348</v>
      </c>
      <c r="B145" t="s">
        <v>776</v>
      </c>
      <c r="C145" t="s">
        <v>1585</v>
      </c>
      <c r="D145">
        <v>234348</v>
      </c>
    </row>
    <row r="146" spans="1:4" x14ac:dyDescent="0.25">
      <c r="A146">
        <v>232361</v>
      </c>
      <c r="B146" t="s">
        <v>777</v>
      </c>
      <c r="C146" t="s">
        <v>1586</v>
      </c>
      <c r="D146">
        <v>232361</v>
      </c>
    </row>
    <row r="147" spans="1:4" x14ac:dyDescent="0.25">
      <c r="A147">
        <v>261227</v>
      </c>
      <c r="B147" t="s">
        <v>778</v>
      </c>
      <c r="C147" t="s">
        <v>1586</v>
      </c>
      <c r="D147">
        <v>261227</v>
      </c>
    </row>
    <row r="148" spans="1:4" x14ac:dyDescent="0.25">
      <c r="A148">
        <v>261229</v>
      </c>
      <c r="B148" t="s">
        <v>779</v>
      </c>
      <c r="C148" t="s">
        <v>1586</v>
      </c>
      <c r="D148">
        <v>261229</v>
      </c>
    </row>
    <row r="149" spans="1:4" x14ac:dyDescent="0.25">
      <c r="A149">
        <v>261230</v>
      </c>
      <c r="B149" t="s">
        <v>780</v>
      </c>
      <c r="C149" t="s">
        <v>1586</v>
      </c>
      <c r="D149">
        <v>261230</v>
      </c>
    </row>
    <row r="150" spans="1:4" x14ac:dyDescent="0.25">
      <c r="A150">
        <v>128906</v>
      </c>
      <c r="B150" t="s">
        <v>781</v>
      </c>
      <c r="C150" t="s">
        <v>1587</v>
      </c>
      <c r="D150">
        <v>128906</v>
      </c>
    </row>
    <row r="151" spans="1:4" x14ac:dyDescent="0.25">
      <c r="A151">
        <v>130469</v>
      </c>
      <c r="B151" t="s">
        <v>782</v>
      </c>
      <c r="C151" t="s">
        <v>1587</v>
      </c>
      <c r="D151">
        <v>130469</v>
      </c>
    </row>
    <row r="152" spans="1:4" x14ac:dyDescent="0.25">
      <c r="A152">
        <v>130536</v>
      </c>
      <c r="B152" t="s">
        <v>783</v>
      </c>
      <c r="C152" t="s">
        <v>1587</v>
      </c>
      <c r="D152">
        <v>130536</v>
      </c>
    </row>
    <row r="153" spans="1:4" x14ac:dyDescent="0.25">
      <c r="A153">
        <v>163420</v>
      </c>
      <c r="B153" t="s">
        <v>784</v>
      </c>
      <c r="C153" t="s">
        <v>1588</v>
      </c>
      <c r="D153">
        <v>163420</v>
      </c>
    </row>
    <row r="154" spans="1:4" x14ac:dyDescent="0.25">
      <c r="A154">
        <v>221141</v>
      </c>
      <c r="B154" t="s">
        <v>785</v>
      </c>
      <c r="C154" t="s">
        <v>1589</v>
      </c>
      <c r="D154">
        <v>221141</v>
      </c>
    </row>
    <row r="155" spans="1:4" x14ac:dyDescent="0.25">
      <c r="A155">
        <v>93098</v>
      </c>
      <c r="B155" t="s">
        <v>786</v>
      </c>
      <c r="C155" t="s">
        <v>1590</v>
      </c>
      <c r="D155">
        <v>93098</v>
      </c>
    </row>
    <row r="156" spans="1:4" x14ac:dyDescent="0.25">
      <c r="A156">
        <v>151598</v>
      </c>
      <c r="B156" t="s">
        <v>787</v>
      </c>
      <c r="C156" t="s">
        <v>1591</v>
      </c>
      <c r="D156">
        <v>151598</v>
      </c>
    </row>
    <row r="157" spans="1:4" x14ac:dyDescent="0.25">
      <c r="A157">
        <v>151599</v>
      </c>
      <c r="B157" t="s">
        <v>788</v>
      </c>
      <c r="C157" t="s">
        <v>1592</v>
      </c>
      <c r="D157">
        <v>151599</v>
      </c>
    </row>
    <row r="158" spans="1:4" x14ac:dyDescent="0.25">
      <c r="A158">
        <v>128485</v>
      </c>
      <c r="B158" t="s">
        <v>789</v>
      </c>
      <c r="C158" t="s">
        <v>1593</v>
      </c>
      <c r="D158">
        <v>128485</v>
      </c>
    </row>
    <row r="159" spans="1:4" x14ac:dyDescent="0.25">
      <c r="A159">
        <v>129313</v>
      </c>
      <c r="B159" t="s">
        <v>790</v>
      </c>
      <c r="C159" t="s">
        <v>1593</v>
      </c>
      <c r="D159">
        <v>129313</v>
      </c>
    </row>
    <row r="160" spans="1:4" x14ac:dyDescent="0.25">
      <c r="A160">
        <v>218640</v>
      </c>
      <c r="B160" t="s">
        <v>791</v>
      </c>
      <c r="C160" t="s">
        <v>1594</v>
      </c>
      <c r="D160">
        <v>218640</v>
      </c>
    </row>
    <row r="161" spans="1:4" x14ac:dyDescent="0.25">
      <c r="A161">
        <v>100474</v>
      </c>
      <c r="B161" t="s">
        <v>793</v>
      </c>
      <c r="C161" t="s">
        <v>1595</v>
      </c>
      <c r="D161">
        <v>100474</v>
      </c>
    </row>
    <row r="162" spans="1:4" x14ac:dyDescent="0.25">
      <c r="A162">
        <v>65221</v>
      </c>
      <c r="B162" t="s">
        <v>792</v>
      </c>
      <c r="C162" t="s">
        <v>1595</v>
      </c>
      <c r="D162">
        <v>65221</v>
      </c>
    </row>
    <row r="163" spans="1:4" x14ac:dyDescent="0.25">
      <c r="A163">
        <v>364310</v>
      </c>
      <c r="B163" t="s">
        <v>794</v>
      </c>
      <c r="C163" t="s">
        <v>1596</v>
      </c>
      <c r="D163">
        <v>364310</v>
      </c>
    </row>
    <row r="164" spans="1:4" x14ac:dyDescent="0.25">
      <c r="A164">
        <v>364289</v>
      </c>
      <c r="B164" t="s">
        <v>795</v>
      </c>
      <c r="C164" t="s">
        <v>267</v>
      </c>
      <c r="D164">
        <v>364289</v>
      </c>
    </row>
    <row r="165" spans="1:4" x14ac:dyDescent="0.25">
      <c r="A165">
        <v>187158</v>
      </c>
      <c r="B165" t="s">
        <v>796</v>
      </c>
      <c r="C165" t="s">
        <v>1597</v>
      </c>
      <c r="D165">
        <v>187158</v>
      </c>
    </row>
    <row r="166" spans="1:4" x14ac:dyDescent="0.25">
      <c r="A166">
        <v>139952</v>
      </c>
      <c r="B166" t="s">
        <v>797</v>
      </c>
      <c r="C166" t="s">
        <v>1598</v>
      </c>
      <c r="D166">
        <v>139952</v>
      </c>
    </row>
    <row r="167" spans="1:4" x14ac:dyDescent="0.25">
      <c r="A167">
        <v>232126</v>
      </c>
      <c r="B167" t="s">
        <v>798</v>
      </c>
      <c r="C167" t="s">
        <v>1598</v>
      </c>
      <c r="D167">
        <v>232126</v>
      </c>
    </row>
    <row r="168" spans="1:4" x14ac:dyDescent="0.25">
      <c r="A168">
        <v>335331</v>
      </c>
      <c r="B168" t="s">
        <v>799</v>
      </c>
      <c r="C168" t="s">
        <v>268</v>
      </c>
      <c r="D168">
        <v>335331</v>
      </c>
    </row>
    <row r="169" spans="1:4" x14ac:dyDescent="0.25">
      <c r="A169">
        <v>336561</v>
      </c>
      <c r="B169" t="s">
        <v>800</v>
      </c>
      <c r="C169" t="s">
        <v>268</v>
      </c>
      <c r="D169">
        <v>336561</v>
      </c>
    </row>
    <row r="170" spans="1:4" x14ac:dyDescent="0.25">
      <c r="A170">
        <v>336646</v>
      </c>
      <c r="B170" t="s">
        <v>801</v>
      </c>
      <c r="C170" t="s">
        <v>268</v>
      </c>
      <c r="D170">
        <v>336646</v>
      </c>
    </row>
    <row r="171" spans="1:4" x14ac:dyDescent="0.25">
      <c r="A171">
        <v>336720</v>
      </c>
      <c r="B171" t="s">
        <v>802</v>
      </c>
      <c r="C171" t="s">
        <v>268</v>
      </c>
      <c r="D171">
        <v>336720</v>
      </c>
    </row>
    <row r="172" spans="1:4" x14ac:dyDescent="0.25">
      <c r="A172">
        <v>362675</v>
      </c>
      <c r="B172" t="s">
        <v>803</v>
      </c>
      <c r="C172" t="s">
        <v>268</v>
      </c>
      <c r="D172">
        <v>362675</v>
      </c>
    </row>
    <row r="173" spans="1:4" x14ac:dyDescent="0.25">
      <c r="A173">
        <v>140260</v>
      </c>
      <c r="B173" t="s">
        <v>804</v>
      </c>
      <c r="C173" t="s">
        <v>1599</v>
      </c>
      <c r="D173">
        <v>140260</v>
      </c>
    </row>
    <row r="174" spans="1:4" x14ac:dyDescent="0.25">
      <c r="A174">
        <v>250017</v>
      </c>
      <c r="B174" t="s">
        <v>805</v>
      </c>
      <c r="C174" t="s">
        <v>1600</v>
      </c>
      <c r="D174">
        <v>250017</v>
      </c>
    </row>
    <row r="175" spans="1:4" x14ac:dyDescent="0.25">
      <c r="A175">
        <v>260296</v>
      </c>
      <c r="B175" t="s">
        <v>806</v>
      </c>
      <c r="C175" t="s">
        <v>1600</v>
      </c>
      <c r="D175">
        <v>260296</v>
      </c>
    </row>
    <row r="176" spans="1:4" x14ac:dyDescent="0.25">
      <c r="A176">
        <v>151454</v>
      </c>
      <c r="B176" t="s">
        <v>807</v>
      </c>
      <c r="C176" t="s">
        <v>1601</v>
      </c>
      <c r="D176">
        <v>151454</v>
      </c>
    </row>
    <row r="177" spans="1:4" x14ac:dyDescent="0.25">
      <c r="A177">
        <v>151488</v>
      </c>
      <c r="B177" t="s">
        <v>808</v>
      </c>
      <c r="C177" t="s">
        <v>1602</v>
      </c>
      <c r="D177">
        <v>151488</v>
      </c>
    </row>
    <row r="178" spans="1:4" x14ac:dyDescent="0.25">
      <c r="A178">
        <v>223318</v>
      </c>
      <c r="B178" t="s">
        <v>809</v>
      </c>
      <c r="C178" t="s">
        <v>1603</v>
      </c>
      <c r="D178">
        <v>223318</v>
      </c>
    </row>
    <row r="179" spans="1:4" x14ac:dyDescent="0.25">
      <c r="A179">
        <v>129724</v>
      </c>
      <c r="B179" t="s">
        <v>810</v>
      </c>
      <c r="C179" t="s">
        <v>1604</v>
      </c>
      <c r="D179">
        <v>129724</v>
      </c>
    </row>
    <row r="180" spans="1:4" x14ac:dyDescent="0.25">
      <c r="A180">
        <v>151436</v>
      </c>
      <c r="B180" t="s">
        <v>811</v>
      </c>
      <c r="C180" t="s">
        <v>1604</v>
      </c>
      <c r="D180">
        <v>151436</v>
      </c>
    </row>
    <row r="181" spans="1:4" x14ac:dyDescent="0.25">
      <c r="A181">
        <v>260259</v>
      </c>
      <c r="B181" t="s">
        <v>812</v>
      </c>
      <c r="C181" t="s">
        <v>1604</v>
      </c>
      <c r="D181">
        <v>260259</v>
      </c>
    </row>
    <row r="182" spans="1:4" x14ac:dyDescent="0.25">
      <c r="A182">
        <v>208851</v>
      </c>
      <c r="B182" t="s">
        <v>813</v>
      </c>
      <c r="C182" t="s">
        <v>1605</v>
      </c>
      <c r="D182">
        <v>208851</v>
      </c>
    </row>
    <row r="183" spans="1:4" x14ac:dyDescent="0.25">
      <c r="A183">
        <v>224211</v>
      </c>
      <c r="B183" t="s">
        <v>814</v>
      </c>
      <c r="C183" t="s">
        <v>1606</v>
      </c>
      <c r="D183">
        <v>224211</v>
      </c>
    </row>
    <row r="184" spans="1:4" x14ac:dyDescent="0.25">
      <c r="A184">
        <v>378829</v>
      </c>
      <c r="B184" t="s">
        <v>815</v>
      </c>
      <c r="C184" t="s">
        <v>1607</v>
      </c>
      <c r="D184">
        <v>378829</v>
      </c>
    </row>
    <row r="185" spans="1:4" x14ac:dyDescent="0.25">
      <c r="A185">
        <v>270550</v>
      </c>
      <c r="B185" t="s">
        <v>816</v>
      </c>
      <c r="C185" t="s">
        <v>273</v>
      </c>
      <c r="D185">
        <v>270550</v>
      </c>
    </row>
    <row r="186" spans="1:4" x14ac:dyDescent="0.25">
      <c r="A186">
        <v>234546</v>
      </c>
      <c r="B186" t="s">
        <v>817</v>
      </c>
      <c r="C186" t="s">
        <v>1608</v>
      </c>
      <c r="D186">
        <v>234546</v>
      </c>
    </row>
    <row r="187" spans="1:4" x14ac:dyDescent="0.25">
      <c r="A187">
        <v>226719</v>
      </c>
      <c r="B187" t="s">
        <v>818</v>
      </c>
      <c r="C187" t="s">
        <v>1609</v>
      </c>
      <c r="D187">
        <v>226719</v>
      </c>
    </row>
    <row r="188" spans="1:4" x14ac:dyDescent="0.25">
      <c r="A188">
        <v>317428</v>
      </c>
      <c r="B188" t="s">
        <v>819</v>
      </c>
      <c r="C188" t="s">
        <v>1609</v>
      </c>
      <c r="D188">
        <v>317428</v>
      </c>
    </row>
    <row r="189" spans="1:4" x14ac:dyDescent="0.25">
      <c r="A189">
        <v>226598</v>
      </c>
      <c r="B189" t="s">
        <v>820</v>
      </c>
      <c r="C189" t="s">
        <v>1610</v>
      </c>
      <c r="D189">
        <v>226598</v>
      </c>
    </row>
    <row r="190" spans="1:4" x14ac:dyDescent="0.25">
      <c r="A190">
        <v>238325</v>
      </c>
      <c r="B190" t="s">
        <v>821</v>
      </c>
      <c r="C190" t="s">
        <v>1610</v>
      </c>
      <c r="D190">
        <v>238325</v>
      </c>
    </row>
    <row r="191" spans="1:4" x14ac:dyDescent="0.25">
      <c r="A191">
        <v>300479</v>
      </c>
      <c r="B191" t="s">
        <v>822</v>
      </c>
      <c r="C191" t="s">
        <v>1610</v>
      </c>
      <c r="D191">
        <v>300479</v>
      </c>
    </row>
    <row r="192" spans="1:4" x14ac:dyDescent="0.25">
      <c r="A192">
        <v>147797</v>
      </c>
      <c r="B192" t="s">
        <v>823</v>
      </c>
      <c r="C192" t="s">
        <v>1611</v>
      </c>
      <c r="D192">
        <v>147797</v>
      </c>
    </row>
    <row r="193" spans="1:4" x14ac:dyDescent="0.25">
      <c r="A193">
        <v>270428</v>
      </c>
      <c r="B193" t="s">
        <v>824</v>
      </c>
      <c r="C193" t="s">
        <v>1612</v>
      </c>
      <c r="D193">
        <v>270428</v>
      </c>
    </row>
    <row r="194" spans="1:4" x14ac:dyDescent="0.25">
      <c r="A194">
        <v>112295</v>
      </c>
      <c r="B194" t="s">
        <v>825</v>
      </c>
      <c r="C194" t="s">
        <v>1613</v>
      </c>
      <c r="D194">
        <v>112295</v>
      </c>
    </row>
    <row r="195" spans="1:4" x14ac:dyDescent="0.25">
      <c r="A195">
        <v>176891</v>
      </c>
      <c r="B195" t="s">
        <v>826</v>
      </c>
      <c r="C195" t="s">
        <v>1614</v>
      </c>
      <c r="D195">
        <v>176891</v>
      </c>
    </row>
    <row r="196" spans="1:4" x14ac:dyDescent="0.25">
      <c r="A196">
        <v>144647</v>
      </c>
      <c r="B196" t="s">
        <v>827</v>
      </c>
      <c r="C196" t="s">
        <v>1615</v>
      </c>
      <c r="D196">
        <v>144647</v>
      </c>
    </row>
    <row r="197" spans="1:4" x14ac:dyDescent="0.25">
      <c r="A197">
        <v>231017</v>
      </c>
      <c r="B197" t="s">
        <v>828</v>
      </c>
      <c r="C197" t="s">
        <v>1615</v>
      </c>
      <c r="D197">
        <v>231017</v>
      </c>
    </row>
    <row r="198" spans="1:4" x14ac:dyDescent="0.25">
      <c r="A198">
        <v>210373</v>
      </c>
      <c r="B198" t="s">
        <v>829</v>
      </c>
      <c r="C198" t="s">
        <v>1616</v>
      </c>
      <c r="D198">
        <v>210373</v>
      </c>
    </row>
    <row r="199" spans="1:4" x14ac:dyDescent="0.25">
      <c r="A199">
        <v>210386</v>
      </c>
      <c r="B199" t="s">
        <v>830</v>
      </c>
      <c r="C199" t="s">
        <v>1617</v>
      </c>
      <c r="D199">
        <v>210386</v>
      </c>
    </row>
    <row r="200" spans="1:4" x14ac:dyDescent="0.25">
      <c r="A200">
        <v>224131</v>
      </c>
      <c r="B200" t="s">
        <v>831</v>
      </c>
      <c r="C200" t="s">
        <v>1618</v>
      </c>
      <c r="D200">
        <v>224131</v>
      </c>
    </row>
    <row r="201" spans="1:4" x14ac:dyDescent="0.25">
      <c r="A201">
        <v>224132</v>
      </c>
      <c r="B201" t="s">
        <v>832</v>
      </c>
      <c r="C201" t="s">
        <v>1618</v>
      </c>
      <c r="D201">
        <v>224132</v>
      </c>
    </row>
    <row r="202" spans="1:4" x14ac:dyDescent="0.25">
      <c r="A202">
        <v>174050</v>
      </c>
      <c r="B202" t="s">
        <v>833</v>
      </c>
      <c r="C202" t="s">
        <v>1619</v>
      </c>
      <c r="D202">
        <v>174050</v>
      </c>
    </row>
    <row r="203" spans="1:4" x14ac:dyDescent="0.25">
      <c r="A203">
        <v>137163</v>
      </c>
      <c r="B203" t="s">
        <v>834</v>
      </c>
      <c r="C203" t="s">
        <v>1620</v>
      </c>
      <c r="D203">
        <v>137163</v>
      </c>
    </row>
    <row r="204" spans="1:4" x14ac:dyDescent="0.25">
      <c r="A204">
        <v>151533</v>
      </c>
      <c r="B204" t="s">
        <v>835</v>
      </c>
      <c r="C204" t="s">
        <v>1621</v>
      </c>
      <c r="D204">
        <v>151533</v>
      </c>
    </row>
    <row r="205" spans="1:4" x14ac:dyDescent="0.25">
      <c r="A205">
        <v>113945</v>
      </c>
      <c r="B205" t="s">
        <v>836</v>
      </c>
      <c r="C205" t="s">
        <v>1622</v>
      </c>
      <c r="D205">
        <v>113945</v>
      </c>
    </row>
    <row r="206" spans="1:4" x14ac:dyDescent="0.25">
      <c r="A206">
        <v>234069</v>
      </c>
      <c r="B206" t="s">
        <v>837</v>
      </c>
      <c r="C206" t="s">
        <v>1623</v>
      </c>
      <c r="D206">
        <v>234069</v>
      </c>
    </row>
    <row r="207" spans="1:4" x14ac:dyDescent="0.25">
      <c r="A207">
        <v>274154</v>
      </c>
      <c r="B207" t="s">
        <v>838</v>
      </c>
      <c r="C207" t="s">
        <v>1623</v>
      </c>
      <c r="D207">
        <v>274154</v>
      </c>
    </row>
    <row r="208" spans="1:4" x14ac:dyDescent="0.25">
      <c r="A208">
        <v>151490</v>
      </c>
      <c r="B208" t="s">
        <v>839</v>
      </c>
      <c r="C208" t="s">
        <v>1624</v>
      </c>
      <c r="D208">
        <v>151490</v>
      </c>
    </row>
    <row r="209" spans="1:4" x14ac:dyDescent="0.25">
      <c r="A209">
        <v>151236</v>
      </c>
      <c r="B209" t="s">
        <v>840</v>
      </c>
      <c r="C209" t="s">
        <v>1625</v>
      </c>
      <c r="D209">
        <v>151236</v>
      </c>
    </row>
    <row r="210" spans="1:4" x14ac:dyDescent="0.25">
      <c r="A210">
        <v>147803</v>
      </c>
      <c r="B210" t="s">
        <v>841</v>
      </c>
      <c r="C210" t="s">
        <v>1626</v>
      </c>
      <c r="D210">
        <v>147803</v>
      </c>
    </row>
    <row r="211" spans="1:4" x14ac:dyDescent="0.25">
      <c r="A211">
        <v>239158</v>
      </c>
      <c r="B211" t="s">
        <v>842</v>
      </c>
      <c r="C211" t="s">
        <v>1627</v>
      </c>
      <c r="D211">
        <v>239158</v>
      </c>
    </row>
    <row r="212" spans="1:4" x14ac:dyDescent="0.25">
      <c r="A212">
        <v>90497</v>
      </c>
      <c r="B212" t="s">
        <v>843</v>
      </c>
      <c r="C212" t="s">
        <v>1628</v>
      </c>
      <c r="D212">
        <v>90497</v>
      </c>
    </row>
    <row r="213" spans="1:4" x14ac:dyDescent="0.25">
      <c r="A213">
        <v>86814</v>
      </c>
      <c r="B213" t="s">
        <v>844</v>
      </c>
      <c r="C213" t="s">
        <v>1629</v>
      </c>
      <c r="D213">
        <v>86814</v>
      </c>
    </row>
    <row r="214" spans="1:4" x14ac:dyDescent="0.25">
      <c r="A214">
        <v>361510</v>
      </c>
      <c r="B214" t="s">
        <v>845</v>
      </c>
      <c r="C214" t="s">
        <v>1630</v>
      </c>
      <c r="D214">
        <v>361510</v>
      </c>
    </row>
    <row r="215" spans="1:4" x14ac:dyDescent="0.25">
      <c r="A215">
        <v>174045</v>
      </c>
      <c r="B215" t="s">
        <v>846</v>
      </c>
      <c r="C215" t="s">
        <v>1631</v>
      </c>
      <c r="D215">
        <v>174045</v>
      </c>
    </row>
    <row r="216" spans="1:4" x14ac:dyDescent="0.25">
      <c r="A216">
        <v>176795</v>
      </c>
      <c r="B216" t="s">
        <v>847</v>
      </c>
      <c r="C216" t="s">
        <v>1631</v>
      </c>
      <c r="D216">
        <v>176795</v>
      </c>
    </row>
    <row r="217" spans="1:4" x14ac:dyDescent="0.25">
      <c r="A217">
        <v>221136</v>
      </c>
      <c r="B217" t="s">
        <v>848</v>
      </c>
      <c r="C217" t="s">
        <v>1631</v>
      </c>
      <c r="D217">
        <v>221136</v>
      </c>
    </row>
    <row r="218" spans="1:4" x14ac:dyDescent="0.25">
      <c r="A218">
        <v>320671</v>
      </c>
      <c r="B218" t="s">
        <v>849</v>
      </c>
      <c r="C218" t="s">
        <v>272</v>
      </c>
      <c r="D218">
        <v>320671</v>
      </c>
    </row>
    <row r="219" spans="1:4" x14ac:dyDescent="0.25">
      <c r="A219">
        <v>334212</v>
      </c>
      <c r="B219" t="s">
        <v>850</v>
      </c>
      <c r="C219" t="s">
        <v>272</v>
      </c>
      <c r="D219">
        <v>334212</v>
      </c>
    </row>
    <row r="220" spans="1:4" x14ac:dyDescent="0.25">
      <c r="A220">
        <v>335230</v>
      </c>
      <c r="B220" t="s">
        <v>851</v>
      </c>
      <c r="C220" t="s">
        <v>272</v>
      </c>
      <c r="D220">
        <v>335230</v>
      </c>
    </row>
    <row r="221" spans="1:4" x14ac:dyDescent="0.25">
      <c r="A221">
        <v>63798</v>
      </c>
      <c r="B221" t="s">
        <v>852</v>
      </c>
      <c r="C221" t="s">
        <v>1632</v>
      </c>
      <c r="D221">
        <v>63798</v>
      </c>
    </row>
    <row r="222" spans="1:4" x14ac:dyDescent="0.25">
      <c r="A222">
        <v>399204</v>
      </c>
      <c r="B222" t="s">
        <v>853</v>
      </c>
      <c r="C222" t="s">
        <v>262</v>
      </c>
      <c r="D222">
        <v>399204</v>
      </c>
    </row>
    <row r="223" spans="1:4" x14ac:dyDescent="0.25">
      <c r="A223">
        <v>334629</v>
      </c>
      <c r="B223" t="s">
        <v>854</v>
      </c>
      <c r="C223" t="s">
        <v>1633</v>
      </c>
      <c r="D223">
        <v>334629</v>
      </c>
    </row>
    <row r="224" spans="1:4" x14ac:dyDescent="0.25">
      <c r="A224">
        <v>307826</v>
      </c>
      <c r="B224" t="s">
        <v>855</v>
      </c>
      <c r="C224" t="s">
        <v>253</v>
      </c>
      <c r="D224">
        <v>307826</v>
      </c>
    </row>
    <row r="225" spans="1:4" x14ac:dyDescent="0.25">
      <c r="A225">
        <v>307831</v>
      </c>
      <c r="B225" t="s">
        <v>856</v>
      </c>
      <c r="C225" t="s">
        <v>253</v>
      </c>
      <c r="D225">
        <v>307831</v>
      </c>
    </row>
    <row r="226" spans="1:4" x14ac:dyDescent="0.25">
      <c r="A226">
        <v>233552</v>
      </c>
      <c r="B226" t="s">
        <v>857</v>
      </c>
      <c r="C226" t="s">
        <v>1634</v>
      </c>
      <c r="D226">
        <v>233552</v>
      </c>
    </row>
    <row r="227" spans="1:4" x14ac:dyDescent="0.25">
      <c r="A227">
        <v>270562</v>
      </c>
      <c r="B227" t="s">
        <v>860</v>
      </c>
      <c r="C227" t="s">
        <v>266</v>
      </c>
      <c r="D227">
        <v>270562</v>
      </c>
    </row>
    <row r="228" spans="1:4" x14ac:dyDescent="0.25">
      <c r="A228">
        <v>371710</v>
      </c>
      <c r="B228" t="s">
        <v>861</v>
      </c>
      <c r="C228" t="s">
        <v>266</v>
      </c>
      <c r="D228">
        <v>371710</v>
      </c>
    </row>
    <row r="229" spans="1:4" x14ac:dyDescent="0.25">
      <c r="A229">
        <v>63203</v>
      </c>
      <c r="B229" t="s">
        <v>858</v>
      </c>
      <c r="C229" t="s">
        <v>266</v>
      </c>
      <c r="D229">
        <v>63203</v>
      </c>
    </row>
    <row r="230" spans="1:4" x14ac:dyDescent="0.25">
      <c r="A230">
        <v>63204</v>
      </c>
      <c r="B230" t="s">
        <v>859</v>
      </c>
      <c r="C230" t="s">
        <v>266</v>
      </c>
      <c r="D230">
        <v>63204</v>
      </c>
    </row>
    <row r="231" spans="1:4" x14ac:dyDescent="0.25">
      <c r="A231">
        <v>206588</v>
      </c>
      <c r="B231" t="s">
        <v>862</v>
      </c>
      <c r="C231" t="s">
        <v>1635</v>
      </c>
      <c r="D231">
        <v>206588</v>
      </c>
    </row>
    <row r="232" spans="1:4" x14ac:dyDescent="0.25">
      <c r="A232">
        <v>253216</v>
      </c>
      <c r="B232" t="s">
        <v>863</v>
      </c>
      <c r="C232" t="s">
        <v>1636</v>
      </c>
      <c r="D232">
        <v>253216</v>
      </c>
    </row>
    <row r="233" spans="1:4" x14ac:dyDescent="0.25">
      <c r="A233">
        <v>274363</v>
      </c>
      <c r="B233" t="s">
        <v>864</v>
      </c>
      <c r="C233" t="s">
        <v>1636</v>
      </c>
      <c r="D233">
        <v>274363</v>
      </c>
    </row>
    <row r="234" spans="1:4" x14ac:dyDescent="0.25">
      <c r="A234">
        <v>325591</v>
      </c>
      <c r="B234" t="s">
        <v>865</v>
      </c>
      <c r="C234" t="s">
        <v>1636</v>
      </c>
      <c r="D234">
        <v>325591</v>
      </c>
    </row>
    <row r="235" spans="1:4" x14ac:dyDescent="0.25">
      <c r="A235">
        <v>188786</v>
      </c>
      <c r="B235" t="s">
        <v>866</v>
      </c>
      <c r="C235" t="s">
        <v>1637</v>
      </c>
      <c r="D235">
        <v>188786</v>
      </c>
    </row>
    <row r="236" spans="1:4" x14ac:dyDescent="0.25">
      <c r="A236">
        <v>176833</v>
      </c>
      <c r="B236" t="s">
        <v>867</v>
      </c>
      <c r="C236" t="s">
        <v>1638</v>
      </c>
      <c r="D236">
        <v>176833</v>
      </c>
    </row>
    <row r="237" spans="1:4" x14ac:dyDescent="0.25">
      <c r="A237">
        <v>183797</v>
      </c>
      <c r="B237" t="s">
        <v>868</v>
      </c>
      <c r="C237" t="s">
        <v>1639</v>
      </c>
      <c r="D237">
        <v>183797</v>
      </c>
    </row>
    <row r="238" spans="1:4" x14ac:dyDescent="0.25">
      <c r="A238">
        <v>217306</v>
      </c>
      <c r="B238" t="s">
        <v>869</v>
      </c>
      <c r="C238" t="s">
        <v>1639</v>
      </c>
      <c r="D238">
        <v>217306</v>
      </c>
    </row>
    <row r="239" spans="1:4" x14ac:dyDescent="0.25">
      <c r="A239">
        <v>90922</v>
      </c>
      <c r="B239" t="s">
        <v>870</v>
      </c>
      <c r="C239" t="s">
        <v>1640</v>
      </c>
      <c r="D239">
        <v>90922</v>
      </c>
    </row>
    <row r="240" spans="1:4" x14ac:dyDescent="0.25">
      <c r="A240">
        <v>151638</v>
      </c>
      <c r="B240" t="s">
        <v>871</v>
      </c>
      <c r="C240" t="s">
        <v>1641</v>
      </c>
      <c r="D240">
        <v>151638</v>
      </c>
    </row>
    <row r="241" spans="1:4" x14ac:dyDescent="0.25">
      <c r="A241">
        <v>179261</v>
      </c>
      <c r="B241" t="s">
        <v>872</v>
      </c>
      <c r="C241" t="s">
        <v>1641</v>
      </c>
      <c r="D241">
        <v>179261</v>
      </c>
    </row>
    <row r="242" spans="1:4" x14ac:dyDescent="0.25">
      <c r="A242">
        <v>270433</v>
      </c>
      <c r="B242" t="s">
        <v>873</v>
      </c>
      <c r="C242" t="s">
        <v>1642</v>
      </c>
      <c r="D242">
        <v>270433</v>
      </c>
    </row>
    <row r="243" spans="1:4" x14ac:dyDescent="0.25">
      <c r="A243">
        <v>262565</v>
      </c>
      <c r="B243" t="s">
        <v>874</v>
      </c>
      <c r="C243" t="s">
        <v>258</v>
      </c>
      <c r="D243">
        <v>262565</v>
      </c>
    </row>
    <row r="244" spans="1:4" x14ac:dyDescent="0.25">
      <c r="A244">
        <v>334198</v>
      </c>
      <c r="B244" t="s">
        <v>875</v>
      </c>
      <c r="C244" t="s">
        <v>258</v>
      </c>
      <c r="D244">
        <v>334198</v>
      </c>
    </row>
    <row r="245" spans="1:4" x14ac:dyDescent="0.25">
      <c r="A245">
        <v>270545</v>
      </c>
      <c r="B245" t="s">
        <v>876</v>
      </c>
      <c r="C245" t="s">
        <v>1643</v>
      </c>
      <c r="D245">
        <v>270545</v>
      </c>
    </row>
    <row r="246" spans="1:4" x14ac:dyDescent="0.25">
      <c r="A246">
        <v>270548</v>
      </c>
      <c r="B246" t="s">
        <v>877</v>
      </c>
      <c r="C246" t="s">
        <v>1643</v>
      </c>
      <c r="D246">
        <v>270548</v>
      </c>
    </row>
    <row r="247" spans="1:4" x14ac:dyDescent="0.25">
      <c r="A247">
        <v>328721</v>
      </c>
      <c r="B247" t="s">
        <v>878</v>
      </c>
      <c r="C247" t="s">
        <v>1644</v>
      </c>
      <c r="D247">
        <v>328721</v>
      </c>
    </row>
    <row r="248" spans="1:4" x14ac:dyDescent="0.25">
      <c r="A248">
        <v>194033</v>
      </c>
      <c r="B248" t="s">
        <v>879</v>
      </c>
      <c r="C248" t="s">
        <v>1645</v>
      </c>
      <c r="D248">
        <v>194033</v>
      </c>
    </row>
    <row r="249" spans="1:4" x14ac:dyDescent="0.25">
      <c r="A249">
        <v>221140</v>
      </c>
      <c r="B249" t="s">
        <v>880</v>
      </c>
      <c r="C249" t="s">
        <v>1646</v>
      </c>
      <c r="D249">
        <v>221140</v>
      </c>
    </row>
    <row r="250" spans="1:4" x14ac:dyDescent="0.25">
      <c r="A250">
        <v>263755</v>
      </c>
      <c r="B250" t="s">
        <v>881</v>
      </c>
      <c r="C250" t="s">
        <v>1647</v>
      </c>
      <c r="D250">
        <v>263755</v>
      </c>
    </row>
    <row r="251" spans="1:4" x14ac:dyDescent="0.25">
      <c r="A251">
        <v>176790</v>
      </c>
      <c r="B251" t="s">
        <v>882</v>
      </c>
      <c r="C251" t="s">
        <v>1648</v>
      </c>
      <c r="D251">
        <v>176790</v>
      </c>
    </row>
    <row r="252" spans="1:4" x14ac:dyDescent="0.25">
      <c r="A252">
        <v>176791</v>
      </c>
      <c r="B252" t="s">
        <v>883</v>
      </c>
      <c r="C252" t="s">
        <v>1649</v>
      </c>
      <c r="D252">
        <v>176791</v>
      </c>
    </row>
    <row r="253" spans="1:4" x14ac:dyDescent="0.25">
      <c r="A253">
        <v>176789</v>
      </c>
      <c r="B253" t="s">
        <v>884</v>
      </c>
      <c r="C253" t="s">
        <v>1650</v>
      </c>
      <c r="D253">
        <v>176789</v>
      </c>
    </row>
    <row r="254" spans="1:4" x14ac:dyDescent="0.25">
      <c r="A254">
        <v>263759</v>
      </c>
      <c r="B254" t="s">
        <v>885</v>
      </c>
      <c r="C254" t="s">
        <v>1651</v>
      </c>
      <c r="D254">
        <v>263759</v>
      </c>
    </row>
    <row r="255" spans="1:4" x14ac:dyDescent="0.25">
      <c r="A255">
        <v>263760</v>
      </c>
      <c r="B255" t="s">
        <v>886</v>
      </c>
      <c r="C255" t="s">
        <v>1652</v>
      </c>
      <c r="D255">
        <v>263760</v>
      </c>
    </row>
    <row r="256" spans="1:4" x14ac:dyDescent="0.25">
      <c r="A256">
        <v>112451</v>
      </c>
      <c r="B256" t="s">
        <v>887</v>
      </c>
      <c r="C256" t="s">
        <v>1653</v>
      </c>
      <c r="D256">
        <v>112451</v>
      </c>
    </row>
    <row r="257" spans="1:4" x14ac:dyDescent="0.25">
      <c r="A257">
        <v>263756</v>
      </c>
      <c r="B257" t="s">
        <v>888</v>
      </c>
      <c r="C257" t="s">
        <v>1654</v>
      </c>
      <c r="D257">
        <v>263756</v>
      </c>
    </row>
    <row r="258" spans="1:4" x14ac:dyDescent="0.25">
      <c r="A258">
        <v>176793</v>
      </c>
      <c r="B258" t="s">
        <v>889</v>
      </c>
      <c r="C258" t="s">
        <v>1655</v>
      </c>
      <c r="D258">
        <v>176793</v>
      </c>
    </row>
    <row r="259" spans="1:4" x14ac:dyDescent="0.25">
      <c r="A259">
        <v>176794</v>
      </c>
      <c r="B259" t="s">
        <v>890</v>
      </c>
      <c r="C259" t="s">
        <v>1655</v>
      </c>
      <c r="D259">
        <v>176794</v>
      </c>
    </row>
    <row r="260" spans="1:4" x14ac:dyDescent="0.25">
      <c r="A260">
        <v>207167</v>
      </c>
      <c r="B260" t="s">
        <v>891</v>
      </c>
      <c r="C260" t="s">
        <v>1655</v>
      </c>
      <c r="D260">
        <v>207167</v>
      </c>
    </row>
    <row r="261" spans="1:4" x14ac:dyDescent="0.25">
      <c r="A261">
        <v>263758</v>
      </c>
      <c r="B261" t="s">
        <v>892</v>
      </c>
      <c r="C261" t="s">
        <v>1655</v>
      </c>
      <c r="D261">
        <v>263758</v>
      </c>
    </row>
    <row r="262" spans="1:4" x14ac:dyDescent="0.25">
      <c r="A262">
        <v>94139</v>
      </c>
      <c r="B262" t="s">
        <v>893</v>
      </c>
      <c r="C262" t="s">
        <v>1656</v>
      </c>
      <c r="D262">
        <v>94139</v>
      </c>
    </row>
    <row r="263" spans="1:4" x14ac:dyDescent="0.25">
      <c r="A263">
        <v>223322</v>
      </c>
      <c r="B263" t="s">
        <v>894</v>
      </c>
      <c r="C263" t="s">
        <v>271</v>
      </c>
      <c r="D263">
        <v>223322</v>
      </c>
    </row>
    <row r="264" spans="1:4" x14ac:dyDescent="0.25">
      <c r="A264">
        <v>223323</v>
      </c>
      <c r="B264" t="s">
        <v>895</v>
      </c>
      <c r="C264" t="s">
        <v>271</v>
      </c>
      <c r="D264">
        <v>223323</v>
      </c>
    </row>
    <row r="265" spans="1:4" x14ac:dyDescent="0.25">
      <c r="A265">
        <v>234733</v>
      </c>
      <c r="B265" t="s">
        <v>896</v>
      </c>
      <c r="C265" t="s">
        <v>271</v>
      </c>
      <c r="D265">
        <v>234733</v>
      </c>
    </row>
    <row r="266" spans="1:4" x14ac:dyDescent="0.25">
      <c r="A266">
        <v>334219</v>
      </c>
      <c r="B266" t="s">
        <v>897</v>
      </c>
      <c r="C266" t="s">
        <v>271</v>
      </c>
      <c r="D266">
        <v>334219</v>
      </c>
    </row>
    <row r="267" spans="1:4" x14ac:dyDescent="0.25">
      <c r="A267">
        <v>120826</v>
      </c>
      <c r="B267" t="s">
        <v>898</v>
      </c>
      <c r="C267" t="s">
        <v>1657</v>
      </c>
      <c r="D267">
        <v>120826</v>
      </c>
    </row>
    <row r="268" spans="1:4" x14ac:dyDescent="0.25">
      <c r="A268">
        <v>151210</v>
      </c>
      <c r="B268" t="s">
        <v>899</v>
      </c>
      <c r="C268" t="s">
        <v>1657</v>
      </c>
      <c r="D268">
        <v>151210</v>
      </c>
    </row>
    <row r="269" spans="1:4" x14ac:dyDescent="0.25">
      <c r="A269">
        <v>266776</v>
      </c>
      <c r="B269" t="s">
        <v>900</v>
      </c>
      <c r="C269" t="s">
        <v>1658</v>
      </c>
      <c r="D269">
        <v>266776</v>
      </c>
    </row>
    <row r="270" spans="1:4" x14ac:dyDescent="0.25">
      <c r="A270">
        <v>151602</v>
      </c>
      <c r="B270" t="s">
        <v>901</v>
      </c>
      <c r="C270" t="s">
        <v>1659</v>
      </c>
      <c r="D270">
        <v>151602</v>
      </c>
    </row>
    <row r="271" spans="1:4" x14ac:dyDescent="0.25">
      <c r="A271">
        <v>335335</v>
      </c>
      <c r="B271" t="s">
        <v>902</v>
      </c>
      <c r="C271" t="s">
        <v>1660</v>
      </c>
      <c r="D271">
        <v>335335</v>
      </c>
    </row>
    <row r="272" spans="1:4" x14ac:dyDescent="0.25">
      <c r="A272">
        <v>336546</v>
      </c>
      <c r="B272" t="s">
        <v>903</v>
      </c>
      <c r="C272" t="s">
        <v>1660</v>
      </c>
      <c r="D272">
        <v>336546</v>
      </c>
    </row>
    <row r="273" spans="1:4" x14ac:dyDescent="0.25">
      <c r="A273">
        <v>336658</v>
      </c>
      <c r="B273" t="s">
        <v>904</v>
      </c>
      <c r="C273" t="s">
        <v>1660</v>
      </c>
      <c r="D273">
        <v>336658</v>
      </c>
    </row>
    <row r="274" spans="1:4" x14ac:dyDescent="0.25">
      <c r="A274">
        <v>336726</v>
      </c>
      <c r="B274" t="s">
        <v>905</v>
      </c>
      <c r="C274" t="s">
        <v>1660</v>
      </c>
      <c r="D274">
        <v>336726</v>
      </c>
    </row>
    <row r="275" spans="1:4" x14ac:dyDescent="0.25">
      <c r="A275">
        <v>163876</v>
      </c>
      <c r="B275" t="s">
        <v>906</v>
      </c>
      <c r="C275" t="s">
        <v>1661</v>
      </c>
      <c r="D275">
        <v>163876</v>
      </c>
    </row>
    <row r="276" spans="1:4" x14ac:dyDescent="0.25">
      <c r="A276">
        <v>335097</v>
      </c>
      <c r="B276" t="s">
        <v>907</v>
      </c>
      <c r="C276" t="s">
        <v>1662</v>
      </c>
      <c r="D276">
        <v>335097</v>
      </c>
    </row>
    <row r="277" spans="1:4" x14ac:dyDescent="0.25">
      <c r="A277">
        <v>378286</v>
      </c>
      <c r="B277" t="s">
        <v>908</v>
      </c>
      <c r="C277" t="s">
        <v>1663</v>
      </c>
      <c r="D277">
        <v>378286</v>
      </c>
    </row>
    <row r="278" spans="1:4" x14ac:dyDescent="0.25">
      <c r="A278">
        <v>91205</v>
      </c>
      <c r="B278" t="s">
        <v>909</v>
      </c>
      <c r="C278" t="s">
        <v>1664</v>
      </c>
      <c r="D278">
        <v>91205</v>
      </c>
    </row>
    <row r="279" spans="1:4" x14ac:dyDescent="0.25">
      <c r="A279">
        <v>336728</v>
      </c>
      <c r="B279" t="s">
        <v>910</v>
      </c>
      <c r="C279" t="s">
        <v>1665</v>
      </c>
      <c r="D279">
        <v>336728</v>
      </c>
    </row>
    <row r="280" spans="1:4" x14ac:dyDescent="0.25">
      <c r="A280">
        <v>128908</v>
      </c>
      <c r="B280" t="s">
        <v>911</v>
      </c>
      <c r="C280" t="s">
        <v>1666</v>
      </c>
      <c r="D280">
        <v>128908</v>
      </c>
    </row>
    <row r="281" spans="1:4" x14ac:dyDescent="0.25">
      <c r="A281">
        <v>163419</v>
      </c>
      <c r="B281" t="s">
        <v>912</v>
      </c>
      <c r="C281" t="s">
        <v>1666</v>
      </c>
      <c r="D281">
        <v>163419</v>
      </c>
    </row>
    <row r="282" spans="1:4" x14ac:dyDescent="0.25">
      <c r="A282">
        <v>187636</v>
      </c>
      <c r="B282" t="s">
        <v>913</v>
      </c>
      <c r="C282" t="s">
        <v>1666</v>
      </c>
      <c r="D282">
        <v>187636</v>
      </c>
    </row>
    <row r="283" spans="1:4" x14ac:dyDescent="0.25">
      <c r="A283">
        <v>203137</v>
      </c>
      <c r="B283" t="s">
        <v>914</v>
      </c>
      <c r="C283" t="s">
        <v>1667</v>
      </c>
      <c r="D283">
        <v>203137</v>
      </c>
    </row>
    <row r="284" spans="1:4" x14ac:dyDescent="0.25">
      <c r="A284">
        <v>203138</v>
      </c>
      <c r="B284" t="s">
        <v>915</v>
      </c>
      <c r="C284" t="s">
        <v>1667</v>
      </c>
      <c r="D284">
        <v>203138</v>
      </c>
    </row>
    <row r="285" spans="1:4" x14ac:dyDescent="0.25">
      <c r="A285">
        <v>147891</v>
      </c>
      <c r="B285" t="s">
        <v>916</v>
      </c>
      <c r="C285" t="s">
        <v>1668</v>
      </c>
      <c r="D285">
        <v>147891</v>
      </c>
    </row>
    <row r="286" spans="1:4" x14ac:dyDescent="0.25">
      <c r="A286">
        <v>371342</v>
      </c>
      <c r="B286" t="s">
        <v>917</v>
      </c>
      <c r="C286" t="s">
        <v>1669</v>
      </c>
      <c r="D286">
        <v>371342</v>
      </c>
    </row>
    <row r="287" spans="1:4" x14ac:dyDescent="0.25">
      <c r="A287">
        <v>273338</v>
      </c>
      <c r="B287" t="s">
        <v>918</v>
      </c>
      <c r="C287" t="s">
        <v>257</v>
      </c>
      <c r="D287">
        <v>273338</v>
      </c>
    </row>
    <row r="288" spans="1:4" x14ac:dyDescent="0.25">
      <c r="A288">
        <v>278062</v>
      </c>
      <c r="B288" t="s">
        <v>919</v>
      </c>
      <c r="C288" t="s">
        <v>254</v>
      </c>
      <c r="D288">
        <v>278062</v>
      </c>
    </row>
    <row r="289" spans="1:4" x14ac:dyDescent="0.25">
      <c r="A289">
        <v>278063</v>
      </c>
      <c r="B289" t="s">
        <v>920</v>
      </c>
      <c r="C289" t="s">
        <v>254</v>
      </c>
      <c r="D289">
        <v>278063</v>
      </c>
    </row>
    <row r="290" spans="1:4" x14ac:dyDescent="0.25">
      <c r="A290">
        <v>278066</v>
      </c>
      <c r="B290" t="s">
        <v>921</v>
      </c>
      <c r="C290" t="s">
        <v>254</v>
      </c>
      <c r="D290">
        <v>278066</v>
      </c>
    </row>
    <row r="291" spans="1:4" x14ac:dyDescent="0.25">
      <c r="A291">
        <v>144390</v>
      </c>
      <c r="B291" t="s">
        <v>922</v>
      </c>
      <c r="C291" t="s">
        <v>1670</v>
      </c>
      <c r="D291">
        <v>144390</v>
      </c>
    </row>
    <row r="292" spans="1:4" x14ac:dyDescent="0.25">
      <c r="A292">
        <v>145529</v>
      </c>
      <c r="B292" t="s">
        <v>923</v>
      </c>
      <c r="C292" t="s">
        <v>1670</v>
      </c>
      <c r="D292">
        <v>145529</v>
      </c>
    </row>
    <row r="293" spans="1:4" x14ac:dyDescent="0.25">
      <c r="A293">
        <v>145530</v>
      </c>
      <c r="B293" t="s">
        <v>924</v>
      </c>
      <c r="C293" t="s">
        <v>1670</v>
      </c>
      <c r="D293">
        <v>145530</v>
      </c>
    </row>
    <row r="294" spans="1:4" x14ac:dyDescent="0.25">
      <c r="A294">
        <v>163757</v>
      </c>
      <c r="B294" t="s">
        <v>925</v>
      </c>
      <c r="C294" t="s">
        <v>1670</v>
      </c>
      <c r="D294">
        <v>163757</v>
      </c>
    </row>
    <row r="295" spans="1:4" x14ac:dyDescent="0.25">
      <c r="A295">
        <v>231876</v>
      </c>
      <c r="B295" t="s">
        <v>926</v>
      </c>
      <c r="C295" t="s">
        <v>1670</v>
      </c>
      <c r="D295">
        <v>231876</v>
      </c>
    </row>
    <row r="296" spans="1:4" x14ac:dyDescent="0.25">
      <c r="A296">
        <v>64068</v>
      </c>
      <c r="B296" t="s">
        <v>927</v>
      </c>
      <c r="C296" t="s">
        <v>1671</v>
      </c>
      <c r="D296">
        <v>64068</v>
      </c>
    </row>
    <row r="297" spans="1:4" x14ac:dyDescent="0.25">
      <c r="A297">
        <v>151383</v>
      </c>
      <c r="B297" t="s">
        <v>928</v>
      </c>
      <c r="C297" t="s">
        <v>1672</v>
      </c>
      <c r="D297">
        <v>151383</v>
      </c>
    </row>
    <row r="298" spans="1:4" x14ac:dyDescent="0.25">
      <c r="A298">
        <v>265850</v>
      </c>
      <c r="B298" t="s">
        <v>929</v>
      </c>
      <c r="C298" t="s">
        <v>1673</v>
      </c>
      <c r="D298">
        <v>265850</v>
      </c>
    </row>
    <row r="299" spans="1:4" x14ac:dyDescent="0.25">
      <c r="A299">
        <v>371053</v>
      </c>
      <c r="B299" t="s">
        <v>930</v>
      </c>
      <c r="C299" t="s">
        <v>1674</v>
      </c>
      <c r="D299">
        <v>371053</v>
      </c>
    </row>
    <row r="300" spans="1:4" x14ac:dyDescent="0.25">
      <c r="A300">
        <v>270463</v>
      </c>
      <c r="B300" t="s">
        <v>931</v>
      </c>
      <c r="C300" t="s">
        <v>1675</v>
      </c>
      <c r="D300">
        <v>270463</v>
      </c>
    </row>
    <row r="301" spans="1:4" x14ac:dyDescent="0.25">
      <c r="A301">
        <v>270464</v>
      </c>
      <c r="B301" t="s">
        <v>932</v>
      </c>
      <c r="C301" t="s">
        <v>1675</v>
      </c>
      <c r="D301">
        <v>270464</v>
      </c>
    </row>
    <row r="302" spans="1:4" x14ac:dyDescent="0.25">
      <c r="A302">
        <v>270465</v>
      </c>
      <c r="B302" t="s">
        <v>933</v>
      </c>
      <c r="C302" t="s">
        <v>1675</v>
      </c>
      <c r="D302">
        <v>270465</v>
      </c>
    </row>
    <row r="303" spans="1:4" x14ac:dyDescent="0.25">
      <c r="A303">
        <v>147798</v>
      </c>
      <c r="B303" t="s">
        <v>934</v>
      </c>
      <c r="C303" t="s">
        <v>1676</v>
      </c>
      <c r="D303">
        <v>147798</v>
      </c>
    </row>
    <row r="304" spans="1:4" x14ac:dyDescent="0.25">
      <c r="A304">
        <v>147799</v>
      </c>
      <c r="B304" t="s">
        <v>935</v>
      </c>
      <c r="C304" t="s">
        <v>1677</v>
      </c>
      <c r="D304">
        <v>147799</v>
      </c>
    </row>
    <row r="305" spans="1:4" x14ac:dyDescent="0.25">
      <c r="A305">
        <v>147800</v>
      </c>
      <c r="B305" t="s">
        <v>936</v>
      </c>
      <c r="C305" t="s">
        <v>1677</v>
      </c>
      <c r="D305">
        <v>147800</v>
      </c>
    </row>
    <row r="306" spans="1:4" x14ac:dyDescent="0.25">
      <c r="A306">
        <v>312385</v>
      </c>
      <c r="B306" t="s">
        <v>937</v>
      </c>
      <c r="C306" t="s">
        <v>1678</v>
      </c>
      <c r="D306">
        <v>312385</v>
      </c>
    </row>
    <row r="307" spans="1:4" x14ac:dyDescent="0.25">
      <c r="A307">
        <v>221148</v>
      </c>
      <c r="B307" t="s">
        <v>938</v>
      </c>
      <c r="C307" t="s">
        <v>1679</v>
      </c>
      <c r="D307">
        <v>221148</v>
      </c>
    </row>
    <row r="308" spans="1:4" x14ac:dyDescent="0.25">
      <c r="A308">
        <v>221145</v>
      </c>
      <c r="B308" t="s">
        <v>939</v>
      </c>
      <c r="C308" t="s">
        <v>1680</v>
      </c>
      <c r="D308">
        <v>221145</v>
      </c>
    </row>
    <row r="309" spans="1:4" x14ac:dyDescent="0.25">
      <c r="A309">
        <v>203135</v>
      </c>
      <c r="B309" t="s">
        <v>940</v>
      </c>
      <c r="C309" t="s">
        <v>1681</v>
      </c>
      <c r="D309">
        <v>203135</v>
      </c>
    </row>
    <row r="310" spans="1:4" x14ac:dyDescent="0.25">
      <c r="A310">
        <v>128486</v>
      </c>
      <c r="B310" t="s">
        <v>941</v>
      </c>
      <c r="C310" t="s">
        <v>1682</v>
      </c>
      <c r="D310">
        <v>128486</v>
      </c>
    </row>
    <row r="311" spans="1:4" x14ac:dyDescent="0.25">
      <c r="A311">
        <v>204756</v>
      </c>
      <c r="B311" t="s">
        <v>942</v>
      </c>
      <c r="C311" t="s">
        <v>1682</v>
      </c>
      <c r="D311">
        <v>204756</v>
      </c>
    </row>
    <row r="312" spans="1:4" x14ac:dyDescent="0.25">
      <c r="A312">
        <v>223617</v>
      </c>
      <c r="B312" t="s">
        <v>943</v>
      </c>
      <c r="C312" t="s">
        <v>1683</v>
      </c>
      <c r="D312">
        <v>223617</v>
      </c>
    </row>
    <row r="313" spans="1:4" x14ac:dyDescent="0.25">
      <c r="A313">
        <v>228451</v>
      </c>
      <c r="B313" t="s">
        <v>944</v>
      </c>
      <c r="C313" t="s">
        <v>1684</v>
      </c>
      <c r="D313">
        <v>228451</v>
      </c>
    </row>
    <row r="314" spans="1:4" x14ac:dyDescent="0.25">
      <c r="A314">
        <v>255072</v>
      </c>
      <c r="B314" t="s">
        <v>945</v>
      </c>
      <c r="C314" t="s">
        <v>1685</v>
      </c>
      <c r="D314">
        <v>255072</v>
      </c>
    </row>
    <row r="315" spans="1:4" x14ac:dyDescent="0.25">
      <c r="A315">
        <v>308750</v>
      </c>
      <c r="B315" t="s">
        <v>946</v>
      </c>
      <c r="C315" t="s">
        <v>1686</v>
      </c>
      <c r="D315">
        <v>308750</v>
      </c>
    </row>
    <row r="316" spans="1:4" x14ac:dyDescent="0.25">
      <c r="A316">
        <v>275443</v>
      </c>
      <c r="B316" t="s">
        <v>947</v>
      </c>
      <c r="C316" t="s">
        <v>1687</v>
      </c>
      <c r="D316">
        <v>275443</v>
      </c>
    </row>
    <row r="317" spans="1:4" x14ac:dyDescent="0.25">
      <c r="A317">
        <v>334228</v>
      </c>
      <c r="B317" t="s">
        <v>948</v>
      </c>
      <c r="C317" t="s">
        <v>1687</v>
      </c>
      <c r="D317">
        <v>334228</v>
      </c>
    </row>
    <row r="318" spans="1:4" x14ac:dyDescent="0.25">
      <c r="A318">
        <v>65953</v>
      </c>
      <c r="B318" t="s">
        <v>949</v>
      </c>
      <c r="C318" t="s">
        <v>1688</v>
      </c>
      <c r="D318">
        <v>65953</v>
      </c>
    </row>
    <row r="319" spans="1:4" x14ac:dyDescent="0.25">
      <c r="A319">
        <v>273330</v>
      </c>
      <c r="B319" t="s">
        <v>950</v>
      </c>
      <c r="C319" t="s">
        <v>1689</v>
      </c>
      <c r="D319">
        <v>273330</v>
      </c>
    </row>
    <row r="320" spans="1:4" x14ac:dyDescent="0.25">
      <c r="A320">
        <v>334217</v>
      </c>
      <c r="B320" t="s">
        <v>951</v>
      </c>
      <c r="C320" t="s">
        <v>1689</v>
      </c>
      <c r="D320">
        <v>334217</v>
      </c>
    </row>
    <row r="321" spans="1:4" x14ac:dyDescent="0.25">
      <c r="A321">
        <v>379532</v>
      </c>
      <c r="B321" t="s">
        <v>952</v>
      </c>
      <c r="C321" t="s">
        <v>1690</v>
      </c>
      <c r="D321">
        <v>379532</v>
      </c>
    </row>
    <row r="322" spans="1:4" x14ac:dyDescent="0.25">
      <c r="A322">
        <v>379862</v>
      </c>
      <c r="B322" t="s">
        <v>952</v>
      </c>
      <c r="C322" t="s">
        <v>1690</v>
      </c>
      <c r="D322">
        <v>379862</v>
      </c>
    </row>
    <row r="323" spans="1:4" x14ac:dyDescent="0.25">
      <c r="A323">
        <v>379887</v>
      </c>
      <c r="B323" t="s">
        <v>953</v>
      </c>
      <c r="C323" t="s">
        <v>1690</v>
      </c>
      <c r="D323">
        <v>379887</v>
      </c>
    </row>
    <row r="324" spans="1:4" x14ac:dyDescent="0.25">
      <c r="A324">
        <v>344055</v>
      </c>
      <c r="B324" t="s">
        <v>954</v>
      </c>
      <c r="C324" t="s">
        <v>346</v>
      </c>
      <c r="D324">
        <v>344055</v>
      </c>
    </row>
    <row r="325" spans="1:4" x14ac:dyDescent="0.25">
      <c r="A325">
        <v>308170</v>
      </c>
      <c r="B325" t="s">
        <v>955</v>
      </c>
      <c r="C325" t="s">
        <v>345</v>
      </c>
      <c r="D325">
        <v>308170</v>
      </c>
    </row>
    <row r="326" spans="1:4" x14ac:dyDescent="0.25">
      <c r="A326">
        <v>308173</v>
      </c>
      <c r="B326" t="s">
        <v>956</v>
      </c>
      <c r="C326" t="s">
        <v>345</v>
      </c>
      <c r="D326">
        <v>308173</v>
      </c>
    </row>
    <row r="327" spans="1:4" x14ac:dyDescent="0.25">
      <c r="A327">
        <v>334351</v>
      </c>
      <c r="B327" t="s">
        <v>957</v>
      </c>
      <c r="C327" t="s">
        <v>345</v>
      </c>
      <c r="D327">
        <v>334351</v>
      </c>
    </row>
    <row r="328" spans="1:4" x14ac:dyDescent="0.25">
      <c r="A328">
        <v>334270</v>
      </c>
      <c r="B328" t="s">
        <v>958</v>
      </c>
      <c r="C328" t="s">
        <v>1691</v>
      </c>
      <c r="D328">
        <v>334270</v>
      </c>
    </row>
    <row r="329" spans="1:4" x14ac:dyDescent="0.25">
      <c r="A329">
        <v>187342</v>
      </c>
      <c r="B329" t="s">
        <v>959</v>
      </c>
      <c r="C329" t="s">
        <v>1692</v>
      </c>
      <c r="D329">
        <v>187342</v>
      </c>
    </row>
    <row r="330" spans="1:4" x14ac:dyDescent="0.25">
      <c r="A330">
        <v>270755</v>
      </c>
      <c r="B330" t="s">
        <v>960</v>
      </c>
      <c r="C330" t="s">
        <v>1693</v>
      </c>
      <c r="D330">
        <v>270755</v>
      </c>
    </row>
    <row r="331" spans="1:4" x14ac:dyDescent="0.25">
      <c r="A331">
        <v>335216</v>
      </c>
      <c r="B331" t="s">
        <v>961</v>
      </c>
      <c r="C331" t="s">
        <v>1693</v>
      </c>
      <c r="D331">
        <v>335216</v>
      </c>
    </row>
    <row r="332" spans="1:4" x14ac:dyDescent="0.25">
      <c r="A332">
        <v>335217</v>
      </c>
      <c r="B332" t="s">
        <v>961</v>
      </c>
      <c r="C332" t="s">
        <v>1693</v>
      </c>
      <c r="D332">
        <v>335217</v>
      </c>
    </row>
    <row r="333" spans="1:4" x14ac:dyDescent="0.25">
      <c r="A333">
        <v>235963</v>
      </c>
      <c r="B333" t="s">
        <v>962</v>
      </c>
      <c r="C333" t="s">
        <v>1694</v>
      </c>
      <c r="D333">
        <v>235963</v>
      </c>
    </row>
    <row r="334" spans="1:4" x14ac:dyDescent="0.25">
      <c r="A334">
        <v>357130</v>
      </c>
      <c r="B334" t="s">
        <v>963</v>
      </c>
      <c r="C334" t="s">
        <v>1695</v>
      </c>
      <c r="D334">
        <v>357130</v>
      </c>
    </row>
    <row r="335" spans="1:4" x14ac:dyDescent="0.25">
      <c r="A335">
        <v>334448</v>
      </c>
      <c r="B335" t="s">
        <v>964</v>
      </c>
      <c r="C335" t="s">
        <v>1696</v>
      </c>
      <c r="D335">
        <v>334448</v>
      </c>
    </row>
    <row r="336" spans="1:4" x14ac:dyDescent="0.25">
      <c r="A336">
        <v>81474</v>
      </c>
      <c r="B336" t="s">
        <v>965</v>
      </c>
      <c r="C336" t="s">
        <v>1697</v>
      </c>
      <c r="D336">
        <v>81474</v>
      </c>
    </row>
    <row r="337" spans="1:4" x14ac:dyDescent="0.25">
      <c r="A337">
        <v>82142</v>
      </c>
      <c r="B337" t="s">
        <v>966</v>
      </c>
      <c r="C337" t="s">
        <v>1697</v>
      </c>
      <c r="D337">
        <v>82142</v>
      </c>
    </row>
    <row r="338" spans="1:4" x14ac:dyDescent="0.25">
      <c r="A338">
        <v>201147</v>
      </c>
      <c r="B338" t="s">
        <v>967</v>
      </c>
      <c r="C338" t="s">
        <v>1698</v>
      </c>
      <c r="D338">
        <v>201147</v>
      </c>
    </row>
    <row r="339" spans="1:4" x14ac:dyDescent="0.25">
      <c r="A339">
        <v>222505</v>
      </c>
      <c r="B339" t="s">
        <v>968</v>
      </c>
      <c r="C339" t="s">
        <v>1698</v>
      </c>
      <c r="D339">
        <v>222505</v>
      </c>
    </row>
    <row r="340" spans="1:4" x14ac:dyDescent="0.25">
      <c r="A340">
        <v>232359</v>
      </c>
      <c r="B340" t="s">
        <v>969</v>
      </c>
      <c r="C340" t="s">
        <v>1699</v>
      </c>
      <c r="D340">
        <v>232359</v>
      </c>
    </row>
    <row r="341" spans="1:4" x14ac:dyDescent="0.25">
      <c r="A341">
        <v>142050</v>
      </c>
      <c r="B341" t="s">
        <v>971</v>
      </c>
      <c r="C341" t="s">
        <v>1700</v>
      </c>
      <c r="D341">
        <v>142050</v>
      </c>
    </row>
    <row r="342" spans="1:4" x14ac:dyDescent="0.25">
      <c r="A342">
        <v>77581</v>
      </c>
      <c r="B342" t="s">
        <v>970</v>
      </c>
      <c r="C342" t="s">
        <v>1700</v>
      </c>
      <c r="D342">
        <v>77581</v>
      </c>
    </row>
    <row r="343" spans="1:4" x14ac:dyDescent="0.25">
      <c r="A343">
        <v>255067</v>
      </c>
      <c r="B343" t="s">
        <v>972</v>
      </c>
      <c r="C343" t="s">
        <v>1701</v>
      </c>
      <c r="D343">
        <v>255067</v>
      </c>
    </row>
    <row r="344" spans="1:4" x14ac:dyDescent="0.25">
      <c r="A344">
        <v>94411</v>
      </c>
      <c r="B344" t="s">
        <v>973</v>
      </c>
      <c r="C344" t="s">
        <v>1702</v>
      </c>
      <c r="D344">
        <v>94411</v>
      </c>
    </row>
    <row r="345" spans="1:4" x14ac:dyDescent="0.25">
      <c r="A345">
        <v>88622</v>
      </c>
      <c r="B345" t="s">
        <v>974</v>
      </c>
      <c r="C345" t="s">
        <v>1703</v>
      </c>
      <c r="D345">
        <v>88622</v>
      </c>
    </row>
    <row r="346" spans="1:4" x14ac:dyDescent="0.25">
      <c r="A346">
        <v>94227</v>
      </c>
      <c r="B346" t="s">
        <v>975</v>
      </c>
      <c r="C346" t="s">
        <v>1704</v>
      </c>
      <c r="D346">
        <v>94227</v>
      </c>
    </row>
    <row r="347" spans="1:4" x14ac:dyDescent="0.25">
      <c r="A347">
        <v>146117</v>
      </c>
      <c r="B347" t="s">
        <v>976</v>
      </c>
      <c r="C347" t="s">
        <v>1705</v>
      </c>
      <c r="D347">
        <v>146117</v>
      </c>
    </row>
    <row r="348" spans="1:4" x14ac:dyDescent="0.25">
      <c r="A348">
        <v>250148</v>
      </c>
      <c r="B348" t="s">
        <v>977</v>
      </c>
      <c r="C348" t="s">
        <v>1706</v>
      </c>
      <c r="D348">
        <v>250148</v>
      </c>
    </row>
    <row r="349" spans="1:4" x14ac:dyDescent="0.25">
      <c r="A349">
        <v>171332</v>
      </c>
      <c r="B349" t="s">
        <v>978</v>
      </c>
      <c r="C349" t="s">
        <v>1707</v>
      </c>
      <c r="D349">
        <v>171332</v>
      </c>
    </row>
    <row r="350" spans="1:4" x14ac:dyDescent="0.25">
      <c r="A350">
        <v>224541</v>
      </c>
      <c r="B350" t="s">
        <v>979</v>
      </c>
      <c r="C350" t="s">
        <v>1708</v>
      </c>
      <c r="D350">
        <v>224541</v>
      </c>
    </row>
    <row r="351" spans="1:4" x14ac:dyDescent="0.25">
      <c r="A351">
        <v>224540</v>
      </c>
      <c r="B351" t="s">
        <v>980</v>
      </c>
      <c r="C351" t="s">
        <v>1709</v>
      </c>
      <c r="D351">
        <v>224540</v>
      </c>
    </row>
    <row r="352" spans="1:4" x14ac:dyDescent="0.25">
      <c r="A352">
        <v>97403</v>
      </c>
      <c r="B352" t="s">
        <v>981</v>
      </c>
      <c r="C352" t="s">
        <v>1710</v>
      </c>
      <c r="D352">
        <v>97403</v>
      </c>
    </row>
    <row r="353" spans="1:4" x14ac:dyDescent="0.25">
      <c r="A353">
        <v>173861</v>
      </c>
      <c r="B353" t="s">
        <v>982</v>
      </c>
      <c r="C353" t="s">
        <v>1711</v>
      </c>
      <c r="D353">
        <v>173861</v>
      </c>
    </row>
    <row r="354" spans="1:4" x14ac:dyDescent="0.25">
      <c r="A354">
        <v>190084</v>
      </c>
      <c r="B354" t="s">
        <v>983</v>
      </c>
      <c r="C354" t="s">
        <v>1712</v>
      </c>
      <c r="D354">
        <v>190084</v>
      </c>
    </row>
    <row r="355" spans="1:4" x14ac:dyDescent="0.25">
      <c r="A355">
        <v>222249</v>
      </c>
      <c r="B355" t="s">
        <v>984</v>
      </c>
      <c r="C355" t="s">
        <v>1712</v>
      </c>
      <c r="D355">
        <v>222249</v>
      </c>
    </row>
    <row r="356" spans="1:4" x14ac:dyDescent="0.25">
      <c r="A356">
        <v>128699</v>
      </c>
      <c r="B356" t="s">
        <v>985</v>
      </c>
      <c r="C356" t="s">
        <v>1713</v>
      </c>
      <c r="D356">
        <v>128699</v>
      </c>
    </row>
    <row r="357" spans="1:4" x14ac:dyDescent="0.25">
      <c r="A357">
        <v>312448</v>
      </c>
      <c r="B357" t="s">
        <v>986</v>
      </c>
      <c r="C357" t="s">
        <v>1714</v>
      </c>
      <c r="D357">
        <v>312448</v>
      </c>
    </row>
    <row r="358" spans="1:4" x14ac:dyDescent="0.25">
      <c r="A358">
        <v>312451</v>
      </c>
      <c r="B358" t="s">
        <v>987</v>
      </c>
      <c r="C358" t="s">
        <v>1715</v>
      </c>
      <c r="D358">
        <v>312451</v>
      </c>
    </row>
    <row r="359" spans="1:4" x14ac:dyDescent="0.25">
      <c r="A359">
        <v>312452</v>
      </c>
      <c r="B359" t="s">
        <v>988</v>
      </c>
      <c r="C359" t="s">
        <v>1715</v>
      </c>
      <c r="D359">
        <v>312452</v>
      </c>
    </row>
    <row r="360" spans="1:4" x14ac:dyDescent="0.25">
      <c r="A360">
        <v>261254</v>
      </c>
      <c r="B360" t="s">
        <v>989</v>
      </c>
      <c r="C360" t="s">
        <v>1716</v>
      </c>
      <c r="D360">
        <v>261254</v>
      </c>
    </row>
    <row r="361" spans="1:4" x14ac:dyDescent="0.25">
      <c r="A361">
        <v>261255</v>
      </c>
      <c r="B361" t="s">
        <v>990</v>
      </c>
      <c r="C361" t="s">
        <v>1716</v>
      </c>
      <c r="D361">
        <v>261255</v>
      </c>
    </row>
    <row r="362" spans="1:4" x14ac:dyDescent="0.25">
      <c r="A362">
        <v>261250</v>
      </c>
      <c r="B362" t="s">
        <v>991</v>
      </c>
      <c r="C362" t="s">
        <v>1717</v>
      </c>
      <c r="D362">
        <v>261250</v>
      </c>
    </row>
    <row r="363" spans="1:4" x14ac:dyDescent="0.25">
      <c r="A363">
        <v>255046</v>
      </c>
      <c r="B363" t="s">
        <v>992</v>
      </c>
      <c r="C363" t="s">
        <v>1718</v>
      </c>
      <c r="D363">
        <v>255046</v>
      </c>
    </row>
    <row r="364" spans="1:4" x14ac:dyDescent="0.25">
      <c r="A364">
        <v>255045</v>
      </c>
      <c r="B364" t="s">
        <v>993</v>
      </c>
      <c r="C364" t="s">
        <v>1719</v>
      </c>
      <c r="D364">
        <v>255045</v>
      </c>
    </row>
    <row r="365" spans="1:4" x14ac:dyDescent="0.25">
      <c r="A365">
        <v>97400</v>
      </c>
      <c r="B365" t="s">
        <v>994</v>
      </c>
      <c r="C365" t="s">
        <v>1720</v>
      </c>
      <c r="D365">
        <v>97400</v>
      </c>
    </row>
    <row r="366" spans="1:4" x14ac:dyDescent="0.25">
      <c r="A366">
        <v>120842</v>
      </c>
      <c r="B366" t="s">
        <v>995</v>
      </c>
      <c r="C366" t="s">
        <v>1721</v>
      </c>
      <c r="D366">
        <v>120842</v>
      </c>
    </row>
    <row r="367" spans="1:4" x14ac:dyDescent="0.25">
      <c r="A367">
        <v>212968</v>
      </c>
      <c r="B367" t="s">
        <v>996</v>
      </c>
      <c r="C367" t="s">
        <v>1722</v>
      </c>
      <c r="D367">
        <v>212968</v>
      </c>
    </row>
    <row r="368" spans="1:4" x14ac:dyDescent="0.25">
      <c r="A368">
        <v>177588</v>
      </c>
      <c r="B368" t="s">
        <v>997</v>
      </c>
      <c r="C368" t="s">
        <v>1723</v>
      </c>
      <c r="D368">
        <v>177588</v>
      </c>
    </row>
    <row r="369" spans="1:4" x14ac:dyDescent="0.25">
      <c r="A369">
        <v>147928</v>
      </c>
      <c r="B369" t="s">
        <v>998</v>
      </c>
      <c r="C369" t="s">
        <v>1724</v>
      </c>
      <c r="D369">
        <v>147928</v>
      </c>
    </row>
    <row r="370" spans="1:4" x14ac:dyDescent="0.25">
      <c r="A370">
        <v>271756</v>
      </c>
      <c r="B370" t="s">
        <v>999</v>
      </c>
      <c r="C370" t="s">
        <v>1725</v>
      </c>
      <c r="D370">
        <v>271756</v>
      </c>
    </row>
    <row r="371" spans="1:4" x14ac:dyDescent="0.25">
      <c r="A371">
        <v>266131</v>
      </c>
      <c r="B371" t="s">
        <v>1000</v>
      </c>
      <c r="C371" t="s">
        <v>1726</v>
      </c>
      <c r="D371">
        <v>266131</v>
      </c>
    </row>
    <row r="372" spans="1:4" x14ac:dyDescent="0.25">
      <c r="A372">
        <v>223313</v>
      </c>
      <c r="B372" t="s">
        <v>1001</v>
      </c>
      <c r="C372" t="s">
        <v>1727</v>
      </c>
      <c r="D372">
        <v>223313</v>
      </c>
    </row>
    <row r="373" spans="1:4" x14ac:dyDescent="0.25">
      <c r="A373">
        <v>190086</v>
      </c>
      <c r="B373" t="s">
        <v>1002</v>
      </c>
      <c r="C373" t="s">
        <v>1728</v>
      </c>
      <c r="D373">
        <v>190086</v>
      </c>
    </row>
    <row r="374" spans="1:4" x14ac:dyDescent="0.25">
      <c r="A374">
        <v>88613</v>
      </c>
      <c r="B374" t="s">
        <v>1003</v>
      </c>
      <c r="C374" t="s">
        <v>1729</v>
      </c>
      <c r="D374">
        <v>88613</v>
      </c>
    </row>
    <row r="375" spans="1:4" x14ac:dyDescent="0.25">
      <c r="A375">
        <v>88614</v>
      </c>
      <c r="B375" t="s">
        <v>1004</v>
      </c>
      <c r="C375" t="s">
        <v>1729</v>
      </c>
      <c r="D375">
        <v>88614</v>
      </c>
    </row>
    <row r="376" spans="1:4" x14ac:dyDescent="0.25">
      <c r="A376">
        <v>250159</v>
      </c>
      <c r="B376" t="s">
        <v>1005</v>
      </c>
      <c r="C376" t="s">
        <v>1730</v>
      </c>
      <c r="D376">
        <v>250159</v>
      </c>
    </row>
    <row r="377" spans="1:4" x14ac:dyDescent="0.25">
      <c r="A377">
        <v>151295</v>
      </c>
      <c r="B377" t="s">
        <v>1006</v>
      </c>
      <c r="C377" t="s">
        <v>1731</v>
      </c>
      <c r="D377">
        <v>151295</v>
      </c>
    </row>
    <row r="378" spans="1:4" x14ac:dyDescent="0.25">
      <c r="A378">
        <v>120889</v>
      </c>
      <c r="B378" t="s">
        <v>1007</v>
      </c>
      <c r="C378" t="s">
        <v>1732</v>
      </c>
      <c r="D378">
        <v>120889</v>
      </c>
    </row>
    <row r="379" spans="1:4" x14ac:dyDescent="0.25">
      <c r="A379">
        <v>88605</v>
      </c>
      <c r="B379" t="s">
        <v>1008</v>
      </c>
      <c r="C379" t="s">
        <v>1733</v>
      </c>
      <c r="D379">
        <v>88605</v>
      </c>
    </row>
    <row r="380" spans="1:4" x14ac:dyDescent="0.25">
      <c r="A380">
        <v>224535</v>
      </c>
      <c r="B380" t="s">
        <v>1009</v>
      </c>
      <c r="C380" t="s">
        <v>1734</v>
      </c>
      <c r="D380">
        <v>224535</v>
      </c>
    </row>
    <row r="381" spans="1:4" x14ac:dyDescent="0.25">
      <c r="A381">
        <v>217201</v>
      </c>
      <c r="B381" t="s">
        <v>1010</v>
      </c>
      <c r="C381" t="s">
        <v>1735</v>
      </c>
      <c r="D381">
        <v>217201</v>
      </c>
    </row>
    <row r="382" spans="1:4" x14ac:dyDescent="0.25">
      <c r="A382">
        <v>271507</v>
      </c>
      <c r="B382" t="s">
        <v>1011</v>
      </c>
      <c r="C382" t="s">
        <v>1736</v>
      </c>
      <c r="D382">
        <v>271507</v>
      </c>
    </row>
    <row r="383" spans="1:4" x14ac:dyDescent="0.25">
      <c r="A383">
        <v>182609</v>
      </c>
      <c r="B383" t="s">
        <v>1012</v>
      </c>
      <c r="C383" t="s">
        <v>1737</v>
      </c>
      <c r="D383">
        <v>182609</v>
      </c>
    </row>
    <row r="384" spans="1:4" x14ac:dyDescent="0.25">
      <c r="A384">
        <v>275008</v>
      </c>
      <c r="B384" t="s">
        <v>1013</v>
      </c>
      <c r="C384" t="s">
        <v>380</v>
      </c>
      <c r="D384">
        <v>275008</v>
      </c>
    </row>
    <row r="385" spans="1:4" x14ac:dyDescent="0.25">
      <c r="A385">
        <v>274418</v>
      </c>
      <c r="B385" t="s">
        <v>1014</v>
      </c>
      <c r="C385" t="s">
        <v>1738</v>
      </c>
      <c r="D385">
        <v>274418</v>
      </c>
    </row>
    <row r="386" spans="1:4" x14ac:dyDescent="0.25">
      <c r="A386">
        <v>274941</v>
      </c>
      <c r="B386" t="s">
        <v>1015</v>
      </c>
      <c r="C386" t="s">
        <v>1739</v>
      </c>
      <c r="D386">
        <v>274941</v>
      </c>
    </row>
    <row r="387" spans="1:4" x14ac:dyDescent="0.25">
      <c r="A387">
        <v>328888</v>
      </c>
      <c r="B387" t="s">
        <v>1016</v>
      </c>
      <c r="C387" t="s">
        <v>388</v>
      </c>
      <c r="D387">
        <v>328888</v>
      </c>
    </row>
    <row r="388" spans="1:4" x14ac:dyDescent="0.25">
      <c r="A388">
        <v>329026</v>
      </c>
      <c r="B388" t="s">
        <v>1017</v>
      </c>
      <c r="C388" t="s">
        <v>388</v>
      </c>
      <c r="D388">
        <v>329026</v>
      </c>
    </row>
    <row r="389" spans="1:4" x14ac:dyDescent="0.25">
      <c r="A389">
        <v>328889</v>
      </c>
      <c r="B389" t="s">
        <v>1018</v>
      </c>
      <c r="C389" t="s">
        <v>1740</v>
      </c>
      <c r="D389">
        <v>328889</v>
      </c>
    </row>
    <row r="390" spans="1:4" x14ac:dyDescent="0.25">
      <c r="A390">
        <v>334648</v>
      </c>
      <c r="B390" t="s">
        <v>1019</v>
      </c>
      <c r="C390" t="s">
        <v>1740</v>
      </c>
      <c r="D390">
        <v>334648</v>
      </c>
    </row>
    <row r="391" spans="1:4" x14ac:dyDescent="0.25">
      <c r="A391">
        <v>196057</v>
      </c>
      <c r="B391" t="s">
        <v>1020</v>
      </c>
      <c r="C391" t="s">
        <v>1741</v>
      </c>
      <c r="D391">
        <v>196057</v>
      </c>
    </row>
    <row r="392" spans="1:4" x14ac:dyDescent="0.25">
      <c r="A392">
        <v>361331</v>
      </c>
      <c r="B392" t="s">
        <v>1021</v>
      </c>
      <c r="C392" t="s">
        <v>385</v>
      </c>
      <c r="D392">
        <v>361331</v>
      </c>
    </row>
    <row r="393" spans="1:4" x14ac:dyDescent="0.25">
      <c r="A393">
        <v>361332</v>
      </c>
      <c r="B393" t="s">
        <v>1022</v>
      </c>
      <c r="C393" t="s">
        <v>385</v>
      </c>
      <c r="D393">
        <v>361332</v>
      </c>
    </row>
    <row r="394" spans="1:4" x14ac:dyDescent="0.25">
      <c r="A394">
        <v>361818</v>
      </c>
      <c r="B394" t="s">
        <v>1023</v>
      </c>
      <c r="C394" t="s">
        <v>385</v>
      </c>
      <c r="D394">
        <v>361818</v>
      </c>
    </row>
    <row r="395" spans="1:4" x14ac:dyDescent="0.25">
      <c r="A395">
        <v>128450</v>
      </c>
      <c r="B395" t="s">
        <v>1024</v>
      </c>
      <c r="C395" t="s">
        <v>1742</v>
      </c>
      <c r="D395">
        <v>128450</v>
      </c>
    </row>
    <row r="396" spans="1:4" x14ac:dyDescent="0.25">
      <c r="A396">
        <v>151430</v>
      </c>
      <c r="B396" t="s">
        <v>1025</v>
      </c>
      <c r="C396" t="s">
        <v>1743</v>
      </c>
      <c r="D396">
        <v>151430</v>
      </c>
    </row>
    <row r="397" spans="1:4" x14ac:dyDescent="0.25">
      <c r="A397">
        <v>180804</v>
      </c>
      <c r="B397" t="s">
        <v>1026</v>
      </c>
      <c r="C397" t="s">
        <v>1744</v>
      </c>
      <c r="D397">
        <v>180804</v>
      </c>
    </row>
    <row r="398" spans="1:4" x14ac:dyDescent="0.25">
      <c r="A398">
        <v>280525</v>
      </c>
      <c r="B398" t="s">
        <v>1027</v>
      </c>
      <c r="C398" t="s">
        <v>1745</v>
      </c>
      <c r="D398">
        <v>280525</v>
      </c>
    </row>
    <row r="399" spans="1:4" x14ac:dyDescent="0.25">
      <c r="A399">
        <v>219387</v>
      </c>
      <c r="B399" t="s">
        <v>1028</v>
      </c>
      <c r="C399" t="s">
        <v>1746</v>
      </c>
      <c r="D399">
        <v>219387</v>
      </c>
    </row>
    <row r="400" spans="1:4" x14ac:dyDescent="0.25">
      <c r="A400">
        <v>223874</v>
      </c>
      <c r="B400" t="s">
        <v>1029</v>
      </c>
      <c r="C400" t="s">
        <v>1746</v>
      </c>
      <c r="D400">
        <v>223874</v>
      </c>
    </row>
    <row r="401" spans="1:4" x14ac:dyDescent="0.25">
      <c r="A401">
        <v>334650</v>
      </c>
      <c r="B401" t="s">
        <v>1030</v>
      </c>
      <c r="C401" t="s">
        <v>1747</v>
      </c>
      <c r="D401">
        <v>334650</v>
      </c>
    </row>
    <row r="402" spans="1:4" x14ac:dyDescent="0.25">
      <c r="A402">
        <v>276469</v>
      </c>
      <c r="B402" t="s">
        <v>1031</v>
      </c>
      <c r="C402" t="s">
        <v>379</v>
      </c>
      <c r="D402">
        <v>276469</v>
      </c>
    </row>
    <row r="403" spans="1:4" x14ac:dyDescent="0.25">
      <c r="A403">
        <v>307934</v>
      </c>
      <c r="B403" t="s">
        <v>1032</v>
      </c>
      <c r="C403" t="s">
        <v>379</v>
      </c>
      <c r="D403">
        <v>307934</v>
      </c>
    </row>
    <row r="404" spans="1:4" x14ac:dyDescent="0.25">
      <c r="A404">
        <v>113267</v>
      </c>
      <c r="B404" t="s">
        <v>1033</v>
      </c>
      <c r="C404" t="s">
        <v>1748</v>
      </c>
      <c r="D404">
        <v>113267</v>
      </c>
    </row>
    <row r="405" spans="1:4" x14ac:dyDescent="0.25">
      <c r="A405">
        <v>371595</v>
      </c>
      <c r="B405" t="s">
        <v>1034</v>
      </c>
      <c r="C405" t="s">
        <v>383</v>
      </c>
      <c r="D405">
        <v>371595</v>
      </c>
    </row>
    <row r="406" spans="1:4" x14ac:dyDescent="0.25">
      <c r="A406">
        <v>387536</v>
      </c>
      <c r="B406" t="s">
        <v>1035</v>
      </c>
      <c r="C406" t="s">
        <v>1749</v>
      </c>
      <c r="D406">
        <v>387536</v>
      </c>
    </row>
    <row r="407" spans="1:4" x14ac:dyDescent="0.25">
      <c r="A407">
        <v>151663</v>
      </c>
      <c r="B407" t="s">
        <v>1036</v>
      </c>
      <c r="C407" t="s">
        <v>1750</v>
      </c>
      <c r="D407">
        <v>151663</v>
      </c>
    </row>
    <row r="408" spans="1:4" x14ac:dyDescent="0.25">
      <c r="A408">
        <v>239159</v>
      </c>
      <c r="B408" t="s">
        <v>1037</v>
      </c>
      <c r="C408" t="s">
        <v>1751</v>
      </c>
      <c r="D408">
        <v>239159</v>
      </c>
    </row>
    <row r="409" spans="1:4" x14ac:dyDescent="0.25">
      <c r="A409">
        <v>186323</v>
      </c>
      <c r="B409" t="s">
        <v>1038</v>
      </c>
      <c r="C409" t="s">
        <v>1752</v>
      </c>
      <c r="D409">
        <v>186323</v>
      </c>
    </row>
    <row r="410" spans="1:4" x14ac:dyDescent="0.25">
      <c r="A410">
        <v>334244</v>
      </c>
      <c r="B410" t="s">
        <v>1039</v>
      </c>
      <c r="C410" t="s">
        <v>393</v>
      </c>
      <c r="D410">
        <v>334244</v>
      </c>
    </row>
    <row r="411" spans="1:4" x14ac:dyDescent="0.25">
      <c r="A411">
        <v>334565</v>
      </c>
      <c r="B411" t="s">
        <v>1040</v>
      </c>
      <c r="C411" t="s">
        <v>393</v>
      </c>
      <c r="D411">
        <v>334565</v>
      </c>
    </row>
    <row r="412" spans="1:4" x14ac:dyDescent="0.25">
      <c r="A412">
        <v>372434</v>
      </c>
      <c r="B412" t="s">
        <v>1041</v>
      </c>
      <c r="C412" t="s">
        <v>1753</v>
      </c>
      <c r="D412">
        <v>372434</v>
      </c>
    </row>
    <row r="413" spans="1:4" x14ac:dyDescent="0.25">
      <c r="A413">
        <v>205161</v>
      </c>
      <c r="B413" t="s">
        <v>1042</v>
      </c>
      <c r="C413" t="s">
        <v>1754</v>
      </c>
      <c r="D413">
        <v>205161</v>
      </c>
    </row>
    <row r="414" spans="1:4" x14ac:dyDescent="0.25">
      <c r="A414">
        <v>157469</v>
      </c>
      <c r="B414" t="s">
        <v>1044</v>
      </c>
      <c r="C414" t="s">
        <v>1755</v>
      </c>
      <c r="D414">
        <v>157469</v>
      </c>
    </row>
    <row r="415" spans="1:4" x14ac:dyDescent="0.25">
      <c r="A415">
        <v>88125</v>
      </c>
      <c r="B415" t="s">
        <v>1043</v>
      </c>
      <c r="C415" t="s">
        <v>1755</v>
      </c>
      <c r="D415">
        <v>88125</v>
      </c>
    </row>
    <row r="416" spans="1:4" x14ac:dyDescent="0.25">
      <c r="A416">
        <v>206605</v>
      </c>
      <c r="B416" t="s">
        <v>1045</v>
      </c>
      <c r="C416" t="s">
        <v>1756</v>
      </c>
      <c r="D416">
        <v>206605</v>
      </c>
    </row>
    <row r="417" spans="1:4" x14ac:dyDescent="0.25">
      <c r="A417">
        <v>151565</v>
      </c>
      <c r="B417" t="s">
        <v>1046</v>
      </c>
      <c r="C417" t="s">
        <v>1757</v>
      </c>
      <c r="D417">
        <v>151565</v>
      </c>
    </row>
    <row r="418" spans="1:4" x14ac:dyDescent="0.25">
      <c r="A418">
        <v>176448</v>
      </c>
      <c r="B418" t="s">
        <v>1047</v>
      </c>
      <c r="C418" t="s">
        <v>1758</v>
      </c>
      <c r="D418">
        <v>176448</v>
      </c>
    </row>
    <row r="419" spans="1:4" x14ac:dyDescent="0.25">
      <c r="A419">
        <v>234340</v>
      </c>
      <c r="B419" t="s">
        <v>1048</v>
      </c>
      <c r="C419" t="s">
        <v>1758</v>
      </c>
      <c r="D419">
        <v>234340</v>
      </c>
    </row>
    <row r="420" spans="1:4" x14ac:dyDescent="0.25">
      <c r="A420">
        <v>182608</v>
      </c>
      <c r="B420" t="s">
        <v>1049</v>
      </c>
      <c r="C420" t="s">
        <v>1759</v>
      </c>
      <c r="D420">
        <v>182608</v>
      </c>
    </row>
    <row r="421" spans="1:4" x14ac:dyDescent="0.25">
      <c r="A421">
        <v>350005</v>
      </c>
      <c r="B421" t="s">
        <v>1050</v>
      </c>
      <c r="C421" t="s">
        <v>1760</v>
      </c>
      <c r="D421">
        <v>350005</v>
      </c>
    </row>
    <row r="422" spans="1:4" x14ac:dyDescent="0.25">
      <c r="A422">
        <v>334174</v>
      </c>
      <c r="B422" t="s">
        <v>1051</v>
      </c>
      <c r="C422" t="s">
        <v>1761</v>
      </c>
      <c r="D422">
        <v>334174</v>
      </c>
    </row>
    <row r="423" spans="1:4" x14ac:dyDescent="0.25">
      <c r="A423">
        <v>231142</v>
      </c>
      <c r="B423" t="s">
        <v>1052</v>
      </c>
      <c r="C423" t="s">
        <v>1762</v>
      </c>
      <c r="D423">
        <v>231142</v>
      </c>
    </row>
    <row r="424" spans="1:4" x14ac:dyDescent="0.25">
      <c r="A424">
        <v>171836</v>
      </c>
      <c r="B424" t="s">
        <v>1053</v>
      </c>
      <c r="C424" t="s">
        <v>1763</v>
      </c>
      <c r="D424">
        <v>171836</v>
      </c>
    </row>
    <row r="425" spans="1:4" x14ac:dyDescent="0.25">
      <c r="A425">
        <v>255008</v>
      </c>
      <c r="B425" t="s">
        <v>1054</v>
      </c>
      <c r="C425" t="s">
        <v>1763</v>
      </c>
      <c r="D425">
        <v>255008</v>
      </c>
    </row>
    <row r="426" spans="1:4" x14ac:dyDescent="0.25">
      <c r="A426">
        <v>130310</v>
      </c>
      <c r="B426" t="s">
        <v>1055</v>
      </c>
      <c r="C426" t="s">
        <v>1764</v>
      </c>
      <c r="D426">
        <v>130310</v>
      </c>
    </row>
    <row r="427" spans="1:4" x14ac:dyDescent="0.25">
      <c r="A427">
        <v>128948</v>
      </c>
      <c r="B427" t="s">
        <v>1056</v>
      </c>
      <c r="C427" t="s">
        <v>1765</v>
      </c>
      <c r="D427">
        <v>128948</v>
      </c>
    </row>
    <row r="428" spans="1:4" x14ac:dyDescent="0.25">
      <c r="A428">
        <v>379864</v>
      </c>
      <c r="B428" t="s">
        <v>1057</v>
      </c>
      <c r="C428" t="s">
        <v>1766</v>
      </c>
      <c r="D428">
        <v>379864</v>
      </c>
    </row>
    <row r="429" spans="1:4" x14ac:dyDescent="0.25">
      <c r="A429">
        <v>379866</v>
      </c>
      <c r="B429" t="s">
        <v>1057</v>
      </c>
      <c r="C429" t="s">
        <v>1766</v>
      </c>
      <c r="D429">
        <v>379866</v>
      </c>
    </row>
    <row r="430" spans="1:4" x14ac:dyDescent="0.25">
      <c r="A430">
        <v>193067</v>
      </c>
      <c r="B430" t="s">
        <v>1058</v>
      </c>
      <c r="C430" t="s">
        <v>1767</v>
      </c>
      <c r="D430">
        <v>193067</v>
      </c>
    </row>
    <row r="431" spans="1:4" x14ac:dyDescent="0.25">
      <c r="A431">
        <v>151267</v>
      </c>
      <c r="B431" t="s">
        <v>1059</v>
      </c>
      <c r="C431" t="s">
        <v>1768</v>
      </c>
      <c r="D431">
        <v>151267</v>
      </c>
    </row>
    <row r="432" spans="1:4" x14ac:dyDescent="0.25">
      <c r="A432">
        <v>94121</v>
      </c>
      <c r="B432" t="s">
        <v>1060</v>
      </c>
      <c r="C432" t="s">
        <v>1769</v>
      </c>
      <c r="D432">
        <v>94121</v>
      </c>
    </row>
    <row r="433" spans="1:4" x14ac:dyDescent="0.25">
      <c r="A433">
        <v>151361</v>
      </c>
      <c r="B433" t="s">
        <v>1061</v>
      </c>
      <c r="C433" t="s">
        <v>1770</v>
      </c>
      <c r="D433">
        <v>151361</v>
      </c>
    </row>
    <row r="434" spans="1:4" x14ac:dyDescent="0.25">
      <c r="A434">
        <v>255058</v>
      </c>
      <c r="B434" t="s">
        <v>1062</v>
      </c>
      <c r="C434" t="s">
        <v>1771</v>
      </c>
      <c r="D434">
        <v>255058</v>
      </c>
    </row>
    <row r="435" spans="1:4" x14ac:dyDescent="0.25">
      <c r="A435">
        <v>255059</v>
      </c>
      <c r="B435" t="s">
        <v>1063</v>
      </c>
      <c r="C435" t="s">
        <v>1772</v>
      </c>
      <c r="D435">
        <v>255059</v>
      </c>
    </row>
    <row r="436" spans="1:4" x14ac:dyDescent="0.25">
      <c r="A436">
        <v>151374</v>
      </c>
      <c r="B436" t="s">
        <v>1064</v>
      </c>
      <c r="C436" t="s">
        <v>1773</v>
      </c>
      <c r="D436">
        <v>151374</v>
      </c>
    </row>
    <row r="437" spans="1:4" x14ac:dyDescent="0.25">
      <c r="A437">
        <v>275019</v>
      </c>
      <c r="B437" t="s">
        <v>1065</v>
      </c>
      <c r="C437" t="s">
        <v>1774</v>
      </c>
      <c r="D437">
        <v>275019</v>
      </c>
    </row>
    <row r="438" spans="1:4" x14ac:dyDescent="0.25">
      <c r="A438">
        <v>275020</v>
      </c>
      <c r="B438" t="s">
        <v>1066</v>
      </c>
      <c r="C438" t="s">
        <v>1774</v>
      </c>
      <c r="D438">
        <v>275020</v>
      </c>
    </row>
    <row r="439" spans="1:4" x14ac:dyDescent="0.25">
      <c r="A439">
        <v>325537</v>
      </c>
      <c r="B439" t="s">
        <v>1067</v>
      </c>
      <c r="C439" t="s">
        <v>1774</v>
      </c>
      <c r="D439">
        <v>325537</v>
      </c>
    </row>
    <row r="440" spans="1:4" x14ac:dyDescent="0.25">
      <c r="A440">
        <v>334261</v>
      </c>
      <c r="B440" t="s">
        <v>1068</v>
      </c>
      <c r="C440" t="s">
        <v>1774</v>
      </c>
      <c r="D440">
        <v>334261</v>
      </c>
    </row>
    <row r="441" spans="1:4" x14ac:dyDescent="0.25">
      <c r="A441">
        <v>334262</v>
      </c>
      <c r="B441" t="s">
        <v>1069</v>
      </c>
      <c r="C441" t="s">
        <v>1774</v>
      </c>
      <c r="D441">
        <v>334262</v>
      </c>
    </row>
    <row r="442" spans="1:4" x14ac:dyDescent="0.25">
      <c r="A442">
        <v>128967</v>
      </c>
      <c r="B442" t="s">
        <v>1070</v>
      </c>
      <c r="C442" t="s">
        <v>1775</v>
      </c>
      <c r="D442">
        <v>128967</v>
      </c>
    </row>
    <row r="443" spans="1:4" x14ac:dyDescent="0.25">
      <c r="A443">
        <v>63520</v>
      </c>
      <c r="B443" t="s">
        <v>1071</v>
      </c>
      <c r="C443" t="s">
        <v>1776</v>
      </c>
      <c r="D443">
        <v>63520</v>
      </c>
    </row>
    <row r="444" spans="1:4" x14ac:dyDescent="0.25">
      <c r="A444">
        <v>64228</v>
      </c>
      <c r="B444" t="s">
        <v>1072</v>
      </c>
      <c r="C444" t="s">
        <v>1776</v>
      </c>
      <c r="D444">
        <v>64228</v>
      </c>
    </row>
    <row r="445" spans="1:4" x14ac:dyDescent="0.25">
      <c r="A445">
        <v>191075</v>
      </c>
      <c r="B445" t="s">
        <v>1073</v>
      </c>
      <c r="C445" t="s">
        <v>1777</v>
      </c>
      <c r="D445">
        <v>191075</v>
      </c>
    </row>
    <row r="446" spans="1:4" x14ac:dyDescent="0.25">
      <c r="A446">
        <v>191078</v>
      </c>
      <c r="B446" t="s">
        <v>1074</v>
      </c>
      <c r="C446" t="s">
        <v>1777</v>
      </c>
      <c r="D446">
        <v>191078</v>
      </c>
    </row>
    <row r="447" spans="1:4" x14ac:dyDescent="0.25">
      <c r="A447">
        <v>320804</v>
      </c>
      <c r="B447" t="s">
        <v>1075</v>
      </c>
      <c r="C447" t="s">
        <v>378</v>
      </c>
      <c r="D447">
        <v>320804</v>
      </c>
    </row>
    <row r="448" spans="1:4" x14ac:dyDescent="0.25">
      <c r="A448">
        <v>256184</v>
      </c>
      <c r="B448" t="s">
        <v>1076</v>
      </c>
      <c r="C448" t="s">
        <v>1778</v>
      </c>
      <c r="D448">
        <v>256184</v>
      </c>
    </row>
    <row r="449" spans="1:4" x14ac:dyDescent="0.25">
      <c r="A449">
        <v>256188</v>
      </c>
      <c r="B449" t="s">
        <v>1077</v>
      </c>
      <c r="C449" t="s">
        <v>1778</v>
      </c>
      <c r="D449">
        <v>256188</v>
      </c>
    </row>
    <row r="450" spans="1:4" x14ac:dyDescent="0.25">
      <c r="A450">
        <v>233555</v>
      </c>
      <c r="B450" t="s">
        <v>1078</v>
      </c>
      <c r="C450" t="s">
        <v>1779</v>
      </c>
      <c r="D450">
        <v>233555</v>
      </c>
    </row>
    <row r="451" spans="1:4" x14ac:dyDescent="0.25">
      <c r="A451">
        <v>151734</v>
      </c>
      <c r="B451" t="s">
        <v>1079</v>
      </c>
      <c r="C451" t="s">
        <v>1780</v>
      </c>
      <c r="D451">
        <v>151734</v>
      </c>
    </row>
    <row r="452" spans="1:4" x14ac:dyDescent="0.25">
      <c r="A452">
        <v>369543</v>
      </c>
      <c r="B452" t="s">
        <v>1080</v>
      </c>
      <c r="C452" t="s">
        <v>1780</v>
      </c>
      <c r="D452">
        <v>369543</v>
      </c>
    </row>
    <row r="453" spans="1:4" x14ac:dyDescent="0.25">
      <c r="A453">
        <v>327120</v>
      </c>
      <c r="B453" t="s">
        <v>1081</v>
      </c>
      <c r="C453" t="s">
        <v>391</v>
      </c>
      <c r="D453">
        <v>327120</v>
      </c>
    </row>
    <row r="454" spans="1:4" x14ac:dyDescent="0.25">
      <c r="A454">
        <v>327123</v>
      </c>
      <c r="B454" t="s">
        <v>1082</v>
      </c>
      <c r="C454" t="s">
        <v>391</v>
      </c>
      <c r="D454">
        <v>327123</v>
      </c>
    </row>
    <row r="455" spans="1:4" x14ac:dyDescent="0.25">
      <c r="A455">
        <v>179052</v>
      </c>
      <c r="B455" t="s">
        <v>1083</v>
      </c>
      <c r="C455" t="s">
        <v>1781</v>
      </c>
      <c r="D455">
        <v>179052</v>
      </c>
    </row>
    <row r="456" spans="1:4" x14ac:dyDescent="0.25">
      <c r="A456">
        <v>223404</v>
      </c>
      <c r="B456" t="s">
        <v>1084</v>
      </c>
      <c r="C456" t="s">
        <v>1782</v>
      </c>
      <c r="D456">
        <v>223404</v>
      </c>
    </row>
    <row r="457" spans="1:4" x14ac:dyDescent="0.25">
      <c r="A457">
        <v>149926</v>
      </c>
      <c r="B457" t="s">
        <v>1085</v>
      </c>
      <c r="C457" t="s">
        <v>1783</v>
      </c>
      <c r="D457">
        <v>149926</v>
      </c>
    </row>
    <row r="458" spans="1:4" x14ac:dyDescent="0.25">
      <c r="A458">
        <v>164378</v>
      </c>
      <c r="B458" t="s">
        <v>1086</v>
      </c>
      <c r="C458" t="s">
        <v>1784</v>
      </c>
      <c r="D458">
        <v>164378</v>
      </c>
    </row>
    <row r="459" spans="1:4" x14ac:dyDescent="0.25">
      <c r="A459">
        <v>223394</v>
      </c>
      <c r="B459" t="s">
        <v>1087</v>
      </c>
      <c r="C459" t="s">
        <v>1785</v>
      </c>
      <c r="D459">
        <v>223394</v>
      </c>
    </row>
    <row r="460" spans="1:4" x14ac:dyDescent="0.25">
      <c r="A460">
        <v>234229</v>
      </c>
      <c r="B460" t="s">
        <v>1088</v>
      </c>
      <c r="C460" t="s">
        <v>1786</v>
      </c>
      <c r="D460">
        <v>234229</v>
      </c>
    </row>
    <row r="461" spans="1:4" x14ac:dyDescent="0.25">
      <c r="A461">
        <v>64235</v>
      </c>
      <c r="B461" t="s">
        <v>1089</v>
      </c>
      <c r="C461" t="s">
        <v>1787</v>
      </c>
      <c r="D461">
        <v>64235</v>
      </c>
    </row>
    <row r="462" spans="1:4" x14ac:dyDescent="0.25">
      <c r="A462">
        <v>178886</v>
      </c>
      <c r="B462" t="s">
        <v>1090</v>
      </c>
      <c r="C462" t="s">
        <v>1788</v>
      </c>
      <c r="D462">
        <v>178886</v>
      </c>
    </row>
    <row r="463" spans="1:4" x14ac:dyDescent="0.25">
      <c r="A463">
        <v>302827</v>
      </c>
      <c r="B463" t="s">
        <v>1091</v>
      </c>
      <c r="C463" t="s">
        <v>1789</v>
      </c>
      <c r="D463">
        <v>302827</v>
      </c>
    </row>
    <row r="464" spans="1:4" x14ac:dyDescent="0.25">
      <c r="A464">
        <v>334438</v>
      </c>
      <c r="B464" t="s">
        <v>1092</v>
      </c>
      <c r="C464" t="s">
        <v>1789</v>
      </c>
      <c r="D464">
        <v>334438</v>
      </c>
    </row>
    <row r="465" spans="1:4" x14ac:dyDescent="0.25">
      <c r="A465">
        <v>151512</v>
      </c>
      <c r="B465" t="s">
        <v>1093</v>
      </c>
      <c r="C465" t="s">
        <v>1790</v>
      </c>
      <c r="D465">
        <v>151512</v>
      </c>
    </row>
    <row r="466" spans="1:4" x14ac:dyDescent="0.25">
      <c r="A466">
        <v>181594</v>
      </c>
      <c r="B466" t="s">
        <v>1094</v>
      </c>
      <c r="C466" t="s">
        <v>1791</v>
      </c>
      <c r="D466">
        <v>181594</v>
      </c>
    </row>
    <row r="467" spans="1:4" x14ac:dyDescent="0.25">
      <c r="A467">
        <v>190044</v>
      </c>
      <c r="B467" t="s">
        <v>1095</v>
      </c>
      <c r="C467" t="s">
        <v>1792</v>
      </c>
      <c r="D467">
        <v>190044</v>
      </c>
    </row>
    <row r="468" spans="1:4" x14ac:dyDescent="0.25">
      <c r="A468">
        <v>276135</v>
      </c>
      <c r="B468" t="s">
        <v>1096</v>
      </c>
      <c r="C468" t="s">
        <v>1792</v>
      </c>
      <c r="D468">
        <v>276135</v>
      </c>
    </row>
    <row r="469" spans="1:4" x14ac:dyDescent="0.25">
      <c r="A469">
        <v>151250</v>
      </c>
      <c r="B469" t="s">
        <v>1097</v>
      </c>
      <c r="C469" t="s">
        <v>1793</v>
      </c>
      <c r="D469">
        <v>151250</v>
      </c>
    </row>
    <row r="470" spans="1:4" x14ac:dyDescent="0.25">
      <c r="A470">
        <v>238164</v>
      </c>
      <c r="B470" t="s">
        <v>1098</v>
      </c>
      <c r="C470" t="s">
        <v>1794</v>
      </c>
      <c r="D470">
        <v>238164</v>
      </c>
    </row>
    <row r="471" spans="1:4" x14ac:dyDescent="0.25">
      <c r="A471">
        <v>81080</v>
      </c>
      <c r="B471" t="s">
        <v>1099</v>
      </c>
      <c r="C471" t="s">
        <v>1795</v>
      </c>
      <c r="D471">
        <v>81080</v>
      </c>
    </row>
    <row r="472" spans="1:4" x14ac:dyDescent="0.25">
      <c r="A472">
        <v>65039</v>
      </c>
      <c r="B472" t="s">
        <v>1100</v>
      </c>
      <c r="C472" t="s">
        <v>1796</v>
      </c>
      <c r="D472">
        <v>65039</v>
      </c>
    </row>
    <row r="473" spans="1:4" x14ac:dyDescent="0.25">
      <c r="A473">
        <v>85192</v>
      </c>
      <c r="B473" t="s">
        <v>1101</v>
      </c>
      <c r="C473" t="s">
        <v>1797</v>
      </c>
      <c r="D473">
        <v>85192</v>
      </c>
    </row>
    <row r="474" spans="1:4" x14ac:dyDescent="0.25">
      <c r="A474">
        <v>76865</v>
      </c>
      <c r="B474" t="s">
        <v>1102</v>
      </c>
      <c r="C474" t="s">
        <v>1798</v>
      </c>
      <c r="D474">
        <v>76865</v>
      </c>
    </row>
    <row r="475" spans="1:4" x14ac:dyDescent="0.25">
      <c r="A475">
        <v>179265</v>
      </c>
      <c r="B475" t="s">
        <v>1103</v>
      </c>
      <c r="C475" t="s">
        <v>1799</v>
      </c>
      <c r="D475">
        <v>179265</v>
      </c>
    </row>
    <row r="476" spans="1:4" x14ac:dyDescent="0.25">
      <c r="A476">
        <v>331257</v>
      </c>
      <c r="B476" t="s">
        <v>1104</v>
      </c>
      <c r="C476" t="s">
        <v>429</v>
      </c>
      <c r="D476">
        <v>331257</v>
      </c>
    </row>
    <row r="477" spans="1:4" x14ac:dyDescent="0.25">
      <c r="A477">
        <v>182611</v>
      </c>
      <c r="B477" t="s">
        <v>1105</v>
      </c>
      <c r="C477" t="s">
        <v>1800</v>
      </c>
      <c r="D477">
        <v>182611</v>
      </c>
    </row>
    <row r="478" spans="1:4" x14ac:dyDescent="0.25">
      <c r="A478">
        <v>128623</v>
      </c>
      <c r="B478" t="s">
        <v>1106</v>
      </c>
      <c r="C478" t="s">
        <v>1801</v>
      </c>
      <c r="D478">
        <v>128623</v>
      </c>
    </row>
    <row r="479" spans="1:4" x14ac:dyDescent="0.25">
      <c r="A479">
        <v>151722</v>
      </c>
      <c r="B479" t="s">
        <v>1107</v>
      </c>
      <c r="C479" t="s">
        <v>1801</v>
      </c>
      <c r="D479">
        <v>151722</v>
      </c>
    </row>
    <row r="480" spans="1:4" x14ac:dyDescent="0.25">
      <c r="A480">
        <v>234544</v>
      </c>
      <c r="B480" t="s">
        <v>1108</v>
      </c>
      <c r="C480" t="s">
        <v>1802</v>
      </c>
      <c r="D480">
        <v>234544</v>
      </c>
    </row>
    <row r="481" spans="1:4" x14ac:dyDescent="0.25">
      <c r="A481">
        <v>250714</v>
      </c>
      <c r="B481" t="s">
        <v>1109</v>
      </c>
      <c r="C481" t="s">
        <v>1803</v>
      </c>
      <c r="D481">
        <v>250714</v>
      </c>
    </row>
    <row r="482" spans="1:4" x14ac:dyDescent="0.25">
      <c r="A482">
        <v>128695</v>
      </c>
      <c r="B482" t="s">
        <v>1110</v>
      </c>
      <c r="C482" t="s">
        <v>1804</v>
      </c>
      <c r="D482">
        <v>128695</v>
      </c>
    </row>
    <row r="483" spans="1:4" x14ac:dyDescent="0.25">
      <c r="A483">
        <v>144745</v>
      </c>
      <c r="B483" t="s">
        <v>1111</v>
      </c>
      <c r="C483" t="s">
        <v>1804</v>
      </c>
      <c r="D483">
        <v>144745</v>
      </c>
    </row>
    <row r="484" spans="1:4" x14ac:dyDescent="0.25">
      <c r="A484">
        <v>196066</v>
      </c>
      <c r="B484" t="s">
        <v>1112</v>
      </c>
      <c r="C484" t="s">
        <v>1804</v>
      </c>
      <c r="D484">
        <v>196066</v>
      </c>
    </row>
    <row r="485" spans="1:4" x14ac:dyDescent="0.25">
      <c r="A485">
        <v>101791</v>
      </c>
      <c r="B485" t="s">
        <v>1113</v>
      </c>
      <c r="C485" t="s">
        <v>1805</v>
      </c>
      <c r="D485">
        <v>101791</v>
      </c>
    </row>
    <row r="486" spans="1:4" x14ac:dyDescent="0.25">
      <c r="A486">
        <v>274795</v>
      </c>
      <c r="B486" t="s">
        <v>1114</v>
      </c>
      <c r="C486" t="s">
        <v>439</v>
      </c>
      <c r="D486">
        <v>274795</v>
      </c>
    </row>
    <row r="487" spans="1:4" x14ac:dyDescent="0.25">
      <c r="A487">
        <v>206297</v>
      </c>
      <c r="B487" t="s">
        <v>1115</v>
      </c>
      <c r="C487" t="s">
        <v>1806</v>
      </c>
      <c r="D487">
        <v>206297</v>
      </c>
    </row>
    <row r="488" spans="1:4" x14ac:dyDescent="0.25">
      <c r="A488">
        <v>268618</v>
      </c>
      <c r="B488" t="s">
        <v>1116</v>
      </c>
      <c r="C488" t="s">
        <v>1807</v>
      </c>
      <c r="D488">
        <v>268618</v>
      </c>
    </row>
    <row r="489" spans="1:4" x14ac:dyDescent="0.25">
      <c r="A489">
        <v>336697</v>
      </c>
      <c r="B489" t="s">
        <v>1117</v>
      </c>
      <c r="C489" t="s">
        <v>1808</v>
      </c>
      <c r="D489">
        <v>336697</v>
      </c>
    </row>
    <row r="490" spans="1:4" x14ac:dyDescent="0.25">
      <c r="A490">
        <v>336723</v>
      </c>
      <c r="B490" t="s">
        <v>1118</v>
      </c>
      <c r="C490" t="s">
        <v>1808</v>
      </c>
      <c r="D490">
        <v>336723</v>
      </c>
    </row>
    <row r="491" spans="1:4" x14ac:dyDescent="0.25">
      <c r="A491">
        <v>377302</v>
      </c>
      <c r="B491" t="s">
        <v>1119</v>
      </c>
      <c r="C491" t="s">
        <v>1808</v>
      </c>
      <c r="D491">
        <v>377302</v>
      </c>
    </row>
    <row r="492" spans="1:4" x14ac:dyDescent="0.25">
      <c r="A492">
        <v>224528</v>
      </c>
      <c r="B492" t="s">
        <v>1120</v>
      </c>
      <c r="C492" t="s">
        <v>1809</v>
      </c>
      <c r="D492">
        <v>224528</v>
      </c>
    </row>
    <row r="493" spans="1:4" x14ac:dyDescent="0.25">
      <c r="A493">
        <v>254880</v>
      </c>
      <c r="B493" t="s">
        <v>1121</v>
      </c>
      <c r="C493" t="s">
        <v>1809</v>
      </c>
      <c r="D493">
        <v>254880</v>
      </c>
    </row>
    <row r="494" spans="1:4" x14ac:dyDescent="0.25">
      <c r="A494">
        <v>260823</v>
      </c>
      <c r="B494" t="s">
        <v>1122</v>
      </c>
      <c r="C494" t="s">
        <v>1809</v>
      </c>
      <c r="D494">
        <v>260823</v>
      </c>
    </row>
    <row r="495" spans="1:4" x14ac:dyDescent="0.25">
      <c r="A495">
        <v>335248</v>
      </c>
      <c r="B495" t="s">
        <v>1123</v>
      </c>
      <c r="C495" t="s">
        <v>437</v>
      </c>
      <c r="D495">
        <v>335248</v>
      </c>
    </row>
    <row r="496" spans="1:4" x14ac:dyDescent="0.25">
      <c r="A496">
        <v>336615</v>
      </c>
      <c r="B496" t="s">
        <v>1124</v>
      </c>
      <c r="C496" t="s">
        <v>437</v>
      </c>
      <c r="D496">
        <v>336615</v>
      </c>
    </row>
    <row r="497" spans="1:4" x14ac:dyDescent="0.25">
      <c r="A497">
        <v>350004</v>
      </c>
      <c r="B497" t="s">
        <v>1125</v>
      </c>
      <c r="C497" t="s">
        <v>1810</v>
      </c>
      <c r="D497">
        <v>350004</v>
      </c>
    </row>
    <row r="498" spans="1:4" x14ac:dyDescent="0.25">
      <c r="A498">
        <v>217873</v>
      </c>
      <c r="B498" t="s">
        <v>1126</v>
      </c>
      <c r="C498" t="s">
        <v>1811</v>
      </c>
      <c r="D498">
        <v>217873</v>
      </c>
    </row>
    <row r="499" spans="1:4" x14ac:dyDescent="0.25">
      <c r="A499">
        <v>273332</v>
      </c>
      <c r="B499" t="s">
        <v>1127</v>
      </c>
      <c r="C499" t="s">
        <v>1812</v>
      </c>
      <c r="D499">
        <v>273332</v>
      </c>
    </row>
    <row r="500" spans="1:4" x14ac:dyDescent="0.25">
      <c r="A500">
        <v>223329</v>
      </c>
      <c r="B500" t="s">
        <v>1128</v>
      </c>
      <c r="C500" t="s">
        <v>118</v>
      </c>
      <c r="D500">
        <v>223329</v>
      </c>
    </row>
    <row r="501" spans="1:4" x14ac:dyDescent="0.25">
      <c r="A501">
        <v>261383</v>
      </c>
      <c r="B501" t="s">
        <v>1129</v>
      </c>
      <c r="C501" t="s">
        <v>118</v>
      </c>
      <c r="D501">
        <v>261383</v>
      </c>
    </row>
    <row r="502" spans="1:4" x14ac:dyDescent="0.25">
      <c r="A502">
        <v>154009</v>
      </c>
      <c r="B502" t="s">
        <v>1130</v>
      </c>
      <c r="C502" t="s">
        <v>447</v>
      </c>
      <c r="D502">
        <v>154009</v>
      </c>
    </row>
    <row r="503" spans="1:4" x14ac:dyDescent="0.25">
      <c r="A503">
        <v>129366</v>
      </c>
      <c r="B503" t="s">
        <v>1131</v>
      </c>
      <c r="C503" t="s">
        <v>440</v>
      </c>
      <c r="D503">
        <v>129366</v>
      </c>
    </row>
    <row r="504" spans="1:4" x14ac:dyDescent="0.25">
      <c r="A504">
        <v>151605</v>
      </c>
      <c r="B504" t="s">
        <v>1132</v>
      </c>
      <c r="C504" t="s">
        <v>1813</v>
      </c>
      <c r="D504">
        <v>151605</v>
      </c>
    </row>
    <row r="505" spans="1:4" x14ac:dyDescent="0.25">
      <c r="A505">
        <v>151653</v>
      </c>
      <c r="B505" t="s">
        <v>1133</v>
      </c>
      <c r="C505" t="s">
        <v>1814</v>
      </c>
      <c r="D505">
        <v>151653</v>
      </c>
    </row>
    <row r="506" spans="1:4" x14ac:dyDescent="0.25">
      <c r="A506">
        <v>63539</v>
      </c>
      <c r="B506" t="s">
        <v>1134</v>
      </c>
      <c r="C506" t="s">
        <v>1815</v>
      </c>
      <c r="D506">
        <v>63539</v>
      </c>
    </row>
    <row r="507" spans="1:4" x14ac:dyDescent="0.25">
      <c r="A507">
        <v>334211</v>
      </c>
      <c r="B507" t="s">
        <v>1135</v>
      </c>
      <c r="C507" t="s">
        <v>1816</v>
      </c>
      <c r="D507">
        <v>334211</v>
      </c>
    </row>
    <row r="508" spans="1:4" x14ac:dyDescent="0.25">
      <c r="A508">
        <v>146214</v>
      </c>
      <c r="B508" t="s">
        <v>1136</v>
      </c>
      <c r="C508" t="s">
        <v>1817</v>
      </c>
      <c r="D508">
        <v>146214</v>
      </c>
    </row>
    <row r="509" spans="1:4" x14ac:dyDescent="0.25">
      <c r="A509">
        <v>275021</v>
      </c>
      <c r="B509" t="s">
        <v>1137</v>
      </c>
      <c r="C509" t="s">
        <v>1818</v>
      </c>
      <c r="D509">
        <v>275021</v>
      </c>
    </row>
    <row r="510" spans="1:4" x14ac:dyDescent="0.25">
      <c r="A510">
        <v>275022</v>
      </c>
      <c r="B510" t="s">
        <v>1138</v>
      </c>
      <c r="C510" t="s">
        <v>1818</v>
      </c>
      <c r="D510">
        <v>275022</v>
      </c>
    </row>
    <row r="511" spans="1:4" x14ac:dyDescent="0.25">
      <c r="A511">
        <v>151384</v>
      </c>
      <c r="B511" t="s">
        <v>1139</v>
      </c>
      <c r="C511" t="s">
        <v>448</v>
      </c>
      <c r="D511">
        <v>151384</v>
      </c>
    </row>
    <row r="512" spans="1:4" x14ac:dyDescent="0.25">
      <c r="A512">
        <v>252843</v>
      </c>
      <c r="B512" t="s">
        <v>1140</v>
      </c>
      <c r="C512" t="s">
        <v>1819</v>
      </c>
      <c r="D512">
        <v>252843</v>
      </c>
    </row>
    <row r="513" spans="1:4" x14ac:dyDescent="0.25">
      <c r="A513">
        <v>82605</v>
      </c>
      <c r="B513" t="s">
        <v>1141</v>
      </c>
      <c r="C513" t="s">
        <v>1820</v>
      </c>
      <c r="D513">
        <v>82605</v>
      </c>
    </row>
    <row r="514" spans="1:4" x14ac:dyDescent="0.25">
      <c r="A514">
        <v>179060</v>
      </c>
      <c r="B514" t="s">
        <v>1142</v>
      </c>
      <c r="C514" t="s">
        <v>1821</v>
      </c>
      <c r="D514">
        <v>179060</v>
      </c>
    </row>
    <row r="515" spans="1:4" x14ac:dyDescent="0.25">
      <c r="A515">
        <v>206589</v>
      </c>
      <c r="B515" t="s">
        <v>1143</v>
      </c>
      <c r="C515" t="s">
        <v>1822</v>
      </c>
      <c r="D515">
        <v>206589</v>
      </c>
    </row>
    <row r="516" spans="1:4" x14ac:dyDescent="0.25">
      <c r="A516">
        <v>204484</v>
      </c>
      <c r="B516" t="s">
        <v>1144</v>
      </c>
      <c r="C516" t="s">
        <v>1823</v>
      </c>
      <c r="D516">
        <v>204484</v>
      </c>
    </row>
    <row r="517" spans="1:4" x14ac:dyDescent="0.25">
      <c r="A517">
        <v>204485</v>
      </c>
      <c r="B517" t="s">
        <v>1145</v>
      </c>
      <c r="C517" t="s">
        <v>1823</v>
      </c>
      <c r="D517">
        <v>204485</v>
      </c>
    </row>
    <row r="518" spans="1:4" x14ac:dyDescent="0.25">
      <c r="A518">
        <v>274998</v>
      </c>
      <c r="B518" t="s">
        <v>1146</v>
      </c>
      <c r="C518" t="s">
        <v>1824</v>
      </c>
      <c r="D518">
        <v>274998</v>
      </c>
    </row>
    <row r="519" spans="1:4" x14ac:dyDescent="0.25">
      <c r="A519">
        <v>234557</v>
      </c>
      <c r="B519" t="s">
        <v>1147</v>
      </c>
      <c r="C519" t="s">
        <v>1825</v>
      </c>
      <c r="D519">
        <v>234557</v>
      </c>
    </row>
    <row r="520" spans="1:4" x14ac:dyDescent="0.25">
      <c r="A520">
        <v>82611</v>
      </c>
      <c r="B520" t="s">
        <v>1148</v>
      </c>
      <c r="C520" t="s">
        <v>1826</v>
      </c>
      <c r="D520">
        <v>82611</v>
      </c>
    </row>
    <row r="521" spans="1:4" x14ac:dyDescent="0.25">
      <c r="A521">
        <v>257389</v>
      </c>
      <c r="B521" t="s">
        <v>1149</v>
      </c>
      <c r="C521" t="s">
        <v>1827</v>
      </c>
      <c r="D521">
        <v>257389</v>
      </c>
    </row>
    <row r="522" spans="1:4" x14ac:dyDescent="0.25">
      <c r="A522">
        <v>231236</v>
      </c>
      <c r="B522" t="s">
        <v>1150</v>
      </c>
      <c r="C522" t="s">
        <v>1828</v>
      </c>
      <c r="D522">
        <v>231236</v>
      </c>
    </row>
    <row r="523" spans="1:4" x14ac:dyDescent="0.25">
      <c r="A523">
        <v>235158</v>
      </c>
      <c r="B523" t="s">
        <v>1151</v>
      </c>
      <c r="C523" t="s">
        <v>1829</v>
      </c>
      <c r="D523">
        <v>235158</v>
      </c>
    </row>
    <row r="524" spans="1:4" x14ac:dyDescent="0.25">
      <c r="A524">
        <v>150024</v>
      </c>
      <c r="B524" t="s">
        <v>1153</v>
      </c>
      <c r="C524" t="s">
        <v>1830</v>
      </c>
      <c r="D524">
        <v>150024</v>
      </c>
    </row>
    <row r="525" spans="1:4" x14ac:dyDescent="0.25">
      <c r="A525">
        <v>223303</v>
      </c>
      <c r="B525" t="s">
        <v>1154</v>
      </c>
      <c r="C525" t="s">
        <v>1830</v>
      </c>
      <c r="D525">
        <v>223303</v>
      </c>
    </row>
    <row r="526" spans="1:4" x14ac:dyDescent="0.25">
      <c r="A526">
        <v>231951</v>
      </c>
      <c r="B526" t="s">
        <v>1155</v>
      </c>
      <c r="C526" t="s">
        <v>1830</v>
      </c>
      <c r="D526">
        <v>231951</v>
      </c>
    </row>
    <row r="527" spans="1:4" x14ac:dyDescent="0.25">
      <c r="A527">
        <v>97923</v>
      </c>
      <c r="B527" t="s">
        <v>1152</v>
      </c>
      <c r="C527" t="s">
        <v>1830</v>
      </c>
      <c r="D527">
        <v>97923</v>
      </c>
    </row>
    <row r="528" spans="1:4" x14ac:dyDescent="0.25">
      <c r="A528">
        <v>130909</v>
      </c>
      <c r="B528" t="s">
        <v>1156</v>
      </c>
      <c r="C528" t="s">
        <v>1831</v>
      </c>
      <c r="D528">
        <v>130909</v>
      </c>
    </row>
    <row r="529" spans="1:4" x14ac:dyDescent="0.25">
      <c r="A529">
        <v>151668</v>
      </c>
      <c r="B529" t="s">
        <v>1157</v>
      </c>
      <c r="C529" t="s">
        <v>1832</v>
      </c>
      <c r="D529">
        <v>151668</v>
      </c>
    </row>
    <row r="530" spans="1:4" x14ac:dyDescent="0.25">
      <c r="A530">
        <v>63320</v>
      </c>
      <c r="B530" t="s">
        <v>1158</v>
      </c>
      <c r="C530" t="s">
        <v>1833</v>
      </c>
      <c r="D530">
        <v>63320</v>
      </c>
    </row>
    <row r="531" spans="1:4" x14ac:dyDescent="0.25">
      <c r="A531">
        <v>187486</v>
      </c>
      <c r="B531" t="s">
        <v>1159</v>
      </c>
      <c r="C531" t="s">
        <v>1834</v>
      </c>
      <c r="D531">
        <v>187486</v>
      </c>
    </row>
    <row r="532" spans="1:4" x14ac:dyDescent="0.25">
      <c r="A532">
        <v>124400</v>
      </c>
      <c r="B532" t="s">
        <v>1160</v>
      </c>
      <c r="C532" t="s">
        <v>1835</v>
      </c>
      <c r="D532">
        <v>124400</v>
      </c>
    </row>
    <row r="533" spans="1:4" x14ac:dyDescent="0.25">
      <c r="A533">
        <v>124405</v>
      </c>
      <c r="B533" t="s">
        <v>1161</v>
      </c>
      <c r="C533" t="s">
        <v>1835</v>
      </c>
      <c r="D533">
        <v>124405</v>
      </c>
    </row>
    <row r="534" spans="1:4" x14ac:dyDescent="0.25">
      <c r="A534">
        <v>275790</v>
      </c>
      <c r="B534" t="s">
        <v>1162</v>
      </c>
      <c r="C534" t="s">
        <v>1836</v>
      </c>
      <c r="D534">
        <v>275790</v>
      </c>
    </row>
    <row r="535" spans="1:4" x14ac:dyDescent="0.25">
      <c r="A535">
        <v>154011</v>
      </c>
      <c r="B535" t="s">
        <v>1163</v>
      </c>
      <c r="C535" t="s">
        <v>1837</v>
      </c>
      <c r="D535">
        <v>154011</v>
      </c>
    </row>
    <row r="536" spans="1:4" x14ac:dyDescent="0.25">
      <c r="A536">
        <v>334223</v>
      </c>
      <c r="B536" t="s">
        <v>1164</v>
      </c>
      <c r="C536" t="s">
        <v>1837</v>
      </c>
      <c r="D536">
        <v>334223</v>
      </c>
    </row>
    <row r="537" spans="1:4" x14ac:dyDescent="0.25">
      <c r="A537">
        <v>334225</v>
      </c>
      <c r="B537" t="s">
        <v>1165</v>
      </c>
      <c r="C537" t="s">
        <v>1837</v>
      </c>
      <c r="D537">
        <v>334225</v>
      </c>
    </row>
    <row r="538" spans="1:4" x14ac:dyDescent="0.25">
      <c r="A538">
        <v>151501</v>
      </c>
      <c r="B538" t="s">
        <v>1166</v>
      </c>
      <c r="C538" t="s">
        <v>462</v>
      </c>
      <c r="D538">
        <v>151501</v>
      </c>
    </row>
    <row r="539" spans="1:4" x14ac:dyDescent="0.25">
      <c r="A539">
        <v>156587</v>
      </c>
      <c r="B539" t="s">
        <v>1167</v>
      </c>
      <c r="C539" t="s">
        <v>462</v>
      </c>
      <c r="D539">
        <v>156587</v>
      </c>
    </row>
    <row r="540" spans="1:4" x14ac:dyDescent="0.25">
      <c r="A540">
        <v>219074</v>
      </c>
      <c r="B540" t="s">
        <v>1168</v>
      </c>
      <c r="C540" t="s">
        <v>462</v>
      </c>
      <c r="D540">
        <v>219074</v>
      </c>
    </row>
    <row r="541" spans="1:4" x14ac:dyDescent="0.25">
      <c r="A541">
        <v>231135</v>
      </c>
      <c r="B541" t="s">
        <v>1169</v>
      </c>
      <c r="C541" t="s">
        <v>1838</v>
      </c>
      <c r="D541">
        <v>231135</v>
      </c>
    </row>
    <row r="542" spans="1:4" x14ac:dyDescent="0.25">
      <c r="A542">
        <v>231138</v>
      </c>
      <c r="B542" t="s">
        <v>1170</v>
      </c>
      <c r="C542" t="s">
        <v>1838</v>
      </c>
      <c r="D542">
        <v>231138</v>
      </c>
    </row>
    <row r="543" spans="1:4" x14ac:dyDescent="0.25">
      <c r="A543">
        <v>269934</v>
      </c>
      <c r="B543" t="s">
        <v>1171</v>
      </c>
      <c r="C543" t="s">
        <v>1839</v>
      </c>
      <c r="D543">
        <v>269934</v>
      </c>
    </row>
    <row r="544" spans="1:4" x14ac:dyDescent="0.25">
      <c r="A544">
        <v>223240</v>
      </c>
      <c r="B544" t="s">
        <v>1172</v>
      </c>
      <c r="C544" t="s">
        <v>1840</v>
      </c>
      <c r="D544">
        <v>223240</v>
      </c>
    </row>
    <row r="545" spans="1:4" x14ac:dyDescent="0.25">
      <c r="A545">
        <v>178687</v>
      </c>
      <c r="B545" t="s">
        <v>1173</v>
      </c>
      <c r="C545" t="s">
        <v>1841</v>
      </c>
      <c r="D545">
        <v>178687</v>
      </c>
    </row>
    <row r="546" spans="1:4" x14ac:dyDescent="0.25">
      <c r="A546">
        <v>210420</v>
      </c>
      <c r="B546" t="s">
        <v>1174</v>
      </c>
      <c r="C546" t="s">
        <v>1842</v>
      </c>
      <c r="D546">
        <v>210420</v>
      </c>
    </row>
    <row r="547" spans="1:4" x14ac:dyDescent="0.25">
      <c r="A547">
        <v>203123</v>
      </c>
      <c r="B547" t="s">
        <v>1175</v>
      </c>
      <c r="C547" t="s">
        <v>471</v>
      </c>
      <c r="D547">
        <v>203123</v>
      </c>
    </row>
    <row r="548" spans="1:4" x14ac:dyDescent="0.25">
      <c r="A548">
        <v>203124</v>
      </c>
      <c r="B548" t="s">
        <v>1176</v>
      </c>
      <c r="C548" t="s">
        <v>471</v>
      </c>
      <c r="D548">
        <v>203124</v>
      </c>
    </row>
    <row r="549" spans="1:4" x14ac:dyDescent="0.25">
      <c r="A549">
        <v>112674</v>
      </c>
      <c r="B549" t="s">
        <v>1177</v>
      </c>
      <c r="C549" t="s">
        <v>1843</v>
      </c>
      <c r="D549">
        <v>112674</v>
      </c>
    </row>
    <row r="550" spans="1:4" x14ac:dyDescent="0.25">
      <c r="A550">
        <v>334698</v>
      </c>
      <c r="B550" t="s">
        <v>1178</v>
      </c>
      <c r="C550" t="s">
        <v>1844</v>
      </c>
      <c r="D550">
        <v>334698</v>
      </c>
    </row>
    <row r="551" spans="1:4" x14ac:dyDescent="0.25">
      <c r="A551">
        <v>335343</v>
      </c>
      <c r="B551" t="s">
        <v>1179</v>
      </c>
      <c r="C551" t="s">
        <v>1845</v>
      </c>
      <c r="D551">
        <v>335343</v>
      </c>
    </row>
    <row r="552" spans="1:4" x14ac:dyDescent="0.25">
      <c r="A552">
        <v>335342</v>
      </c>
      <c r="B552" t="s">
        <v>1180</v>
      </c>
      <c r="C552" t="s">
        <v>1846</v>
      </c>
      <c r="D552">
        <v>335342</v>
      </c>
    </row>
    <row r="553" spans="1:4" x14ac:dyDescent="0.25">
      <c r="A553">
        <v>336619</v>
      </c>
      <c r="B553" t="s">
        <v>1181</v>
      </c>
      <c r="C553" t="s">
        <v>463</v>
      </c>
      <c r="D553">
        <v>336619</v>
      </c>
    </row>
    <row r="554" spans="1:4" x14ac:dyDescent="0.25">
      <c r="A554">
        <v>336699</v>
      </c>
      <c r="B554" t="s">
        <v>1182</v>
      </c>
      <c r="C554" t="s">
        <v>463</v>
      </c>
      <c r="D554">
        <v>336699</v>
      </c>
    </row>
    <row r="555" spans="1:4" x14ac:dyDescent="0.25">
      <c r="A555">
        <v>336701</v>
      </c>
      <c r="B555" t="s">
        <v>1183</v>
      </c>
      <c r="C555" t="s">
        <v>463</v>
      </c>
      <c r="D555">
        <v>336701</v>
      </c>
    </row>
    <row r="556" spans="1:4" x14ac:dyDescent="0.25">
      <c r="A556">
        <v>223337</v>
      </c>
      <c r="B556" t="s">
        <v>1184</v>
      </c>
      <c r="C556" t="s">
        <v>1847</v>
      </c>
      <c r="D556">
        <v>223337</v>
      </c>
    </row>
    <row r="557" spans="1:4" x14ac:dyDescent="0.25">
      <c r="A557">
        <v>233108</v>
      </c>
      <c r="B557" t="s">
        <v>1185</v>
      </c>
      <c r="C557" t="s">
        <v>1847</v>
      </c>
      <c r="D557">
        <v>233108</v>
      </c>
    </row>
    <row r="558" spans="1:4" x14ac:dyDescent="0.25">
      <c r="A558">
        <v>362672</v>
      </c>
      <c r="B558" t="s">
        <v>1186</v>
      </c>
      <c r="C558" t="s">
        <v>465</v>
      </c>
      <c r="D558">
        <v>362672</v>
      </c>
    </row>
    <row r="559" spans="1:4" x14ac:dyDescent="0.25">
      <c r="A559">
        <v>110450</v>
      </c>
      <c r="B559" t="s">
        <v>1187</v>
      </c>
      <c r="C559" t="s">
        <v>1848</v>
      </c>
      <c r="D559">
        <v>110450</v>
      </c>
    </row>
    <row r="560" spans="1:4" x14ac:dyDescent="0.25">
      <c r="A560">
        <v>154013</v>
      </c>
      <c r="B560" t="s">
        <v>1188</v>
      </c>
      <c r="C560" t="s">
        <v>1849</v>
      </c>
      <c r="D560">
        <v>154013</v>
      </c>
    </row>
    <row r="561" spans="1:4" x14ac:dyDescent="0.25">
      <c r="A561">
        <v>223396</v>
      </c>
      <c r="B561" t="s">
        <v>1189</v>
      </c>
      <c r="C561" t="s">
        <v>1850</v>
      </c>
      <c r="D561">
        <v>223396</v>
      </c>
    </row>
    <row r="562" spans="1:4" x14ac:dyDescent="0.25">
      <c r="A562">
        <v>232001</v>
      </c>
      <c r="B562" t="s">
        <v>1190</v>
      </c>
      <c r="C562" t="s">
        <v>1850</v>
      </c>
      <c r="D562">
        <v>232001</v>
      </c>
    </row>
    <row r="563" spans="1:4" x14ac:dyDescent="0.25">
      <c r="A563">
        <v>82582</v>
      </c>
      <c r="B563" t="s">
        <v>1191</v>
      </c>
      <c r="C563" t="s">
        <v>1851</v>
      </c>
      <c r="D563">
        <v>82582</v>
      </c>
    </row>
    <row r="564" spans="1:4" x14ac:dyDescent="0.25">
      <c r="A564">
        <v>188056</v>
      </c>
      <c r="B564" t="s">
        <v>1192</v>
      </c>
      <c r="C564" t="s">
        <v>1852</v>
      </c>
      <c r="D564">
        <v>188056</v>
      </c>
    </row>
    <row r="565" spans="1:4" x14ac:dyDescent="0.25">
      <c r="A565">
        <v>120992</v>
      </c>
      <c r="B565" t="s">
        <v>1193</v>
      </c>
      <c r="C565" t="s">
        <v>1853</v>
      </c>
      <c r="D565">
        <v>120992</v>
      </c>
    </row>
    <row r="566" spans="1:4" x14ac:dyDescent="0.25">
      <c r="A566">
        <v>113368</v>
      </c>
      <c r="B566" t="s">
        <v>1194</v>
      </c>
      <c r="C566" t="s">
        <v>1854</v>
      </c>
      <c r="D566">
        <v>113368</v>
      </c>
    </row>
    <row r="567" spans="1:4" x14ac:dyDescent="0.25">
      <c r="A567">
        <v>354545</v>
      </c>
      <c r="B567" t="s">
        <v>1195</v>
      </c>
      <c r="C567" t="s">
        <v>1855</v>
      </c>
      <c r="D567">
        <v>354545</v>
      </c>
    </row>
    <row r="568" spans="1:4" x14ac:dyDescent="0.25">
      <c r="A568">
        <v>354548</v>
      </c>
      <c r="B568" t="s">
        <v>1196</v>
      </c>
      <c r="C568" t="s">
        <v>1855</v>
      </c>
      <c r="D568">
        <v>354548</v>
      </c>
    </row>
    <row r="569" spans="1:4" x14ac:dyDescent="0.25">
      <c r="A569">
        <v>257381</v>
      </c>
      <c r="B569" t="s">
        <v>1197</v>
      </c>
      <c r="C569" t="s">
        <v>1856</v>
      </c>
      <c r="D569">
        <v>257381</v>
      </c>
    </row>
    <row r="570" spans="1:4" x14ac:dyDescent="0.25">
      <c r="A570">
        <v>77526</v>
      </c>
      <c r="B570" t="s">
        <v>1198</v>
      </c>
      <c r="C570" t="s">
        <v>1857</v>
      </c>
      <c r="D570">
        <v>77526</v>
      </c>
    </row>
    <row r="571" spans="1:4" x14ac:dyDescent="0.25">
      <c r="A571">
        <v>223615</v>
      </c>
      <c r="B571" t="s">
        <v>1199</v>
      </c>
      <c r="C571" t="s">
        <v>1858</v>
      </c>
      <c r="D571">
        <v>223615</v>
      </c>
    </row>
    <row r="572" spans="1:4" x14ac:dyDescent="0.25">
      <c r="A572">
        <v>121068</v>
      </c>
      <c r="B572" t="s">
        <v>1200</v>
      </c>
      <c r="C572" t="s">
        <v>1859</v>
      </c>
      <c r="D572">
        <v>121068</v>
      </c>
    </row>
    <row r="573" spans="1:4" x14ac:dyDescent="0.25">
      <c r="A573">
        <v>163886</v>
      </c>
      <c r="B573" t="s">
        <v>1201</v>
      </c>
      <c r="C573" t="s">
        <v>1860</v>
      </c>
      <c r="D573">
        <v>163886</v>
      </c>
    </row>
    <row r="574" spans="1:4" x14ac:dyDescent="0.25">
      <c r="A574">
        <v>270487</v>
      </c>
      <c r="B574" t="s">
        <v>1202</v>
      </c>
      <c r="C574" t="s">
        <v>1861</v>
      </c>
      <c r="D574">
        <v>270487</v>
      </c>
    </row>
    <row r="575" spans="1:4" x14ac:dyDescent="0.25">
      <c r="A575">
        <v>191034</v>
      </c>
      <c r="B575" t="s">
        <v>1203</v>
      </c>
      <c r="C575" t="s">
        <v>1862</v>
      </c>
      <c r="D575">
        <v>191034</v>
      </c>
    </row>
    <row r="576" spans="1:4" x14ac:dyDescent="0.25">
      <c r="A576">
        <v>229324</v>
      </c>
      <c r="B576" t="s">
        <v>1204</v>
      </c>
      <c r="C576" t="s">
        <v>1863</v>
      </c>
      <c r="D576">
        <v>229324</v>
      </c>
    </row>
    <row r="577" spans="1:4" x14ac:dyDescent="0.25">
      <c r="A577">
        <v>223568</v>
      </c>
      <c r="B577" t="s">
        <v>1205</v>
      </c>
      <c r="C577" t="s">
        <v>1864</v>
      </c>
      <c r="D577">
        <v>223568</v>
      </c>
    </row>
    <row r="578" spans="1:4" x14ac:dyDescent="0.25">
      <c r="A578">
        <v>223605</v>
      </c>
      <c r="B578" t="s">
        <v>1206</v>
      </c>
      <c r="C578" t="s">
        <v>1865</v>
      </c>
      <c r="D578">
        <v>223605</v>
      </c>
    </row>
    <row r="579" spans="1:4" x14ac:dyDescent="0.25">
      <c r="A579">
        <v>369133</v>
      </c>
      <c r="B579" t="s">
        <v>1207</v>
      </c>
      <c r="C579" t="s">
        <v>1866</v>
      </c>
      <c r="D579">
        <v>369133</v>
      </c>
    </row>
    <row r="580" spans="1:4" x14ac:dyDescent="0.25">
      <c r="A580">
        <v>223571</v>
      </c>
      <c r="B580" t="s">
        <v>1208</v>
      </c>
      <c r="C580" t="s">
        <v>1867</v>
      </c>
      <c r="D580">
        <v>223571</v>
      </c>
    </row>
    <row r="581" spans="1:4" x14ac:dyDescent="0.25">
      <c r="A581">
        <v>336643</v>
      </c>
      <c r="B581" t="s">
        <v>1209</v>
      </c>
      <c r="C581" t="s">
        <v>1868</v>
      </c>
      <c r="D581">
        <v>336643</v>
      </c>
    </row>
    <row r="582" spans="1:4" x14ac:dyDescent="0.25">
      <c r="A582">
        <v>257371</v>
      </c>
      <c r="B582" t="s">
        <v>1210</v>
      </c>
      <c r="C582" t="s">
        <v>1869</v>
      </c>
      <c r="D582">
        <v>257371</v>
      </c>
    </row>
    <row r="583" spans="1:4" x14ac:dyDescent="0.25">
      <c r="A583">
        <v>151511</v>
      </c>
      <c r="B583" t="s">
        <v>1211</v>
      </c>
      <c r="C583" t="s">
        <v>1870</v>
      </c>
      <c r="D583">
        <v>151511</v>
      </c>
    </row>
    <row r="584" spans="1:4" x14ac:dyDescent="0.25">
      <c r="A584">
        <v>256172</v>
      </c>
      <c r="B584" t="s">
        <v>1212</v>
      </c>
      <c r="C584" t="s">
        <v>1871</v>
      </c>
      <c r="D584">
        <v>256172</v>
      </c>
    </row>
    <row r="585" spans="1:4" x14ac:dyDescent="0.25">
      <c r="A585">
        <v>256175</v>
      </c>
      <c r="B585" t="s">
        <v>1213</v>
      </c>
      <c r="C585" t="s">
        <v>1871</v>
      </c>
      <c r="D585">
        <v>256175</v>
      </c>
    </row>
    <row r="586" spans="1:4" x14ac:dyDescent="0.25">
      <c r="A586">
        <v>210569</v>
      </c>
      <c r="B586" t="s">
        <v>1214</v>
      </c>
      <c r="C586" t="s">
        <v>1872</v>
      </c>
      <c r="D586">
        <v>210569</v>
      </c>
    </row>
    <row r="587" spans="1:4" x14ac:dyDescent="0.25">
      <c r="A587">
        <v>112982</v>
      </c>
      <c r="B587" t="s">
        <v>1215</v>
      </c>
      <c r="C587" t="s">
        <v>1873</v>
      </c>
      <c r="D587">
        <v>112982</v>
      </c>
    </row>
    <row r="588" spans="1:4" x14ac:dyDescent="0.25">
      <c r="A588">
        <v>107970</v>
      </c>
      <c r="B588" t="s">
        <v>1216</v>
      </c>
      <c r="C588" t="s">
        <v>1874</v>
      </c>
      <c r="D588">
        <v>107970</v>
      </c>
    </row>
    <row r="589" spans="1:4" x14ac:dyDescent="0.25">
      <c r="A589">
        <v>300471</v>
      </c>
      <c r="B589" t="s">
        <v>1217</v>
      </c>
      <c r="C589" t="s">
        <v>1875</v>
      </c>
      <c r="D589">
        <v>300471</v>
      </c>
    </row>
    <row r="590" spans="1:4" x14ac:dyDescent="0.25">
      <c r="A590">
        <v>179253</v>
      </c>
      <c r="B590" t="s">
        <v>1218</v>
      </c>
      <c r="C590" t="s">
        <v>1876</v>
      </c>
      <c r="D590">
        <v>179253</v>
      </c>
    </row>
    <row r="591" spans="1:4" x14ac:dyDescent="0.25">
      <c r="A591">
        <v>162905</v>
      </c>
      <c r="B591" t="s">
        <v>1219</v>
      </c>
      <c r="C591" t="s">
        <v>1877</v>
      </c>
      <c r="D591">
        <v>162905</v>
      </c>
    </row>
    <row r="592" spans="1:4" x14ac:dyDescent="0.25">
      <c r="A592">
        <v>336718</v>
      </c>
      <c r="B592" t="s">
        <v>1220</v>
      </c>
      <c r="C592" t="s">
        <v>1878</v>
      </c>
      <c r="D592">
        <v>336718</v>
      </c>
    </row>
    <row r="593" spans="1:4" x14ac:dyDescent="0.25">
      <c r="A593">
        <v>231990</v>
      </c>
      <c r="B593" t="s">
        <v>1221</v>
      </c>
      <c r="C593" t="s">
        <v>1879</v>
      </c>
      <c r="D593">
        <v>231990</v>
      </c>
    </row>
    <row r="594" spans="1:4" x14ac:dyDescent="0.25">
      <c r="A594">
        <v>176709</v>
      </c>
      <c r="B594" t="s">
        <v>1222</v>
      </c>
      <c r="C594" t="s">
        <v>1880</v>
      </c>
      <c r="D594">
        <v>176709</v>
      </c>
    </row>
    <row r="595" spans="1:4" x14ac:dyDescent="0.25">
      <c r="A595">
        <v>195778</v>
      </c>
      <c r="B595" t="s">
        <v>1223</v>
      </c>
      <c r="C595" t="s">
        <v>1881</v>
      </c>
      <c r="D595">
        <v>195778</v>
      </c>
    </row>
    <row r="596" spans="1:4" x14ac:dyDescent="0.25">
      <c r="A596">
        <v>316487</v>
      </c>
      <c r="B596" t="s">
        <v>1224</v>
      </c>
      <c r="C596" t="s">
        <v>1882</v>
      </c>
      <c r="D596">
        <v>316487</v>
      </c>
    </row>
    <row r="597" spans="1:4" x14ac:dyDescent="0.25">
      <c r="A597">
        <v>232131</v>
      </c>
      <c r="B597" t="s">
        <v>1225</v>
      </c>
      <c r="C597" t="s">
        <v>1883</v>
      </c>
      <c r="D597">
        <v>232131</v>
      </c>
    </row>
    <row r="598" spans="1:4" x14ac:dyDescent="0.25">
      <c r="A598">
        <v>164393</v>
      </c>
      <c r="B598" t="s">
        <v>1226</v>
      </c>
      <c r="C598" t="s">
        <v>1884</v>
      </c>
      <c r="D598">
        <v>164393</v>
      </c>
    </row>
    <row r="599" spans="1:4" x14ac:dyDescent="0.25">
      <c r="A599">
        <v>327116</v>
      </c>
      <c r="B599" t="s">
        <v>1227</v>
      </c>
      <c r="C599" t="s">
        <v>1885</v>
      </c>
      <c r="D599">
        <v>327116</v>
      </c>
    </row>
    <row r="600" spans="1:4" x14ac:dyDescent="0.25">
      <c r="A600">
        <v>334436</v>
      </c>
      <c r="B600" t="s">
        <v>1228</v>
      </c>
      <c r="C600" t="s">
        <v>1885</v>
      </c>
      <c r="D600">
        <v>334436</v>
      </c>
    </row>
    <row r="601" spans="1:4" x14ac:dyDescent="0.25">
      <c r="A601">
        <v>377429</v>
      </c>
      <c r="B601" t="s">
        <v>1229</v>
      </c>
      <c r="C601" t="s">
        <v>1885</v>
      </c>
      <c r="D601">
        <v>377429</v>
      </c>
    </row>
    <row r="602" spans="1:4" x14ac:dyDescent="0.25">
      <c r="A602">
        <v>223320</v>
      </c>
      <c r="B602" t="s">
        <v>1230</v>
      </c>
      <c r="C602" t="s">
        <v>500</v>
      </c>
      <c r="D602">
        <v>223320</v>
      </c>
    </row>
    <row r="603" spans="1:4" x14ac:dyDescent="0.25">
      <c r="A603">
        <v>270599</v>
      </c>
      <c r="B603" t="s">
        <v>1231</v>
      </c>
      <c r="C603" t="s">
        <v>1886</v>
      </c>
      <c r="D603">
        <v>270599</v>
      </c>
    </row>
    <row r="604" spans="1:4" x14ac:dyDescent="0.25">
      <c r="A604">
        <v>270480</v>
      </c>
      <c r="B604" t="s">
        <v>1232</v>
      </c>
      <c r="C604" t="s">
        <v>1887</v>
      </c>
      <c r="D604">
        <v>270480</v>
      </c>
    </row>
    <row r="605" spans="1:4" x14ac:dyDescent="0.25">
      <c r="A605">
        <v>151312</v>
      </c>
      <c r="B605" t="s">
        <v>1233</v>
      </c>
      <c r="C605" t="s">
        <v>1888</v>
      </c>
      <c r="D605">
        <v>151312</v>
      </c>
    </row>
    <row r="606" spans="1:4" x14ac:dyDescent="0.25">
      <c r="A606">
        <v>89424</v>
      </c>
      <c r="B606" t="s">
        <v>1234</v>
      </c>
      <c r="C606" t="s">
        <v>1889</v>
      </c>
      <c r="D606">
        <v>89424</v>
      </c>
    </row>
    <row r="607" spans="1:4" x14ac:dyDescent="0.25">
      <c r="A607">
        <v>113384</v>
      </c>
      <c r="B607" t="s">
        <v>1235</v>
      </c>
      <c r="C607" t="s">
        <v>1890</v>
      </c>
      <c r="D607">
        <v>113384</v>
      </c>
    </row>
    <row r="608" spans="1:4" x14ac:dyDescent="0.25">
      <c r="A608">
        <v>120615</v>
      </c>
      <c r="B608" t="s">
        <v>1236</v>
      </c>
      <c r="C608" t="s">
        <v>1890</v>
      </c>
      <c r="D608">
        <v>120615</v>
      </c>
    </row>
    <row r="609" spans="1:4" x14ac:dyDescent="0.25">
      <c r="A609">
        <v>362425</v>
      </c>
      <c r="B609" t="s">
        <v>1237</v>
      </c>
      <c r="C609" t="s">
        <v>499</v>
      </c>
      <c r="D609">
        <v>362425</v>
      </c>
    </row>
    <row r="610" spans="1:4" x14ac:dyDescent="0.25">
      <c r="A610">
        <v>275032</v>
      </c>
      <c r="B610" t="s">
        <v>1238</v>
      </c>
      <c r="C610" t="s">
        <v>1891</v>
      </c>
      <c r="D610">
        <v>275032</v>
      </c>
    </row>
    <row r="611" spans="1:4" x14ac:dyDescent="0.25">
      <c r="A611">
        <v>65456</v>
      </c>
      <c r="B611" t="s">
        <v>1239</v>
      </c>
      <c r="C611" t="s">
        <v>1892</v>
      </c>
      <c r="D611">
        <v>65456</v>
      </c>
    </row>
    <row r="612" spans="1:4" x14ac:dyDescent="0.25">
      <c r="A612">
        <v>187162</v>
      </c>
      <c r="B612" t="s">
        <v>1240</v>
      </c>
      <c r="C612" t="s">
        <v>1893</v>
      </c>
      <c r="D612">
        <v>187162</v>
      </c>
    </row>
    <row r="613" spans="1:4" x14ac:dyDescent="0.25">
      <c r="A613">
        <v>163878</v>
      </c>
      <c r="B613" t="s">
        <v>1241</v>
      </c>
      <c r="C613" t="s">
        <v>1894</v>
      </c>
      <c r="D613">
        <v>163878</v>
      </c>
    </row>
    <row r="614" spans="1:4" x14ac:dyDescent="0.25">
      <c r="A614">
        <v>250021</v>
      </c>
      <c r="B614" t="s">
        <v>1242</v>
      </c>
      <c r="C614" t="s">
        <v>1895</v>
      </c>
      <c r="D614">
        <v>250021</v>
      </c>
    </row>
    <row r="615" spans="1:4" x14ac:dyDescent="0.25">
      <c r="A615">
        <v>174976</v>
      </c>
      <c r="B615" t="s">
        <v>1243</v>
      </c>
      <c r="C615" t="s">
        <v>1896</v>
      </c>
      <c r="D615">
        <v>174976</v>
      </c>
    </row>
    <row r="616" spans="1:4" x14ac:dyDescent="0.25">
      <c r="A616">
        <v>80044</v>
      </c>
      <c r="B616" t="s">
        <v>1244</v>
      </c>
      <c r="C616" t="s">
        <v>1897</v>
      </c>
      <c r="D616">
        <v>80044</v>
      </c>
    </row>
    <row r="617" spans="1:4" x14ac:dyDescent="0.25">
      <c r="A617">
        <v>178920</v>
      </c>
      <c r="B617" t="s">
        <v>1245</v>
      </c>
      <c r="C617" t="s">
        <v>1898</v>
      </c>
      <c r="D617">
        <v>178920</v>
      </c>
    </row>
    <row r="618" spans="1:4" x14ac:dyDescent="0.25">
      <c r="A618">
        <v>190129</v>
      </c>
      <c r="B618" t="s">
        <v>1246</v>
      </c>
      <c r="C618" t="s">
        <v>1898</v>
      </c>
      <c r="D618">
        <v>190129</v>
      </c>
    </row>
    <row r="619" spans="1:4" x14ac:dyDescent="0.25">
      <c r="A619">
        <v>128711</v>
      </c>
      <c r="B619" t="s">
        <v>1247</v>
      </c>
      <c r="C619" t="s">
        <v>1899</v>
      </c>
      <c r="D619">
        <v>128711</v>
      </c>
    </row>
    <row r="620" spans="1:4" x14ac:dyDescent="0.25">
      <c r="A620">
        <v>210392</v>
      </c>
      <c r="B620" t="s">
        <v>1248</v>
      </c>
      <c r="C620" t="s">
        <v>1899</v>
      </c>
      <c r="D620">
        <v>210392</v>
      </c>
    </row>
    <row r="621" spans="1:4" x14ac:dyDescent="0.25">
      <c r="A621">
        <v>191066</v>
      </c>
      <c r="B621" t="s">
        <v>1249</v>
      </c>
      <c r="C621" t="s">
        <v>1900</v>
      </c>
      <c r="D621">
        <v>191066</v>
      </c>
    </row>
    <row r="622" spans="1:4" x14ac:dyDescent="0.25">
      <c r="A622">
        <v>223340</v>
      </c>
      <c r="B622" t="s">
        <v>1250</v>
      </c>
      <c r="C622" t="s">
        <v>1901</v>
      </c>
      <c r="D622">
        <v>223340</v>
      </c>
    </row>
    <row r="623" spans="1:4" x14ac:dyDescent="0.25">
      <c r="A623">
        <v>201241</v>
      </c>
      <c r="B623" t="s">
        <v>1251</v>
      </c>
      <c r="C623" t="s">
        <v>1902</v>
      </c>
      <c r="D623">
        <v>201241</v>
      </c>
    </row>
    <row r="624" spans="1:4" x14ac:dyDescent="0.25">
      <c r="A624">
        <v>151023</v>
      </c>
      <c r="B624" t="s">
        <v>1252</v>
      </c>
      <c r="C624" t="s">
        <v>1903</v>
      </c>
      <c r="D624">
        <v>151023</v>
      </c>
    </row>
    <row r="625" spans="1:4" x14ac:dyDescent="0.25">
      <c r="A625">
        <v>157358</v>
      </c>
      <c r="B625" t="s">
        <v>1253</v>
      </c>
      <c r="C625" t="s">
        <v>1903</v>
      </c>
      <c r="D625">
        <v>157358</v>
      </c>
    </row>
    <row r="626" spans="1:4" x14ac:dyDescent="0.25">
      <c r="A626">
        <v>176798</v>
      </c>
      <c r="B626" t="s">
        <v>1254</v>
      </c>
      <c r="C626" t="s">
        <v>1903</v>
      </c>
      <c r="D626">
        <v>176798</v>
      </c>
    </row>
    <row r="627" spans="1:4" x14ac:dyDescent="0.25">
      <c r="A627">
        <v>206955</v>
      </c>
      <c r="B627" t="s">
        <v>1255</v>
      </c>
      <c r="C627" t="s">
        <v>1903</v>
      </c>
      <c r="D627">
        <v>206955</v>
      </c>
    </row>
    <row r="628" spans="1:4" x14ac:dyDescent="0.25">
      <c r="A628">
        <v>221690</v>
      </c>
      <c r="B628" t="s">
        <v>1256</v>
      </c>
      <c r="C628" t="s">
        <v>1903</v>
      </c>
      <c r="D628">
        <v>221690</v>
      </c>
    </row>
    <row r="629" spans="1:4" x14ac:dyDescent="0.25">
      <c r="A629">
        <v>223331</v>
      </c>
      <c r="B629" t="s">
        <v>1257</v>
      </c>
      <c r="C629" t="s">
        <v>1903</v>
      </c>
      <c r="D629">
        <v>223331</v>
      </c>
    </row>
    <row r="630" spans="1:4" x14ac:dyDescent="0.25">
      <c r="A630">
        <v>196058</v>
      </c>
      <c r="B630" t="s">
        <v>1258</v>
      </c>
      <c r="C630" t="s">
        <v>1904</v>
      </c>
      <c r="D630">
        <v>196058</v>
      </c>
    </row>
    <row r="631" spans="1:4" x14ac:dyDescent="0.25">
      <c r="A631">
        <v>253546</v>
      </c>
      <c r="B631" t="s">
        <v>1259</v>
      </c>
      <c r="C631" t="s">
        <v>1905</v>
      </c>
      <c r="D631">
        <v>253546</v>
      </c>
    </row>
    <row r="632" spans="1:4" x14ac:dyDescent="0.25">
      <c r="A632">
        <v>151327</v>
      </c>
      <c r="B632" t="s">
        <v>1260</v>
      </c>
      <c r="C632" t="s">
        <v>1906</v>
      </c>
      <c r="D632">
        <v>151327</v>
      </c>
    </row>
    <row r="633" spans="1:4" x14ac:dyDescent="0.25">
      <c r="A633">
        <v>151546</v>
      </c>
      <c r="B633" t="s">
        <v>1261</v>
      </c>
      <c r="C633" t="s">
        <v>1907</v>
      </c>
      <c r="D633">
        <v>151546</v>
      </c>
    </row>
    <row r="634" spans="1:4" x14ac:dyDescent="0.25">
      <c r="A634">
        <v>179149</v>
      </c>
      <c r="B634" t="s">
        <v>1262</v>
      </c>
      <c r="C634" t="s">
        <v>1908</v>
      </c>
      <c r="D634">
        <v>179149</v>
      </c>
    </row>
    <row r="635" spans="1:4" x14ac:dyDescent="0.25">
      <c r="A635">
        <v>196059</v>
      </c>
      <c r="B635" t="s">
        <v>1263</v>
      </c>
      <c r="C635" t="s">
        <v>1909</v>
      </c>
      <c r="D635">
        <v>196059</v>
      </c>
    </row>
    <row r="636" spans="1:4" x14ac:dyDescent="0.25">
      <c r="A636">
        <v>151508</v>
      </c>
      <c r="B636" t="s">
        <v>1264</v>
      </c>
      <c r="C636" t="s">
        <v>1910</v>
      </c>
      <c r="D636">
        <v>151508</v>
      </c>
    </row>
    <row r="637" spans="1:4" x14ac:dyDescent="0.25">
      <c r="A637">
        <v>379023</v>
      </c>
      <c r="B637" t="s">
        <v>1265</v>
      </c>
      <c r="C637" t="s">
        <v>497</v>
      </c>
      <c r="D637">
        <v>379023</v>
      </c>
    </row>
    <row r="638" spans="1:4" x14ac:dyDescent="0.25">
      <c r="A638">
        <v>151317</v>
      </c>
      <c r="B638" t="s">
        <v>1266</v>
      </c>
      <c r="C638" t="s">
        <v>1911</v>
      </c>
      <c r="D638">
        <v>151317</v>
      </c>
    </row>
    <row r="639" spans="1:4" x14ac:dyDescent="0.25">
      <c r="A639">
        <v>151224</v>
      </c>
      <c r="B639" t="s">
        <v>1267</v>
      </c>
      <c r="C639" t="s">
        <v>1912</v>
      </c>
      <c r="D639">
        <v>151224</v>
      </c>
    </row>
    <row r="640" spans="1:4" x14ac:dyDescent="0.25">
      <c r="A640">
        <v>210383</v>
      </c>
      <c r="B640" t="s">
        <v>1268</v>
      </c>
      <c r="C640" t="s">
        <v>1913</v>
      </c>
      <c r="D640">
        <v>210383</v>
      </c>
    </row>
    <row r="641" spans="1:4" x14ac:dyDescent="0.25">
      <c r="A641">
        <v>76776</v>
      </c>
      <c r="B641" t="s">
        <v>1269</v>
      </c>
      <c r="C641" t="s">
        <v>1914</v>
      </c>
      <c r="D641">
        <v>76776</v>
      </c>
    </row>
    <row r="642" spans="1:4" x14ac:dyDescent="0.25">
      <c r="A642">
        <v>117364</v>
      </c>
      <c r="B642" t="s">
        <v>1270</v>
      </c>
      <c r="C642" t="s">
        <v>1915</v>
      </c>
      <c r="D642">
        <v>117364</v>
      </c>
    </row>
    <row r="643" spans="1:4" x14ac:dyDescent="0.25">
      <c r="A643">
        <v>117365</v>
      </c>
      <c r="B643" t="s">
        <v>1270</v>
      </c>
      <c r="C643" t="s">
        <v>1915</v>
      </c>
      <c r="D643">
        <v>117365</v>
      </c>
    </row>
    <row r="644" spans="1:4" x14ac:dyDescent="0.25">
      <c r="A644">
        <v>151468</v>
      </c>
      <c r="B644" t="s">
        <v>1271</v>
      </c>
      <c r="C644" t="s">
        <v>1916</v>
      </c>
      <c r="D644">
        <v>151468</v>
      </c>
    </row>
    <row r="645" spans="1:4" x14ac:dyDescent="0.25">
      <c r="A645">
        <v>328005</v>
      </c>
      <c r="B645" t="s">
        <v>1272</v>
      </c>
      <c r="C645" t="s">
        <v>503</v>
      </c>
      <c r="D645">
        <v>328005</v>
      </c>
    </row>
    <row r="646" spans="1:4" x14ac:dyDescent="0.25">
      <c r="A646">
        <v>151611</v>
      </c>
      <c r="B646" t="s">
        <v>1273</v>
      </c>
      <c r="C646" t="s">
        <v>1917</v>
      </c>
      <c r="D646">
        <v>151611</v>
      </c>
    </row>
    <row r="647" spans="1:4" x14ac:dyDescent="0.25">
      <c r="A647">
        <v>270701</v>
      </c>
      <c r="B647" t="s">
        <v>1274</v>
      </c>
      <c r="C647" t="s">
        <v>1918</v>
      </c>
      <c r="D647">
        <v>270701</v>
      </c>
    </row>
    <row r="648" spans="1:4" x14ac:dyDescent="0.25">
      <c r="A648">
        <v>77886</v>
      </c>
      <c r="B648" t="s">
        <v>1275</v>
      </c>
      <c r="C648" t="s">
        <v>1919</v>
      </c>
      <c r="D648">
        <v>77886</v>
      </c>
    </row>
    <row r="649" spans="1:4" x14ac:dyDescent="0.25">
      <c r="A649">
        <v>186330</v>
      </c>
      <c r="B649" t="s">
        <v>1276</v>
      </c>
      <c r="C649" t="s">
        <v>1920</v>
      </c>
      <c r="D649">
        <v>186330</v>
      </c>
    </row>
    <row r="650" spans="1:4" x14ac:dyDescent="0.25">
      <c r="A650">
        <v>252100</v>
      </c>
      <c r="B650" t="s">
        <v>1277</v>
      </c>
      <c r="C650" t="s">
        <v>1921</v>
      </c>
      <c r="D650">
        <v>252100</v>
      </c>
    </row>
    <row r="651" spans="1:4" x14ac:dyDescent="0.25">
      <c r="A651">
        <v>252101</v>
      </c>
      <c r="B651" t="s">
        <v>1278</v>
      </c>
      <c r="C651" t="s">
        <v>1921</v>
      </c>
      <c r="D651">
        <v>252101</v>
      </c>
    </row>
    <row r="652" spans="1:4" x14ac:dyDescent="0.25">
      <c r="A652">
        <v>113370</v>
      </c>
      <c r="B652" t="s">
        <v>1279</v>
      </c>
      <c r="C652" t="s">
        <v>1922</v>
      </c>
      <c r="D652">
        <v>113370</v>
      </c>
    </row>
    <row r="653" spans="1:4" x14ac:dyDescent="0.25">
      <c r="A653">
        <v>257362</v>
      </c>
      <c r="B653" t="s">
        <v>1280</v>
      </c>
      <c r="C653" t="s">
        <v>1923</v>
      </c>
      <c r="D653">
        <v>257362</v>
      </c>
    </row>
    <row r="654" spans="1:4" x14ac:dyDescent="0.25">
      <c r="A654">
        <v>151504</v>
      </c>
      <c r="B654" t="s">
        <v>1281</v>
      </c>
      <c r="C654" t="s">
        <v>1924</v>
      </c>
      <c r="D654">
        <v>151504</v>
      </c>
    </row>
    <row r="655" spans="1:4" x14ac:dyDescent="0.25">
      <c r="A655">
        <v>63557</v>
      </c>
      <c r="B655" t="s">
        <v>1282</v>
      </c>
      <c r="C655" t="s">
        <v>1925</v>
      </c>
      <c r="D655">
        <v>63557</v>
      </c>
    </row>
    <row r="656" spans="1:4" x14ac:dyDescent="0.25">
      <c r="A656">
        <v>124936</v>
      </c>
      <c r="B656" t="s">
        <v>1283</v>
      </c>
      <c r="C656" t="s">
        <v>1926</v>
      </c>
      <c r="D656">
        <v>124936</v>
      </c>
    </row>
    <row r="657" spans="1:4" x14ac:dyDescent="0.25">
      <c r="A657">
        <v>234735</v>
      </c>
      <c r="B657" t="s">
        <v>1284</v>
      </c>
      <c r="C657" t="s">
        <v>501</v>
      </c>
      <c r="D657">
        <v>234735</v>
      </c>
    </row>
    <row r="658" spans="1:4" x14ac:dyDescent="0.25">
      <c r="A658">
        <v>379528</v>
      </c>
      <c r="B658" t="s">
        <v>1285</v>
      </c>
      <c r="C658" t="s">
        <v>1927</v>
      </c>
      <c r="D658">
        <v>379528</v>
      </c>
    </row>
    <row r="659" spans="1:4" x14ac:dyDescent="0.25">
      <c r="A659">
        <v>233539</v>
      </c>
      <c r="B659" t="s">
        <v>1287</v>
      </c>
      <c r="C659" t="s">
        <v>1928</v>
      </c>
      <c r="D659">
        <v>233539</v>
      </c>
    </row>
    <row r="660" spans="1:4" x14ac:dyDescent="0.25">
      <c r="A660">
        <v>63559</v>
      </c>
      <c r="B660" t="s">
        <v>1286</v>
      </c>
      <c r="C660" t="s">
        <v>1928</v>
      </c>
      <c r="D660">
        <v>63559</v>
      </c>
    </row>
    <row r="661" spans="1:4" x14ac:dyDescent="0.25">
      <c r="A661">
        <v>173863</v>
      </c>
      <c r="B661" t="s">
        <v>1288</v>
      </c>
      <c r="C661" t="s">
        <v>1929</v>
      </c>
      <c r="D661">
        <v>173863</v>
      </c>
    </row>
    <row r="662" spans="1:4" x14ac:dyDescent="0.25">
      <c r="A662">
        <v>151549</v>
      </c>
      <c r="B662" t="s">
        <v>1289</v>
      </c>
      <c r="C662" t="s">
        <v>1930</v>
      </c>
      <c r="D662">
        <v>151549</v>
      </c>
    </row>
    <row r="663" spans="1:4" x14ac:dyDescent="0.25">
      <c r="A663">
        <v>178083</v>
      </c>
      <c r="B663" t="s">
        <v>1290</v>
      </c>
      <c r="C663" t="s">
        <v>1931</v>
      </c>
      <c r="D663">
        <v>178083</v>
      </c>
    </row>
    <row r="664" spans="1:4" x14ac:dyDescent="0.25">
      <c r="A664">
        <v>214972</v>
      </c>
      <c r="B664" t="s">
        <v>1291</v>
      </c>
      <c r="C664" t="s">
        <v>1932</v>
      </c>
      <c r="D664">
        <v>214972</v>
      </c>
    </row>
    <row r="665" spans="1:4" x14ac:dyDescent="0.25">
      <c r="A665">
        <v>275034</v>
      </c>
      <c r="B665" t="s">
        <v>1292</v>
      </c>
      <c r="C665" t="s">
        <v>1933</v>
      </c>
      <c r="D665">
        <v>275034</v>
      </c>
    </row>
    <row r="666" spans="1:4" x14ac:dyDescent="0.25">
      <c r="A666">
        <v>344043</v>
      </c>
      <c r="B666" t="s">
        <v>1293</v>
      </c>
      <c r="C666" t="s">
        <v>1934</v>
      </c>
      <c r="D666">
        <v>344043</v>
      </c>
    </row>
    <row r="667" spans="1:4" x14ac:dyDescent="0.25">
      <c r="A667">
        <v>364785</v>
      </c>
      <c r="B667" t="s">
        <v>1294</v>
      </c>
      <c r="C667" t="s">
        <v>1935</v>
      </c>
      <c r="D667">
        <v>364785</v>
      </c>
    </row>
    <row r="668" spans="1:4" x14ac:dyDescent="0.25">
      <c r="A668">
        <v>335337</v>
      </c>
      <c r="B668" t="s">
        <v>1295</v>
      </c>
      <c r="C668" t="s">
        <v>1936</v>
      </c>
      <c r="D668">
        <v>335337</v>
      </c>
    </row>
    <row r="669" spans="1:4" x14ac:dyDescent="0.25">
      <c r="A669">
        <v>336556</v>
      </c>
      <c r="B669" t="s">
        <v>1296</v>
      </c>
      <c r="C669" t="s">
        <v>1936</v>
      </c>
      <c r="D669">
        <v>336556</v>
      </c>
    </row>
    <row r="670" spans="1:4" x14ac:dyDescent="0.25">
      <c r="A670">
        <v>336696</v>
      </c>
      <c r="B670" t="s">
        <v>1297</v>
      </c>
      <c r="C670" t="s">
        <v>1936</v>
      </c>
      <c r="D670">
        <v>336696</v>
      </c>
    </row>
    <row r="671" spans="1:4" x14ac:dyDescent="0.25">
      <c r="A671">
        <v>203130</v>
      </c>
      <c r="B671" t="s">
        <v>1298</v>
      </c>
      <c r="C671" t="s">
        <v>1937</v>
      </c>
      <c r="D671">
        <v>203130</v>
      </c>
    </row>
    <row r="672" spans="1:4" x14ac:dyDescent="0.25">
      <c r="A672">
        <v>182607</v>
      </c>
      <c r="B672" t="s">
        <v>1299</v>
      </c>
      <c r="C672" t="s">
        <v>1938</v>
      </c>
      <c r="D672">
        <v>182607</v>
      </c>
    </row>
    <row r="673" spans="1:4" x14ac:dyDescent="0.25">
      <c r="A673">
        <v>334175</v>
      </c>
      <c r="B673" t="s">
        <v>1300</v>
      </c>
      <c r="C673" t="s">
        <v>1939</v>
      </c>
      <c r="D673">
        <v>334175</v>
      </c>
    </row>
    <row r="674" spans="1:4" x14ac:dyDescent="0.25">
      <c r="A674">
        <v>270723</v>
      </c>
      <c r="B674" t="s">
        <v>1301</v>
      </c>
      <c r="C674" t="s">
        <v>1940</v>
      </c>
      <c r="D674">
        <v>270723</v>
      </c>
    </row>
    <row r="675" spans="1:4" x14ac:dyDescent="0.25">
      <c r="A675">
        <v>353120</v>
      </c>
      <c r="B675" t="s">
        <v>1302</v>
      </c>
      <c r="C675" t="s">
        <v>1940</v>
      </c>
      <c r="D675">
        <v>353120</v>
      </c>
    </row>
    <row r="676" spans="1:4" x14ac:dyDescent="0.25">
      <c r="A676">
        <v>65397</v>
      </c>
      <c r="B676" t="s">
        <v>1303</v>
      </c>
      <c r="C676" t="s">
        <v>1941</v>
      </c>
      <c r="D676">
        <v>65397</v>
      </c>
    </row>
    <row r="677" spans="1:4" x14ac:dyDescent="0.25">
      <c r="A677">
        <v>63561</v>
      </c>
      <c r="B677" t="s">
        <v>1304</v>
      </c>
      <c r="C677" t="s">
        <v>1942</v>
      </c>
      <c r="D677">
        <v>63561</v>
      </c>
    </row>
    <row r="678" spans="1:4" x14ac:dyDescent="0.25">
      <c r="A678">
        <v>64919</v>
      </c>
      <c r="B678" t="s">
        <v>1305</v>
      </c>
      <c r="C678" t="s">
        <v>1943</v>
      </c>
      <c r="D678">
        <v>64919</v>
      </c>
    </row>
    <row r="679" spans="1:4" x14ac:dyDescent="0.25">
      <c r="A679">
        <v>150911</v>
      </c>
      <c r="B679" t="s">
        <v>1306</v>
      </c>
      <c r="C679" t="s">
        <v>1944</v>
      </c>
      <c r="D679">
        <v>150911</v>
      </c>
    </row>
    <row r="680" spans="1:4" x14ac:dyDescent="0.25">
      <c r="A680">
        <v>377309</v>
      </c>
      <c r="B680" t="s">
        <v>1307</v>
      </c>
      <c r="C680" t="s">
        <v>487</v>
      </c>
      <c r="D680">
        <v>377309</v>
      </c>
    </row>
    <row r="681" spans="1:4" x14ac:dyDescent="0.25">
      <c r="A681">
        <v>221623</v>
      </c>
      <c r="B681" t="s">
        <v>1308</v>
      </c>
      <c r="C681" t="s">
        <v>1945</v>
      </c>
      <c r="D681">
        <v>221623</v>
      </c>
    </row>
    <row r="682" spans="1:4" x14ac:dyDescent="0.25">
      <c r="A682">
        <v>151467</v>
      </c>
      <c r="B682" t="s">
        <v>1309</v>
      </c>
      <c r="C682" t="s">
        <v>1946</v>
      </c>
      <c r="D682">
        <v>151467</v>
      </c>
    </row>
    <row r="683" spans="1:4" x14ac:dyDescent="0.25">
      <c r="A683">
        <v>190992</v>
      </c>
      <c r="B683" t="s">
        <v>1310</v>
      </c>
      <c r="C683" t="s">
        <v>1947</v>
      </c>
      <c r="D683">
        <v>190992</v>
      </c>
    </row>
    <row r="684" spans="1:4" x14ac:dyDescent="0.25">
      <c r="A684">
        <v>151548</v>
      </c>
      <c r="B684" t="s">
        <v>1311</v>
      </c>
      <c r="C684" t="s">
        <v>1948</v>
      </c>
      <c r="D684">
        <v>151548</v>
      </c>
    </row>
    <row r="685" spans="1:4" x14ac:dyDescent="0.25">
      <c r="A685">
        <v>69099</v>
      </c>
      <c r="B685" t="s">
        <v>1312</v>
      </c>
      <c r="C685" t="s">
        <v>1949</v>
      </c>
      <c r="D685">
        <v>69099</v>
      </c>
    </row>
    <row r="686" spans="1:4" x14ac:dyDescent="0.25">
      <c r="A686">
        <v>123299</v>
      </c>
      <c r="B686" t="s">
        <v>1314</v>
      </c>
      <c r="C686" t="s">
        <v>1950</v>
      </c>
      <c r="D686">
        <v>123299</v>
      </c>
    </row>
    <row r="687" spans="1:4" x14ac:dyDescent="0.25">
      <c r="A687">
        <v>82950</v>
      </c>
      <c r="B687" t="s">
        <v>1313</v>
      </c>
      <c r="C687" t="s">
        <v>1950</v>
      </c>
      <c r="D687">
        <v>82950</v>
      </c>
    </row>
    <row r="688" spans="1:4" x14ac:dyDescent="0.25">
      <c r="A688">
        <v>151612</v>
      </c>
      <c r="B688" t="s">
        <v>1315</v>
      </c>
      <c r="C688" t="s">
        <v>1951</v>
      </c>
      <c r="D688">
        <v>151612</v>
      </c>
    </row>
    <row r="689" spans="1:4" x14ac:dyDescent="0.25">
      <c r="A689">
        <v>274718</v>
      </c>
      <c r="B689" t="s">
        <v>1316</v>
      </c>
      <c r="C689" t="s">
        <v>1952</v>
      </c>
      <c r="D689">
        <v>274718</v>
      </c>
    </row>
    <row r="690" spans="1:4" x14ac:dyDescent="0.25">
      <c r="A690">
        <v>203139</v>
      </c>
      <c r="B690" t="s">
        <v>1317</v>
      </c>
      <c r="C690" t="s">
        <v>1953</v>
      </c>
      <c r="D690">
        <v>203139</v>
      </c>
    </row>
    <row r="691" spans="1:4" x14ac:dyDescent="0.25">
      <c r="A691">
        <v>248944</v>
      </c>
      <c r="B691" t="s">
        <v>1318</v>
      </c>
      <c r="C691" t="s">
        <v>1954</v>
      </c>
      <c r="D691">
        <v>248944</v>
      </c>
    </row>
    <row r="692" spans="1:4" x14ac:dyDescent="0.25">
      <c r="A692">
        <v>308171</v>
      </c>
      <c r="B692" t="s">
        <v>1319</v>
      </c>
      <c r="C692" t="s">
        <v>1954</v>
      </c>
      <c r="D692">
        <v>308171</v>
      </c>
    </row>
    <row r="693" spans="1:4" x14ac:dyDescent="0.25">
      <c r="A693">
        <v>308172</v>
      </c>
      <c r="B693" t="s">
        <v>1319</v>
      </c>
      <c r="C693" t="s">
        <v>205</v>
      </c>
      <c r="D693">
        <v>308172</v>
      </c>
    </row>
    <row r="694" spans="1:4" x14ac:dyDescent="0.25">
      <c r="A694">
        <v>308175</v>
      </c>
      <c r="B694" t="s">
        <v>1320</v>
      </c>
      <c r="C694" t="s">
        <v>1954</v>
      </c>
      <c r="D694">
        <v>308175</v>
      </c>
    </row>
    <row r="695" spans="1:4" x14ac:dyDescent="0.25">
      <c r="A695">
        <v>308176</v>
      </c>
      <c r="B695" t="s">
        <v>1320</v>
      </c>
      <c r="C695" t="s">
        <v>205</v>
      </c>
      <c r="D695">
        <v>308176</v>
      </c>
    </row>
    <row r="696" spans="1:4" x14ac:dyDescent="0.25">
      <c r="A696">
        <v>330635</v>
      </c>
      <c r="B696" t="s">
        <v>1321</v>
      </c>
      <c r="C696" t="s">
        <v>1954</v>
      </c>
      <c r="D696">
        <v>330635</v>
      </c>
    </row>
    <row r="697" spans="1:4" x14ac:dyDescent="0.25">
      <c r="A697">
        <v>330637</v>
      </c>
      <c r="B697" t="s">
        <v>1321</v>
      </c>
      <c r="C697" t="s">
        <v>205</v>
      </c>
      <c r="D697">
        <v>330637</v>
      </c>
    </row>
    <row r="698" spans="1:4" x14ac:dyDescent="0.25">
      <c r="A698">
        <v>334189</v>
      </c>
      <c r="B698" t="s">
        <v>1322</v>
      </c>
      <c r="C698" t="s">
        <v>1954</v>
      </c>
      <c r="D698">
        <v>334189</v>
      </c>
    </row>
    <row r="699" spans="1:4" x14ac:dyDescent="0.25">
      <c r="A699">
        <v>334190</v>
      </c>
      <c r="B699" t="s">
        <v>1322</v>
      </c>
      <c r="C699" t="s">
        <v>205</v>
      </c>
      <c r="D699">
        <v>334190</v>
      </c>
    </row>
    <row r="700" spans="1:4" x14ac:dyDescent="0.25">
      <c r="A700">
        <v>277918</v>
      </c>
      <c r="B700" t="s">
        <v>1323</v>
      </c>
      <c r="C700" t="s">
        <v>1954</v>
      </c>
      <c r="D700">
        <v>277918</v>
      </c>
    </row>
    <row r="701" spans="1:4" x14ac:dyDescent="0.25">
      <c r="A701">
        <v>277921</v>
      </c>
      <c r="B701" t="s">
        <v>1323</v>
      </c>
      <c r="C701" t="s">
        <v>1955</v>
      </c>
      <c r="D701">
        <v>277921</v>
      </c>
    </row>
    <row r="702" spans="1:4" x14ac:dyDescent="0.25">
      <c r="A702">
        <v>277919</v>
      </c>
      <c r="B702" t="s">
        <v>1324</v>
      </c>
      <c r="C702" t="s">
        <v>1954</v>
      </c>
      <c r="D702">
        <v>277919</v>
      </c>
    </row>
    <row r="703" spans="1:4" x14ac:dyDescent="0.25">
      <c r="A703">
        <v>277922</v>
      </c>
      <c r="B703" t="s">
        <v>1324</v>
      </c>
      <c r="C703" t="s">
        <v>1955</v>
      </c>
      <c r="D703">
        <v>277922</v>
      </c>
    </row>
    <row r="704" spans="1:4" x14ac:dyDescent="0.25">
      <c r="A704">
        <v>277923</v>
      </c>
      <c r="B704" t="s">
        <v>1325</v>
      </c>
      <c r="C704" t="s">
        <v>1954</v>
      </c>
      <c r="D704">
        <v>277923</v>
      </c>
    </row>
    <row r="705" spans="1:4" x14ac:dyDescent="0.25">
      <c r="A705">
        <v>277920</v>
      </c>
      <c r="B705" t="s">
        <v>1325</v>
      </c>
      <c r="C705" t="s">
        <v>1955</v>
      </c>
      <c r="D705">
        <v>277920</v>
      </c>
    </row>
    <row r="706" spans="1:4" x14ac:dyDescent="0.25">
      <c r="A706">
        <v>334447</v>
      </c>
      <c r="B706" t="s">
        <v>1326</v>
      </c>
      <c r="C706" t="s">
        <v>1954</v>
      </c>
      <c r="D706">
        <v>334447</v>
      </c>
    </row>
    <row r="707" spans="1:4" x14ac:dyDescent="0.25">
      <c r="A707">
        <v>334446</v>
      </c>
      <c r="B707" t="s">
        <v>1326</v>
      </c>
      <c r="C707" t="s">
        <v>1955</v>
      </c>
      <c r="D707">
        <v>334446</v>
      </c>
    </row>
    <row r="708" spans="1:4" x14ac:dyDescent="0.25">
      <c r="A708">
        <v>344048</v>
      </c>
      <c r="B708" t="s">
        <v>1327</v>
      </c>
      <c r="C708" t="s">
        <v>1954</v>
      </c>
      <c r="D708">
        <v>344048</v>
      </c>
    </row>
    <row r="709" spans="1:4" x14ac:dyDescent="0.25">
      <c r="A709">
        <v>344045</v>
      </c>
      <c r="B709" t="s">
        <v>1327</v>
      </c>
      <c r="C709" t="s">
        <v>1956</v>
      </c>
      <c r="D709">
        <v>344045</v>
      </c>
    </row>
    <row r="710" spans="1:4" x14ac:dyDescent="0.25">
      <c r="A710">
        <v>320759</v>
      </c>
      <c r="B710" t="s">
        <v>1328</v>
      </c>
      <c r="C710" t="s">
        <v>1954</v>
      </c>
      <c r="D710">
        <v>320759</v>
      </c>
    </row>
    <row r="711" spans="1:4" x14ac:dyDescent="0.25">
      <c r="A711">
        <v>337717</v>
      </c>
      <c r="B711" t="s">
        <v>1328</v>
      </c>
      <c r="C711" t="s">
        <v>207</v>
      </c>
      <c r="D711">
        <v>337717</v>
      </c>
    </row>
    <row r="712" spans="1:4" x14ac:dyDescent="0.25">
      <c r="A712">
        <v>334175</v>
      </c>
      <c r="B712" t="s">
        <v>1329</v>
      </c>
      <c r="C712" t="s">
        <v>1954</v>
      </c>
      <c r="D712">
        <v>334175</v>
      </c>
    </row>
    <row r="713" spans="1:4" x14ac:dyDescent="0.25">
      <c r="A713">
        <v>334465</v>
      </c>
      <c r="B713" t="s">
        <v>1329</v>
      </c>
      <c r="C713" t="s">
        <v>207</v>
      </c>
      <c r="D713">
        <v>334465</v>
      </c>
    </row>
    <row r="714" spans="1:4" x14ac:dyDescent="0.25">
      <c r="A714">
        <v>363865</v>
      </c>
      <c r="B714" t="s">
        <v>1330</v>
      </c>
      <c r="C714" t="s">
        <v>1954</v>
      </c>
      <c r="D714">
        <v>363865</v>
      </c>
    </row>
    <row r="715" spans="1:4" x14ac:dyDescent="0.25">
      <c r="A715">
        <v>363875</v>
      </c>
      <c r="B715" t="s">
        <v>1330</v>
      </c>
      <c r="C715" t="s">
        <v>208</v>
      </c>
      <c r="D715">
        <v>363875</v>
      </c>
    </row>
    <row r="716" spans="1:4" x14ac:dyDescent="0.25">
      <c r="A716">
        <v>191296</v>
      </c>
      <c r="B716" t="s">
        <v>1331</v>
      </c>
      <c r="C716" t="s">
        <v>1957</v>
      </c>
      <c r="D716">
        <v>191296</v>
      </c>
    </row>
    <row r="717" spans="1:4" x14ac:dyDescent="0.25">
      <c r="A717">
        <v>149878</v>
      </c>
      <c r="B717" t="s">
        <v>1332</v>
      </c>
      <c r="C717" t="s">
        <v>1958</v>
      </c>
      <c r="D717">
        <v>149878</v>
      </c>
    </row>
    <row r="718" spans="1:4" x14ac:dyDescent="0.25">
      <c r="A718">
        <v>149880</v>
      </c>
      <c r="B718" t="s">
        <v>1333</v>
      </c>
      <c r="C718" t="s">
        <v>1958</v>
      </c>
      <c r="D718">
        <v>149880</v>
      </c>
    </row>
    <row r="719" spans="1:4" x14ac:dyDescent="0.25">
      <c r="A719">
        <v>309891</v>
      </c>
      <c r="B719" t="s">
        <v>1334</v>
      </c>
      <c r="C719" t="s">
        <v>1959</v>
      </c>
      <c r="D719">
        <v>309891</v>
      </c>
    </row>
    <row r="720" spans="1:4" x14ac:dyDescent="0.25">
      <c r="A720">
        <v>184969</v>
      </c>
      <c r="B720" t="s">
        <v>1335</v>
      </c>
      <c r="C720" t="s">
        <v>1960</v>
      </c>
      <c r="D720">
        <v>184969</v>
      </c>
    </row>
    <row r="721" spans="1:4" x14ac:dyDescent="0.25">
      <c r="A721">
        <v>191237</v>
      </c>
      <c r="B721" t="s">
        <v>1336</v>
      </c>
      <c r="C721" t="s">
        <v>1961</v>
      </c>
      <c r="D721">
        <v>191237</v>
      </c>
    </row>
    <row r="722" spans="1:4" x14ac:dyDescent="0.25">
      <c r="A722">
        <v>274740</v>
      </c>
      <c r="B722" t="s">
        <v>1337</v>
      </c>
      <c r="C722" t="s">
        <v>569</v>
      </c>
      <c r="D722">
        <v>274740</v>
      </c>
    </row>
    <row r="723" spans="1:4" x14ac:dyDescent="0.25">
      <c r="A723">
        <v>328653</v>
      </c>
      <c r="B723" t="s">
        <v>1338</v>
      </c>
      <c r="C723" t="s">
        <v>569</v>
      </c>
      <c r="D723">
        <v>328653</v>
      </c>
    </row>
    <row r="724" spans="1:4" x14ac:dyDescent="0.25">
      <c r="A724">
        <v>361893</v>
      </c>
      <c r="B724" t="s">
        <v>1339</v>
      </c>
      <c r="C724" t="s">
        <v>569</v>
      </c>
      <c r="D724">
        <v>361893</v>
      </c>
    </row>
    <row r="725" spans="1:4" x14ac:dyDescent="0.25">
      <c r="A725">
        <v>182610</v>
      </c>
      <c r="B725" t="s">
        <v>1340</v>
      </c>
      <c r="C725" t="s">
        <v>1962</v>
      </c>
      <c r="D725">
        <v>182610</v>
      </c>
    </row>
    <row r="726" spans="1:4" x14ac:dyDescent="0.25">
      <c r="A726">
        <v>252251</v>
      </c>
      <c r="B726" t="s">
        <v>1341</v>
      </c>
      <c r="C726" t="s">
        <v>1963</v>
      </c>
      <c r="D726">
        <v>252251</v>
      </c>
    </row>
    <row r="727" spans="1:4" x14ac:dyDescent="0.25">
      <c r="A727">
        <v>211626</v>
      </c>
      <c r="B727" t="s">
        <v>1342</v>
      </c>
      <c r="C727" t="s">
        <v>1964</v>
      </c>
      <c r="D727">
        <v>211626</v>
      </c>
    </row>
    <row r="728" spans="1:4" x14ac:dyDescent="0.25">
      <c r="A728">
        <v>151387</v>
      </c>
      <c r="B728" t="s">
        <v>1343</v>
      </c>
      <c r="C728" t="s">
        <v>1965</v>
      </c>
      <c r="D728">
        <v>151387</v>
      </c>
    </row>
    <row r="729" spans="1:4" x14ac:dyDescent="0.25">
      <c r="A729">
        <v>191239</v>
      </c>
      <c r="B729" t="s">
        <v>1344</v>
      </c>
      <c r="C729" t="s">
        <v>1966</v>
      </c>
      <c r="D729">
        <v>191239</v>
      </c>
    </row>
    <row r="730" spans="1:4" x14ac:dyDescent="0.25">
      <c r="A730">
        <v>64348</v>
      </c>
      <c r="B730" t="s">
        <v>1345</v>
      </c>
      <c r="C730" t="s">
        <v>1967</v>
      </c>
      <c r="D730">
        <v>64348</v>
      </c>
    </row>
    <row r="731" spans="1:4" x14ac:dyDescent="0.25">
      <c r="A731">
        <v>151495</v>
      </c>
      <c r="B731" t="s">
        <v>1346</v>
      </c>
      <c r="C731" t="s">
        <v>1968</v>
      </c>
      <c r="D731">
        <v>151495</v>
      </c>
    </row>
    <row r="732" spans="1:4" x14ac:dyDescent="0.25">
      <c r="A732">
        <v>223242</v>
      </c>
      <c r="B732" t="s">
        <v>1347</v>
      </c>
      <c r="C732" t="s">
        <v>1969</v>
      </c>
      <c r="D732">
        <v>223242</v>
      </c>
    </row>
    <row r="733" spans="1:4" x14ac:dyDescent="0.25">
      <c r="A733">
        <v>233669</v>
      </c>
      <c r="B733" t="s">
        <v>1348</v>
      </c>
      <c r="C733" t="s">
        <v>1969</v>
      </c>
      <c r="D733">
        <v>233669</v>
      </c>
    </row>
    <row r="734" spans="1:4" x14ac:dyDescent="0.25">
      <c r="A734">
        <v>255776</v>
      </c>
      <c r="B734" t="s">
        <v>1349</v>
      </c>
      <c r="C734" t="s">
        <v>1970</v>
      </c>
      <c r="D734">
        <v>255776</v>
      </c>
    </row>
    <row r="735" spans="1:4" x14ac:dyDescent="0.25">
      <c r="A735">
        <v>176801</v>
      </c>
      <c r="B735" t="s">
        <v>1350</v>
      </c>
      <c r="C735" t="s">
        <v>1971</v>
      </c>
      <c r="D735">
        <v>176801</v>
      </c>
    </row>
    <row r="736" spans="1:4" x14ac:dyDescent="0.25">
      <c r="A736">
        <v>174077</v>
      </c>
      <c r="B736" t="s">
        <v>1351</v>
      </c>
      <c r="C736" t="s">
        <v>573</v>
      </c>
      <c r="D736">
        <v>174077</v>
      </c>
    </row>
    <row r="737" spans="1:4" x14ac:dyDescent="0.25">
      <c r="A737">
        <v>191661</v>
      </c>
      <c r="B737" t="s">
        <v>1352</v>
      </c>
      <c r="C737" t="s">
        <v>1972</v>
      </c>
      <c r="D737">
        <v>191661</v>
      </c>
    </row>
    <row r="738" spans="1:4" x14ac:dyDescent="0.25">
      <c r="A738">
        <v>203621</v>
      </c>
      <c r="B738" t="s">
        <v>1353</v>
      </c>
      <c r="C738" t="s">
        <v>1973</v>
      </c>
      <c r="D738">
        <v>203621</v>
      </c>
    </row>
    <row r="739" spans="1:4" x14ac:dyDescent="0.25">
      <c r="A739">
        <v>136292</v>
      </c>
      <c r="B739" t="s">
        <v>1354</v>
      </c>
      <c r="C739" t="s">
        <v>1974</v>
      </c>
      <c r="D739">
        <v>136292</v>
      </c>
    </row>
    <row r="740" spans="1:4" x14ac:dyDescent="0.25">
      <c r="A740">
        <v>271762</v>
      </c>
      <c r="B740" t="s">
        <v>1355</v>
      </c>
      <c r="C740" t="s">
        <v>1975</v>
      </c>
      <c r="D740">
        <v>271762</v>
      </c>
    </row>
    <row r="741" spans="1:4" x14ac:dyDescent="0.25">
      <c r="A741">
        <v>100244</v>
      </c>
      <c r="B741" t="s">
        <v>1356</v>
      </c>
      <c r="C741" t="s">
        <v>1976</v>
      </c>
      <c r="D741">
        <v>100244</v>
      </c>
    </row>
    <row r="742" spans="1:4" x14ac:dyDescent="0.25">
      <c r="A742">
        <v>252258</v>
      </c>
      <c r="B742" t="s">
        <v>1357</v>
      </c>
      <c r="C742" t="s">
        <v>1977</v>
      </c>
      <c r="D742">
        <v>252258</v>
      </c>
    </row>
    <row r="743" spans="1:4" x14ac:dyDescent="0.25">
      <c r="A743">
        <v>244137</v>
      </c>
      <c r="B743" t="s">
        <v>1358</v>
      </c>
      <c r="C743" t="s">
        <v>1978</v>
      </c>
      <c r="D743">
        <v>244137</v>
      </c>
    </row>
    <row r="744" spans="1:4" x14ac:dyDescent="0.25">
      <c r="A744">
        <v>274900</v>
      </c>
      <c r="B744" t="s">
        <v>1359</v>
      </c>
      <c r="C744" t="s">
        <v>1978</v>
      </c>
      <c r="D744">
        <v>274900</v>
      </c>
    </row>
    <row r="745" spans="1:4" x14ac:dyDescent="0.25">
      <c r="A745">
        <v>250143</v>
      </c>
      <c r="B745" t="s">
        <v>1360</v>
      </c>
      <c r="C745" t="s">
        <v>1979</v>
      </c>
      <c r="D745">
        <v>250143</v>
      </c>
    </row>
    <row r="746" spans="1:4" x14ac:dyDescent="0.25">
      <c r="A746">
        <v>250144</v>
      </c>
      <c r="B746" t="s">
        <v>1361</v>
      </c>
      <c r="C746" t="s">
        <v>1979</v>
      </c>
      <c r="D746">
        <v>250144</v>
      </c>
    </row>
    <row r="747" spans="1:4" x14ac:dyDescent="0.25">
      <c r="A747">
        <v>186563</v>
      </c>
      <c r="B747" t="s">
        <v>1362</v>
      </c>
      <c r="C747" t="s">
        <v>1980</v>
      </c>
      <c r="D747">
        <v>186563</v>
      </c>
    </row>
    <row r="748" spans="1:4" x14ac:dyDescent="0.25">
      <c r="A748">
        <v>299525</v>
      </c>
      <c r="B748" t="s">
        <v>1363</v>
      </c>
      <c r="C748" t="s">
        <v>568</v>
      </c>
      <c r="D748">
        <v>299525</v>
      </c>
    </row>
    <row r="749" spans="1:4" x14ac:dyDescent="0.25">
      <c r="A749">
        <v>334521</v>
      </c>
      <c r="B749" t="s">
        <v>1364</v>
      </c>
      <c r="C749" t="s">
        <v>568</v>
      </c>
      <c r="D749">
        <v>334521</v>
      </c>
    </row>
    <row r="750" spans="1:4" x14ac:dyDescent="0.25">
      <c r="A750">
        <v>334522</v>
      </c>
      <c r="B750" t="s">
        <v>1365</v>
      </c>
      <c r="C750" t="s">
        <v>568</v>
      </c>
      <c r="D750">
        <v>334522</v>
      </c>
    </row>
    <row r="751" spans="1:4" x14ac:dyDescent="0.25">
      <c r="A751">
        <v>157458</v>
      </c>
      <c r="B751" t="s">
        <v>1366</v>
      </c>
      <c r="C751" t="s">
        <v>1981</v>
      </c>
      <c r="D751">
        <v>157458</v>
      </c>
    </row>
    <row r="752" spans="1:4" x14ac:dyDescent="0.25">
      <c r="A752">
        <v>300472</v>
      </c>
      <c r="B752" t="s">
        <v>1367</v>
      </c>
      <c r="C752" t="s">
        <v>1982</v>
      </c>
      <c r="D752">
        <v>300472</v>
      </c>
    </row>
    <row r="753" spans="1:4" x14ac:dyDescent="0.25">
      <c r="A753">
        <v>363831</v>
      </c>
      <c r="B753" t="s">
        <v>1368</v>
      </c>
      <c r="C753" t="s">
        <v>1983</v>
      </c>
      <c r="D753">
        <v>363831</v>
      </c>
    </row>
    <row r="754" spans="1:4" x14ac:dyDescent="0.25">
      <c r="A754">
        <v>363881</v>
      </c>
      <c r="B754" t="s">
        <v>1369</v>
      </c>
      <c r="C754" t="s">
        <v>1983</v>
      </c>
      <c r="D754">
        <v>363881</v>
      </c>
    </row>
    <row r="755" spans="1:4" x14ac:dyDescent="0.25">
      <c r="A755">
        <v>151462</v>
      </c>
      <c r="B755" t="s">
        <v>1370</v>
      </c>
      <c r="C755" t="s">
        <v>1984</v>
      </c>
      <c r="D755">
        <v>151462</v>
      </c>
    </row>
    <row r="756" spans="1:4" x14ac:dyDescent="0.25">
      <c r="A756">
        <v>252391</v>
      </c>
      <c r="B756" t="s">
        <v>1371</v>
      </c>
      <c r="C756" t="s">
        <v>1985</v>
      </c>
      <c r="D756">
        <v>252391</v>
      </c>
    </row>
    <row r="757" spans="1:4" x14ac:dyDescent="0.25">
      <c r="A757">
        <v>111890</v>
      </c>
      <c r="B757" t="s">
        <v>1372</v>
      </c>
      <c r="C757" t="s">
        <v>1986</v>
      </c>
      <c r="D757">
        <v>111890</v>
      </c>
    </row>
    <row r="758" spans="1:4" x14ac:dyDescent="0.25">
      <c r="A758">
        <v>113086</v>
      </c>
      <c r="B758" t="s">
        <v>1373</v>
      </c>
      <c r="C758" t="s">
        <v>1987</v>
      </c>
      <c r="D758">
        <v>113086</v>
      </c>
    </row>
    <row r="759" spans="1:4" x14ac:dyDescent="0.25">
      <c r="A759">
        <v>217687</v>
      </c>
      <c r="B759" t="s">
        <v>1374</v>
      </c>
      <c r="C759" t="s">
        <v>572</v>
      </c>
      <c r="D759">
        <v>217687</v>
      </c>
    </row>
    <row r="760" spans="1:4" x14ac:dyDescent="0.25">
      <c r="A760">
        <v>120867</v>
      </c>
      <c r="B760" t="s">
        <v>1375</v>
      </c>
      <c r="C760" t="s">
        <v>1988</v>
      </c>
      <c r="D760">
        <v>120867</v>
      </c>
    </row>
    <row r="761" spans="1:4" x14ac:dyDescent="0.25">
      <c r="A761">
        <v>178949</v>
      </c>
      <c r="B761" t="s">
        <v>1376</v>
      </c>
      <c r="C761" t="s">
        <v>1988</v>
      </c>
      <c r="D761">
        <v>178949</v>
      </c>
    </row>
    <row r="762" spans="1:4" x14ac:dyDescent="0.25">
      <c r="A762">
        <v>233159</v>
      </c>
      <c r="B762" t="s">
        <v>1377</v>
      </c>
      <c r="C762" t="s">
        <v>1989</v>
      </c>
      <c r="D762">
        <v>233159</v>
      </c>
    </row>
    <row r="763" spans="1:4" x14ac:dyDescent="0.25">
      <c r="A763">
        <v>233160</v>
      </c>
      <c r="B763" t="s">
        <v>1378</v>
      </c>
      <c r="C763" t="s">
        <v>1989</v>
      </c>
      <c r="D763">
        <v>233160</v>
      </c>
    </row>
    <row r="764" spans="1:4" x14ac:dyDescent="0.25">
      <c r="A764">
        <v>128641</v>
      </c>
      <c r="B764" t="s">
        <v>1379</v>
      </c>
      <c r="C764" t="s">
        <v>1990</v>
      </c>
      <c r="D764">
        <v>128641</v>
      </c>
    </row>
    <row r="765" spans="1:4" x14ac:dyDescent="0.25">
      <c r="A765">
        <v>151464</v>
      </c>
      <c r="B765" t="s">
        <v>1380</v>
      </c>
      <c r="C765" t="s">
        <v>1991</v>
      </c>
      <c r="D765">
        <v>151464</v>
      </c>
    </row>
    <row r="766" spans="1:4" x14ac:dyDescent="0.25">
      <c r="A766">
        <v>151622</v>
      </c>
      <c r="B766" t="s">
        <v>1381</v>
      </c>
      <c r="C766" t="s">
        <v>1992</v>
      </c>
      <c r="D766">
        <v>151622</v>
      </c>
    </row>
    <row r="767" spans="1:4" x14ac:dyDescent="0.25">
      <c r="A767">
        <v>223506</v>
      </c>
      <c r="B767" t="s">
        <v>1382</v>
      </c>
      <c r="C767" t="s">
        <v>1993</v>
      </c>
      <c r="D767">
        <v>223506</v>
      </c>
    </row>
    <row r="768" spans="1:4" x14ac:dyDescent="0.25">
      <c r="A768">
        <v>203596</v>
      </c>
      <c r="B768" t="s">
        <v>1383</v>
      </c>
      <c r="C768" t="s">
        <v>1994</v>
      </c>
      <c r="D768">
        <v>203596</v>
      </c>
    </row>
    <row r="769" spans="1:4" x14ac:dyDescent="0.25">
      <c r="A769">
        <v>203595</v>
      </c>
      <c r="B769" t="s">
        <v>1384</v>
      </c>
      <c r="C769" t="s">
        <v>1995</v>
      </c>
      <c r="D769">
        <v>203595</v>
      </c>
    </row>
    <row r="770" spans="1:4" x14ac:dyDescent="0.25">
      <c r="A770">
        <v>220392</v>
      </c>
      <c r="B770" t="s">
        <v>1385</v>
      </c>
      <c r="C770" t="s">
        <v>1996</v>
      </c>
      <c r="D770">
        <v>220392</v>
      </c>
    </row>
    <row r="771" spans="1:4" x14ac:dyDescent="0.25">
      <c r="A771">
        <v>161145</v>
      </c>
      <c r="B771" t="s">
        <v>1386</v>
      </c>
      <c r="C771" t="s">
        <v>1997</v>
      </c>
      <c r="D771">
        <v>161145</v>
      </c>
    </row>
    <row r="772" spans="1:4" x14ac:dyDescent="0.25">
      <c r="A772">
        <v>266082</v>
      </c>
      <c r="B772" t="s">
        <v>1387</v>
      </c>
      <c r="C772" t="s">
        <v>1998</v>
      </c>
      <c r="D772">
        <v>266082</v>
      </c>
    </row>
    <row r="773" spans="1:4" x14ac:dyDescent="0.25">
      <c r="A773">
        <v>161155</v>
      </c>
      <c r="B773" t="s">
        <v>1388</v>
      </c>
      <c r="C773" t="s">
        <v>1999</v>
      </c>
      <c r="D773">
        <v>161155</v>
      </c>
    </row>
    <row r="774" spans="1:4" x14ac:dyDescent="0.25">
      <c r="A774">
        <v>266071</v>
      </c>
      <c r="B774" t="s">
        <v>1389</v>
      </c>
      <c r="C774" t="s">
        <v>2000</v>
      </c>
      <c r="D774">
        <v>266071</v>
      </c>
    </row>
    <row r="775" spans="1:4" x14ac:dyDescent="0.25">
      <c r="A775">
        <v>271435</v>
      </c>
      <c r="B775" t="s">
        <v>1390</v>
      </c>
      <c r="C775" t="s">
        <v>2001</v>
      </c>
      <c r="D775">
        <v>271435</v>
      </c>
    </row>
    <row r="776" spans="1:4" x14ac:dyDescent="0.25">
      <c r="A776">
        <v>266077</v>
      </c>
      <c r="B776" t="s">
        <v>1391</v>
      </c>
      <c r="C776" t="s">
        <v>2002</v>
      </c>
      <c r="D776">
        <v>266077</v>
      </c>
    </row>
    <row r="777" spans="1:4" x14ac:dyDescent="0.25">
      <c r="A777">
        <v>271433</v>
      </c>
      <c r="B777" t="s">
        <v>1392</v>
      </c>
      <c r="C777" t="s">
        <v>2003</v>
      </c>
      <c r="D777">
        <v>271433</v>
      </c>
    </row>
    <row r="778" spans="1:4" x14ac:dyDescent="0.25">
      <c r="A778">
        <v>161148</v>
      </c>
      <c r="B778" t="s">
        <v>1393</v>
      </c>
      <c r="C778" t="s">
        <v>2004</v>
      </c>
      <c r="D778">
        <v>161148</v>
      </c>
    </row>
    <row r="779" spans="1:4" x14ac:dyDescent="0.25">
      <c r="A779">
        <v>161149</v>
      </c>
      <c r="B779" t="s">
        <v>1394</v>
      </c>
      <c r="C779" t="s">
        <v>2004</v>
      </c>
      <c r="D779">
        <v>161149</v>
      </c>
    </row>
    <row r="780" spans="1:4" x14ac:dyDescent="0.25">
      <c r="A780">
        <v>181338</v>
      </c>
      <c r="B780" t="s">
        <v>1395</v>
      </c>
      <c r="C780" t="s">
        <v>2005</v>
      </c>
      <c r="D780">
        <v>181338</v>
      </c>
    </row>
    <row r="781" spans="1:4" x14ac:dyDescent="0.25">
      <c r="A781">
        <v>388235</v>
      </c>
      <c r="B781" t="s">
        <v>1396</v>
      </c>
      <c r="C781" t="s">
        <v>2005</v>
      </c>
      <c r="D781">
        <v>388235</v>
      </c>
    </row>
    <row r="782" spans="1:4" x14ac:dyDescent="0.25">
      <c r="A782">
        <v>161157</v>
      </c>
      <c r="B782" t="s">
        <v>1397</v>
      </c>
      <c r="C782" t="s">
        <v>2006</v>
      </c>
      <c r="D782">
        <v>161157</v>
      </c>
    </row>
    <row r="783" spans="1:4" x14ac:dyDescent="0.25">
      <c r="A783">
        <v>271415</v>
      </c>
      <c r="B783" t="s">
        <v>1398</v>
      </c>
      <c r="C783" t="s">
        <v>2007</v>
      </c>
      <c r="D783">
        <v>271415</v>
      </c>
    </row>
    <row r="784" spans="1:4" x14ac:dyDescent="0.25">
      <c r="A784">
        <v>266073</v>
      </c>
      <c r="B784" t="s">
        <v>1399</v>
      </c>
      <c r="C784" t="s">
        <v>2008</v>
      </c>
      <c r="D784">
        <v>266073</v>
      </c>
    </row>
    <row r="785" spans="1:4" x14ac:dyDescent="0.25">
      <c r="A785">
        <v>101885</v>
      </c>
      <c r="B785" t="s">
        <v>1400</v>
      </c>
      <c r="C785" t="s">
        <v>2009</v>
      </c>
      <c r="D785">
        <v>101885</v>
      </c>
    </row>
    <row r="786" spans="1:4" x14ac:dyDescent="0.25">
      <c r="A786">
        <v>217691</v>
      </c>
      <c r="B786" t="s">
        <v>1401</v>
      </c>
      <c r="C786" t="s">
        <v>2010</v>
      </c>
      <c r="D786">
        <v>217691</v>
      </c>
    </row>
    <row r="787" spans="1:4" x14ac:dyDescent="0.25">
      <c r="A787">
        <v>217692</v>
      </c>
      <c r="B787" t="s">
        <v>1402</v>
      </c>
      <c r="C787" t="s">
        <v>2010</v>
      </c>
      <c r="D787">
        <v>217692</v>
      </c>
    </row>
    <row r="788" spans="1:4" x14ac:dyDescent="0.25">
      <c r="A788">
        <v>217693</v>
      </c>
      <c r="B788" t="s">
        <v>1403</v>
      </c>
      <c r="C788" t="s">
        <v>2010</v>
      </c>
      <c r="D788">
        <v>217693</v>
      </c>
    </row>
    <row r="789" spans="1:4" x14ac:dyDescent="0.25">
      <c r="A789">
        <v>217694</v>
      </c>
      <c r="B789" t="s">
        <v>1404</v>
      </c>
      <c r="C789" t="s">
        <v>2010</v>
      </c>
      <c r="D789">
        <v>217694</v>
      </c>
    </row>
    <row r="790" spans="1:4" x14ac:dyDescent="0.25">
      <c r="A790">
        <v>217695</v>
      </c>
      <c r="B790" t="s">
        <v>1405</v>
      </c>
      <c r="C790" t="s">
        <v>2010</v>
      </c>
      <c r="D790">
        <v>217695</v>
      </c>
    </row>
    <row r="791" spans="1:4" x14ac:dyDescent="0.25">
      <c r="A791">
        <v>217696</v>
      </c>
      <c r="B791" t="s">
        <v>1406</v>
      </c>
      <c r="C791" t="s">
        <v>2010</v>
      </c>
      <c r="D791">
        <v>217696</v>
      </c>
    </row>
    <row r="792" spans="1:4" x14ac:dyDescent="0.25">
      <c r="A792">
        <v>161175</v>
      </c>
      <c r="B792" t="s">
        <v>1407</v>
      </c>
      <c r="C792" t="s">
        <v>2011</v>
      </c>
      <c r="D792">
        <v>161175</v>
      </c>
    </row>
    <row r="793" spans="1:4" x14ac:dyDescent="0.25">
      <c r="A793">
        <v>161177</v>
      </c>
      <c r="B793" t="s">
        <v>1408</v>
      </c>
      <c r="C793" t="s">
        <v>2011</v>
      </c>
      <c r="D793">
        <v>161177</v>
      </c>
    </row>
    <row r="794" spans="1:4" x14ac:dyDescent="0.25">
      <c r="A794">
        <v>233568</v>
      </c>
      <c r="B794" t="s">
        <v>1409</v>
      </c>
      <c r="C794" t="s">
        <v>2011</v>
      </c>
      <c r="D794">
        <v>233568</v>
      </c>
    </row>
    <row r="795" spans="1:4" x14ac:dyDescent="0.25">
      <c r="A795">
        <v>233586</v>
      </c>
      <c r="B795" t="s">
        <v>1410</v>
      </c>
      <c r="C795" t="s">
        <v>2011</v>
      </c>
      <c r="D795">
        <v>233586</v>
      </c>
    </row>
    <row r="796" spans="1:4" x14ac:dyDescent="0.25">
      <c r="A796">
        <v>210467</v>
      </c>
      <c r="B796" t="s">
        <v>1411</v>
      </c>
      <c r="C796" t="s">
        <v>2012</v>
      </c>
      <c r="D796">
        <v>210467</v>
      </c>
    </row>
    <row r="797" spans="1:4" x14ac:dyDescent="0.25">
      <c r="A797">
        <v>147933</v>
      </c>
      <c r="B797" t="s">
        <v>1412</v>
      </c>
      <c r="C797" t="s">
        <v>2013</v>
      </c>
      <c r="D797">
        <v>147933</v>
      </c>
    </row>
    <row r="798" spans="1:4" x14ac:dyDescent="0.25">
      <c r="A798">
        <v>152276</v>
      </c>
      <c r="B798" t="s">
        <v>1413</v>
      </c>
      <c r="C798" t="s">
        <v>2014</v>
      </c>
      <c r="D798">
        <v>152276</v>
      </c>
    </row>
    <row r="799" spans="1:4" x14ac:dyDescent="0.25">
      <c r="A799">
        <v>344146</v>
      </c>
      <c r="B799" t="s">
        <v>1414</v>
      </c>
      <c r="C799" t="s">
        <v>2014</v>
      </c>
      <c r="D799">
        <v>344146</v>
      </c>
    </row>
    <row r="800" spans="1:4" x14ac:dyDescent="0.25">
      <c r="A800">
        <v>151004</v>
      </c>
      <c r="B800" t="s">
        <v>1415</v>
      </c>
      <c r="C800" t="s">
        <v>2015</v>
      </c>
      <c r="D800">
        <v>151004</v>
      </c>
    </row>
    <row r="801" spans="1:4" x14ac:dyDescent="0.25">
      <c r="B801" t="s">
        <v>1416</v>
      </c>
      <c r="C801" t="s">
        <v>1480</v>
      </c>
    </row>
    <row r="802" spans="1:4" x14ac:dyDescent="0.25">
      <c r="A802">
        <v>378342</v>
      </c>
      <c r="B802" t="s">
        <v>1417</v>
      </c>
      <c r="C802" t="s">
        <v>2016</v>
      </c>
      <c r="D802">
        <v>378342</v>
      </c>
    </row>
    <row r="803" spans="1:4" x14ac:dyDescent="0.25">
      <c r="A803">
        <v>378344</v>
      </c>
      <c r="B803" t="s">
        <v>1417</v>
      </c>
      <c r="C803" t="s">
        <v>2016</v>
      </c>
      <c r="D803">
        <v>378344</v>
      </c>
    </row>
    <row r="804" spans="1:4" x14ac:dyDescent="0.25">
      <c r="A804">
        <v>378343</v>
      </c>
      <c r="B804" t="s">
        <v>1417</v>
      </c>
      <c r="C804" t="s">
        <v>2016</v>
      </c>
      <c r="D804">
        <v>378343</v>
      </c>
    </row>
    <row r="805" spans="1:4" x14ac:dyDescent="0.25">
      <c r="A805">
        <v>378345</v>
      </c>
      <c r="B805" t="s">
        <v>1417</v>
      </c>
      <c r="C805" t="s">
        <v>2016</v>
      </c>
      <c r="D805">
        <v>378345</v>
      </c>
    </row>
    <row r="806" spans="1:4" x14ac:dyDescent="0.25">
      <c r="A806">
        <v>378346</v>
      </c>
      <c r="B806" t="s">
        <v>1417</v>
      </c>
      <c r="C806" t="s">
        <v>2016</v>
      </c>
      <c r="D806">
        <v>378346</v>
      </c>
    </row>
    <row r="807" spans="1:4" x14ac:dyDescent="0.25">
      <c r="A807">
        <v>271264</v>
      </c>
      <c r="B807" t="s">
        <v>1418</v>
      </c>
      <c r="C807" t="s">
        <v>591</v>
      </c>
      <c r="D807">
        <v>271264</v>
      </c>
    </row>
    <row r="808" spans="1:4" x14ac:dyDescent="0.25">
      <c r="A808">
        <v>281020</v>
      </c>
      <c r="B808" t="s">
        <v>1419</v>
      </c>
      <c r="C808" t="s">
        <v>591</v>
      </c>
      <c r="D808">
        <v>281020</v>
      </c>
    </row>
    <row r="809" spans="1:4" x14ac:dyDescent="0.25">
      <c r="A809">
        <v>274727</v>
      </c>
      <c r="B809" t="s">
        <v>1420</v>
      </c>
      <c r="C809" t="s">
        <v>105</v>
      </c>
      <c r="D809">
        <v>274727</v>
      </c>
    </row>
    <row r="810" spans="1:4" x14ac:dyDescent="0.25">
      <c r="A810">
        <v>274732</v>
      </c>
      <c r="B810" t="s">
        <v>1420</v>
      </c>
      <c r="C810" t="s">
        <v>105</v>
      </c>
      <c r="D810">
        <v>274732</v>
      </c>
    </row>
    <row r="811" spans="1:4" x14ac:dyDescent="0.25">
      <c r="A811">
        <v>274729</v>
      </c>
      <c r="B811" t="s">
        <v>1420</v>
      </c>
      <c r="C811" t="s">
        <v>105</v>
      </c>
      <c r="D811">
        <v>274729</v>
      </c>
    </row>
    <row r="812" spans="1:4" x14ac:dyDescent="0.25">
      <c r="A812">
        <v>334182</v>
      </c>
      <c r="B812" t="s">
        <v>1421</v>
      </c>
      <c r="C812" t="s">
        <v>105</v>
      </c>
      <c r="D812">
        <v>334182</v>
      </c>
    </row>
    <row r="813" spans="1:4" x14ac:dyDescent="0.25">
      <c r="A813">
        <v>334183</v>
      </c>
      <c r="B813" t="s">
        <v>1421</v>
      </c>
      <c r="C813" t="s">
        <v>105</v>
      </c>
      <c r="D813">
        <v>334183</v>
      </c>
    </row>
    <row r="814" spans="1:4" x14ac:dyDescent="0.25">
      <c r="A814">
        <v>334184</v>
      </c>
      <c r="B814" t="s">
        <v>1421</v>
      </c>
      <c r="C814" t="s">
        <v>105</v>
      </c>
      <c r="D814">
        <v>334184</v>
      </c>
    </row>
    <row r="815" spans="1:4" x14ac:dyDescent="0.25">
      <c r="A815">
        <v>176810</v>
      </c>
      <c r="B815" t="s">
        <v>1422</v>
      </c>
      <c r="C815" t="s">
        <v>2017</v>
      </c>
      <c r="D815">
        <v>176810</v>
      </c>
    </row>
    <row r="816" spans="1:4" x14ac:dyDescent="0.25">
      <c r="A816">
        <v>334345</v>
      </c>
      <c r="B816" t="s">
        <v>1423</v>
      </c>
      <c r="C816" t="s">
        <v>2018</v>
      </c>
      <c r="D816">
        <v>334345</v>
      </c>
    </row>
    <row r="817" spans="1:4" x14ac:dyDescent="0.25">
      <c r="A817">
        <v>334346</v>
      </c>
      <c r="B817" t="s">
        <v>1423</v>
      </c>
      <c r="C817" t="s">
        <v>2018</v>
      </c>
      <c r="D817">
        <v>334346</v>
      </c>
    </row>
    <row r="818" spans="1:4" x14ac:dyDescent="0.25">
      <c r="A818">
        <v>334205</v>
      </c>
      <c r="B818" t="s">
        <v>1424</v>
      </c>
      <c r="C818" t="s">
        <v>92</v>
      </c>
      <c r="D818">
        <v>334205</v>
      </c>
    </row>
    <row r="819" spans="1:4" x14ac:dyDescent="0.25">
      <c r="A819">
        <v>334206</v>
      </c>
      <c r="B819" t="s">
        <v>1424</v>
      </c>
      <c r="C819" t="s">
        <v>92</v>
      </c>
      <c r="D819">
        <v>334206</v>
      </c>
    </row>
    <row r="820" spans="1:4" x14ac:dyDescent="0.25">
      <c r="A820">
        <v>335215</v>
      </c>
      <c r="B820" t="s">
        <v>1425</v>
      </c>
      <c r="C820" t="s">
        <v>92</v>
      </c>
      <c r="D820">
        <v>335215</v>
      </c>
    </row>
    <row r="821" spans="1:4" x14ac:dyDescent="0.25">
      <c r="A821">
        <v>335214</v>
      </c>
      <c r="B821" t="s">
        <v>1425</v>
      </c>
      <c r="C821" t="s">
        <v>92</v>
      </c>
      <c r="D821">
        <v>335214</v>
      </c>
    </row>
    <row r="822" spans="1:4" x14ac:dyDescent="0.25">
      <c r="A822">
        <v>335213</v>
      </c>
      <c r="B822" t="s">
        <v>1425</v>
      </c>
      <c r="C822" t="s">
        <v>92</v>
      </c>
      <c r="D822">
        <v>335213</v>
      </c>
    </row>
    <row r="823" spans="1:4" x14ac:dyDescent="0.25">
      <c r="A823">
        <v>151503</v>
      </c>
      <c r="B823" t="s">
        <v>1426</v>
      </c>
      <c r="C823" t="s">
        <v>2019</v>
      </c>
      <c r="D823">
        <v>151503</v>
      </c>
    </row>
    <row r="824" spans="1:4" x14ac:dyDescent="0.25">
      <c r="A824">
        <v>151382</v>
      </c>
      <c r="B824" t="s">
        <v>1427</v>
      </c>
      <c r="C824" t="s">
        <v>2020</v>
      </c>
      <c r="D824">
        <v>151382</v>
      </c>
    </row>
    <row r="825" spans="1:4" x14ac:dyDescent="0.25">
      <c r="A825">
        <v>213130</v>
      </c>
      <c r="B825" t="s">
        <v>1428</v>
      </c>
      <c r="C825" t="s">
        <v>2021</v>
      </c>
      <c r="D825">
        <v>213130</v>
      </c>
    </row>
    <row r="826" spans="1:4" x14ac:dyDescent="0.25">
      <c r="A826">
        <v>224382</v>
      </c>
      <c r="B826" t="s">
        <v>1429</v>
      </c>
      <c r="C826" t="s">
        <v>2021</v>
      </c>
      <c r="D826">
        <v>224382</v>
      </c>
    </row>
    <row r="827" spans="1:4" x14ac:dyDescent="0.25">
      <c r="A827">
        <v>224381</v>
      </c>
      <c r="B827" t="s">
        <v>1429</v>
      </c>
      <c r="C827" t="s">
        <v>2021</v>
      </c>
      <c r="D827">
        <v>224381</v>
      </c>
    </row>
    <row r="828" spans="1:4" x14ac:dyDescent="0.25">
      <c r="A828">
        <v>178912</v>
      </c>
      <c r="B828" t="s">
        <v>1430</v>
      </c>
      <c r="C828" t="s">
        <v>2022</v>
      </c>
      <c r="D828">
        <v>178912</v>
      </c>
    </row>
    <row r="829" spans="1:4" x14ac:dyDescent="0.25">
      <c r="A829">
        <v>178910</v>
      </c>
      <c r="B829" t="s">
        <v>1430</v>
      </c>
      <c r="C829" t="s">
        <v>2022</v>
      </c>
      <c r="D829">
        <v>178910</v>
      </c>
    </row>
    <row r="830" spans="1:4" x14ac:dyDescent="0.25">
      <c r="A830">
        <v>139906</v>
      </c>
      <c r="B830" t="s">
        <v>1431</v>
      </c>
      <c r="C830" t="s">
        <v>2023</v>
      </c>
      <c r="D830">
        <v>139906</v>
      </c>
    </row>
    <row r="831" spans="1:4" x14ac:dyDescent="0.25">
      <c r="A831">
        <v>398553</v>
      </c>
      <c r="B831" t="s">
        <v>1432</v>
      </c>
      <c r="C831" t="s">
        <v>2024</v>
      </c>
      <c r="D831">
        <v>398553</v>
      </c>
    </row>
    <row r="832" spans="1:4" x14ac:dyDescent="0.25">
      <c r="A832">
        <v>327346</v>
      </c>
      <c r="B832" t="s">
        <v>1433</v>
      </c>
      <c r="C832" t="s">
        <v>74</v>
      </c>
      <c r="D832">
        <v>327346</v>
      </c>
    </row>
    <row r="833" spans="1:4" x14ac:dyDescent="0.25">
      <c r="A833">
        <v>327347</v>
      </c>
      <c r="B833" t="s">
        <v>1433</v>
      </c>
      <c r="C833" t="s">
        <v>74</v>
      </c>
      <c r="D833">
        <v>327347</v>
      </c>
    </row>
    <row r="834" spans="1:4" x14ac:dyDescent="0.25">
      <c r="A834">
        <v>300252</v>
      </c>
      <c r="B834" t="s">
        <v>1433</v>
      </c>
      <c r="C834" t="s">
        <v>74</v>
      </c>
      <c r="D834">
        <v>300252</v>
      </c>
    </row>
    <row r="835" spans="1:4" x14ac:dyDescent="0.25">
      <c r="A835">
        <v>206600</v>
      </c>
      <c r="B835" t="s">
        <v>1434</v>
      </c>
      <c r="C835" t="s">
        <v>29</v>
      </c>
      <c r="D835">
        <v>206600</v>
      </c>
    </row>
    <row r="836" spans="1:4" x14ac:dyDescent="0.25">
      <c r="A836">
        <v>206602</v>
      </c>
      <c r="B836" t="s">
        <v>1434</v>
      </c>
      <c r="C836" t="s">
        <v>29</v>
      </c>
      <c r="D836">
        <v>206602</v>
      </c>
    </row>
    <row r="837" spans="1:4" x14ac:dyDescent="0.25">
      <c r="A837">
        <v>206601</v>
      </c>
      <c r="B837" t="s">
        <v>1434</v>
      </c>
      <c r="C837" t="s">
        <v>29</v>
      </c>
      <c r="D837">
        <v>206601</v>
      </c>
    </row>
    <row r="838" spans="1:4" x14ac:dyDescent="0.25">
      <c r="A838">
        <v>206603</v>
      </c>
      <c r="B838" t="s">
        <v>1434</v>
      </c>
      <c r="C838" t="s">
        <v>29</v>
      </c>
      <c r="D838">
        <v>206603</v>
      </c>
    </row>
    <row r="839" spans="1:4" x14ac:dyDescent="0.25">
      <c r="A839">
        <v>273691</v>
      </c>
      <c r="B839" t="s">
        <v>1435</v>
      </c>
      <c r="C839" t="s">
        <v>29</v>
      </c>
      <c r="D839">
        <v>273691</v>
      </c>
    </row>
    <row r="840" spans="1:4" x14ac:dyDescent="0.25">
      <c r="A840">
        <v>273692</v>
      </c>
      <c r="B840" t="s">
        <v>1435</v>
      </c>
      <c r="C840" t="s">
        <v>29</v>
      </c>
      <c r="D840">
        <v>273692</v>
      </c>
    </row>
    <row r="841" spans="1:4" x14ac:dyDescent="0.25">
      <c r="A841">
        <v>273693</v>
      </c>
      <c r="B841" t="s">
        <v>1435</v>
      </c>
      <c r="C841" t="s">
        <v>29</v>
      </c>
      <c r="D841">
        <v>273693</v>
      </c>
    </row>
    <row r="842" spans="1:4" x14ac:dyDescent="0.25">
      <c r="A842">
        <v>328716</v>
      </c>
      <c r="B842" t="s">
        <v>1436</v>
      </c>
      <c r="C842" t="s">
        <v>29</v>
      </c>
      <c r="D842">
        <v>328716</v>
      </c>
    </row>
    <row r="843" spans="1:4" x14ac:dyDescent="0.25">
      <c r="A843">
        <v>328725</v>
      </c>
      <c r="B843" t="s">
        <v>1436</v>
      </c>
      <c r="C843" t="s">
        <v>29</v>
      </c>
      <c r="D843">
        <v>328725</v>
      </c>
    </row>
    <row r="844" spans="1:4" x14ac:dyDescent="0.25">
      <c r="A844">
        <v>328726</v>
      </c>
      <c r="B844" t="s">
        <v>1436</v>
      </c>
      <c r="C844" t="s">
        <v>29</v>
      </c>
      <c r="D844">
        <v>328726</v>
      </c>
    </row>
    <row r="845" spans="1:4" x14ac:dyDescent="0.25">
      <c r="A845">
        <v>328727</v>
      </c>
      <c r="B845" t="s">
        <v>1436</v>
      </c>
      <c r="C845" t="s">
        <v>29</v>
      </c>
      <c r="D845">
        <v>328727</v>
      </c>
    </row>
    <row r="846" spans="1:4" x14ac:dyDescent="0.25">
      <c r="A846">
        <v>270495</v>
      </c>
      <c r="B846" t="s">
        <v>1437</v>
      </c>
      <c r="C846" t="s">
        <v>2025</v>
      </c>
      <c r="D846">
        <v>270495</v>
      </c>
    </row>
    <row r="847" spans="1:4" x14ac:dyDescent="0.25">
      <c r="A847">
        <v>270576</v>
      </c>
      <c r="B847" t="s">
        <v>1437</v>
      </c>
      <c r="C847" t="s">
        <v>2025</v>
      </c>
      <c r="D847">
        <v>270576</v>
      </c>
    </row>
    <row r="848" spans="1:4" x14ac:dyDescent="0.25">
      <c r="A848">
        <v>275789</v>
      </c>
      <c r="B848" t="s">
        <v>1438</v>
      </c>
      <c r="C848" t="s">
        <v>2026</v>
      </c>
      <c r="D848">
        <v>275789</v>
      </c>
    </row>
    <row r="849" spans="1:4" x14ac:dyDescent="0.25">
      <c r="A849">
        <v>151391</v>
      </c>
      <c r="B849" t="s">
        <v>1439</v>
      </c>
      <c r="C849" t="s">
        <v>2027</v>
      </c>
      <c r="D849">
        <v>151391</v>
      </c>
    </row>
    <row r="850" spans="1:4" x14ac:dyDescent="0.25">
      <c r="A850">
        <v>223414</v>
      </c>
      <c r="B850" t="s">
        <v>1440</v>
      </c>
      <c r="C850" t="s">
        <v>2028</v>
      </c>
      <c r="D850">
        <v>223414</v>
      </c>
    </row>
    <row r="851" spans="1:4" x14ac:dyDescent="0.25">
      <c r="A851">
        <v>223413</v>
      </c>
      <c r="B851" t="s">
        <v>1440</v>
      </c>
      <c r="C851" t="s">
        <v>2028</v>
      </c>
      <c r="D851">
        <v>223413</v>
      </c>
    </row>
    <row r="852" spans="1:4" x14ac:dyDescent="0.25">
      <c r="A852">
        <v>381908</v>
      </c>
      <c r="B852" t="s">
        <v>1441</v>
      </c>
      <c r="C852" t="s">
        <v>2029</v>
      </c>
      <c r="D852">
        <v>381908</v>
      </c>
    </row>
    <row r="853" spans="1:4" x14ac:dyDescent="0.25">
      <c r="A853">
        <v>381907</v>
      </c>
      <c r="B853" t="s">
        <v>1441</v>
      </c>
      <c r="C853" t="s">
        <v>2029</v>
      </c>
      <c r="D853">
        <v>381907</v>
      </c>
    </row>
    <row r="854" spans="1:4" x14ac:dyDescent="0.25">
      <c r="A854">
        <v>381905</v>
      </c>
      <c r="B854" t="s">
        <v>1441</v>
      </c>
      <c r="C854" t="s">
        <v>2029</v>
      </c>
      <c r="D854">
        <v>381905</v>
      </c>
    </row>
    <row r="855" spans="1:4" x14ac:dyDescent="0.25">
      <c r="A855">
        <v>339717</v>
      </c>
      <c r="B855" t="s">
        <v>1442</v>
      </c>
      <c r="C855" t="s">
        <v>2030</v>
      </c>
      <c r="D855">
        <v>339717</v>
      </c>
    </row>
    <row r="856" spans="1:4" x14ac:dyDescent="0.25">
      <c r="A856">
        <v>339718</v>
      </c>
      <c r="B856" t="s">
        <v>1442</v>
      </c>
      <c r="C856" t="s">
        <v>2030</v>
      </c>
      <c r="D856">
        <v>339718</v>
      </c>
    </row>
    <row r="857" spans="1:4" x14ac:dyDescent="0.25">
      <c r="A857">
        <v>80909</v>
      </c>
      <c r="B857" t="s">
        <v>1443</v>
      </c>
      <c r="C857" t="s">
        <v>2031</v>
      </c>
      <c r="D857">
        <v>80909</v>
      </c>
    </row>
    <row r="858" spans="1:4" x14ac:dyDescent="0.25">
      <c r="A858">
        <v>270718</v>
      </c>
      <c r="B858" t="s">
        <v>1444</v>
      </c>
      <c r="C858" t="s">
        <v>2032</v>
      </c>
      <c r="D858">
        <v>270718</v>
      </c>
    </row>
    <row r="859" spans="1:4" x14ac:dyDescent="0.25">
      <c r="A859">
        <v>270719</v>
      </c>
      <c r="B859" t="s">
        <v>1444</v>
      </c>
      <c r="C859" t="s">
        <v>2032</v>
      </c>
      <c r="D859">
        <v>270719</v>
      </c>
    </row>
    <row r="860" spans="1:4" x14ac:dyDescent="0.25">
      <c r="A860">
        <v>270720</v>
      </c>
      <c r="B860" t="s">
        <v>1444</v>
      </c>
      <c r="C860" t="s">
        <v>2032</v>
      </c>
      <c r="D860">
        <v>270720</v>
      </c>
    </row>
    <row r="861" spans="1:4" x14ac:dyDescent="0.25">
      <c r="A861">
        <v>251464</v>
      </c>
      <c r="B861" t="s">
        <v>1445</v>
      </c>
      <c r="C861" t="s">
        <v>2033</v>
      </c>
      <c r="D861">
        <v>251464</v>
      </c>
    </row>
    <row r="862" spans="1:4" x14ac:dyDescent="0.25">
      <c r="A862">
        <v>354853</v>
      </c>
      <c r="B862" t="s">
        <v>1446</v>
      </c>
      <c r="C862" t="s">
        <v>2034</v>
      </c>
      <c r="D862">
        <v>354853</v>
      </c>
    </row>
    <row r="863" spans="1:4" x14ac:dyDescent="0.25">
      <c r="A863">
        <v>35485</v>
      </c>
      <c r="B863" t="s">
        <v>1446</v>
      </c>
      <c r="C863" t="s">
        <v>2034</v>
      </c>
      <c r="D863">
        <v>35485</v>
      </c>
    </row>
    <row r="864" spans="1:4" x14ac:dyDescent="0.25">
      <c r="A864">
        <v>63753</v>
      </c>
      <c r="B864" t="s">
        <v>1447</v>
      </c>
      <c r="C864" t="s">
        <v>2035</v>
      </c>
      <c r="D864">
        <v>63753</v>
      </c>
    </row>
    <row r="865" spans="1:4" x14ac:dyDescent="0.25">
      <c r="A865">
        <v>379520</v>
      </c>
      <c r="B865" t="s">
        <v>1448</v>
      </c>
      <c r="C865" t="s">
        <v>2036</v>
      </c>
      <c r="D865">
        <v>379520</v>
      </c>
    </row>
    <row r="866" spans="1:4" x14ac:dyDescent="0.25">
      <c r="A866">
        <v>379519</v>
      </c>
      <c r="B866" t="s">
        <v>1448</v>
      </c>
      <c r="C866" t="s">
        <v>2036</v>
      </c>
      <c r="D866">
        <v>379519</v>
      </c>
    </row>
    <row r="867" spans="1:4" x14ac:dyDescent="0.25">
      <c r="A867">
        <v>277436</v>
      </c>
      <c r="B867" t="s">
        <v>1449</v>
      </c>
      <c r="C867" t="s">
        <v>2037</v>
      </c>
      <c r="D867">
        <v>277436</v>
      </c>
    </row>
    <row r="868" spans="1:4" x14ac:dyDescent="0.25">
      <c r="A868">
        <v>277437</v>
      </c>
      <c r="B868" t="s">
        <v>1449</v>
      </c>
      <c r="C868" t="s">
        <v>2037</v>
      </c>
      <c r="D868">
        <v>277437</v>
      </c>
    </row>
    <row r="869" spans="1:4" x14ac:dyDescent="0.25">
      <c r="A869">
        <v>328730</v>
      </c>
      <c r="B869" t="s">
        <v>1450</v>
      </c>
      <c r="C869" t="s">
        <v>2037</v>
      </c>
      <c r="D869">
        <v>328730</v>
      </c>
    </row>
    <row r="870" spans="1:4" x14ac:dyDescent="0.25">
      <c r="A870">
        <v>328731</v>
      </c>
      <c r="B870" t="s">
        <v>1450</v>
      </c>
      <c r="C870" t="s">
        <v>2037</v>
      </c>
      <c r="D870">
        <v>328731</v>
      </c>
    </row>
    <row r="871" spans="1:4" x14ac:dyDescent="0.25">
      <c r="A871">
        <v>328732</v>
      </c>
      <c r="B871" t="s">
        <v>1450</v>
      </c>
      <c r="C871" t="s">
        <v>2037</v>
      </c>
      <c r="D871">
        <v>328732</v>
      </c>
    </row>
    <row r="872" spans="1:4" x14ac:dyDescent="0.25">
      <c r="A872">
        <v>335218</v>
      </c>
      <c r="B872" t="s">
        <v>1451</v>
      </c>
      <c r="C872" t="s">
        <v>2037</v>
      </c>
      <c r="D872">
        <v>335218</v>
      </c>
    </row>
    <row r="873" spans="1:4" x14ac:dyDescent="0.25">
      <c r="A873">
        <v>335219</v>
      </c>
      <c r="B873" t="s">
        <v>1451</v>
      </c>
      <c r="C873" t="s">
        <v>2037</v>
      </c>
      <c r="D873">
        <v>335219</v>
      </c>
    </row>
    <row r="874" spans="1:4" x14ac:dyDescent="0.25">
      <c r="A874">
        <v>335220</v>
      </c>
      <c r="B874" t="s">
        <v>1451</v>
      </c>
      <c r="C874" t="s">
        <v>2037</v>
      </c>
      <c r="D874">
        <v>335220</v>
      </c>
    </row>
    <row r="875" spans="1:4" x14ac:dyDescent="0.25">
      <c r="A875">
        <v>270794</v>
      </c>
      <c r="B875" t="s">
        <v>1452</v>
      </c>
      <c r="C875" t="s">
        <v>61</v>
      </c>
      <c r="D875">
        <v>270794</v>
      </c>
    </row>
    <row r="876" spans="1:4" x14ac:dyDescent="0.25">
      <c r="A876">
        <v>270800</v>
      </c>
      <c r="B876" t="s">
        <v>1452</v>
      </c>
      <c r="C876" t="s">
        <v>61</v>
      </c>
      <c r="D876">
        <v>270800</v>
      </c>
    </row>
    <row r="877" spans="1:4" x14ac:dyDescent="0.25">
      <c r="A877">
        <v>334454</v>
      </c>
      <c r="B877" t="s">
        <v>1453</v>
      </c>
      <c r="C877" t="s">
        <v>594</v>
      </c>
      <c r="D877">
        <v>334454</v>
      </c>
    </row>
    <row r="878" spans="1:4" x14ac:dyDescent="0.25">
      <c r="A878">
        <v>365800</v>
      </c>
      <c r="B878" t="s">
        <v>1454</v>
      </c>
      <c r="C878" t="s">
        <v>594</v>
      </c>
      <c r="D878">
        <v>365800</v>
      </c>
    </row>
    <row r="879" spans="1:4" x14ac:dyDescent="0.25">
      <c r="A879">
        <v>361213</v>
      </c>
      <c r="B879" t="s">
        <v>1455</v>
      </c>
      <c r="C879" t="s">
        <v>2038</v>
      </c>
      <c r="D879">
        <v>361213</v>
      </c>
    </row>
    <row r="880" spans="1:4" x14ac:dyDescent="0.25">
      <c r="A880">
        <v>361215</v>
      </c>
      <c r="B880" t="s">
        <v>1455</v>
      </c>
      <c r="C880" t="s">
        <v>2038</v>
      </c>
      <c r="D880">
        <v>361215</v>
      </c>
    </row>
    <row r="881" spans="1:4" x14ac:dyDescent="0.25">
      <c r="A881">
        <v>361214</v>
      </c>
      <c r="B881" t="s">
        <v>1455</v>
      </c>
      <c r="C881" t="s">
        <v>2038</v>
      </c>
      <c r="D881">
        <v>361214</v>
      </c>
    </row>
    <row r="882" spans="1:4" x14ac:dyDescent="0.25">
      <c r="A882">
        <v>233163</v>
      </c>
      <c r="B882" t="s">
        <v>1456</v>
      </c>
      <c r="C882" t="s">
        <v>2039</v>
      </c>
      <c r="D882">
        <v>233163</v>
      </c>
    </row>
    <row r="883" spans="1:4" x14ac:dyDescent="0.25">
      <c r="A883">
        <v>233162</v>
      </c>
      <c r="B883" t="s">
        <v>1456</v>
      </c>
      <c r="C883" t="s">
        <v>2039</v>
      </c>
      <c r="D883">
        <v>233162</v>
      </c>
    </row>
    <row r="884" spans="1:4" x14ac:dyDescent="0.25">
      <c r="A884">
        <v>300476</v>
      </c>
      <c r="B884" t="s">
        <v>1457</v>
      </c>
      <c r="C884" t="s">
        <v>2040</v>
      </c>
      <c r="D884">
        <v>300476</v>
      </c>
    </row>
    <row r="885" spans="1:4" x14ac:dyDescent="0.25">
      <c r="A885">
        <v>334247</v>
      </c>
      <c r="B885" t="s">
        <v>1458</v>
      </c>
      <c r="C885" t="s">
        <v>2040</v>
      </c>
      <c r="D885">
        <v>334247</v>
      </c>
    </row>
    <row r="886" spans="1:4" x14ac:dyDescent="0.25">
      <c r="A886">
        <v>334248</v>
      </c>
      <c r="B886" t="s">
        <v>1458</v>
      </c>
      <c r="C886" t="s">
        <v>2040</v>
      </c>
      <c r="D886">
        <v>334248</v>
      </c>
    </row>
    <row r="887" spans="1:4" x14ac:dyDescent="0.25">
      <c r="A887">
        <v>334249</v>
      </c>
      <c r="B887" t="s">
        <v>1458</v>
      </c>
      <c r="C887" t="s">
        <v>2040</v>
      </c>
      <c r="D887">
        <v>334249</v>
      </c>
    </row>
    <row r="888" spans="1:4" x14ac:dyDescent="0.25">
      <c r="A888">
        <v>150912</v>
      </c>
      <c r="B888" t="s">
        <v>1459</v>
      </c>
      <c r="C888" t="s">
        <v>2041</v>
      </c>
      <c r="D888">
        <v>150912</v>
      </c>
    </row>
    <row r="889" spans="1:4" x14ac:dyDescent="0.25">
      <c r="A889">
        <v>379922</v>
      </c>
      <c r="B889" t="s">
        <v>1460</v>
      </c>
      <c r="C889" t="s">
        <v>2042</v>
      </c>
      <c r="D889">
        <v>379922</v>
      </c>
    </row>
    <row r="890" spans="1:4" x14ac:dyDescent="0.25">
      <c r="A890">
        <v>379923</v>
      </c>
      <c r="B890" t="s">
        <v>1460</v>
      </c>
      <c r="C890" t="s">
        <v>2042</v>
      </c>
      <c r="D890">
        <v>379923</v>
      </c>
    </row>
    <row r="891" spans="1:4" x14ac:dyDescent="0.25">
      <c r="A891">
        <v>255782</v>
      </c>
      <c r="B891" t="s">
        <v>1461</v>
      </c>
      <c r="C891" t="s">
        <v>2043</v>
      </c>
      <c r="D891">
        <v>255782</v>
      </c>
    </row>
    <row r="892" spans="1:4" x14ac:dyDescent="0.25">
      <c r="A892">
        <v>182715</v>
      </c>
      <c r="B892" t="s">
        <v>1462</v>
      </c>
      <c r="C892" t="s">
        <v>2044</v>
      </c>
      <c r="D892">
        <v>182715</v>
      </c>
    </row>
    <row r="893" spans="1:4" x14ac:dyDescent="0.25">
      <c r="A893">
        <v>271311</v>
      </c>
      <c r="B893" t="s">
        <v>1463</v>
      </c>
      <c r="C893" t="s">
        <v>30</v>
      </c>
      <c r="D893">
        <v>271311</v>
      </c>
    </row>
    <row r="894" spans="1:4" x14ac:dyDescent="0.25">
      <c r="A894">
        <v>353140</v>
      </c>
      <c r="B894" t="s">
        <v>1464</v>
      </c>
      <c r="C894" t="s">
        <v>30</v>
      </c>
      <c r="D894">
        <v>353140</v>
      </c>
    </row>
    <row r="895" spans="1:4" x14ac:dyDescent="0.25">
      <c r="A895">
        <v>353141</v>
      </c>
      <c r="B895" t="s">
        <v>1464</v>
      </c>
      <c r="C895" t="s">
        <v>30</v>
      </c>
      <c r="D895">
        <v>353141</v>
      </c>
    </row>
    <row r="896" spans="1:4" x14ac:dyDescent="0.25">
      <c r="A896">
        <v>353142</v>
      </c>
      <c r="B896" t="s">
        <v>1464</v>
      </c>
      <c r="C896" t="s">
        <v>30</v>
      </c>
      <c r="D896">
        <v>353142</v>
      </c>
    </row>
    <row r="897" spans="1:4" x14ac:dyDescent="0.25">
      <c r="A897">
        <v>366708</v>
      </c>
      <c r="B897" t="s">
        <v>1465</v>
      </c>
      <c r="C897" t="s">
        <v>30</v>
      </c>
      <c r="D897">
        <v>366708</v>
      </c>
    </row>
    <row r="898" spans="1:4" x14ac:dyDescent="0.25">
      <c r="A898">
        <v>366711</v>
      </c>
      <c r="B898" t="s">
        <v>1465</v>
      </c>
      <c r="C898" t="s">
        <v>30</v>
      </c>
      <c r="D898">
        <v>366711</v>
      </c>
    </row>
    <row r="899" spans="1:4" x14ac:dyDescent="0.25">
      <c r="A899">
        <v>186064</v>
      </c>
      <c r="B899" t="s">
        <v>1466</v>
      </c>
      <c r="C899" t="s">
        <v>2045</v>
      </c>
      <c r="D899">
        <v>186064</v>
      </c>
    </row>
    <row r="900" spans="1:4" x14ac:dyDescent="0.25">
      <c r="A900">
        <v>324014</v>
      </c>
      <c r="B900" t="s">
        <v>1467</v>
      </c>
      <c r="C900" t="s">
        <v>613</v>
      </c>
      <c r="D900">
        <v>324014</v>
      </c>
    </row>
    <row r="901" spans="1:4" x14ac:dyDescent="0.25">
      <c r="A901">
        <v>342303</v>
      </c>
      <c r="B901" t="s">
        <v>1468</v>
      </c>
      <c r="C901" t="s">
        <v>2046</v>
      </c>
      <c r="D901">
        <v>342303</v>
      </c>
    </row>
    <row r="902" spans="1:4" x14ac:dyDescent="0.25">
      <c r="A902">
        <v>324025</v>
      </c>
      <c r="B902" t="s">
        <v>1469</v>
      </c>
      <c r="C902" t="s">
        <v>2047</v>
      </c>
      <c r="D902">
        <v>324025</v>
      </c>
    </row>
    <row r="903" spans="1:4" x14ac:dyDescent="0.25">
      <c r="A903">
        <v>342293</v>
      </c>
      <c r="B903" t="s">
        <v>1470</v>
      </c>
      <c r="C903" t="s">
        <v>2048</v>
      </c>
      <c r="D903">
        <v>342293</v>
      </c>
    </row>
    <row r="904" spans="1:4" x14ac:dyDescent="0.25">
      <c r="A904">
        <v>342295</v>
      </c>
      <c r="B904" t="s">
        <v>1471</v>
      </c>
      <c r="C904" t="s">
        <v>2049</v>
      </c>
      <c r="D904">
        <v>342295</v>
      </c>
    </row>
    <row r="905" spans="1:4" x14ac:dyDescent="0.25">
      <c r="A905">
        <v>324020</v>
      </c>
      <c r="B905" t="s">
        <v>1472</v>
      </c>
      <c r="C905" t="s">
        <v>2050</v>
      </c>
      <c r="D905">
        <v>324020</v>
      </c>
    </row>
    <row r="906" spans="1:4" x14ac:dyDescent="0.25">
      <c r="A906">
        <v>324007</v>
      </c>
      <c r="B906" t="s">
        <v>1473</v>
      </c>
      <c r="C906" t="s">
        <v>2051</v>
      </c>
      <c r="D906">
        <v>324007</v>
      </c>
    </row>
    <row r="907" spans="1:4" x14ac:dyDescent="0.25">
      <c r="A907">
        <v>206481</v>
      </c>
      <c r="B907" t="s">
        <v>1474</v>
      </c>
      <c r="C907" t="s">
        <v>1481</v>
      </c>
      <c r="D907">
        <v>206481</v>
      </c>
    </row>
    <row r="908" spans="1:4" x14ac:dyDescent="0.25">
      <c r="A908">
        <v>324009</v>
      </c>
      <c r="B908" t="s">
        <v>1475</v>
      </c>
      <c r="C908" t="s">
        <v>1481</v>
      </c>
      <c r="D908">
        <v>324009</v>
      </c>
    </row>
    <row r="909" spans="1:4" x14ac:dyDescent="0.25">
      <c r="A909">
        <v>324011</v>
      </c>
      <c r="B909" t="s">
        <v>1476</v>
      </c>
      <c r="C909" t="s">
        <v>1481</v>
      </c>
      <c r="D909">
        <v>324011</v>
      </c>
    </row>
    <row r="910" spans="1:4" x14ac:dyDescent="0.25">
      <c r="A910">
        <v>324023</v>
      </c>
      <c r="B910" t="s">
        <v>1477</v>
      </c>
      <c r="C910" t="s">
        <v>1481</v>
      </c>
      <c r="D910">
        <v>324023</v>
      </c>
    </row>
    <row r="911" spans="1:4" x14ac:dyDescent="0.25">
      <c r="A911">
        <v>324028</v>
      </c>
      <c r="B911" s="15" t="s">
        <v>1478</v>
      </c>
      <c r="C911" t="s">
        <v>1481</v>
      </c>
      <c r="D911">
        <v>324028</v>
      </c>
    </row>
    <row r="912" spans="1:4" x14ac:dyDescent="0.25">
      <c r="A912">
        <v>324029</v>
      </c>
      <c r="B912" s="15" t="s">
        <v>629</v>
      </c>
      <c r="C912" s="15" t="s">
        <v>1481</v>
      </c>
      <c r="D912">
        <v>324029</v>
      </c>
    </row>
    <row r="913" spans="1:4" x14ac:dyDescent="0.25">
      <c r="A913">
        <v>342294</v>
      </c>
      <c r="B913" t="s">
        <v>630</v>
      </c>
      <c r="C913" t="s">
        <v>1481</v>
      </c>
      <c r="D913">
        <v>342294</v>
      </c>
    </row>
    <row r="914" spans="1:4" x14ac:dyDescent="0.25">
      <c r="A914">
        <v>342301</v>
      </c>
      <c r="B914" t="s">
        <v>631</v>
      </c>
      <c r="C914" t="s">
        <v>1481</v>
      </c>
      <c r="D914">
        <v>342301</v>
      </c>
    </row>
    <row r="915" spans="1:4" x14ac:dyDescent="0.25">
      <c r="A915">
        <v>342302</v>
      </c>
      <c r="B915" t="s">
        <v>632</v>
      </c>
      <c r="C915" t="s">
        <v>1481</v>
      </c>
      <c r="D915">
        <v>342302</v>
      </c>
    </row>
    <row r="916" spans="1:4" x14ac:dyDescent="0.25">
      <c r="A916">
        <v>378391</v>
      </c>
      <c r="B916" t="s">
        <v>633</v>
      </c>
      <c r="C916" t="s">
        <v>1481</v>
      </c>
      <c r="D916">
        <v>378391</v>
      </c>
    </row>
    <row r="917" spans="1:4" x14ac:dyDescent="0.25">
      <c r="A917">
        <v>378394</v>
      </c>
      <c r="B917" t="s">
        <v>634</v>
      </c>
      <c r="C917" t="s">
        <v>1481</v>
      </c>
      <c r="D917">
        <v>378394</v>
      </c>
    </row>
  </sheetData>
  <autoFilter ref="B1:H1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2025-11-17T13:07:32Z</dcterms:modified>
</cp:coreProperties>
</file>